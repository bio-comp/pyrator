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2.bin" ContentType="application/vnd.openxmlformats-officedocument.oleObject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omments5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TNS cubby\ESCI intro\ESCI intro final\"/>
    </mc:Choice>
  </mc:AlternateContent>
  <bookViews>
    <workbookView xWindow="3720" yWindow="120" windowWidth="9915" windowHeight="3495"/>
  </bookViews>
  <sheets>
    <sheet name="Intro" sheetId="34" r:id="rId1"/>
    <sheet name="Original two groups" sheetId="26" r:id="rId2"/>
    <sheet name="Subsets" sheetId="31" r:id="rId3"/>
    <sheet name="d two groups" sheetId="30" r:id="rId4"/>
    <sheet name="d subsets" sheetId="32" r:id="rId5"/>
    <sheet name="Single r" sheetId="33" r:id="rId6"/>
  </sheets>
  <functionGroups builtInGroupCount="18"/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_big1" localSheetId="4">'[1]MA  Standardised units'!$AG$6:$AH$6</definedName>
    <definedName name="_big1" localSheetId="3">'[1]MA  Standardised units'!$AG$6:$AH$6</definedName>
    <definedName name="_big1" localSheetId="0">'[2]MA  Standardised units'!$AG$6:$AH$6</definedName>
    <definedName name="_big1" localSheetId="1">'[1]MA  Standardised units'!$AG$6:$AH$6</definedName>
    <definedName name="_big1" localSheetId="5">'[1]MA  Standardised units'!$AG$6:$AH$6</definedName>
    <definedName name="_big1" localSheetId="2">'[1]MA  Standardised units'!$AG$6:$AH$6</definedName>
    <definedName name="_big1">'[2]MA  Standardised units'!$AG$6:$AH$6</definedName>
    <definedName name="_big10" localSheetId="4">'[1]MA  Standardised units'!$AG$15:$AH$15</definedName>
    <definedName name="_big10" localSheetId="3">'[1]MA  Standardised units'!$AG$15:$AH$15</definedName>
    <definedName name="_big10" localSheetId="0">'[2]MA  Standardised units'!$AG$15:$AH$15</definedName>
    <definedName name="_big10" localSheetId="1">'[1]MA  Standardised units'!$AG$15:$AH$15</definedName>
    <definedName name="_big10" localSheetId="5">'[1]MA  Standardised units'!$AG$15:$AH$15</definedName>
    <definedName name="_big10" localSheetId="2">'[1]MA  Standardised units'!$AG$15:$AH$15</definedName>
    <definedName name="_big10">'[2]MA  Standardised units'!$AG$15:$AH$15</definedName>
    <definedName name="_big11" localSheetId="4">'[1]MA  Standardised units'!$AG$18:$AH$18</definedName>
    <definedName name="_big11" localSheetId="3">'[1]MA  Standardised units'!$AG$18:$AH$18</definedName>
    <definedName name="_big11" localSheetId="0">'[2]MA  Standardised units'!$AG$18:$AH$18</definedName>
    <definedName name="_big11" localSheetId="1">'[1]MA  Standardised units'!$AG$18:$AH$18</definedName>
    <definedName name="_big11" localSheetId="5">'[1]MA  Standardised units'!$AG$18:$AH$18</definedName>
    <definedName name="_big11" localSheetId="2">'[1]MA  Standardised units'!$AG$18:$AH$18</definedName>
    <definedName name="_big11">'[2]MA  Standardised units'!$AG$18:$AH$18</definedName>
    <definedName name="_big12" localSheetId="4">'[1]MA  Standardised units'!$AG$21:$AH$21</definedName>
    <definedName name="_big12" localSheetId="3">'[1]MA  Standardised units'!$AG$21:$AH$21</definedName>
    <definedName name="_big12" localSheetId="0">'[2]MA  Standardised units'!$AG$21:$AH$21</definedName>
    <definedName name="_big12" localSheetId="1">'[1]MA  Standardised units'!$AG$21:$AH$21</definedName>
    <definedName name="_big12" localSheetId="5">'[1]MA  Standardised units'!$AG$21:$AH$21</definedName>
    <definedName name="_big12" localSheetId="2">'[1]MA  Standardised units'!$AG$21:$AH$21</definedName>
    <definedName name="_big12">'[2]MA  Standardised units'!$AG$21:$AH$21</definedName>
    <definedName name="_big13" localSheetId="4">'[1]MA  Standardised units'!$AG$24:$AH$24</definedName>
    <definedName name="_big13" localSheetId="3">'[1]MA  Standardised units'!$AG$24:$AH$24</definedName>
    <definedName name="_big13" localSheetId="0">'[2]MA  Standardised units'!$AG$24:$AH$24</definedName>
    <definedName name="_big13" localSheetId="1">'[1]MA  Standardised units'!$AG$24:$AH$24</definedName>
    <definedName name="_big13" localSheetId="5">'[1]MA  Standardised units'!$AG$24:$AH$24</definedName>
    <definedName name="_big13" localSheetId="2">'[1]MA  Standardised units'!$AG$24:$AH$24</definedName>
    <definedName name="_big13">'[2]MA  Standardised units'!$AG$24:$AH$24</definedName>
    <definedName name="_big2" localSheetId="4">'[1]MA  Standardised units'!$AG$7:$AH$7</definedName>
    <definedName name="_big2" localSheetId="3">'[1]MA  Standardised units'!$AG$7:$AH$7</definedName>
    <definedName name="_big2" localSheetId="0">'[2]MA  Standardised units'!$AG$7:$AH$7</definedName>
    <definedName name="_big2" localSheetId="1">'[1]MA  Standardised units'!$AG$7:$AH$7</definedName>
    <definedName name="_big2" localSheetId="5">'[1]MA  Standardised units'!$AG$7:$AH$7</definedName>
    <definedName name="_big2" localSheetId="2">'[1]MA  Standardised units'!$AG$7:$AH$7</definedName>
    <definedName name="_big2">'[2]MA  Standardised units'!$AG$7:$AH$7</definedName>
    <definedName name="_big3" localSheetId="4">'[1]MA  Standardised units'!$AG$8:$AH$8</definedName>
    <definedName name="_big3" localSheetId="3">'[1]MA  Standardised units'!$AG$8:$AH$8</definedName>
    <definedName name="_big3" localSheetId="0">'[2]MA  Standardised units'!$AG$8:$AH$8</definedName>
    <definedName name="_big3" localSheetId="1">'[1]MA  Standardised units'!$AG$8:$AH$8</definedName>
    <definedName name="_big3" localSheetId="5">'[1]MA  Standardised units'!$AG$8:$AH$8</definedName>
    <definedName name="_big3" localSheetId="2">'[1]MA  Standardised units'!$AG$8:$AH$8</definedName>
    <definedName name="_big3">'[2]MA  Standardised units'!$AG$8:$AH$8</definedName>
    <definedName name="_big4" localSheetId="4">'[1]MA  Standardised units'!$AG$9:$AH$9</definedName>
    <definedName name="_big4" localSheetId="3">'[1]MA  Standardised units'!$AG$9:$AH$9</definedName>
    <definedName name="_big4" localSheetId="0">'[2]MA  Standardised units'!$AG$9:$AH$9</definedName>
    <definedName name="_big4" localSheetId="1">'[1]MA  Standardised units'!$AG$9:$AH$9</definedName>
    <definedName name="_big4" localSheetId="5">'[1]MA  Standardised units'!$AG$9:$AH$9</definedName>
    <definedName name="_big4" localSheetId="2">'[1]MA  Standardised units'!$AG$9:$AH$9</definedName>
    <definedName name="_big4">'[2]MA  Standardised units'!$AG$9:$AH$9</definedName>
    <definedName name="_big5" localSheetId="4">'[1]MA  Standardised units'!$AG$10:$AH$10</definedName>
    <definedName name="_big5" localSheetId="3">'[1]MA  Standardised units'!$AG$10:$AH$10</definedName>
    <definedName name="_big5" localSheetId="0">'[2]MA  Standardised units'!$AG$10:$AH$10</definedName>
    <definedName name="_big5" localSheetId="1">'[1]MA  Standardised units'!$AG$10:$AH$10</definedName>
    <definedName name="_big5" localSheetId="5">'[1]MA  Standardised units'!$AG$10:$AH$10</definedName>
    <definedName name="_big5" localSheetId="2">'[1]MA  Standardised units'!$AG$10:$AH$10</definedName>
    <definedName name="_big5">'[2]MA  Standardised units'!$AG$10:$AH$10</definedName>
    <definedName name="_big6" localSheetId="4">'[1]MA  Standardised units'!$AG$11:$AH$11</definedName>
    <definedName name="_big6" localSheetId="3">'[1]MA  Standardised units'!$AG$11:$AH$11</definedName>
    <definedName name="_big6" localSheetId="0">'[2]MA  Standardised units'!$AG$11:$AH$11</definedName>
    <definedName name="_big6" localSheetId="1">'[1]MA  Standardised units'!$AG$11:$AH$11</definedName>
    <definedName name="_big6" localSheetId="5">'[1]MA  Standardised units'!$AG$11:$AH$11</definedName>
    <definedName name="_big6" localSheetId="2">'[1]MA  Standardised units'!$AG$11:$AH$11</definedName>
    <definedName name="_big6">'[2]MA  Standardised units'!$AG$11:$AH$11</definedName>
    <definedName name="_big7" localSheetId="4">'[1]MA  Standardised units'!$AG$12:$AH$12</definedName>
    <definedName name="_big7" localSheetId="3">'[1]MA  Standardised units'!$AG$12:$AH$12</definedName>
    <definedName name="_big7" localSheetId="0">'[2]MA  Standardised units'!$AG$12:$AH$12</definedName>
    <definedName name="_big7" localSheetId="1">'[1]MA  Standardised units'!$AG$12:$AH$12</definedName>
    <definedName name="_big7" localSheetId="5">'[1]MA  Standardised units'!$AG$12:$AH$12</definedName>
    <definedName name="_big7" localSheetId="2">'[1]MA  Standardised units'!$AG$12:$AH$12</definedName>
    <definedName name="_big7">'[2]MA  Standardised units'!$AG$12:$AH$12</definedName>
    <definedName name="_big8" localSheetId="4">'[1]MA  Standardised units'!$AG$13:$AH$13</definedName>
    <definedName name="_big8" localSheetId="3">'[1]MA  Standardised units'!$AG$13:$AH$13</definedName>
    <definedName name="_big8" localSheetId="0">'[2]MA  Standardised units'!$AG$13:$AH$13</definedName>
    <definedName name="_big8" localSheetId="1">'[1]MA  Standardised units'!$AG$13:$AH$13</definedName>
    <definedName name="_big8" localSheetId="5">'[1]MA  Standardised units'!$AG$13:$AH$13</definedName>
    <definedName name="_big8" localSheetId="2">'[1]MA  Standardised units'!$AG$13:$AH$13</definedName>
    <definedName name="_big8">'[2]MA  Standardised units'!$AG$13:$AH$13</definedName>
    <definedName name="_big9" localSheetId="4">'[1]MA  Standardised units'!$AG$14:$AH$14</definedName>
    <definedName name="_big9" localSheetId="3">'[1]MA  Standardised units'!$AG$14:$AH$14</definedName>
    <definedName name="_big9" localSheetId="0">'[2]MA  Standardised units'!$AG$14:$AH$14</definedName>
    <definedName name="_big9" localSheetId="1">'[1]MA  Standardised units'!$AG$14:$AH$14</definedName>
    <definedName name="_big9" localSheetId="5">'[1]MA  Standardised units'!$AG$14:$AH$14</definedName>
    <definedName name="_big9" localSheetId="2">'[1]MA  Standardised units'!$AG$14:$AH$14</definedName>
    <definedName name="_big9">'[2]MA  Standardised units'!$AG$14:$AH$14</definedName>
    <definedName name="_cid1" localSheetId="4">'[1]MA  Standardised units'!$J$6</definedName>
    <definedName name="_cid1" localSheetId="3">'[1]MA  Standardised units'!$J$6</definedName>
    <definedName name="_cid1" localSheetId="0">'[1]MA  Standardised units'!$J$6</definedName>
    <definedName name="_cid1" localSheetId="1">'[1]MA  Standardised units'!$J$6</definedName>
    <definedName name="_cid1" localSheetId="5">'[1]MA  Standardised units'!$J$6</definedName>
    <definedName name="_cid1" localSheetId="2">'[1]MA  Standardised units'!$J$6</definedName>
    <definedName name="_cid1">'[2]MA  Standardised units'!$J$6</definedName>
    <definedName name="_cid10" localSheetId="4">'[1]MA  Standardised units'!$J$15</definedName>
    <definedName name="_cid10" localSheetId="3">'[1]MA  Standardised units'!$J$15</definedName>
    <definedName name="_cid10" localSheetId="0">'[2]MA  Standardised units'!$J$15</definedName>
    <definedName name="_cid10" localSheetId="1">'[1]MA  Standardised units'!$J$15</definedName>
    <definedName name="_cid10" localSheetId="5">'[1]MA  Standardised units'!$J$15</definedName>
    <definedName name="_cid10" localSheetId="2">'[1]MA  Standardised units'!$J$15</definedName>
    <definedName name="_cid10">'[2]MA  Standardised units'!$J$15</definedName>
    <definedName name="_cid11" localSheetId="4">'[1]MA  Standardised units'!$J$18</definedName>
    <definedName name="_cid11" localSheetId="3">'[1]MA  Standardised units'!$J$18</definedName>
    <definedName name="_cid11" localSheetId="0">'[2]MA  Standardised units'!$J$18</definedName>
    <definedName name="_cid11" localSheetId="1">'[1]MA  Standardised units'!$J$18</definedName>
    <definedName name="_cid11" localSheetId="5">'[1]MA  Standardised units'!$J$18</definedName>
    <definedName name="_cid11" localSheetId="2">'[1]MA  Standardised units'!$J$18</definedName>
    <definedName name="_cid11">'[2]MA  Standardised units'!$J$18</definedName>
    <definedName name="_cid12" localSheetId="4">'[1]MA  Standardised units'!$J$21</definedName>
    <definedName name="_cid12" localSheetId="3">'[1]MA  Standardised units'!$J$21</definedName>
    <definedName name="_cid12" localSheetId="0">'[2]MA  Standardised units'!$J$21</definedName>
    <definedName name="_cid12" localSheetId="1">'[1]MA  Standardised units'!$J$21</definedName>
    <definedName name="_cid12" localSheetId="5">'[1]MA  Standardised units'!$J$21</definedName>
    <definedName name="_cid12" localSheetId="2">'[1]MA  Standardised units'!$J$21</definedName>
    <definedName name="_cid12">'[2]MA  Standardised units'!$J$21</definedName>
    <definedName name="_cid13" localSheetId="4">'[1]MA  Standardised units'!$J$24</definedName>
    <definedName name="_cid13" localSheetId="3">'[1]MA  Standardised units'!$J$24</definedName>
    <definedName name="_cid13" localSheetId="0">'[2]MA  Standardised units'!$J$24</definedName>
    <definedName name="_cid13" localSheetId="1">'[1]MA  Standardised units'!$J$24</definedName>
    <definedName name="_cid13" localSheetId="5">'[1]MA  Standardised units'!$J$24</definedName>
    <definedName name="_cid13" localSheetId="2">'[1]MA  Standardised units'!$J$24</definedName>
    <definedName name="_cid13">'[2]MA  Standardised units'!$J$24</definedName>
    <definedName name="_cid2" localSheetId="4">'[1]MA  Standardised units'!$J$7</definedName>
    <definedName name="_cid2" localSheetId="3">'[1]MA  Standardised units'!$J$7</definedName>
    <definedName name="_cid2" localSheetId="0">'[2]MA  Standardised units'!$J$7</definedName>
    <definedName name="_cid2" localSheetId="1">'[1]MA  Standardised units'!$J$7</definedName>
    <definedName name="_cid2" localSheetId="5">'[1]MA  Standardised units'!$J$7</definedName>
    <definedName name="_cid2" localSheetId="2">'[1]MA  Standardised units'!$J$7</definedName>
    <definedName name="_cid2">'[2]MA  Standardised units'!$J$7</definedName>
    <definedName name="_cid3" localSheetId="4">'[1]MA  Standardised units'!$J$8</definedName>
    <definedName name="_cid3" localSheetId="3">'[1]MA  Standardised units'!$J$8</definedName>
    <definedName name="_cid3" localSheetId="0">'[2]MA  Standardised units'!$J$8</definedName>
    <definedName name="_cid3" localSheetId="1">'[1]MA  Standardised units'!$J$8</definedName>
    <definedName name="_cid3" localSheetId="5">'[1]MA  Standardised units'!$J$8</definedName>
    <definedName name="_cid3" localSheetId="2">'[1]MA  Standardised units'!$J$8</definedName>
    <definedName name="_cid3">'[2]MA  Standardised units'!$J$8</definedName>
    <definedName name="_cid4" localSheetId="4">'[1]MA  Standardised units'!$J$9</definedName>
    <definedName name="_cid4" localSheetId="3">'[1]MA  Standardised units'!$J$9</definedName>
    <definedName name="_cid4" localSheetId="0">'[2]MA  Standardised units'!$J$9</definedName>
    <definedName name="_cid4" localSheetId="1">'[1]MA  Standardised units'!$J$9</definedName>
    <definedName name="_cid4" localSheetId="5">'[1]MA  Standardised units'!$J$9</definedName>
    <definedName name="_cid4" localSheetId="2">'[1]MA  Standardised units'!$J$9</definedName>
    <definedName name="_cid4">'[2]MA  Standardised units'!$J$9</definedName>
    <definedName name="_cid5" localSheetId="4">'[1]MA  Standardised units'!$J$10</definedName>
    <definedName name="_cid5" localSheetId="3">'[1]MA  Standardised units'!$J$10</definedName>
    <definedName name="_cid5" localSheetId="0">'[2]MA  Standardised units'!$J$10</definedName>
    <definedName name="_cid5" localSheetId="1">'[1]MA  Standardised units'!$J$10</definedName>
    <definedName name="_cid5" localSheetId="5">'[1]MA  Standardised units'!$J$10</definedName>
    <definedName name="_cid5" localSheetId="2">'[1]MA  Standardised units'!$J$10</definedName>
    <definedName name="_cid5">'[2]MA  Standardised units'!$J$10</definedName>
    <definedName name="_cid6" localSheetId="4">'[1]MA  Standardised units'!$J$11</definedName>
    <definedName name="_cid6" localSheetId="3">'[1]MA  Standardised units'!$J$11</definedName>
    <definedName name="_cid6" localSheetId="0">'[2]MA  Standardised units'!$J$11</definedName>
    <definedName name="_cid6" localSheetId="1">'[1]MA  Standardised units'!$J$11</definedName>
    <definedName name="_cid6" localSheetId="5">'[1]MA  Standardised units'!$J$11</definedName>
    <definedName name="_cid6" localSheetId="2">'[1]MA  Standardised units'!$J$11</definedName>
    <definedName name="_cid6">'[2]MA  Standardised units'!$J$11</definedName>
    <definedName name="_cid7" localSheetId="4">'[1]MA  Standardised units'!$J$12</definedName>
    <definedName name="_cid7" localSheetId="3">'[1]MA  Standardised units'!$J$12</definedName>
    <definedName name="_cid7" localSheetId="0">'[2]MA  Standardised units'!$J$12</definedName>
    <definedName name="_cid7" localSheetId="1">'[1]MA  Standardised units'!$J$12</definedName>
    <definedName name="_cid7" localSheetId="5">'[1]MA  Standardised units'!$J$12</definedName>
    <definedName name="_cid7" localSheetId="2">'[1]MA  Standardised units'!$J$12</definedName>
    <definedName name="_cid7">'[2]MA  Standardised units'!$J$12</definedName>
    <definedName name="_cid8" localSheetId="4">'[1]MA  Standardised units'!$J$13</definedName>
    <definedName name="_cid8" localSheetId="3">'[1]MA  Standardised units'!$J$13</definedName>
    <definedName name="_cid8" localSheetId="0">'[2]MA  Standardised units'!$J$13</definedName>
    <definedName name="_cid8" localSheetId="1">'[1]MA  Standardised units'!$J$13</definedName>
    <definedName name="_cid8" localSheetId="5">'[1]MA  Standardised units'!$J$13</definedName>
    <definedName name="_cid8" localSheetId="2">'[1]MA  Standardised units'!$J$13</definedName>
    <definedName name="_cid8">'[2]MA  Standardised units'!$J$13</definedName>
    <definedName name="_cid9" localSheetId="4">'[1]MA  Standardised units'!$J$14</definedName>
    <definedName name="_cid9" localSheetId="3">'[1]MA  Standardised units'!$J$14</definedName>
    <definedName name="_cid9" localSheetId="0">'[2]MA  Standardised units'!$J$14</definedName>
    <definedName name="_cid9" localSheetId="1">'[1]MA  Standardised units'!$J$14</definedName>
    <definedName name="_cid9" localSheetId="5">'[1]MA  Standardised units'!$J$14</definedName>
    <definedName name="_cid9" localSheetId="2">'[1]MA  Standardised units'!$J$14</definedName>
    <definedName name="_cid9">'[2]MA  Standardised units'!$J$14</definedName>
    <definedName name="_frr1">'[3]Overlap two correlations (n1)'!$O$5</definedName>
    <definedName name="_frr10">'[3]Overlap two correlations (n1)'!$O$14</definedName>
    <definedName name="_frr11">'[3]Overlap two correlations (n1)'!$O$15</definedName>
    <definedName name="_frr12">'[3]Overlap two correlations (n1)'!$O$16</definedName>
    <definedName name="_frr13">'[3]Overlap two correlations (n1)'!$O$17</definedName>
    <definedName name="_frr14">'[3]Overlap two correlations (n1)'!$O$18</definedName>
    <definedName name="_frr15">'[3]Overlap two correlations (n1)'!$O$19</definedName>
    <definedName name="_frr16">'[3]Overlap two correlations (n1)'!$O$20</definedName>
    <definedName name="_frr17">'[3]Overlap two correlations (n1)'!$O$21</definedName>
    <definedName name="_frr18">'[3]Overlap two correlations (n1)'!$O$22</definedName>
    <definedName name="_frr19">'[3]Overlap two correlations (n1)'!$O$23</definedName>
    <definedName name="_frr2">'[3]Overlap two correlations (n1)'!$O$6</definedName>
    <definedName name="_frr20">'[3]Overlap two correlations (n1)'!$O$24</definedName>
    <definedName name="_frr21">'[3]Overlap two correlations (n1)'!$O$25</definedName>
    <definedName name="_frr22">'[3]Overlap two correlations (n1)'!$O$26</definedName>
    <definedName name="_frr23">'[3]Overlap two correlations (n1)'!$O$27</definedName>
    <definedName name="_frr24">'[3]Overlap two correlations (n1)'!$O$28</definedName>
    <definedName name="_frr25">'[3]Overlap two correlations (n1)'!$O$29</definedName>
    <definedName name="_frr26">'[3]Overlap two correlations (n1)'!$O$30</definedName>
    <definedName name="_frr27">'[3]Overlap two correlations (n1)'!$O$31</definedName>
    <definedName name="_frr28">'[3]Overlap two correlations (n1)'!$O$32</definedName>
    <definedName name="_frr29">'[3]Overlap two correlations (n1)'!$O$33</definedName>
    <definedName name="_frr3">'[3]Overlap two correlations (n1)'!$O$7</definedName>
    <definedName name="_frr30">'[3]Overlap two correlations (n1)'!$O$34</definedName>
    <definedName name="_frr31">'[3]Overlap two correlations (n1)'!$O$35</definedName>
    <definedName name="_frr32">'[3]Overlap two correlations (n1)'!$O$36</definedName>
    <definedName name="_frr33">'[3]Overlap two correlations (n1)'!$O$37</definedName>
    <definedName name="_frr34">'[3]Overlap two correlations (n1)'!$O$38</definedName>
    <definedName name="_frr35">'[3]Overlap two correlations (n1)'!$O$39</definedName>
    <definedName name="_frr36">'[3]Overlap two correlations (n1)'!$O$40</definedName>
    <definedName name="_frr37">'[3]Overlap two correlations (n1)'!$O$41</definedName>
    <definedName name="_frr38">'[3]Overlap two correlations (n1)'!$O$42</definedName>
    <definedName name="_frr39">'[3]Overlap two correlations (n1)'!$O$43</definedName>
    <definedName name="_frr4">'[3]Overlap two correlations (n1)'!$O$8</definedName>
    <definedName name="_frr40">'[3]Overlap two correlations (n1)'!$O$44</definedName>
    <definedName name="_frr41">'[3]Overlap two correlations (n1)'!$O$45</definedName>
    <definedName name="_frr42">'[3]Overlap two correlations (n1)'!$O$46</definedName>
    <definedName name="_frr43">'[3]Overlap two correlations (n1)'!$O$47</definedName>
    <definedName name="_frr44">'[3]Overlap two correlations (n1)'!$O$48</definedName>
    <definedName name="_frr45">'[3]Overlap two correlations (n1)'!$O$49</definedName>
    <definedName name="_frr46">'[3]Overlap two correlations (n1)'!$O$50</definedName>
    <definedName name="_frr47">'[3]Overlap two correlations (n1)'!$O$51</definedName>
    <definedName name="_frr48">'[3]Overlap two correlations (n1)'!$O$52</definedName>
    <definedName name="_frr49">'[3]Overlap two correlations (n1)'!$O$53</definedName>
    <definedName name="_frr5">'[3]Overlap two correlations (n1)'!$O$9</definedName>
    <definedName name="_frr50">'[3]Overlap two correlations (n1)'!$O$54</definedName>
    <definedName name="_frr51">'[3]Overlap two correlations (n1)'!$O$55</definedName>
    <definedName name="_frr52">'[3]Overlap two correlations (n1)'!$O$56</definedName>
    <definedName name="_frr53">'[3]Overlap two correlations (n1)'!$O$57</definedName>
    <definedName name="_frr54">'[3]Overlap two correlations (n1)'!$O$58</definedName>
    <definedName name="_frr55">'[3]Overlap two correlations (n1)'!$O$59</definedName>
    <definedName name="_frr56">'[3]Overlap two correlations (n1)'!$O$60</definedName>
    <definedName name="_frr57">'[3]Overlap two correlations (n1)'!$O$61</definedName>
    <definedName name="_frr58">'[3]Overlap two correlations (n1)'!$O$62</definedName>
    <definedName name="_frr59">'[3]Overlap two correlations (n1)'!$O$63</definedName>
    <definedName name="_frr6">'[3]Overlap two correlations (n1)'!$O$10</definedName>
    <definedName name="_frr60">'[3]Overlap two correlations (n1)'!$O$64</definedName>
    <definedName name="_frr7">'[3]Overlap two correlations (n1)'!$O$11</definedName>
    <definedName name="_frr8">'[3]Overlap two correlations (n1)'!$O$12</definedName>
    <definedName name="_frr9">'[3]Overlap two correlations (n1)'!$O$13</definedName>
    <definedName name="_tbz1">'[3]Overlap two proportions'!$AI$8</definedName>
    <definedName name="_tbz10">'[3]Overlap two proportions'!$AI$17</definedName>
    <definedName name="_tbz11">'[3]Overlap two proportions'!$AI$18</definedName>
    <definedName name="_tbz12">'[3]Overlap two proportions'!$AI$19</definedName>
    <definedName name="_tbz13">'[3]Overlap two proportions'!$AI$20</definedName>
    <definedName name="_tbz14">'[3]Overlap two proportions'!$AI$21</definedName>
    <definedName name="_tbz15">'[3]Overlap two proportions'!$AI$22</definedName>
    <definedName name="_tbz16">'[3]Overlap two proportions'!$AI$23</definedName>
    <definedName name="_tbz17">'[3]Overlap two proportions'!$AI$24</definedName>
    <definedName name="_tbz18">'[3]Overlap two proportions'!$AI$25</definedName>
    <definedName name="_tbz19">'[3]Overlap two proportions'!$AI$26</definedName>
    <definedName name="_tbz2">'[3]Overlap two proportions'!$AI$9</definedName>
    <definedName name="_tbz20">'[3]Overlap two proportions'!$AI$27</definedName>
    <definedName name="_tbz21">'[3]Overlap two proportions'!$AI$28</definedName>
    <definedName name="_tbz22">'[3]Overlap two proportions'!$AI$29</definedName>
    <definedName name="_tbz23">'[3]Overlap two proportions'!$AI$30</definedName>
    <definedName name="_tbz24">'[3]Overlap two proportions'!$AI$31</definedName>
    <definedName name="_tbz25">'[3]Overlap two proportions'!$AI$32</definedName>
    <definedName name="_tbz26">'[3]Overlap two proportions'!$AI$33</definedName>
    <definedName name="_tbz27">'[3]Overlap two proportions'!$AI$34</definedName>
    <definedName name="_tbz28">'[3]Overlap two proportions'!$AI$35</definedName>
    <definedName name="_tbz29">'[3]Overlap two proportions'!$AI$36</definedName>
    <definedName name="_tbz3">'[3]Overlap two proportions'!$AI$10</definedName>
    <definedName name="_tbz30">'[3]Overlap two proportions'!$AI$37</definedName>
    <definedName name="_tbz31">'[3]Overlap two proportions'!$AI$38</definedName>
    <definedName name="_tbz32">'[3]Overlap two proportions'!$AI$39</definedName>
    <definedName name="_tbz33">'[3]Overlap two proportions'!$AI$40</definedName>
    <definedName name="_tbz34">'[3]Overlap two proportions'!$AI$41</definedName>
    <definedName name="_tbz35">'[3]Overlap two proportions'!$AI$42</definedName>
    <definedName name="_tbz36">'[3]Overlap two proportions'!$AI$43</definedName>
    <definedName name="_tbz37">'[3]Overlap two proportions'!$AI$44</definedName>
    <definedName name="_tbz38">'[3]Overlap two proportions'!$AI$45</definedName>
    <definedName name="_tbz39">'[3]Overlap two proportions'!$AI$46</definedName>
    <definedName name="_tbz4">'[3]Overlap two proportions'!$AI$11</definedName>
    <definedName name="_tbz40">'[3]Overlap two proportions'!$AI$47</definedName>
    <definedName name="_tbz41">'[3]Overlap two proportions'!$AI$48</definedName>
    <definedName name="_tbz42">'[3]Overlap two proportions'!$AI$49</definedName>
    <definedName name="_tbz43">'[3]Overlap two proportions'!$AI$50</definedName>
    <definedName name="_tbz44">'[3]Overlap two proportions'!$AI$51</definedName>
    <definedName name="_tbz45">'[3]Overlap two proportions'!$AI$52</definedName>
    <definedName name="_tbz46">'[3]Overlap two proportions'!$AI$53</definedName>
    <definedName name="_tbz47">'[3]Overlap two proportions'!$AI$54</definedName>
    <definedName name="_tbz48">'[3]Overlap two proportions'!$AI$55</definedName>
    <definedName name="_tbz49">'[3]Overlap two proportions'!$AI$56</definedName>
    <definedName name="_tbz5">'[3]Overlap two proportions'!$AI$12</definedName>
    <definedName name="_tbz50">'[3]Overlap two proportions'!$AI$57</definedName>
    <definedName name="_tbz51">'[3]Overlap two proportions'!$AI$58</definedName>
    <definedName name="_tbz52">'[3]Overlap two proportions'!$AI$59</definedName>
    <definedName name="_tbz53">'[3]Overlap two proportions'!$AI$60</definedName>
    <definedName name="_tbz54">'[3]Overlap two proportions'!$AI$61</definedName>
    <definedName name="_tbz55">'[3]Overlap two proportions'!$AI$62</definedName>
    <definedName name="_tbz56">'[3]Overlap two proportions'!$AI$63</definedName>
    <definedName name="_tbz57">'[3]Overlap two proportions'!$AI$64</definedName>
    <definedName name="_tbz58">'[3]Overlap two proportions'!$AI$65</definedName>
    <definedName name="_tbz59">'[3]Overlap two proportions'!$AI$66</definedName>
    <definedName name="_tbz6">'[3]Overlap two proportions'!$AI$13</definedName>
    <definedName name="_tbz60">'[3]Overlap two proportions'!$AI$67</definedName>
    <definedName name="_tbz7">'[3]Overlap two proportions'!$AI$14</definedName>
    <definedName name="_tbz8">'[3]Overlap two proportions'!$AI$15</definedName>
    <definedName name="_tbz9">'[3]Overlap two proportions'!$AI$16</definedName>
    <definedName name="alph">'[4]Precision one'!$AP$140</definedName>
    <definedName name="ancount" localSheetId="0">#REF!</definedName>
    <definedName name="ancount">#REF!</definedName>
    <definedName name="approxll">'[4]CI for d'!$AS$8</definedName>
    <definedName name="approxlu" localSheetId="4">'d subsets'!$C$8:$D$37</definedName>
    <definedName name="approxlu" localSheetId="3">'d two groups'!$C$7:$D$36</definedName>
    <definedName name="approxlu">#REF!</definedName>
    <definedName name="approxul">'[4]CI for d'!$AS$9</definedName>
    <definedName name="approxz">'[5]One proportion'!$B$11</definedName>
    <definedName name="approxzz">'[6]Two proportions'!$C$12</definedName>
    <definedName name="barsind" localSheetId="0">#REF!</definedName>
    <definedName name="barsind">#REF!</definedName>
    <definedName name="calc20switch">'[7]Fig 1'!$M$12</definedName>
    <definedName name="calcddp">'[5]Data paired'!$C$11</definedName>
    <definedName name="calcdst">#REF!</definedName>
    <definedName name="calcswitch" localSheetId="0">#REF!</definedName>
    <definedName name="calcswitch">#REF!</definedName>
    <definedName name="calcswitch2prop">'[3]Two proportions'!$O$4</definedName>
    <definedName name="calcswitchone" localSheetId="0">#REF!</definedName>
    <definedName name="calcswitchone">#REF!</definedName>
    <definedName name="calcswitchpair" localSheetId="0">#REF!</definedName>
    <definedName name="calcswitchpair">#REF!</definedName>
    <definedName name="calcswitchtwo" localSheetId="0">#REF!</definedName>
    <definedName name="calcswitchtwo">#REF!</definedName>
    <definedName name="calct1" localSheetId="4">'[1]MA  Standardised units'!$X$6</definedName>
    <definedName name="calct1" localSheetId="3">'[1]MA  Standardised units'!$X$6</definedName>
    <definedName name="calct1" localSheetId="0">'[2]MA  Standardised units'!$X$6</definedName>
    <definedName name="calct1" localSheetId="1">'[1]MA  Standardised units'!$X$6</definedName>
    <definedName name="calct1" localSheetId="5">'[1]MA  Standardised units'!$X$6</definedName>
    <definedName name="calct1" localSheetId="2">'[1]MA  Standardised units'!$X$6</definedName>
    <definedName name="calct1">'[2]MA  Standardised units'!$X$6</definedName>
    <definedName name="calct10" localSheetId="4">'[1]MA  Standardised units'!$X$15</definedName>
    <definedName name="calct10" localSheetId="3">'[1]MA  Standardised units'!$X$15</definedName>
    <definedName name="calct10" localSheetId="0">'[2]MA  Standardised units'!$X$15</definedName>
    <definedName name="calct10" localSheetId="1">'[1]MA  Standardised units'!$X$15</definedName>
    <definedName name="calct10" localSheetId="5">'[1]MA  Standardised units'!$X$15</definedName>
    <definedName name="calct10" localSheetId="2">'[1]MA  Standardised units'!$X$15</definedName>
    <definedName name="calct10">'[2]MA  Standardised units'!$X$15</definedName>
    <definedName name="calct11" localSheetId="4">'[1]MA  Standardised units'!$X$18</definedName>
    <definedName name="calct11" localSheetId="3">'[1]MA  Standardised units'!$X$18</definedName>
    <definedName name="calct11" localSheetId="0">'[2]MA  Standardised units'!$X$18</definedName>
    <definedName name="calct11" localSheetId="1">'[1]MA  Standardised units'!$X$18</definedName>
    <definedName name="calct11" localSheetId="5">'[1]MA  Standardised units'!$X$18</definedName>
    <definedName name="calct11" localSheetId="2">'[1]MA  Standardised units'!$X$18</definedName>
    <definedName name="calct11">'[2]MA  Standardised units'!$X$18</definedName>
    <definedName name="calct12" localSheetId="4">'[1]MA  Standardised units'!$X$21</definedName>
    <definedName name="calct12" localSheetId="3">'[1]MA  Standardised units'!$X$21</definedName>
    <definedName name="calct12" localSheetId="0">'[2]MA  Standardised units'!$X$21</definedName>
    <definedName name="calct12" localSheetId="1">'[1]MA  Standardised units'!$X$21</definedName>
    <definedName name="calct12" localSheetId="5">'[1]MA  Standardised units'!$X$21</definedName>
    <definedName name="calct12" localSheetId="2">'[1]MA  Standardised units'!$X$21</definedName>
    <definedName name="calct12">'[2]MA  Standardised units'!$X$21</definedName>
    <definedName name="calct13" localSheetId="4">'[1]MA  Standardised units'!$X$24</definedName>
    <definedName name="calct13" localSheetId="3">'[1]MA  Standardised units'!$X$24</definedName>
    <definedName name="calct13" localSheetId="0">'[2]MA  Standardised units'!$X$24</definedName>
    <definedName name="calct13" localSheetId="1">'[1]MA  Standardised units'!$X$24</definedName>
    <definedName name="calct13" localSheetId="5">'[1]MA  Standardised units'!$X$24</definedName>
    <definedName name="calct13" localSheetId="2">'[1]MA  Standardised units'!$X$24</definedName>
    <definedName name="calct13">'[2]MA  Standardised units'!$X$24</definedName>
    <definedName name="calct2" localSheetId="4">'[1]MA  Standardised units'!$X$7</definedName>
    <definedName name="calct2" localSheetId="3">'[1]MA  Standardised units'!$X$7</definedName>
    <definedName name="calct2" localSheetId="0">'[2]MA  Standardised units'!$X$7</definedName>
    <definedName name="calct2" localSheetId="1">'[1]MA  Standardised units'!$X$7</definedName>
    <definedName name="calct2" localSheetId="5">'[1]MA  Standardised units'!$X$7</definedName>
    <definedName name="calct2" localSheetId="2">'[1]MA  Standardised units'!$X$7</definedName>
    <definedName name="calct2">'[2]MA  Standardised units'!$X$7</definedName>
    <definedName name="calct3" localSheetId="4">'[1]MA  Standardised units'!$X$8</definedName>
    <definedName name="calct3" localSheetId="3">'[1]MA  Standardised units'!$X$8</definedName>
    <definedName name="calct3" localSheetId="0">'[2]MA  Standardised units'!$X$8</definedName>
    <definedName name="calct3" localSheetId="1">'[1]MA  Standardised units'!$X$8</definedName>
    <definedName name="calct3" localSheetId="5">'[1]MA  Standardised units'!$X$8</definedName>
    <definedName name="calct3" localSheetId="2">'[1]MA  Standardised units'!$X$8</definedName>
    <definedName name="calct3">'[2]MA  Standardised units'!$X$8</definedName>
    <definedName name="calct4" localSheetId="4">'[1]MA  Standardised units'!$X$9</definedName>
    <definedName name="calct4" localSheetId="3">'[1]MA  Standardised units'!$X$9</definedName>
    <definedName name="calct4" localSheetId="0">'[2]MA  Standardised units'!$X$9</definedName>
    <definedName name="calct4" localSheetId="1">'[1]MA  Standardised units'!$X$9</definedName>
    <definedName name="calct4" localSheetId="5">'[1]MA  Standardised units'!$X$9</definedName>
    <definedName name="calct4" localSheetId="2">'[1]MA  Standardised units'!$X$9</definedName>
    <definedName name="calct4">'[2]MA  Standardised units'!$X$9</definedName>
    <definedName name="calct5" localSheetId="4">'[1]MA  Standardised units'!$X$10</definedName>
    <definedName name="calct5" localSheetId="3">'[1]MA  Standardised units'!$X$10</definedName>
    <definedName name="calct5" localSheetId="0">'[2]MA  Standardised units'!$X$10</definedName>
    <definedName name="calct5" localSheetId="1">'[1]MA  Standardised units'!$X$10</definedName>
    <definedName name="calct5" localSheetId="5">'[1]MA  Standardised units'!$X$10</definedName>
    <definedName name="calct5" localSheetId="2">'[1]MA  Standardised units'!$X$10</definedName>
    <definedName name="calct5">'[2]MA  Standardised units'!$X$10</definedName>
    <definedName name="calct6" localSheetId="4">'[1]MA  Standardised units'!$X$11</definedName>
    <definedName name="calct6" localSheetId="3">'[1]MA  Standardised units'!$X$11</definedName>
    <definedName name="calct6" localSheetId="0">'[2]MA  Standardised units'!$X$11</definedName>
    <definedName name="calct6" localSheetId="1">'[1]MA  Standardised units'!$X$11</definedName>
    <definedName name="calct6" localSheetId="5">'[1]MA  Standardised units'!$X$11</definedName>
    <definedName name="calct6" localSheetId="2">'[1]MA  Standardised units'!$X$11</definedName>
    <definedName name="calct6">'[2]MA  Standardised units'!$X$11</definedName>
    <definedName name="calct7" localSheetId="4">'[1]MA  Standardised units'!$X$12</definedName>
    <definedName name="calct7" localSheetId="3">'[1]MA  Standardised units'!$X$12</definedName>
    <definedName name="calct7" localSheetId="0">'[2]MA  Standardised units'!$X$12</definedName>
    <definedName name="calct7" localSheetId="1">'[1]MA  Standardised units'!$X$12</definedName>
    <definedName name="calct7" localSheetId="5">'[1]MA  Standardised units'!$X$12</definedName>
    <definedName name="calct7" localSheetId="2">'[1]MA  Standardised units'!$X$12</definedName>
    <definedName name="calct7">'[2]MA  Standardised units'!$X$12</definedName>
    <definedName name="calct8" localSheetId="4">'[1]MA  Standardised units'!$X$13</definedName>
    <definedName name="calct8" localSheetId="3">'[1]MA  Standardised units'!$X$13</definedName>
    <definedName name="calct8" localSheetId="0">'[2]MA  Standardised units'!$X$13</definedName>
    <definedName name="calct8" localSheetId="1">'[1]MA  Standardised units'!$X$13</definedName>
    <definedName name="calct8" localSheetId="5">'[1]MA  Standardised units'!$X$13</definedName>
    <definedName name="calct8" localSheetId="2">'[1]MA  Standardised units'!$X$13</definedName>
    <definedName name="calct8">'[2]MA  Standardised units'!$X$13</definedName>
    <definedName name="calct9" localSheetId="4">'[1]MA  Standardised units'!$X$14</definedName>
    <definedName name="calct9" localSheetId="3">'[1]MA  Standardised units'!$X$14</definedName>
    <definedName name="calct9" localSheetId="0">'[2]MA  Standardised units'!$X$14</definedName>
    <definedName name="calct9" localSheetId="1">'[1]MA  Standardised units'!$X$14</definedName>
    <definedName name="calct9" localSheetId="5">'[1]MA  Standardised units'!$X$14</definedName>
    <definedName name="calct9" localSheetId="2">'[1]MA  Standardised units'!$X$14</definedName>
    <definedName name="calct9">'[2]MA  Standardised units'!$X$14</definedName>
    <definedName name="calib1">[8]Describe!$X$34</definedName>
    <definedName name="calib2">[8]Describe!$X$35</definedName>
    <definedName name="caporigget">'[9]Capture probabilities'!$R$21:$S$520</definedName>
    <definedName name="caporigput">'[9]Capture probabilities'!$R$22:$S$521</definedName>
    <definedName name="cdata1000">'[10]Sample r'!$I$15:$K$1014</definedName>
    <definedName name="cdatanew">'[10]Sample r'!$I$16:$K$16</definedName>
    <definedName name="cdatath">'[11]Sample r'!$A$11:$C$1010</definedName>
    <definedName name="CElabel" localSheetId="0">#REF!</definedName>
    <definedName name="CElabel">#REF!</definedName>
    <definedName name="CforC">'[12]Vary C'!$C$20</definedName>
    <definedName name="Cforcalculator" localSheetId="0">#REF!</definedName>
    <definedName name="Cforcalculator">#REF!</definedName>
    <definedName name="Cformula" localSheetId="0">#REF!</definedName>
    <definedName name="Cformula">#REF!</definedName>
    <definedName name="ChooseMod">'[3]Two proportions'!$R$14</definedName>
    <definedName name="CI1L" localSheetId="0">'[13]p value function'!$M$4</definedName>
    <definedName name="CI1L">'[7]p value function'!$M$4</definedName>
    <definedName name="CI1R" localSheetId="0">'[13]p value function'!$M$5</definedName>
    <definedName name="CI1R">'[7]p value function'!$M$5</definedName>
    <definedName name="CI2s" localSheetId="0">'[13]p value function'!$M$3</definedName>
    <definedName name="CI2s">'[7]p value function'!$M$3</definedName>
    <definedName name="cid" localSheetId="4">'[1]MA  Standardised units'!$Z$4:$AA$4</definedName>
    <definedName name="cid" localSheetId="3">'[1]MA  Standardised units'!$Z$4:$AA$4</definedName>
    <definedName name="cid" localSheetId="0">'[2]MA  Standardised units'!$Z$4:$AA$4</definedName>
    <definedName name="cid" localSheetId="1">'[1]MA  Standardised units'!$Z$4:$AA$4</definedName>
    <definedName name="cid" localSheetId="5">'[1]MA  Standardised units'!$Z$4:$AA$4</definedName>
    <definedName name="cid" localSheetId="2">'[1]MA  Standardised units'!$Z$4:$AA$4</definedName>
    <definedName name="cid">'[2]MA  Standardised units'!$Z$4:$AA$4</definedName>
    <definedName name="cidpl">'[5]Data paired'!$B$17</definedName>
    <definedName name="cidptbzl">'[5]Data paired'!$B$15</definedName>
    <definedName name="cidptbzu">'[5]Data paired'!$C$15</definedName>
    <definedName name="cidpu">'[5]Data paired'!$C$17</definedName>
    <definedName name="cidtl">'[8]Data two'!$B$16</definedName>
    <definedName name="cidtu">'[8]Data two'!$C$16</definedName>
    <definedName name="cijgrab" localSheetId="0">#REF!</definedName>
    <definedName name="cijgrab">#REF!</definedName>
    <definedName name="cijput" localSheetId="0">#REF!</definedName>
    <definedName name="cijput">#REF!</definedName>
    <definedName name="cilh1" localSheetId="4">'[1]MA  Standardised units'!$Z$6</definedName>
    <definedName name="cilh1" localSheetId="3">'[1]MA  Standardised units'!$Z$6</definedName>
    <definedName name="cilh1" localSheetId="0">'[2]MA  Standardised units'!$Z$6</definedName>
    <definedName name="cilh1" localSheetId="1">'[1]MA  Standardised units'!$Z$6</definedName>
    <definedName name="cilh1" localSheetId="5">'[1]MA  Standardised units'!$Z$6</definedName>
    <definedName name="cilh1" localSheetId="2">'[1]MA  Standardised units'!$Z$6</definedName>
    <definedName name="cilh1">'[2]MA  Standardised units'!$Z$6</definedName>
    <definedName name="cilh10" localSheetId="4">'[1]MA  Standardised units'!$Z$15</definedName>
    <definedName name="cilh10" localSheetId="3">'[1]MA  Standardised units'!$Z$15</definedName>
    <definedName name="cilh10" localSheetId="0">'[2]MA  Standardised units'!$Z$15</definedName>
    <definedName name="cilh10" localSheetId="1">'[1]MA  Standardised units'!$Z$15</definedName>
    <definedName name="cilh10" localSheetId="5">'[1]MA  Standardised units'!$Z$15</definedName>
    <definedName name="cilh10" localSheetId="2">'[1]MA  Standardised units'!$Z$15</definedName>
    <definedName name="cilh10">'[2]MA  Standardised units'!$Z$15</definedName>
    <definedName name="cilh11" localSheetId="4">'[1]MA  Standardised units'!$Z$18</definedName>
    <definedName name="cilh11" localSheetId="3">'[1]MA  Standardised units'!$Z$18</definedName>
    <definedName name="cilh11" localSheetId="0">'[2]MA  Standardised units'!$Z$18</definedName>
    <definedName name="cilh11" localSheetId="1">'[1]MA  Standardised units'!$Z$18</definedName>
    <definedName name="cilh11" localSheetId="5">'[1]MA  Standardised units'!$Z$18</definedName>
    <definedName name="cilh11" localSheetId="2">'[1]MA  Standardised units'!$Z$18</definedName>
    <definedName name="cilh11">'[2]MA  Standardised units'!$Z$18</definedName>
    <definedName name="cilh12" localSheetId="4">'[1]MA  Standardised units'!$Z$21</definedName>
    <definedName name="cilh12" localSheetId="3">'[1]MA  Standardised units'!$Z$21</definedName>
    <definedName name="cilh12" localSheetId="0">'[2]MA  Standardised units'!$Z$21</definedName>
    <definedName name="cilh12" localSheetId="1">'[1]MA  Standardised units'!$Z$21</definedName>
    <definedName name="cilh12" localSheetId="5">'[1]MA  Standardised units'!$Z$21</definedName>
    <definedName name="cilh12" localSheetId="2">'[1]MA  Standardised units'!$Z$21</definedName>
    <definedName name="cilh12">'[2]MA  Standardised units'!$Z$21</definedName>
    <definedName name="cilh13" localSheetId="4">'[1]MA  Standardised units'!$Z$24</definedName>
    <definedName name="cilh13" localSheetId="3">'[1]MA  Standardised units'!$Z$24</definedName>
    <definedName name="cilh13" localSheetId="0">'[2]MA  Standardised units'!$Z$24</definedName>
    <definedName name="cilh13" localSheetId="1">'[1]MA  Standardised units'!$Z$24</definedName>
    <definedName name="cilh13" localSheetId="5">'[1]MA  Standardised units'!$Z$24</definedName>
    <definedName name="cilh13" localSheetId="2">'[1]MA  Standardised units'!$Z$24</definedName>
    <definedName name="cilh13">'[2]MA  Standardised units'!$Z$24</definedName>
    <definedName name="cilh2" localSheetId="4">'[1]MA  Standardised units'!$Z$7</definedName>
    <definedName name="cilh2" localSheetId="3">'[1]MA  Standardised units'!$Z$7</definedName>
    <definedName name="cilh2" localSheetId="0">'[2]MA  Standardised units'!$Z$7</definedName>
    <definedName name="cilh2" localSheetId="1">'[1]MA  Standardised units'!$Z$7</definedName>
    <definedName name="cilh2" localSheetId="5">'[1]MA  Standardised units'!$Z$7</definedName>
    <definedName name="cilh2" localSheetId="2">'[1]MA  Standardised units'!$Z$7</definedName>
    <definedName name="cilh2">'[2]MA  Standardised units'!$Z$7</definedName>
    <definedName name="cilh3" localSheetId="4">'[1]MA  Standardised units'!$Z$8</definedName>
    <definedName name="cilh3" localSheetId="3">'[1]MA  Standardised units'!$Z$8</definedName>
    <definedName name="cilh3" localSheetId="0">'[2]MA  Standardised units'!$Z$8</definedName>
    <definedName name="cilh3" localSheetId="1">'[1]MA  Standardised units'!$Z$8</definedName>
    <definedName name="cilh3" localSheetId="5">'[1]MA  Standardised units'!$Z$8</definedName>
    <definedName name="cilh3" localSheetId="2">'[1]MA  Standardised units'!$Z$8</definedName>
    <definedName name="cilh3">'[2]MA  Standardised units'!$Z$8</definedName>
    <definedName name="cilh4" localSheetId="4">'[1]MA  Standardised units'!$Z$9</definedName>
    <definedName name="cilh4" localSheetId="3">'[1]MA  Standardised units'!$Z$9</definedName>
    <definedName name="cilh4" localSheetId="0">'[2]MA  Standardised units'!$Z$9</definedName>
    <definedName name="cilh4" localSheetId="1">'[1]MA  Standardised units'!$Z$9</definedName>
    <definedName name="cilh4" localSheetId="5">'[1]MA  Standardised units'!$Z$9</definedName>
    <definedName name="cilh4" localSheetId="2">'[1]MA  Standardised units'!$Z$9</definedName>
    <definedName name="cilh4">'[2]MA  Standardised units'!$Z$9</definedName>
    <definedName name="cilh5" localSheetId="4">'[1]MA  Standardised units'!$Z$10</definedName>
    <definedName name="cilh5" localSheetId="3">'[1]MA  Standardised units'!$Z$10</definedName>
    <definedName name="cilh5" localSheetId="0">'[2]MA  Standardised units'!$Z$10</definedName>
    <definedName name="cilh5" localSheetId="1">'[1]MA  Standardised units'!$Z$10</definedName>
    <definedName name="cilh5" localSheetId="5">'[1]MA  Standardised units'!$Z$10</definedName>
    <definedName name="cilh5" localSheetId="2">'[1]MA  Standardised units'!$Z$10</definedName>
    <definedName name="cilh5">'[2]MA  Standardised units'!$Z$10</definedName>
    <definedName name="cilh6" localSheetId="4">'[1]MA  Standardised units'!$Z$11</definedName>
    <definedName name="cilh6" localSheetId="3">'[1]MA  Standardised units'!$Z$11</definedName>
    <definedName name="cilh6" localSheetId="0">'[2]MA  Standardised units'!$Z$11</definedName>
    <definedName name="cilh6" localSheetId="1">'[1]MA  Standardised units'!$Z$11</definedName>
    <definedName name="cilh6" localSheetId="5">'[1]MA  Standardised units'!$Z$11</definedName>
    <definedName name="cilh6" localSheetId="2">'[1]MA  Standardised units'!$Z$11</definedName>
    <definedName name="cilh6">'[2]MA  Standardised units'!$Z$11</definedName>
    <definedName name="cilh7" localSheetId="4">'[1]MA  Standardised units'!$Z$12</definedName>
    <definedName name="cilh7" localSheetId="3">'[1]MA  Standardised units'!$Z$12</definedName>
    <definedName name="cilh7" localSheetId="0">'[2]MA  Standardised units'!$Z$12</definedName>
    <definedName name="cilh7" localSheetId="1">'[1]MA  Standardised units'!$Z$12</definedName>
    <definedName name="cilh7" localSheetId="5">'[1]MA  Standardised units'!$Z$12</definedName>
    <definedName name="cilh7" localSheetId="2">'[1]MA  Standardised units'!$Z$12</definedName>
    <definedName name="cilh7">'[2]MA  Standardised units'!$Z$12</definedName>
    <definedName name="cilh8" localSheetId="4">'[1]MA  Standardised units'!$Z$13</definedName>
    <definedName name="cilh8" localSheetId="3">'[1]MA  Standardised units'!$Z$13</definedName>
    <definedName name="cilh8" localSheetId="0">'[2]MA  Standardised units'!$Z$13</definedName>
    <definedName name="cilh8" localSheetId="1">'[1]MA  Standardised units'!$Z$13</definedName>
    <definedName name="cilh8" localSheetId="5">'[1]MA  Standardised units'!$Z$13</definedName>
    <definedName name="cilh8" localSheetId="2">'[1]MA  Standardised units'!$Z$13</definedName>
    <definedName name="cilh8">'[2]MA  Standardised units'!$Z$13</definedName>
    <definedName name="cilh9" localSheetId="4">'[1]MA  Standardised units'!$Z$14</definedName>
    <definedName name="cilh9" localSheetId="3">'[1]MA  Standardised units'!$Z$14</definedName>
    <definedName name="cilh9" localSheetId="0">'[2]MA  Standardised units'!$Z$14</definedName>
    <definedName name="cilh9" localSheetId="1">'[1]MA  Standardised units'!$Z$14</definedName>
    <definedName name="cilh9" localSheetId="5">'[1]MA  Standardised units'!$Z$14</definedName>
    <definedName name="cilh9" localSheetId="2">'[1]MA  Standardised units'!$Z$14</definedName>
    <definedName name="cilh9">'[2]MA  Standardised units'!$Z$14</definedName>
    <definedName name="CIoL">'[14]CI and p'!$O$3</definedName>
    <definedName name="CIoR">'[14]CI and p'!$O$5</definedName>
    <definedName name="cispl">#REF!</definedName>
    <definedName name="cisptbzl">#REF!</definedName>
    <definedName name="cisptbzu">#REF!</definedName>
    <definedName name="cispu">#REF!</definedName>
    <definedName name="cistl">#REF!</definedName>
    <definedName name="cisttbzl">#REF!</definedName>
    <definedName name="cisttbzu">#REF!</definedName>
    <definedName name="cistu">#REF!</definedName>
    <definedName name="CIts">'[14]CI function'!$AK$3</definedName>
    <definedName name="cldata1000">'[10]Sample r'!$I$16:$K$1015</definedName>
    <definedName name="cldatath">'[11]Sample r'!$A$12:$C$1011</definedName>
    <definedName name="clear20">'[7]Fig 1'!$M$11</definedName>
    <definedName name="cleardisp" localSheetId="0">#REF!</definedName>
    <definedName name="cleardisp">#REF!</definedName>
    <definedName name="cleardisp1" localSheetId="0">#REF!</definedName>
    <definedName name="cleardisp1">#REF!</definedName>
    <definedName name="cleardispo">'[4]d heap'!$BD$4</definedName>
    <definedName name="cleardisps">[4]Sampling!$BD$4</definedName>
    <definedName name="conf" localSheetId="4">'[1]MA  Standardised units'!$K$2</definedName>
    <definedName name="conf" localSheetId="3">'[1]MA  Standardised units'!$K$2</definedName>
    <definedName name="conf" localSheetId="0">'[2]MA  Standardised units'!$K$2</definedName>
    <definedName name="conf" localSheetId="1">'[1]MA  Standardised units'!$K$2</definedName>
    <definedName name="conf" localSheetId="5">'[1]MA  Standardised units'!$K$2</definedName>
    <definedName name="conf" localSheetId="2">'[1]MA  Standardised units'!$K$2</definedName>
    <definedName name="conf">'[2]MA  Standardised units'!$K$2</definedName>
    <definedName name="conf1" localSheetId="4">'[1]MA  Standardised units'!$AD$6</definedName>
    <definedName name="conf1" localSheetId="3">'[1]MA  Standardised units'!$AD$6</definedName>
    <definedName name="conf1" localSheetId="0">'[2]MA  Standardised units'!$AD$6</definedName>
    <definedName name="conf1" localSheetId="1">'[1]MA  Standardised units'!$AD$6</definedName>
    <definedName name="conf1" localSheetId="5">'[1]MA  Standardised units'!$AD$6</definedName>
    <definedName name="conf1" localSheetId="2">'[1]MA  Standardised units'!$AD$6</definedName>
    <definedName name="conf1">'[2]MA  Standardised units'!$AD$6</definedName>
    <definedName name="conf10" localSheetId="4">'[1]MA  Standardised units'!$AD$15</definedName>
    <definedName name="conf10" localSheetId="3">'[1]MA  Standardised units'!$AD$15</definedName>
    <definedName name="conf10" localSheetId="0">'[2]MA  Standardised units'!$AD$15</definedName>
    <definedName name="conf10" localSheetId="1">'[1]MA  Standardised units'!$AD$15</definedName>
    <definedName name="conf10" localSheetId="5">'[1]MA  Standardised units'!$AD$15</definedName>
    <definedName name="conf10" localSheetId="2">'[1]MA  Standardised units'!$AD$15</definedName>
    <definedName name="conf10">'[2]MA  Standardised units'!$AD$15</definedName>
    <definedName name="conf11" localSheetId="4">'[1]MA  Standardised units'!$AD$18</definedName>
    <definedName name="conf11" localSheetId="3">'[1]MA  Standardised units'!$AD$18</definedName>
    <definedName name="conf11" localSheetId="0">'[2]MA  Standardised units'!$AD$18</definedName>
    <definedName name="conf11" localSheetId="1">'[1]MA  Standardised units'!$AD$18</definedName>
    <definedName name="conf11" localSheetId="5">'[1]MA  Standardised units'!$AD$18</definedName>
    <definedName name="conf11" localSheetId="2">'[1]MA  Standardised units'!$AD$18</definedName>
    <definedName name="conf11">'[2]MA  Standardised units'!$AD$18</definedName>
    <definedName name="conf12" localSheetId="4">'[1]MA  Standardised units'!$AD$21</definedName>
    <definedName name="conf12" localSheetId="3">'[1]MA  Standardised units'!$AD$21</definedName>
    <definedName name="conf12" localSheetId="0">'[2]MA  Standardised units'!$AD$21</definedName>
    <definedName name="conf12" localSheetId="1">'[1]MA  Standardised units'!$AD$21</definedName>
    <definedName name="conf12" localSheetId="5">'[1]MA  Standardised units'!$AD$21</definedName>
    <definedName name="conf12" localSheetId="2">'[1]MA  Standardised units'!$AD$21</definedName>
    <definedName name="conf12">'[2]MA  Standardised units'!$AD$21</definedName>
    <definedName name="conf13" localSheetId="4">'[1]MA  Standardised units'!$AD$24</definedName>
    <definedName name="conf13" localSheetId="3">'[1]MA  Standardised units'!$AD$24</definedName>
    <definedName name="conf13" localSheetId="0">'[2]MA  Standardised units'!$AD$24</definedName>
    <definedName name="conf13" localSheetId="1">'[1]MA  Standardised units'!$AD$24</definedName>
    <definedName name="conf13" localSheetId="5">'[1]MA  Standardised units'!$AD$24</definedName>
    <definedName name="conf13" localSheetId="2">'[1]MA  Standardised units'!$AD$24</definedName>
    <definedName name="conf13">'[2]MA  Standardised units'!$AD$24</definedName>
    <definedName name="conf2" localSheetId="4">'[1]MA  Standardised units'!$AD$7</definedName>
    <definedName name="conf2" localSheetId="3">'[1]MA  Standardised units'!$AD$7</definedName>
    <definedName name="conf2" localSheetId="0">'[2]MA  Standardised units'!$AD$7</definedName>
    <definedName name="conf2" localSheetId="1">'[1]MA  Standardised units'!$AD$7</definedName>
    <definedName name="conf2" localSheetId="5">'[1]MA  Standardised units'!$AD$7</definedName>
    <definedName name="conf2" localSheetId="2">'[1]MA  Standardised units'!$AD$7</definedName>
    <definedName name="conf2">'[2]MA  Standardised units'!$AD$7</definedName>
    <definedName name="conf3" localSheetId="4">'[1]MA  Standardised units'!$AD$8</definedName>
    <definedName name="conf3" localSheetId="3">'[1]MA  Standardised units'!$AD$8</definedName>
    <definedName name="conf3" localSheetId="0">'[2]MA  Standardised units'!$AD$8</definedName>
    <definedName name="conf3" localSheetId="1">'[1]MA  Standardised units'!$AD$8</definedName>
    <definedName name="conf3" localSheetId="5">'[1]MA  Standardised units'!$AD$8</definedName>
    <definedName name="conf3" localSheetId="2">'[1]MA  Standardised units'!$AD$8</definedName>
    <definedName name="conf3">'[2]MA  Standardised units'!$AD$8</definedName>
    <definedName name="conf4" localSheetId="4">'[1]MA  Standardised units'!$AD$9</definedName>
    <definedName name="conf4" localSheetId="3">'[1]MA  Standardised units'!$AD$9</definedName>
    <definedName name="conf4" localSheetId="0">'[2]MA  Standardised units'!$AD$9</definedName>
    <definedName name="conf4" localSheetId="1">'[1]MA  Standardised units'!$AD$9</definedName>
    <definedName name="conf4" localSheetId="5">'[1]MA  Standardised units'!$AD$9</definedName>
    <definedName name="conf4" localSheetId="2">'[1]MA  Standardised units'!$AD$9</definedName>
    <definedName name="conf4">'[2]MA  Standardised units'!$AD$9</definedName>
    <definedName name="conf5" localSheetId="4">'[1]MA  Standardised units'!$AD$10</definedName>
    <definedName name="conf5" localSheetId="3">'[1]MA  Standardised units'!$AD$10</definedName>
    <definedName name="conf5" localSheetId="0">'[2]MA  Standardised units'!$AD$10</definedName>
    <definedName name="conf5" localSheetId="1">'[1]MA  Standardised units'!$AD$10</definedName>
    <definedName name="conf5" localSheetId="5">'[1]MA  Standardised units'!$AD$10</definedName>
    <definedName name="conf5" localSheetId="2">'[1]MA  Standardised units'!$AD$10</definedName>
    <definedName name="conf5">'[2]MA  Standardised units'!$AD$10</definedName>
    <definedName name="conf6" localSheetId="4">'[1]MA  Standardised units'!$AD$11</definedName>
    <definedName name="conf6" localSheetId="3">'[1]MA  Standardised units'!$AD$11</definedName>
    <definedName name="conf6" localSheetId="0">'[2]MA  Standardised units'!$AD$11</definedName>
    <definedName name="conf6" localSheetId="1">'[1]MA  Standardised units'!$AD$11</definedName>
    <definedName name="conf6" localSheetId="5">'[1]MA  Standardised units'!$AD$11</definedName>
    <definedName name="conf6" localSheetId="2">'[1]MA  Standardised units'!$AD$11</definedName>
    <definedName name="conf6">'[2]MA  Standardised units'!$AD$11</definedName>
    <definedName name="conf7" localSheetId="4">'[1]MA  Standardised units'!$AD$12</definedName>
    <definedName name="conf7" localSheetId="3">'[1]MA  Standardised units'!$AD$12</definedName>
    <definedName name="conf7" localSheetId="0">'[2]MA  Standardised units'!$AD$12</definedName>
    <definedName name="conf7" localSheetId="1">'[1]MA  Standardised units'!$AD$12</definedName>
    <definedName name="conf7" localSheetId="5">'[1]MA  Standardised units'!$AD$12</definedName>
    <definedName name="conf7" localSheetId="2">'[1]MA  Standardised units'!$AD$12</definedName>
    <definedName name="conf7">'[2]MA  Standardised units'!$AD$12</definedName>
    <definedName name="conf8" localSheetId="4">'[1]MA  Standardised units'!$AD$13</definedName>
    <definedName name="conf8" localSheetId="3">'[1]MA  Standardised units'!$AD$13</definedName>
    <definedName name="conf8" localSheetId="0">'[2]MA  Standardised units'!$AD$13</definedName>
    <definedName name="conf8" localSheetId="1">'[1]MA  Standardised units'!$AD$13</definedName>
    <definedName name="conf8" localSheetId="5">'[1]MA  Standardised units'!$AD$13</definedName>
    <definedName name="conf8" localSheetId="2">'[1]MA  Standardised units'!$AD$13</definedName>
    <definedName name="conf8">'[2]MA  Standardised units'!$AD$13</definedName>
    <definedName name="conf9" localSheetId="4">'[1]MA  Standardised units'!$AD$14</definedName>
    <definedName name="conf9" localSheetId="3">'[1]MA  Standardised units'!$AD$14</definedName>
    <definedName name="conf9" localSheetId="0">'[2]MA  Standardised units'!$AD$14</definedName>
    <definedName name="conf9" localSheetId="1">'[1]MA  Standardised units'!$AD$14</definedName>
    <definedName name="conf9" localSheetId="5">'[1]MA  Standardised units'!$AD$14</definedName>
    <definedName name="conf9" localSheetId="2">'[1]MA  Standardised units'!$AD$14</definedName>
    <definedName name="conf9">'[2]MA  Standardised units'!$AD$14</definedName>
    <definedName name="copyn" localSheetId="4">'[1]MA  Standardised units'!$AC$2</definedName>
    <definedName name="copyn" localSheetId="3">'[1]MA  Standardised units'!$AC$2</definedName>
    <definedName name="copyn" localSheetId="0">'[2]MA  Standardised units'!$AC$2</definedName>
    <definedName name="copyn" localSheetId="1">'[1]MA  Standardised units'!$AC$2</definedName>
    <definedName name="copyn" localSheetId="5">'[1]MA  Standardised units'!$AC$2</definedName>
    <definedName name="copyn" localSheetId="2">'[1]MA  Standardised units'!$AC$2</definedName>
    <definedName name="copyn">'[2]MA  Standardised units'!$AC$2</definedName>
    <definedName name="copyt" localSheetId="4">'[1]MA  Standardised units'!$AC$3</definedName>
    <definedName name="copyt" localSheetId="3">'[1]MA  Standardised units'!$AC$3</definedName>
    <definedName name="copyt" localSheetId="0">'[2]MA  Standardised units'!$AC$3</definedName>
    <definedName name="copyt" localSheetId="1">'[1]MA  Standardised units'!$AC$3</definedName>
    <definedName name="copyt" localSheetId="5">'[1]MA  Standardised units'!$AC$3</definedName>
    <definedName name="copyt" localSheetId="2">'[1]MA  Standardised units'!$AC$3</definedName>
    <definedName name="copyt">'[2]MA  Standardised units'!$AC$3</definedName>
    <definedName name="copyt1" localSheetId="4">'[1]MA  Standardised units'!$Y$6</definedName>
    <definedName name="copyt1" localSheetId="3">'[1]MA  Standardised units'!$Y$6</definedName>
    <definedName name="copyt1" localSheetId="0">'[2]MA  Standardised units'!$Y$6</definedName>
    <definedName name="copyt1" localSheetId="1">'[1]MA  Standardised units'!$Y$6</definedName>
    <definedName name="copyt1" localSheetId="5">'[1]MA  Standardised units'!$Y$6</definedName>
    <definedName name="copyt1" localSheetId="2">'[1]MA  Standardised units'!$Y$6</definedName>
    <definedName name="copyt1">'[2]MA  Standardised units'!$Y$6</definedName>
    <definedName name="copyt10" localSheetId="4">'[1]MA  Standardised units'!$Y$15</definedName>
    <definedName name="copyt10" localSheetId="3">'[1]MA  Standardised units'!$Y$15</definedName>
    <definedName name="copyt10" localSheetId="0">'[2]MA  Standardised units'!$Y$15</definedName>
    <definedName name="copyt10" localSheetId="1">'[1]MA  Standardised units'!$Y$15</definedName>
    <definedName name="copyt10" localSheetId="5">'[1]MA  Standardised units'!$Y$15</definedName>
    <definedName name="copyt10" localSheetId="2">'[1]MA  Standardised units'!$Y$15</definedName>
    <definedName name="copyt10">'[2]MA  Standardised units'!$Y$15</definedName>
    <definedName name="copyt11" localSheetId="4">'[1]MA  Standardised units'!$Y$18</definedName>
    <definedName name="copyt11" localSheetId="3">'[1]MA  Standardised units'!$Y$18</definedName>
    <definedName name="copyt11" localSheetId="0">'[2]MA  Standardised units'!$Y$18</definedName>
    <definedName name="copyt11" localSheetId="1">'[1]MA  Standardised units'!$Y$18</definedName>
    <definedName name="copyt11" localSheetId="5">'[1]MA  Standardised units'!$Y$18</definedName>
    <definedName name="copyt11" localSheetId="2">'[1]MA  Standardised units'!$Y$18</definedName>
    <definedName name="copyt11">'[2]MA  Standardised units'!$Y$18</definedName>
    <definedName name="copyt12" localSheetId="4">'[1]MA  Standardised units'!$Y$21</definedName>
    <definedName name="copyt12" localSheetId="3">'[1]MA  Standardised units'!$Y$21</definedName>
    <definedName name="copyt12" localSheetId="0">'[2]MA  Standardised units'!$Y$21</definedName>
    <definedName name="copyt12" localSheetId="1">'[1]MA  Standardised units'!$Y$21</definedName>
    <definedName name="copyt12" localSheetId="5">'[1]MA  Standardised units'!$Y$21</definedName>
    <definedName name="copyt12" localSheetId="2">'[1]MA  Standardised units'!$Y$21</definedName>
    <definedName name="copyt12">'[2]MA  Standardised units'!$Y$21</definedName>
    <definedName name="copyt13" localSheetId="4">'[1]MA  Standardised units'!$Y$24</definedName>
    <definedName name="copyt13" localSheetId="3">'[1]MA  Standardised units'!$Y$24</definedName>
    <definedName name="copyt13" localSheetId="0">'[2]MA  Standardised units'!$Y$24</definedName>
    <definedName name="copyt13" localSheetId="1">'[1]MA  Standardised units'!$Y$24</definedName>
    <definedName name="copyt13" localSheetId="5">'[1]MA  Standardised units'!$Y$24</definedName>
    <definedName name="copyt13" localSheetId="2">'[1]MA  Standardised units'!$Y$24</definedName>
    <definedName name="copyt13">'[2]MA  Standardised units'!$Y$24</definedName>
    <definedName name="copyt2" localSheetId="4">'[1]MA  Standardised units'!$Y$7</definedName>
    <definedName name="copyt2" localSheetId="3">'[1]MA  Standardised units'!$Y$7</definedName>
    <definedName name="copyt2" localSheetId="0">'[2]MA  Standardised units'!$Y$7</definedName>
    <definedName name="copyt2" localSheetId="1">'[1]MA  Standardised units'!$Y$7</definedName>
    <definedName name="copyt2" localSheetId="5">'[1]MA  Standardised units'!$Y$7</definedName>
    <definedName name="copyt2" localSheetId="2">'[1]MA  Standardised units'!$Y$7</definedName>
    <definedName name="copyt2">'[2]MA  Standardised units'!$Y$7</definedName>
    <definedName name="copyt3" localSheetId="4">'[1]MA  Standardised units'!$Y$8</definedName>
    <definedName name="copyt3" localSheetId="3">'[1]MA  Standardised units'!$Y$8</definedName>
    <definedName name="copyt3" localSheetId="0">'[2]MA  Standardised units'!$Y$8</definedName>
    <definedName name="copyt3" localSheetId="1">'[1]MA  Standardised units'!$Y$8</definedName>
    <definedName name="copyt3" localSheetId="5">'[1]MA  Standardised units'!$Y$8</definedName>
    <definedName name="copyt3" localSheetId="2">'[1]MA  Standardised units'!$Y$8</definedName>
    <definedName name="copyt3">'[2]MA  Standardised units'!$Y$8</definedName>
    <definedName name="copyt4" localSheetId="4">'[1]MA  Standardised units'!$Y$9</definedName>
    <definedName name="copyt4" localSheetId="3">'[1]MA  Standardised units'!$Y$9</definedName>
    <definedName name="copyt4" localSheetId="0">'[2]MA  Standardised units'!$Y$9</definedName>
    <definedName name="copyt4" localSheetId="1">'[1]MA  Standardised units'!$Y$9</definedName>
    <definedName name="copyt4" localSheetId="5">'[1]MA  Standardised units'!$Y$9</definedName>
    <definedName name="copyt4" localSheetId="2">'[1]MA  Standardised units'!$Y$9</definedName>
    <definedName name="copyt4">'[2]MA  Standardised units'!$Y$9</definedName>
    <definedName name="copyt5" localSheetId="4">'[1]MA  Standardised units'!$Y$10</definedName>
    <definedName name="copyt5" localSheetId="3">'[1]MA  Standardised units'!$Y$10</definedName>
    <definedName name="copyt5" localSheetId="0">'[2]MA  Standardised units'!$Y$10</definedName>
    <definedName name="copyt5" localSheetId="1">'[1]MA  Standardised units'!$Y$10</definedName>
    <definedName name="copyt5" localSheetId="5">'[1]MA  Standardised units'!$Y$10</definedName>
    <definedName name="copyt5" localSheetId="2">'[1]MA  Standardised units'!$Y$10</definedName>
    <definedName name="copyt5">'[2]MA  Standardised units'!$Y$10</definedName>
    <definedName name="copyt6" localSheetId="4">'[1]MA  Standardised units'!$Y$11</definedName>
    <definedName name="copyt6" localSheetId="3">'[1]MA  Standardised units'!$Y$11</definedName>
    <definedName name="copyt6" localSheetId="0">'[2]MA  Standardised units'!$Y$11</definedName>
    <definedName name="copyt6" localSheetId="1">'[1]MA  Standardised units'!$Y$11</definedName>
    <definedName name="copyt6" localSheetId="5">'[1]MA  Standardised units'!$Y$11</definedName>
    <definedName name="copyt6" localSheetId="2">'[1]MA  Standardised units'!$Y$11</definedName>
    <definedName name="copyt6">'[2]MA  Standardised units'!$Y$11</definedName>
    <definedName name="copyt7" localSheetId="4">'[1]MA  Standardised units'!$Y$12</definedName>
    <definedName name="copyt7" localSheetId="3">'[1]MA  Standardised units'!$Y$12</definedName>
    <definedName name="copyt7" localSheetId="0">'[2]MA  Standardised units'!$Y$12</definedName>
    <definedName name="copyt7" localSheetId="1">'[1]MA  Standardised units'!$Y$12</definedName>
    <definedName name="copyt7" localSheetId="5">'[1]MA  Standardised units'!$Y$12</definedName>
    <definedName name="copyt7" localSheetId="2">'[1]MA  Standardised units'!$Y$12</definedName>
    <definedName name="copyt7">'[2]MA  Standardised units'!$Y$12</definedName>
    <definedName name="copyt8" localSheetId="4">'[1]MA  Standardised units'!$Y$13</definedName>
    <definedName name="copyt8" localSheetId="3">'[1]MA  Standardised units'!$Y$13</definedName>
    <definedName name="copyt8" localSheetId="0">'[2]MA  Standardised units'!$Y$13</definedName>
    <definedName name="copyt8" localSheetId="1">'[1]MA  Standardised units'!$Y$13</definedName>
    <definedName name="copyt8" localSheetId="5">'[1]MA  Standardised units'!$Y$13</definedName>
    <definedName name="copyt8" localSheetId="2">'[1]MA  Standardised units'!$Y$13</definedName>
    <definedName name="copyt8">'[2]MA  Standardised units'!$Y$13</definedName>
    <definedName name="copyt9" localSheetId="4">'[1]MA  Standardised units'!$Y$14</definedName>
    <definedName name="copyt9" localSheetId="3">'[1]MA  Standardised units'!$Y$14</definedName>
    <definedName name="copyt9" localSheetId="0">'[2]MA  Standardised units'!$Y$14</definedName>
    <definedName name="copyt9" localSheetId="1">'[1]MA  Standardised units'!$Y$14</definedName>
    <definedName name="copyt9" localSheetId="5">'[1]MA  Standardised units'!$Y$14</definedName>
    <definedName name="copyt9" localSheetId="2">'[1]MA  Standardised units'!$Y$14</definedName>
    <definedName name="copyt9">'[2]MA  Standardised units'!$Y$14</definedName>
    <definedName name="countcapt" localSheetId="0">#REF!</definedName>
    <definedName name="countcapt">#REF!</definedName>
    <definedName name="countcaptM">[15]Replication!$AS$6</definedName>
    <definedName name="countsone" localSheetId="0">#REF!</definedName>
    <definedName name="countsone">#REF!</definedName>
    <definedName name="ctgforseed" localSheetId="0">#REF!</definedName>
    <definedName name="ctgforseed">#REF!</definedName>
    <definedName name="ctgseed" localSheetId="0">#REF!</definedName>
    <definedName name="ctgseed">#REF!</definedName>
    <definedName name="Ctobezero">'[12]Vary C'!$N$8</definedName>
    <definedName name="cumulate" localSheetId="4">'d subsets'!$CQ$3</definedName>
    <definedName name="cumulate" localSheetId="3">'d two groups'!$CL$2</definedName>
    <definedName name="cumulate" localSheetId="1">'Original two groups'!$BV$2</definedName>
    <definedName name="cumulate" localSheetId="5">'Single r'!$BP$2</definedName>
    <definedName name="cumulate" localSheetId="2">Subsets!$BY$3</definedName>
    <definedName name="cumulate">#REF!</definedName>
    <definedName name="dancep" localSheetId="0">#REF!</definedName>
    <definedName name="dancep">#REF!</definedName>
    <definedName name="dancespeed" localSheetId="0">#REF!</definedName>
    <definedName name="dancespeed">#REF!</definedName>
    <definedName name="dat1two">'[8]Data two'!$BJ$8:$BJ$1008,'[8]Data two'!$BM$8:$BM$1008</definedName>
    <definedName name="data300x">[8]Describe!$F$2:$F$301</definedName>
    <definedName name="DataPairedGrab">'[5]Data paired'!$C$5:$C$10</definedName>
    <definedName name="DataPairedPut">'[5]Data paired'!$B$5:$B$10</definedName>
    <definedName name="dataport">[8]Describe!#REF!</definedName>
    <definedName name="dataportkbins" localSheetId="4">[16]Data!$F$2:$F$37,[16]Data!$T$37</definedName>
    <definedName name="dataportkbins" localSheetId="3">[16]Data!$F$2:$F$37,[16]Data!$T$37</definedName>
    <definedName name="dataportkbins" localSheetId="0">[17]Data!$F$2:$F$37,[17]Data!$T$37</definedName>
    <definedName name="dataportkbins" localSheetId="1">[16]Data!$F$2:$F$37,[16]Data!$T$37</definedName>
    <definedName name="dataportkbins" localSheetId="5">[16]Data!$F$2:$F$37,[16]Data!$T$37</definedName>
    <definedName name="dataportkbins" localSheetId="2">[16]Data!$F$2:$F$37,[16]Data!$T$37</definedName>
    <definedName name="dataportkbins">[18]Data!$F$2:$F$37,[18]Data!$T$37</definedName>
    <definedName name="datapts">'[19]Case 1 Single Group'!$C$7:$C$106</definedName>
    <definedName name="datapts1">#REF!</definedName>
    <definedName name="datapts2">#REF!</definedName>
    <definedName name="dataput">[8]Describe!$F$2</definedName>
    <definedName name="diffzero">'[3]Two proportions'!$AC$3</definedName>
    <definedName name="dispaxes">'[10]Calculate r'!$AX$4</definedName>
    <definedName name="DispBin">'[3]Two proportions'!$AT$6</definedName>
    <definedName name="dispcidsp">#REF!</definedName>
    <definedName name="DispComp">'[3]Two proportions'!$P$22</definedName>
    <definedName name="dispddp">'[5]Data paired'!$C$3</definedName>
    <definedName name="dispddt">'[8]Data two'!$X$77</definedName>
    <definedName name="dispdiffaxis" localSheetId="0">#REF!</definedName>
    <definedName name="dispdiffaxis">#REF!</definedName>
    <definedName name="DispDiffProp">'[3]Two proportions'!$R$23</definedName>
    <definedName name="DispDiffsData">'[3]Two proportions'!$AO$6</definedName>
    <definedName name="dispdsp">#REF!</definedName>
    <definedName name="dispdst">#REF!</definedName>
    <definedName name="disph">'[5]One proportion'!$B$7</definedName>
    <definedName name="dispmeans">'[10]Calculate r'!$AX$3</definedName>
    <definedName name="dispnow">#REF!</definedName>
    <definedName name="dispOK">'[10]Sample r'!$N$19</definedName>
    <definedName name="dispp">'[6]Two proportions'!$C$9</definedName>
    <definedName name="disppowerspair">#REF!</definedName>
    <definedName name="disppowerst">#REF!</definedName>
    <definedName name="dispreg">[5]Scatterplots!$DS$2</definedName>
    <definedName name="Dispt">'[7]Fig 5'!$O$2</definedName>
    <definedName name="dispzplot">[5]Scatterplots!$DH$1</definedName>
    <definedName name="dispzzplot">[5]Scatterplots!$DK$1</definedName>
    <definedName name="dlend" localSheetId="0">#REF!</definedName>
    <definedName name="dlend">#REF!</definedName>
    <definedName name="dll">'[4]CI for d'!$Q$32</definedName>
    <definedName name="dpark" localSheetId="0">#REF!</definedName>
    <definedName name="dpark">#REF!</definedName>
    <definedName name="dpd1dat">'[5]Data paired'!$BH$7:$BI$307</definedName>
    <definedName name="dpd1name">'[5]Data paired'!$BI$4:$BI$5</definedName>
    <definedName name="dpd2dat">'[5]Data paired'!$BM$7:$BN$307</definedName>
    <definedName name="dpd2name">'[5]Data paired'!$BN$4:$BN$5</definedName>
    <definedName name="dpd3dat">'[5]Data paired'!$BR$7:$BS$307</definedName>
    <definedName name="dpd3name">'[5]Data paired'!$BS$4:$BS$5</definedName>
    <definedName name="dpddat">'[5]Data paired'!$F$8:$G$8</definedName>
    <definedName name="dpdname">'[5]Data paired'!$G$5:$G$6</definedName>
    <definedName name="dptsone" localSheetId="0">#REF!</definedName>
    <definedName name="dptsone">#REF!</definedName>
    <definedName name="dptspair" localSheetId="0">#REF!</definedName>
    <definedName name="dptspair">#REF!</definedName>
    <definedName name="dptsprops" localSheetId="0">#REF!,#REF!,#REF!,#REF!</definedName>
    <definedName name="dptsprops">#REF!,#REF!,#REF!,#REF!</definedName>
    <definedName name="dptstwo" localSheetId="4">'[20]Data Two'!$B$7:$B$1006,'[20]Data Two'!$E$7:$E$1006</definedName>
    <definedName name="dptstwo" localSheetId="3">'[20]Data Two'!$B$7:$B$1006,'[20]Data Two'!$E$7:$E$1006</definedName>
    <definedName name="dptstwo" localSheetId="0">#REF!,#REF!</definedName>
    <definedName name="dptstwo" localSheetId="1">'[20]Data Two'!$B$7:$B$1006,'[20]Data Two'!$E$7:$E$1006</definedName>
    <definedName name="dptstwo" localSheetId="5">'[20]Data Two'!$B$7:$B$1006,'[20]Data Two'!$E$7:$E$1006</definedName>
    <definedName name="dptstwo" localSheetId="2">'[20]Data Two'!$B$7:$B$1006,'[20]Data Two'!$E$7:$E$1006</definedName>
    <definedName name="dptstwo">#REF!,#REF!</definedName>
    <definedName name="drend" localSheetId="0">#REF!</definedName>
    <definedName name="drend">#REF!</definedName>
    <definedName name="dstart" localSheetId="4">'d subsets'!$W$8</definedName>
    <definedName name="dstart" localSheetId="3">'d two groups'!$W$7</definedName>
    <definedName name="dstart">#REF!</definedName>
    <definedName name="dtwograb" localSheetId="4">'d subsets'!$N$8:$P$38</definedName>
    <definedName name="dtwograb" localSheetId="3">'d two groups'!$N$7:$P$37</definedName>
    <definedName name="dtwograb">#REF!</definedName>
    <definedName name="dtwoput" localSheetId="4">'d subsets'!$K$8:$M$38</definedName>
    <definedName name="dtwoput" localSheetId="3">'d two groups'!$K$7:$M$37</definedName>
    <definedName name="dtwoput">#REF!</definedName>
    <definedName name="dul">'[4]CI for d'!$U$32</definedName>
    <definedName name="dval1" localSheetId="4">'[1]MA  Standardised units'!$F$6</definedName>
    <definedName name="dval1" localSheetId="3">'[1]MA  Standardised units'!$F$6</definedName>
    <definedName name="dval1" localSheetId="0">'[2]MA  Standardised units'!$F$6</definedName>
    <definedName name="dval1" localSheetId="1">'[1]MA  Standardised units'!$F$6</definedName>
    <definedName name="dval1" localSheetId="5">'[1]MA  Standardised units'!$F$6</definedName>
    <definedName name="dval1" localSheetId="2">'[1]MA  Standardised units'!$F$6</definedName>
    <definedName name="dval1">'[2]MA  Standardised units'!$F$6</definedName>
    <definedName name="dval10" localSheetId="4">'[1]MA  Standardised units'!$F$15</definedName>
    <definedName name="dval10" localSheetId="3">'[1]MA  Standardised units'!$F$15</definedName>
    <definedName name="dval10" localSheetId="0">'[2]MA  Standardised units'!$F$15</definedName>
    <definedName name="dval10" localSheetId="1">'[1]MA  Standardised units'!$F$15</definedName>
    <definedName name="dval10" localSheetId="5">'[1]MA  Standardised units'!$F$15</definedName>
    <definedName name="dval10" localSheetId="2">'[1]MA  Standardised units'!$F$15</definedName>
    <definedName name="dval10">'[2]MA  Standardised units'!$F$15</definedName>
    <definedName name="dval11" localSheetId="4">'[1]MA  Standardised units'!$F$18</definedName>
    <definedName name="dval11" localSheetId="3">'[1]MA  Standardised units'!$F$18</definedName>
    <definedName name="dval11" localSheetId="0">'[2]MA  Standardised units'!$F$18</definedName>
    <definedName name="dval11" localSheetId="1">'[1]MA  Standardised units'!$F$18</definedName>
    <definedName name="dval11" localSheetId="5">'[1]MA  Standardised units'!$F$18</definedName>
    <definedName name="dval11" localSheetId="2">'[1]MA  Standardised units'!$F$18</definedName>
    <definedName name="dval11">'[2]MA  Standardised units'!$F$18</definedName>
    <definedName name="dval12" localSheetId="4">'[1]MA  Standardised units'!$F$21</definedName>
    <definedName name="dval12" localSheetId="3">'[1]MA  Standardised units'!$F$21</definedName>
    <definedName name="dval12" localSheetId="0">'[2]MA  Standardised units'!$F$21</definedName>
    <definedName name="dval12" localSheetId="1">'[1]MA  Standardised units'!$F$21</definedName>
    <definedName name="dval12" localSheetId="5">'[1]MA  Standardised units'!$F$21</definedName>
    <definedName name="dval12" localSheetId="2">'[1]MA  Standardised units'!$F$21</definedName>
    <definedName name="dval12">'[2]MA  Standardised units'!$F$21</definedName>
    <definedName name="dval13" localSheetId="4">'[1]MA  Standardised units'!$F$24</definedName>
    <definedName name="dval13" localSheetId="3">'[1]MA  Standardised units'!$F$24</definedName>
    <definedName name="dval13" localSheetId="0">'[2]MA  Standardised units'!$F$24</definedName>
    <definedName name="dval13" localSheetId="1">'[1]MA  Standardised units'!$F$24</definedName>
    <definedName name="dval13" localSheetId="5">'[1]MA  Standardised units'!$F$24</definedName>
    <definedName name="dval13" localSheetId="2">'[1]MA  Standardised units'!$F$24</definedName>
    <definedName name="dval13">'[2]MA  Standardised units'!$F$24</definedName>
    <definedName name="dval2" localSheetId="4">'[1]MA  Standardised units'!$F$7</definedName>
    <definedName name="dval2" localSheetId="3">'[1]MA  Standardised units'!$F$7</definedName>
    <definedName name="dval2" localSheetId="0">'[2]MA  Standardised units'!$F$7</definedName>
    <definedName name="dval2" localSheetId="1">'[1]MA  Standardised units'!$F$7</definedName>
    <definedName name="dval2" localSheetId="5">'[1]MA  Standardised units'!$F$7</definedName>
    <definedName name="dval2" localSheetId="2">'[1]MA  Standardised units'!$F$7</definedName>
    <definedName name="dval2">'[2]MA  Standardised units'!$F$7</definedName>
    <definedName name="dval3" localSheetId="4">'[1]MA  Standardised units'!$F$8</definedName>
    <definedName name="dval3" localSheetId="3">'[1]MA  Standardised units'!$F$8</definedName>
    <definedName name="dval3" localSheetId="0">'[2]MA  Standardised units'!$F$8</definedName>
    <definedName name="dval3" localSheetId="1">'[1]MA  Standardised units'!$F$8</definedName>
    <definedName name="dval3" localSheetId="5">'[1]MA  Standardised units'!$F$8</definedName>
    <definedName name="dval3" localSheetId="2">'[1]MA  Standardised units'!$F$8</definedName>
    <definedName name="dval3">'[2]MA  Standardised units'!$F$8</definedName>
    <definedName name="dval4" localSheetId="4">'[1]MA  Standardised units'!$F$9</definedName>
    <definedName name="dval4" localSheetId="3">'[1]MA  Standardised units'!$F$9</definedName>
    <definedName name="dval4" localSheetId="0">'[2]MA  Standardised units'!$F$9</definedName>
    <definedName name="dval4" localSheetId="1">'[1]MA  Standardised units'!$F$9</definedName>
    <definedName name="dval4" localSheetId="5">'[1]MA  Standardised units'!$F$9</definedName>
    <definedName name="dval4" localSheetId="2">'[1]MA  Standardised units'!$F$9</definedName>
    <definedName name="dval4">'[2]MA  Standardised units'!$F$9</definedName>
    <definedName name="dval5" localSheetId="4">'[1]MA  Standardised units'!$F$10</definedName>
    <definedName name="dval5" localSheetId="3">'[1]MA  Standardised units'!$F$10</definedName>
    <definedName name="dval5" localSheetId="0">'[2]MA  Standardised units'!$F$10</definedName>
    <definedName name="dval5" localSheetId="1">'[1]MA  Standardised units'!$F$10</definedName>
    <definedName name="dval5" localSheetId="5">'[1]MA  Standardised units'!$F$10</definedName>
    <definedName name="dval5" localSheetId="2">'[1]MA  Standardised units'!$F$10</definedName>
    <definedName name="dval5">'[2]MA  Standardised units'!$F$10</definedName>
    <definedName name="dval6" localSheetId="4">'[1]MA  Standardised units'!$F$11</definedName>
    <definedName name="dval6" localSheetId="3">'[1]MA  Standardised units'!$F$11</definedName>
    <definedName name="dval6" localSheetId="0">'[2]MA  Standardised units'!$F$11</definedName>
    <definedName name="dval6" localSheetId="1">'[1]MA  Standardised units'!$F$11</definedName>
    <definedName name="dval6" localSheetId="5">'[1]MA  Standardised units'!$F$11</definedName>
    <definedName name="dval6" localSheetId="2">'[1]MA  Standardised units'!$F$11</definedName>
    <definedName name="dval6">'[2]MA  Standardised units'!$F$11</definedName>
    <definedName name="dval7" localSheetId="4">'[1]MA  Standardised units'!$F$12</definedName>
    <definedName name="dval7" localSheetId="3">'[1]MA  Standardised units'!$F$12</definedName>
    <definedName name="dval7" localSheetId="0">'[2]MA  Standardised units'!$F$12</definedName>
    <definedName name="dval7" localSheetId="1">'[1]MA  Standardised units'!$F$12</definedName>
    <definedName name="dval7" localSheetId="5">'[1]MA  Standardised units'!$F$12</definedName>
    <definedName name="dval7" localSheetId="2">'[1]MA  Standardised units'!$F$12</definedName>
    <definedName name="dval7">'[2]MA  Standardised units'!$F$12</definedName>
    <definedName name="dval8" localSheetId="4">'[1]MA  Standardised units'!$F$13</definedName>
    <definedName name="dval8" localSheetId="3">'[1]MA  Standardised units'!$F$13</definedName>
    <definedName name="dval8" localSheetId="0">'[2]MA  Standardised units'!$F$13</definedName>
    <definedName name="dval8" localSheetId="1">'[1]MA  Standardised units'!$F$13</definedName>
    <definedName name="dval8" localSheetId="5">'[1]MA  Standardised units'!$F$13</definedName>
    <definedName name="dval8" localSheetId="2">'[1]MA  Standardised units'!$F$13</definedName>
    <definedName name="dval8">'[2]MA  Standardised units'!$F$13</definedName>
    <definedName name="dval9" localSheetId="4">'[1]MA  Standardised units'!$F$14</definedName>
    <definedName name="dval9" localSheetId="3">'[1]MA  Standardised units'!$F$14</definedName>
    <definedName name="dval9" localSheetId="0">'[2]MA  Standardised units'!$F$14</definedName>
    <definedName name="dval9" localSheetId="1">'[1]MA  Standardised units'!$F$14</definedName>
    <definedName name="dval9" localSheetId="5">'[1]MA  Standardised units'!$F$14</definedName>
    <definedName name="dval9" localSheetId="2">'[1]MA  Standardised units'!$F$14</definedName>
    <definedName name="dval9">'[2]MA  Standardised units'!$F$14</definedName>
    <definedName name="equivncpdp">'[5]Data paired'!$B$21:$C$21</definedName>
    <definedName name="equivncpsp">#REF!</definedName>
    <definedName name="equivncpst">#REF!</definedName>
    <definedName name="ESd">#REF!</definedName>
    <definedName name="f9za1" localSheetId="0">#REF!</definedName>
    <definedName name="f9za1">#REF!</definedName>
    <definedName name="f9za2" localSheetId="0">#REF!</definedName>
    <definedName name="f9za2">#REF!</definedName>
    <definedName name="f9za3" localSheetId="0">#REF!</definedName>
    <definedName name="f9za3">#REF!</definedName>
    <definedName name="f9za4" localSheetId="0">#REF!</definedName>
    <definedName name="f9za4">#REF!</definedName>
    <definedName name="f9zb3" localSheetId="0">#REF!</definedName>
    <definedName name="f9zb3">#REF!</definedName>
    <definedName name="f9zb4" localSheetId="0">#REF!</definedName>
    <definedName name="f9zb4">#REF!</definedName>
    <definedName name="fig1disp" localSheetId="0">#REF!</definedName>
    <definedName name="fig1disp">#REF!</definedName>
    <definedName name="Fig1Rand">'[7]Fig 1'!$M$8:$R$8</definedName>
    <definedName name="Fig1SeedN">'[7]Fig 1'!$M$9</definedName>
    <definedName name="fig2disp" localSheetId="0">#REF!</definedName>
    <definedName name="fig2disp">#REF!</definedName>
    <definedName name="Fig2Rand">'[12]Fig 2'!$J$13:$L$13</definedName>
    <definedName name="Fig2SeedN">'[12]Fig 2'!$J$14:$L$14</definedName>
    <definedName name="fig3disp" localSheetId="0">#REF!</definedName>
    <definedName name="fig3disp">#REF!</definedName>
    <definedName name="fig4disp" localSheetId="0">#REF!</definedName>
    <definedName name="fig4disp">#REF!</definedName>
    <definedName name="fig5disp" localSheetId="0">#REF!</definedName>
    <definedName name="fig5disp">#REF!</definedName>
    <definedName name="figdisplength" localSheetId="0">#REF!</definedName>
    <definedName name="figdisplength">#REF!</definedName>
    <definedName name="figfivedisp">#REF!</definedName>
    <definedName name="figfourdisp">#REF!</definedName>
    <definedName name="figonedisp">#REF!</definedName>
    <definedName name="figthreedisp">#REF!</definedName>
    <definedName name="figtwodisp">#REF!</definedName>
    <definedName name="firstptdp">'[5]Data paired'!$F$9</definedName>
    <definedName name="firstptxy">[5]Scatterplots!$B$13</definedName>
    <definedName name="fixedrandom" localSheetId="4">'d subsets'!$CT$2</definedName>
    <definedName name="fixedrandom" localSheetId="3">'d two groups'!$CO$1</definedName>
    <definedName name="fixedrandom" localSheetId="1">'Original two groups'!$BY$1</definedName>
    <definedName name="fixedrandom" localSheetId="5">'Single r'!$BS$1</definedName>
    <definedName name="fixedrandom" localSheetId="2">Subsets!$CB$2</definedName>
    <definedName name="fixedrandom">#REF!</definedName>
    <definedName name="fninezafour">#REF!</definedName>
    <definedName name="fninezaone">#REF!</definedName>
    <definedName name="fninezathree">#REF!</definedName>
    <definedName name="fninezatwo">#REF!</definedName>
    <definedName name="fninezbfour">#REF!</definedName>
    <definedName name="fninezbthree">#REF!</definedName>
    <definedName name="for2p1">'[3]Overlap two proportions'!$N$8</definedName>
    <definedName name="for2p10">'[3]Overlap two proportions'!$N$17</definedName>
    <definedName name="for2p11">'[3]Overlap two proportions'!$N$18</definedName>
    <definedName name="for2p12">'[3]Overlap two proportions'!$N$19</definedName>
    <definedName name="for2p13">'[3]Overlap two proportions'!$N$20</definedName>
    <definedName name="for2p14">'[3]Overlap two proportions'!$N$21</definedName>
    <definedName name="for2p15">'[3]Overlap two proportions'!$N$22</definedName>
    <definedName name="for2p16">'[3]Overlap two proportions'!$N$23</definedName>
    <definedName name="for2p17">'[3]Overlap two proportions'!$N$24</definedName>
    <definedName name="for2p18">'[3]Overlap two proportions'!$N$25</definedName>
    <definedName name="for2p19">'[3]Overlap two proportions'!$N$26</definedName>
    <definedName name="for2p2">'[3]Overlap two proportions'!$N$9</definedName>
    <definedName name="for2p20">'[3]Overlap two proportions'!$N$27</definedName>
    <definedName name="for2p21">'[3]Overlap two proportions'!$N$28</definedName>
    <definedName name="for2p22">'[3]Overlap two proportions'!$N$29</definedName>
    <definedName name="for2p23">'[3]Overlap two proportions'!$N$30</definedName>
    <definedName name="for2p24">'[3]Overlap two proportions'!$N$31</definedName>
    <definedName name="for2p25">'[3]Overlap two proportions'!$N$32</definedName>
    <definedName name="for2p26">'[3]Overlap two proportions'!$N$33</definedName>
    <definedName name="for2p27">'[3]Overlap two proportions'!$N$34</definedName>
    <definedName name="for2p28">'[3]Overlap two proportions'!$N$35</definedName>
    <definedName name="for2p29">'[3]Overlap two proportions'!$N$36</definedName>
    <definedName name="for2p3">'[3]Overlap two proportions'!$N$10</definedName>
    <definedName name="for2p30">'[3]Overlap two proportions'!$N$37</definedName>
    <definedName name="for2p31">'[3]Overlap two proportions'!$N$38</definedName>
    <definedName name="for2p32">'[3]Overlap two proportions'!$N$39</definedName>
    <definedName name="for2p33">'[3]Overlap two proportions'!$N$40</definedName>
    <definedName name="for2p34">'[3]Overlap two proportions'!$N$41</definedName>
    <definedName name="for2p35">'[3]Overlap two proportions'!$N$42</definedName>
    <definedName name="for2p36">'[3]Overlap two proportions'!$N$43</definedName>
    <definedName name="for2p37">'[3]Overlap two proportions'!$N$44</definedName>
    <definedName name="for2p38">'[3]Overlap two proportions'!$N$45</definedName>
    <definedName name="for2p39">'[3]Overlap two proportions'!$N$46</definedName>
    <definedName name="for2p4">'[3]Overlap two proportions'!$N$11</definedName>
    <definedName name="for2p40">'[3]Overlap two proportions'!$N$47</definedName>
    <definedName name="for2p41">'[3]Overlap two proportions'!$N$48</definedName>
    <definedName name="for2p42">'[3]Overlap two proportions'!$N$49</definedName>
    <definedName name="for2p43">'[3]Overlap two proportions'!$N$50</definedName>
    <definedName name="for2p44">'[3]Overlap two proportions'!$N$51</definedName>
    <definedName name="for2p45">'[3]Overlap two proportions'!$N$52</definedName>
    <definedName name="for2p46">'[3]Overlap two proportions'!$N$53</definedName>
    <definedName name="for2p47">'[3]Overlap two proportions'!$N$54</definedName>
    <definedName name="for2p48">'[3]Overlap two proportions'!$N$55</definedName>
    <definedName name="for2p49">'[3]Overlap two proportions'!$N$56</definedName>
    <definedName name="for2p5">'[3]Overlap two proportions'!$N$12</definedName>
    <definedName name="for2p50">'[3]Overlap two proportions'!$N$57</definedName>
    <definedName name="for2p51">'[3]Overlap two proportions'!$N$58</definedName>
    <definedName name="for2p52">'[3]Overlap two proportions'!$N$59</definedName>
    <definedName name="for2p53">'[3]Overlap two proportions'!$N$60</definedName>
    <definedName name="for2p54">'[3]Overlap two proportions'!$N$61</definedName>
    <definedName name="for2p55">'[3]Overlap two proportions'!$N$62</definedName>
    <definedName name="for2p56">'[3]Overlap two proportions'!$N$63</definedName>
    <definedName name="for2p57">'[3]Overlap two proportions'!$N$64</definedName>
    <definedName name="for2p58">'[3]Overlap two proportions'!$N$65</definedName>
    <definedName name="for2p59">'[3]Overlap two proportions'!$N$66</definedName>
    <definedName name="for2p6">'[3]Overlap two proportions'!$N$13</definedName>
    <definedName name="for2p60">'[3]Overlap two proportions'!$N$67</definedName>
    <definedName name="for2p7">'[3]Overlap two proportions'!$N$14</definedName>
    <definedName name="for2p8">'[3]Overlap two proportions'!$N$15</definedName>
    <definedName name="for2p9">'[3]Overlap two proportions'!$N$16</definedName>
    <definedName name="ForC">'[3]Two proportions'!$AL$5</definedName>
    <definedName name="forC1">'[3]Overlap two proportions'!$AL$8</definedName>
    <definedName name="forC10">'[3]Overlap two proportions'!$AL$17</definedName>
    <definedName name="forC11">'[3]Overlap two proportions'!$AL$18</definedName>
    <definedName name="forC12">'[3]Overlap two proportions'!$AL$19</definedName>
    <definedName name="forC13">'[3]Overlap two proportions'!$AL$20</definedName>
    <definedName name="forC14">'[3]Overlap two proportions'!$AL$21</definedName>
    <definedName name="forC15">'[3]Overlap two proportions'!$AL$22</definedName>
    <definedName name="forC16">'[3]Overlap two proportions'!$AL$23</definedName>
    <definedName name="forC17">'[3]Overlap two proportions'!$AL$24</definedName>
    <definedName name="forC18">'[3]Overlap two proportions'!$AL$25</definedName>
    <definedName name="forC19">'[3]Overlap two proportions'!$AL$26</definedName>
    <definedName name="forC2">'[3]Overlap two proportions'!$AL$9</definedName>
    <definedName name="forC20">'[3]Overlap two proportions'!$AL$27</definedName>
    <definedName name="forC21">'[3]Overlap two proportions'!$AL$28</definedName>
    <definedName name="forC22">'[3]Overlap two proportions'!$AL$29</definedName>
    <definedName name="forC23">'[3]Overlap two proportions'!$AL$30</definedName>
    <definedName name="forC24">'[3]Overlap two proportions'!$AL$31</definedName>
    <definedName name="forC25">'[3]Overlap two proportions'!$AL$32</definedName>
    <definedName name="forC26">'[3]Overlap two proportions'!$AL$33</definedName>
    <definedName name="forC27">'[3]Overlap two proportions'!$AL$34</definedName>
    <definedName name="forC28">'[3]Overlap two proportions'!$AL$35</definedName>
    <definedName name="forC29">'[3]Overlap two proportions'!$AL$36</definedName>
    <definedName name="forC3">'[3]Overlap two proportions'!$AL$10</definedName>
    <definedName name="forC30">'[3]Overlap two proportions'!$AL$37</definedName>
    <definedName name="forC31">'[3]Overlap two proportions'!$AL$38</definedName>
    <definedName name="forC32">'[3]Overlap two proportions'!$AL$39</definedName>
    <definedName name="forC33">'[3]Overlap two proportions'!$AL$40</definedName>
    <definedName name="forC34">'[3]Overlap two proportions'!$AL$41</definedName>
    <definedName name="forC35">'[3]Overlap two proportions'!$AL$42</definedName>
    <definedName name="forC36">'[3]Overlap two proportions'!$AL$43</definedName>
    <definedName name="forC37">'[3]Overlap two proportions'!$AL$44</definedName>
    <definedName name="forC38">'[3]Overlap two proportions'!$AL$45</definedName>
    <definedName name="forC39">'[3]Overlap two proportions'!$AL$46</definedName>
    <definedName name="forC4">'[3]Overlap two proportions'!$AL$11</definedName>
    <definedName name="forC40">'[3]Overlap two proportions'!$AL$47</definedName>
    <definedName name="forC41">'[3]Overlap two proportions'!$AL$48</definedName>
    <definedName name="forC42">'[3]Overlap two proportions'!$AL$49</definedName>
    <definedName name="forC43">'[3]Overlap two proportions'!$AL$50</definedName>
    <definedName name="forC44">'[3]Overlap two proportions'!$AL$51</definedName>
    <definedName name="forC45">'[3]Overlap two proportions'!$AL$52</definedName>
    <definedName name="forC46">'[3]Overlap two proportions'!$AL$53</definedName>
    <definedName name="forC47">'[3]Overlap two proportions'!$AL$54</definedName>
    <definedName name="forC48">'[3]Overlap two proportions'!$AL$55</definedName>
    <definedName name="forC49">'[3]Overlap two proportions'!$AL$56</definedName>
    <definedName name="forC5">'[3]Overlap two proportions'!$AL$12</definedName>
    <definedName name="forC50">'[3]Overlap two proportions'!$AL$57</definedName>
    <definedName name="forC51">'[3]Overlap two proportions'!$AL$58</definedName>
    <definedName name="forC52">'[3]Overlap two proportions'!$AL$59</definedName>
    <definedName name="forC53">'[3]Overlap two proportions'!$AL$60</definedName>
    <definedName name="forC54">'[3]Overlap two proportions'!$AL$61</definedName>
    <definedName name="forC55">'[3]Overlap two proportions'!$AL$62</definedName>
    <definedName name="forC56">'[3]Overlap two proportions'!$AL$63</definedName>
    <definedName name="forC57">'[3]Overlap two proportions'!$AL$64</definedName>
    <definedName name="forC58">'[3]Overlap two proportions'!$AL$65</definedName>
    <definedName name="forC59">'[3]Overlap two proportions'!$AL$66</definedName>
    <definedName name="forC6">'[3]Overlap two proportions'!$AL$13</definedName>
    <definedName name="forC60">'[3]Overlap two proportions'!$AL$67</definedName>
    <definedName name="forC7">'[3]Overlap two proportions'!$AL$14</definedName>
    <definedName name="forC8">'[3]Overlap two proportions'!$AL$15</definedName>
    <definedName name="forC9">'[3]Overlap two proportions'!$AL$16</definedName>
    <definedName name="forCd1">'[3]Overlap two proportions'!$BN$8</definedName>
    <definedName name="forCd10">'[3]Overlap two proportions'!$BN$17</definedName>
    <definedName name="forCd11">'[3]Overlap two proportions'!$BN$18</definedName>
    <definedName name="forCd12">'[3]Overlap two proportions'!$BN$19</definedName>
    <definedName name="forCd13">'[3]Overlap two proportions'!$BN$20</definedName>
    <definedName name="forCd14">'[3]Overlap two proportions'!$BN$21</definedName>
    <definedName name="forCd15">'[3]Overlap two proportions'!$BN$22</definedName>
    <definedName name="forCd16">'[3]Overlap two proportions'!$BN$23</definedName>
    <definedName name="forCd17">'[3]Overlap two proportions'!$BN$24</definedName>
    <definedName name="forCd18">'[3]Overlap two proportions'!$BN$25</definedName>
    <definedName name="forCd19">'[3]Overlap two proportions'!$BN$26</definedName>
    <definedName name="forCd2">'[3]Overlap two proportions'!$BN$9</definedName>
    <definedName name="forCd20">'[3]Overlap two proportions'!$BN$27</definedName>
    <definedName name="forCd21">'[3]Overlap two proportions'!$BN$28</definedName>
    <definedName name="forCd22">'[3]Overlap two proportions'!$BN$29</definedName>
    <definedName name="forCd23">'[3]Overlap two proportions'!$BN$30</definedName>
    <definedName name="forCd24">'[3]Overlap two proportions'!$BN$31</definedName>
    <definedName name="forCd25">'[3]Overlap two proportions'!$BN$32</definedName>
    <definedName name="forCd26">'[3]Overlap two proportions'!$BN$33</definedName>
    <definedName name="forCd27">'[3]Overlap two proportions'!$BN$34</definedName>
    <definedName name="forCd28">'[3]Overlap two proportions'!$BN$35</definedName>
    <definedName name="forCd29">'[3]Overlap two proportions'!$BN$36</definedName>
    <definedName name="forCd3">'[3]Overlap two proportions'!$BN$10</definedName>
    <definedName name="forCd30">'[3]Overlap two proportions'!$BN$37</definedName>
    <definedName name="forCd31">'[3]Overlap two proportions'!$BN$38</definedName>
    <definedName name="forCd32">'[3]Overlap two proportions'!$BN$39</definedName>
    <definedName name="forCd33">'[3]Overlap two proportions'!$BN$40</definedName>
    <definedName name="forCd34">'[3]Overlap two proportions'!$BN$41</definedName>
    <definedName name="forCd35">'[3]Overlap two proportions'!$BN$42</definedName>
    <definedName name="forCd36">'[3]Overlap two proportions'!$BN$43</definedName>
    <definedName name="forCd37">'[3]Overlap two proportions'!$BN$44</definedName>
    <definedName name="forCd38">'[3]Overlap two proportions'!$BN$45</definedName>
    <definedName name="forCd39">'[3]Overlap two proportions'!$BN$46</definedName>
    <definedName name="forCd4">'[3]Overlap two proportions'!$BN$11</definedName>
    <definedName name="forCd40">'[3]Overlap two proportions'!$BN$47</definedName>
    <definedName name="forCd41">'[3]Overlap two proportions'!$BN$48</definedName>
    <definedName name="forCd42">'[3]Overlap two proportions'!$BN$49</definedName>
    <definedName name="forCd43">'[3]Overlap two proportions'!$BN$50</definedName>
    <definedName name="forCd44">'[3]Overlap two proportions'!$BN$51</definedName>
    <definedName name="forCd45">'[3]Overlap two proportions'!$BN$52</definedName>
    <definedName name="forCd46">'[3]Overlap two proportions'!$BN$53</definedName>
    <definedName name="forCd47">'[3]Overlap two proportions'!$BN$54</definedName>
    <definedName name="forCd48">'[3]Overlap two proportions'!$BN$55</definedName>
    <definedName name="forCd49">'[3]Overlap two proportions'!$BN$56</definedName>
    <definedName name="forCd5">'[3]Overlap two proportions'!$BN$12</definedName>
    <definedName name="forCd50">'[3]Overlap two proportions'!$BN$57</definedName>
    <definedName name="forCd51">'[3]Overlap two proportions'!$BN$58</definedName>
    <definedName name="forCd52">'[3]Overlap two proportions'!$BN$59</definedName>
    <definedName name="forCd53">'[3]Overlap two proportions'!$BN$60</definedName>
    <definedName name="forCd54">'[3]Overlap two proportions'!$BN$61</definedName>
    <definedName name="forCd55">'[3]Overlap two proportions'!$BN$62</definedName>
    <definedName name="forCd56">'[3]Overlap two proportions'!$BN$63</definedName>
    <definedName name="forCd57">'[3]Overlap two proportions'!$BN$64</definedName>
    <definedName name="forCd58">'[3]Overlap two proportions'!$BN$65</definedName>
    <definedName name="forCd59">'[3]Overlap two proportions'!$BN$66</definedName>
    <definedName name="forCd6">'[3]Overlap two proportions'!$BN$13</definedName>
    <definedName name="forCd60">'[3]Overlap two proportions'!$BN$67</definedName>
    <definedName name="forCd7">'[3]Overlap two proportions'!$BN$14</definedName>
    <definedName name="forCd8">'[3]Overlap two proportions'!$BN$15</definedName>
    <definedName name="forCd9">'[3]Overlap two proportions'!$BN$16</definedName>
    <definedName name="forchange">'[5]See r'!$B$7:$B$8</definedName>
    <definedName name="forLR">#REF!</definedName>
    <definedName name="forLzero" localSheetId="0">#REF!</definedName>
    <definedName name="forLzero">#REF!</definedName>
    <definedName name="forLzerotwo" localSheetId="0">'[14]Two studies'!$AK$12</definedName>
    <definedName name="forLzerotwo">#REF!</definedName>
    <definedName name="formean" localSheetId="0">#REF!</definedName>
    <definedName name="formean">#REF!</definedName>
    <definedName name="formeantwo" localSheetId="0">'[14]Two studies'!$AN$23</definedName>
    <definedName name="formeantwo">#REF!</definedName>
    <definedName name="formu">'[19]Case 1 Single Group'!$I$16</definedName>
    <definedName name="formul">'[19]Case 1 Single Group'!$K$14</definedName>
    <definedName name="forMX">'[10]Calculate r'!$AD$3</definedName>
    <definedName name="forMY">'[10]Calculate r'!$AG$3</definedName>
    <definedName name="forn" localSheetId="0">'[10]Calculate r'!$AG$2</definedName>
    <definedName name="forn">'[10]Calculate r'!$AG$2</definedName>
    <definedName name="forna">'[5]Two proportions'!$O$11</definedName>
    <definedName name="fornb">'[5]Two proportions'!$V$11</definedName>
    <definedName name="Forr2" localSheetId="0">#REF!</definedName>
    <definedName name="Forr2">#REF!</definedName>
    <definedName name="forRho">'[10]Calculate r'!$AG$1</definedName>
    <definedName name="forRound" localSheetId="0">'[10]Calculate r'!$AD$5</definedName>
    <definedName name="forRound">'[10]Calculate r'!$AD$5</definedName>
    <definedName name="Forrtwo">'[11]Two correlations'!$AT$19</definedName>
    <definedName name="forSD">[8]Describe!$X$11</definedName>
    <definedName name="forSDX">'[10]Calculate r'!$AD$4</definedName>
    <definedName name="forSDY">'[10]Calculate r'!$AG$4</definedName>
    <definedName name="forseed" localSheetId="0">'[10]See r'!$K$4</definedName>
    <definedName name="forseed">'[10]See r'!$K$4</definedName>
    <definedName name="forx">'[5]One proportion'!$F$8</definedName>
    <definedName name="forxa">'[5]Two proportions'!$O$9</definedName>
    <definedName name="forxb">'[5]Two proportions'!$V$9</definedName>
    <definedName name="forxx">'[6]Two proportions'!$B$4:$C$4</definedName>
    <definedName name="forzero">'[10]See r'!$AB$5</definedName>
    <definedName name="forzoom">'[10]See r'!$Z$1</definedName>
    <definedName name="four20">'[7]Fig 1'!$N$19:$N$22</definedName>
    <definedName name="four20old">'[7]Fig 1'!$O$19:$O$22</definedName>
    <definedName name="freezeXtf" localSheetId="4">'d subsets'!$CQ$4</definedName>
    <definedName name="freezeXtf" localSheetId="3">'d two groups'!$CL$3</definedName>
    <definedName name="freezeXtf" localSheetId="0">#REF!</definedName>
    <definedName name="freezeXtf" localSheetId="1">'Original two groups'!$BV$3</definedName>
    <definedName name="freezeXtf" localSheetId="5">'Single r'!$BP$3</definedName>
    <definedName name="freezeXtf" localSheetId="2">Subsets!$BY$4</definedName>
    <definedName name="freezeXtf">#REF!</definedName>
    <definedName name="freq11">'[3]Two proportions'!$G$8</definedName>
    <definedName name="freq12">'[3]Two proportions'!$I$8</definedName>
    <definedName name="freq21">'[3]Two proportions'!$G$11</definedName>
    <definedName name="freq22">'[3]Two proportions'!$I$11</definedName>
    <definedName name="Freqs1">'[3]Two proportions'!$G$8:$G$11</definedName>
    <definedName name="Freqs2">'[3]Two proportions'!$I$8:$I$11</definedName>
    <definedName name="FullRawData">'[3]Two proportions'!$AT$9:$AV$508</definedName>
    <definedName name="gamm">'[4]Precision one'!$AP$135</definedName>
    <definedName name="genXY">'[10]Calculate r'!$AH$8:$AI$307</definedName>
    <definedName name="getfour">'[4]Precision one'!$AE$1:$AE$4</definedName>
    <definedName name="getfourg">'[4]Precision one'!$AA$1:$AA$4</definedName>
    <definedName name="getgamma">'[4]Precision one'!$AI$1</definedName>
    <definedName name="getht" localSheetId="0">#REF!</definedName>
    <definedName name="getht">#REF!</definedName>
    <definedName name="getoneprop">'[5]One proportion'!$B$20:$B$21</definedName>
    <definedName name="getrand" localSheetId="0">'[10]Calculate r'!$AD$2</definedName>
    <definedName name="getrand">'[10]Calculate r'!$AD$2</definedName>
    <definedName name="gettwoprop">'[5]Two proportions'!$C$18:$C$21</definedName>
    <definedName name="hictr">#REF!</definedName>
    <definedName name="iscaptg" localSheetId="0">#REF!</definedName>
    <definedName name="iscaptg">#REF!</definedName>
    <definedName name="kbins">[8]Describe!$X$37</definedName>
    <definedName name="Kclear">[21]APR!$Y$19:$AF$1016</definedName>
    <definedName name="Kcounter">[21]APR!$Z$6</definedName>
    <definedName name="KDswitch">[21]APR!$Z$9</definedName>
    <definedName name="Kfill">[21]APR!$Z$18:$AF$1016</definedName>
    <definedName name="Kformulas">[21]APR!$Z$18:$AF$18</definedName>
    <definedName name="Kmaxy">[21]APR!$AD$5</definedName>
    <definedName name="Knum">[21]APR!$AD$7</definedName>
    <definedName name="Kpark">[21]APR!$N$2</definedName>
    <definedName name="Krand">[21]APR!$Z$8</definedName>
    <definedName name="Kseed">[21]APR!$N$3</definedName>
    <definedName name="Kseries">[21]APR!$Y$18</definedName>
    <definedName name="Kspeed">[21]APR!$J$17</definedName>
    <definedName name="Kswitch">[21]APR!$Z$5</definedName>
    <definedName name="Ktest">[21]APR!$Y$19</definedName>
    <definedName name="Ktopswitch">[21]APR!$Z$7</definedName>
    <definedName name="Kxinc">[21]APR!$U$32</definedName>
    <definedName name="Kxinc2">[21]APR!$AE$4</definedName>
    <definedName name="Kxinc3">[21]APR!$AE$3</definedName>
    <definedName name="Kxinc4">[21]APR!$AE$2</definedName>
    <definedName name="Kyinc">[21]APR!$U$35</definedName>
    <definedName name="Kyinc2">[21]APR!$AF$4</definedName>
    <definedName name="Kyinc3">[21]APR!$AF$3</definedName>
    <definedName name="Kyinc4">[21]APR!$AF$2</definedName>
    <definedName name="labelsprops">'[22]Two proportions'!$B$9:$C$10,'[22]Two proportions'!$E$8,'[22]Two proportions'!$E$11,'[22]Two proportions'!$G$4:$I$4,'[22]Two proportions'!$G$6,'[22]Two proportions'!$I$6</definedName>
    <definedName name="labs1two">'[8]Data two'!$BL$5,'[8]Data two'!$BK$6,'[8]Data two'!$BJ$8,'[8]Data two'!$BM$8</definedName>
    <definedName name="labstwo">'[8]Data two'!$H$5,'[8]Data two'!$G$6,'[8]Data two'!$F$8,'[8]Data two'!$I$8</definedName>
    <definedName name="lcapt">'[10]Sample r'!$N$20</definedName>
    <definedName name="lforz">#REF!</definedName>
    <definedName name="limitedx">'[5]One proportion'!$B$1</definedName>
    <definedName name="limitedxx">'[6]Two proportions'!$B$3:$C$3</definedName>
    <definedName name="lncp">#REF!</definedName>
    <definedName name="lowctr">#REF!</definedName>
    <definedName name="Lpvf">'[7]p value function'!$O$4</definedName>
    <definedName name="MatchOrig">'[3]Two proportions'!$R$15</definedName>
    <definedName name="MAtunits" localSheetId="0">#REF!</definedName>
    <definedName name="MAtunits">#REF!</definedName>
    <definedName name="MAunits" localSheetId="4">'d subsets'!$Y$4</definedName>
    <definedName name="MAunits" localSheetId="3">'d two groups'!$Y$3</definedName>
    <definedName name="MAunits" localSheetId="0">#REF!</definedName>
    <definedName name="MAunits" localSheetId="1">'Original two groups'!$H$4</definedName>
    <definedName name="MAunits" localSheetId="5">'Single r'!#REF!</definedName>
    <definedName name="MAunits" localSheetId="2">Subsets!$J$6</definedName>
    <definedName name="MAunits">#REF!</definedName>
    <definedName name="maxnosamps" localSheetId="0">#REF!</definedName>
    <definedName name="maxnosamps">#REF!</definedName>
    <definedName name="MeanHeapSwitch" localSheetId="0">#REF!</definedName>
    <definedName name="MeanHeapSwitch">#REF!</definedName>
    <definedName name="mindist">#REF!</definedName>
    <definedName name="MU" localSheetId="4">'[23]One Group'!$K$3</definedName>
    <definedName name="MU" localSheetId="3">'[23]One Group'!$K$3</definedName>
    <definedName name="MU" localSheetId="0">#REF!</definedName>
    <definedName name="MU" localSheetId="1">'[23]One Group'!$K$3</definedName>
    <definedName name="MU" localSheetId="5">'[23]One Group'!$K$3</definedName>
    <definedName name="MU" localSheetId="2">'[23]One Group'!$K$3</definedName>
    <definedName name="MU">#REF!</definedName>
    <definedName name="mue" localSheetId="0">#REF!</definedName>
    <definedName name="mue">#REF!</definedName>
    <definedName name="MUone" localSheetId="0">#REF!</definedName>
    <definedName name="MUone">#REF!</definedName>
    <definedName name="MUREP" localSheetId="4">'[23]One Group Repeated'!$K$3</definedName>
    <definedName name="MUREP" localSheetId="3">'[23]One Group Repeated'!$K$3</definedName>
    <definedName name="MUREP" localSheetId="0">#REF!</definedName>
    <definedName name="MUREP" localSheetId="1">'[23]One Group Repeated'!$K$3</definedName>
    <definedName name="MUREP" localSheetId="5">'[23]One Group Repeated'!$K$3</definedName>
    <definedName name="MUREP" localSheetId="2">'[23]One Group Repeated'!$K$3</definedName>
    <definedName name="MUREP">#REF!</definedName>
    <definedName name="MUtwo" localSheetId="0">#REF!</definedName>
    <definedName name="MUtwo">#REF!</definedName>
    <definedName name="N" localSheetId="4">'[23]One Group'!$I$7</definedName>
    <definedName name="N" localSheetId="3">'[23]One Group'!$I$7</definedName>
    <definedName name="N" localSheetId="0">#REF!</definedName>
    <definedName name="N" localSheetId="1">'[23]One Group'!$I$7</definedName>
    <definedName name="N" localSheetId="5">'[23]One Group'!$I$7</definedName>
    <definedName name="N" localSheetId="2">'[23]One Group'!$I$7</definedName>
    <definedName name="N">#REF!</definedName>
    <definedName name="nawtone" localSheetId="0">#REF!</definedName>
    <definedName name="nawtone">#REF!</definedName>
    <definedName name="ncaptg" localSheetId="0">#REF!</definedName>
    <definedName name="ncaptg">#REF!</definedName>
    <definedName name="ncaptgM">[15]Replication!$W$26</definedName>
    <definedName name="ncplh" localSheetId="4">'[1]MA  Standardised units'!$Z$4</definedName>
    <definedName name="ncplh" localSheetId="3">'[1]MA  Standardised units'!$Z$4</definedName>
    <definedName name="ncplh" localSheetId="0">'[2]MA  Standardised units'!$Z$4</definedName>
    <definedName name="ncplh" localSheetId="1">'[1]MA  Standardised units'!$Z$4</definedName>
    <definedName name="ncplh" localSheetId="5">'[1]MA  Standardised units'!$Z$4</definedName>
    <definedName name="ncplh" localSheetId="2">'[1]MA  Standardised units'!$Z$4</definedName>
    <definedName name="ncplh">'[2]MA  Standardised units'!$Z$4</definedName>
    <definedName name="ncprh" localSheetId="4">'[1]MA  Standardised units'!$AA$4</definedName>
    <definedName name="ncprh" localSheetId="3">'[1]MA  Standardised units'!$AA$4</definedName>
    <definedName name="ncprh" localSheetId="0">'[2]MA  Standardised units'!$AA$4</definedName>
    <definedName name="ncprh" localSheetId="1">'[1]MA  Standardised units'!$AA$4</definedName>
    <definedName name="ncprh" localSheetId="5">'[1]MA  Standardised units'!$AA$4</definedName>
    <definedName name="ncprh" localSheetId="2">'[1]MA  Standardised units'!$AA$4</definedName>
    <definedName name="ncprh">'[2]MA  Standardised units'!$AA$4</definedName>
    <definedName name="ncpstartdp">'[5]Data paired'!$B$17:$C$17</definedName>
    <definedName name="ncpstartsp">#REF!</definedName>
    <definedName name="ncpstartst">#REF!</definedName>
    <definedName name="newsamps" localSheetId="0">#REF!</definedName>
    <definedName name="newsamps">#REF!</definedName>
    <definedName name="newsamps1" localSheetId="0">#REF!</definedName>
    <definedName name="newsamps1">#REF!</definedName>
    <definedName name="newsampso">'[4]d heap'!$A$4:$B$4</definedName>
    <definedName name="newsampss">[4]Sampling!$D$4:$E$4</definedName>
    <definedName name="nextcaptg" localSheetId="0">#REF!</definedName>
    <definedName name="nextcaptg">#REF!</definedName>
    <definedName name="nextcaptgM">[15]Replication!$W$27</definedName>
    <definedName name="nextsamples" localSheetId="4">[24]CIjumping!$G$27</definedName>
    <definedName name="nextsamples" localSheetId="3">[24]CIjumping!$G$27</definedName>
    <definedName name="nextsamples" localSheetId="1">[24]CIjumping!$G$27</definedName>
    <definedName name="nextsamples" localSheetId="5">[24]CIjumping!$G$27</definedName>
    <definedName name="nextsamples" localSheetId="2">[24]CIjumping!$G$27</definedName>
    <definedName name="nextsamples">[25]CIjumping!$G$27</definedName>
    <definedName name="nhisto" localSheetId="0">#REF!</definedName>
    <definedName name="nhisto">#REF!</definedName>
    <definedName name="nla" localSheetId="4">'d subsets'!$G$8</definedName>
    <definedName name="nla" localSheetId="3">'d two groups'!$G$7</definedName>
    <definedName name="nla">#REF!</definedName>
    <definedName name="nlaa" localSheetId="4">'d subsets'!$G$34</definedName>
    <definedName name="nlaa" localSheetId="3">'d two groups'!$G$33</definedName>
    <definedName name="nlaa">#REF!</definedName>
    <definedName name="nlab" localSheetId="4">'d subsets'!$G$35</definedName>
    <definedName name="nlab" localSheetId="3">'d two groups'!$G$34</definedName>
    <definedName name="nlab">#REF!</definedName>
    <definedName name="nlac" localSheetId="4">'d subsets'!$G$36</definedName>
    <definedName name="nlac" localSheetId="3">'d two groups'!$G$35</definedName>
    <definedName name="nlac">#REF!</definedName>
    <definedName name="nlad" localSheetId="4">'d subsets'!$G$37</definedName>
    <definedName name="nlad" localSheetId="3">'d two groups'!$G$36</definedName>
    <definedName name="nlad">#REF!</definedName>
    <definedName name="nlb" localSheetId="4">'d subsets'!$G$9</definedName>
    <definedName name="nlb" localSheetId="3">'d two groups'!$G$8</definedName>
    <definedName name="nlb">#REF!</definedName>
    <definedName name="nlc" localSheetId="4">'d subsets'!$G$10</definedName>
    <definedName name="nlc" localSheetId="3">'d two groups'!$G$9</definedName>
    <definedName name="nlc">#REF!</definedName>
    <definedName name="nlcapt">'[10]Sample r'!$P$21</definedName>
    <definedName name="nld" localSheetId="4">'d subsets'!$G$11</definedName>
    <definedName name="nld" localSheetId="3">'d two groups'!$G$10</definedName>
    <definedName name="nld">#REF!</definedName>
    <definedName name="nle" localSheetId="4">'d subsets'!$G$12</definedName>
    <definedName name="nle" localSheetId="3">'d two groups'!$G$11</definedName>
    <definedName name="nle">#REF!</definedName>
    <definedName name="nlf" localSheetId="4">'d subsets'!$G$13</definedName>
    <definedName name="nlf" localSheetId="3">'d two groups'!$G$12</definedName>
    <definedName name="nlf">#REF!</definedName>
    <definedName name="nlg" localSheetId="4">'d subsets'!$G$14</definedName>
    <definedName name="nlg" localSheetId="3">'d two groups'!$G$13</definedName>
    <definedName name="nlg">#REF!</definedName>
    <definedName name="nlh" localSheetId="4">'d subsets'!$G$15</definedName>
    <definedName name="nlh" localSheetId="3">'d two groups'!$G$14</definedName>
    <definedName name="nlh">#REF!</definedName>
    <definedName name="nli" localSheetId="4">'d subsets'!$G$16</definedName>
    <definedName name="nli" localSheetId="3">'d two groups'!$G$15</definedName>
    <definedName name="nli">#REF!</definedName>
    <definedName name="nlj" localSheetId="4">'d subsets'!$G$17</definedName>
    <definedName name="nlj" localSheetId="3">'d two groups'!$G$16</definedName>
    <definedName name="nlj">#REF!</definedName>
    <definedName name="nlk" localSheetId="4">'d subsets'!$G$18</definedName>
    <definedName name="nlk" localSheetId="3">'d two groups'!$G$17</definedName>
    <definedName name="nlk">#REF!</definedName>
    <definedName name="nll" localSheetId="4">'d subsets'!$G$19</definedName>
    <definedName name="nll" localSheetId="3">'d two groups'!$G$18</definedName>
    <definedName name="nll">#REF!</definedName>
    <definedName name="nlm" localSheetId="4">'d subsets'!$G$20</definedName>
    <definedName name="nlm" localSheetId="3">'d two groups'!$G$19</definedName>
    <definedName name="nlm">#REF!</definedName>
    <definedName name="nln" localSheetId="4">'d subsets'!$G$21</definedName>
    <definedName name="nln" localSheetId="3">'d two groups'!$G$20</definedName>
    <definedName name="nln">#REF!</definedName>
    <definedName name="nlo" localSheetId="4">'d subsets'!$G$22</definedName>
    <definedName name="nlo" localSheetId="3">'d two groups'!$G$21</definedName>
    <definedName name="nlo">#REF!</definedName>
    <definedName name="nlp" localSheetId="4">'d subsets'!$G$23</definedName>
    <definedName name="nlp" localSheetId="3">'d two groups'!$G$22</definedName>
    <definedName name="nlp">#REF!</definedName>
    <definedName name="nlq" localSheetId="4">'d subsets'!$G$24</definedName>
    <definedName name="nlq" localSheetId="3">'d two groups'!$G$23</definedName>
    <definedName name="nlq">#REF!</definedName>
    <definedName name="nlr" localSheetId="4">'d subsets'!$G$25</definedName>
    <definedName name="nlr" localSheetId="3">'d two groups'!$G$24</definedName>
    <definedName name="nlr">#REF!</definedName>
    <definedName name="nls" localSheetId="4">'d subsets'!$G$26</definedName>
    <definedName name="nls" localSheetId="3">'d two groups'!$G$25</definedName>
    <definedName name="nls">#REF!</definedName>
    <definedName name="nlt" localSheetId="4">'d subsets'!$G$27</definedName>
    <definedName name="nlt" localSheetId="3">'d two groups'!$G$26</definedName>
    <definedName name="nlt">#REF!</definedName>
    <definedName name="nlu" localSheetId="4">'d subsets'!$G$28</definedName>
    <definedName name="nlu" localSheetId="3">'d two groups'!$G$27</definedName>
    <definedName name="nlu" localSheetId="0">'[10]Sample r'!$P$20:$P$22</definedName>
    <definedName name="nlu">#REF!</definedName>
    <definedName name="nlv" localSheetId="4">'d subsets'!$G$29</definedName>
    <definedName name="nlv" localSheetId="3">'d two groups'!$G$28</definedName>
    <definedName name="nlv">#REF!</definedName>
    <definedName name="nlw" localSheetId="4">'d subsets'!$G$30</definedName>
    <definedName name="nlw" localSheetId="3">'d two groups'!$G$29</definedName>
    <definedName name="nlw">#REF!</definedName>
    <definedName name="nlx" localSheetId="4">'d subsets'!$G$31</definedName>
    <definedName name="nlx" localSheetId="3">'d two groups'!$G$30</definedName>
    <definedName name="nlx">#REF!</definedName>
    <definedName name="nly" localSheetId="4">'d subsets'!$G$32</definedName>
    <definedName name="nly" localSheetId="3">'d two groups'!$G$31</definedName>
    <definedName name="nly">#REF!</definedName>
    <definedName name="nlz" localSheetId="4">'d subsets'!$G$33</definedName>
    <definedName name="nlz" localSheetId="3">'d two groups'!$G$32</definedName>
    <definedName name="nlz">#REF!</definedName>
    <definedName name="NN" localSheetId="0">#REF!</definedName>
    <definedName name="NN">#REF!</definedName>
    <definedName name="nof">#REF!</definedName>
    <definedName name="None" localSheetId="0">#REF!</definedName>
    <definedName name="None">#REF!</definedName>
    <definedName name="nopts">#REF!</definedName>
    <definedName name="NP" localSheetId="4">'[23]Paired Data'!$K$8</definedName>
    <definedName name="NP" localSheetId="3">'[23]Paired Data'!$K$8</definedName>
    <definedName name="NP" localSheetId="0">'[26]Paired Data'!$K$8</definedName>
    <definedName name="NP" localSheetId="1">'[23]Paired Data'!$K$8</definedName>
    <definedName name="NP" localSheetId="5">'[23]Paired Data'!$K$8</definedName>
    <definedName name="NP" localSheetId="2">'[23]Paired Data'!$K$8</definedName>
    <definedName name="NP">'[26]Paired Data'!$K$8</definedName>
    <definedName name="nrep" localSheetId="4">'[23]One Group Repeated'!$F$13</definedName>
    <definedName name="nrep" localSheetId="3">'[23]One Group Repeated'!$F$13</definedName>
    <definedName name="nrep" localSheetId="0">#REF!</definedName>
    <definedName name="nrep" localSheetId="1">'[23]One Group Repeated'!$F$13</definedName>
    <definedName name="nrep" localSheetId="5">'[23]One Group Repeated'!$F$13</definedName>
    <definedName name="nrep" localSheetId="2">'[23]One Group Repeated'!$F$13</definedName>
    <definedName name="nrep">#REF!</definedName>
    <definedName name="nsamp1" localSheetId="4">'[1]MA  Standardised units'!$G$6</definedName>
    <definedName name="nsamp1" localSheetId="3">'[1]MA  Standardised units'!$G$6</definedName>
    <definedName name="nsamp1" localSheetId="0">'[2]MA  Standardised units'!$G$6</definedName>
    <definedName name="nsamp1" localSheetId="1">'[1]MA  Standardised units'!$G$6</definedName>
    <definedName name="nsamp1" localSheetId="5">'[1]MA  Standardised units'!$G$6</definedName>
    <definedName name="nsamp1" localSheetId="2">'[1]MA  Standardised units'!$G$6</definedName>
    <definedName name="nsamp1">'[2]MA  Standardised units'!$G$6</definedName>
    <definedName name="nsamp10" localSheetId="4">'[1]MA  Standardised units'!$G$15</definedName>
    <definedName name="nsamp10" localSheetId="3">'[1]MA  Standardised units'!$G$15</definedName>
    <definedName name="nsamp10" localSheetId="0">'[2]MA  Standardised units'!$G$15</definedName>
    <definedName name="nsamp10" localSheetId="1">'[1]MA  Standardised units'!$G$15</definedName>
    <definedName name="nsamp10" localSheetId="5">'[1]MA  Standardised units'!$G$15</definedName>
    <definedName name="nsamp10" localSheetId="2">'[1]MA  Standardised units'!$G$15</definedName>
    <definedName name="nsamp10">'[2]MA  Standardised units'!$G$15</definedName>
    <definedName name="nsamp11" localSheetId="4">'[1]MA  Standardised units'!$G$18</definedName>
    <definedName name="nsamp11" localSheetId="3">'[1]MA  Standardised units'!$G$18</definedName>
    <definedName name="nsamp11" localSheetId="0">'[2]MA  Standardised units'!$G$18</definedName>
    <definedName name="nsamp11" localSheetId="1">'[1]MA  Standardised units'!$G$18</definedName>
    <definedName name="nsamp11" localSheetId="5">'[1]MA  Standardised units'!$G$18</definedName>
    <definedName name="nsamp11" localSheetId="2">'[1]MA  Standardised units'!$G$18</definedName>
    <definedName name="nsamp11">'[2]MA  Standardised units'!$G$18</definedName>
    <definedName name="nsamp12" localSheetId="4">'[1]MA  Standardised units'!$G$21</definedName>
    <definedName name="nsamp12" localSheetId="3">'[1]MA  Standardised units'!$G$21</definedName>
    <definedName name="nsamp12" localSheetId="0">'[2]MA  Standardised units'!$G$21</definedName>
    <definedName name="nsamp12" localSheetId="1">'[1]MA  Standardised units'!$G$21</definedName>
    <definedName name="nsamp12" localSheetId="5">'[1]MA  Standardised units'!$G$21</definedName>
    <definedName name="nsamp12" localSheetId="2">'[1]MA  Standardised units'!$G$21</definedName>
    <definedName name="nsamp12">'[2]MA  Standardised units'!$G$21</definedName>
    <definedName name="nsamp13" localSheetId="4">'[1]MA  Standardised units'!$G$24</definedName>
    <definedName name="nsamp13" localSheetId="3">'[1]MA  Standardised units'!$G$24</definedName>
    <definedName name="nsamp13" localSheetId="0">'[2]MA  Standardised units'!$G$24</definedName>
    <definedName name="nsamp13" localSheetId="1">'[1]MA  Standardised units'!$G$24</definedName>
    <definedName name="nsamp13" localSheetId="5">'[1]MA  Standardised units'!$G$24</definedName>
    <definedName name="nsamp13" localSheetId="2">'[1]MA  Standardised units'!$G$24</definedName>
    <definedName name="nsamp13">'[2]MA  Standardised units'!$G$24</definedName>
    <definedName name="nsamp2" localSheetId="4">'[1]MA  Standardised units'!$G$7</definedName>
    <definedName name="nsamp2" localSheetId="3">'[1]MA  Standardised units'!$G$7</definedName>
    <definedName name="nsamp2" localSheetId="0">'[2]MA  Standardised units'!$G$7</definedName>
    <definedName name="nsamp2" localSheetId="1">'[1]MA  Standardised units'!$G$7</definedName>
    <definedName name="nsamp2" localSheetId="5">'[1]MA  Standardised units'!$G$7</definedName>
    <definedName name="nsamp2" localSheetId="2">'[1]MA  Standardised units'!$G$7</definedName>
    <definedName name="nsamp2">'[2]MA  Standardised units'!$G$7</definedName>
    <definedName name="nsamp3" localSheetId="4">'[1]MA  Standardised units'!$G$8</definedName>
    <definedName name="nsamp3" localSheetId="3">'[1]MA  Standardised units'!$G$8</definedName>
    <definedName name="nsamp3" localSheetId="0">'[2]MA  Standardised units'!$G$8</definedName>
    <definedName name="nsamp3" localSheetId="1">'[1]MA  Standardised units'!$G$8</definedName>
    <definedName name="nsamp3" localSheetId="5">'[1]MA  Standardised units'!$G$8</definedName>
    <definedName name="nsamp3" localSheetId="2">'[1]MA  Standardised units'!$G$8</definedName>
    <definedName name="nsamp3">'[2]MA  Standardised units'!$G$8</definedName>
    <definedName name="nsamp4" localSheetId="4">'[1]MA  Standardised units'!$G$9</definedName>
    <definedName name="nsamp4" localSheetId="3">'[1]MA  Standardised units'!$G$9</definedName>
    <definedName name="nsamp4" localSheetId="0">'[2]MA  Standardised units'!$G$9</definedName>
    <definedName name="nsamp4" localSheetId="1">'[1]MA  Standardised units'!$G$9</definedName>
    <definedName name="nsamp4" localSheetId="5">'[1]MA  Standardised units'!$G$9</definedName>
    <definedName name="nsamp4" localSheetId="2">'[1]MA  Standardised units'!$G$9</definedName>
    <definedName name="nsamp4">'[2]MA  Standardised units'!$G$9</definedName>
    <definedName name="nsamp5" localSheetId="4">'[1]MA  Standardised units'!$G$10</definedName>
    <definedName name="nsamp5" localSheetId="3">'[1]MA  Standardised units'!$G$10</definedName>
    <definedName name="nsamp5" localSheetId="0">'[2]MA  Standardised units'!$G$10</definedName>
    <definedName name="nsamp5" localSheetId="1">'[1]MA  Standardised units'!$G$10</definedName>
    <definedName name="nsamp5" localSheetId="5">'[1]MA  Standardised units'!$G$10</definedName>
    <definedName name="nsamp5" localSheetId="2">'[1]MA  Standardised units'!$G$10</definedName>
    <definedName name="nsamp5">'[2]MA  Standardised units'!$G$10</definedName>
    <definedName name="nsamp6" localSheetId="4">'[1]MA  Standardised units'!$G$11</definedName>
    <definedName name="nsamp6" localSheetId="3">'[1]MA  Standardised units'!$G$11</definedName>
    <definedName name="nsamp6" localSheetId="0">'[2]MA  Standardised units'!$G$11</definedName>
    <definedName name="nsamp6" localSheetId="1">'[1]MA  Standardised units'!$G$11</definedName>
    <definedName name="nsamp6" localSheetId="5">'[1]MA  Standardised units'!$G$11</definedName>
    <definedName name="nsamp6" localSheetId="2">'[1]MA  Standardised units'!$G$11</definedName>
    <definedName name="nsamp6">'[2]MA  Standardised units'!$G$11</definedName>
    <definedName name="nsamp7" localSheetId="4">'[1]MA  Standardised units'!$G$12</definedName>
    <definedName name="nsamp7" localSheetId="3">'[1]MA  Standardised units'!$G$12</definedName>
    <definedName name="nsamp7" localSheetId="0">'[2]MA  Standardised units'!$G$12</definedName>
    <definedName name="nsamp7" localSheetId="1">'[1]MA  Standardised units'!$G$12</definedName>
    <definedName name="nsamp7" localSheetId="5">'[1]MA  Standardised units'!$G$12</definedName>
    <definedName name="nsamp7" localSheetId="2">'[1]MA  Standardised units'!$G$12</definedName>
    <definedName name="nsamp7">'[2]MA  Standardised units'!$G$12</definedName>
    <definedName name="nsamp8" localSheetId="4">'[1]MA  Standardised units'!$G$13</definedName>
    <definedName name="nsamp8" localSheetId="3">'[1]MA  Standardised units'!$G$13</definedName>
    <definedName name="nsamp8" localSheetId="0">'[2]MA  Standardised units'!$G$13</definedName>
    <definedName name="nsamp8" localSheetId="1">'[1]MA  Standardised units'!$G$13</definedName>
    <definedName name="nsamp8" localSheetId="5">'[1]MA  Standardised units'!$G$13</definedName>
    <definedName name="nsamp8" localSheetId="2">'[1]MA  Standardised units'!$G$13</definedName>
    <definedName name="nsamp8">'[2]MA  Standardised units'!$G$13</definedName>
    <definedName name="nsamp9" localSheetId="4">'[1]MA  Standardised units'!$G$14</definedName>
    <definedName name="nsamp9" localSheetId="3">'[1]MA  Standardised units'!$G$14</definedName>
    <definedName name="nsamp9" localSheetId="0">'[2]MA  Standardised units'!$G$14</definedName>
    <definedName name="nsamp9" localSheetId="1">'[1]MA  Standardised units'!$G$14</definedName>
    <definedName name="nsamp9" localSheetId="5">'[1]MA  Standardised units'!$G$14</definedName>
    <definedName name="nsamp9" localSheetId="2">'[1]MA  Standardised units'!$G$14</definedName>
    <definedName name="nsamp9">'[2]MA  Standardised units'!$G$14</definedName>
    <definedName name="nsamples" localSheetId="0">#REF!</definedName>
    <definedName name="nsamples">#REF!</definedName>
    <definedName name="nsamps" localSheetId="0">#REF!</definedName>
    <definedName name="nsamps">#REF!</definedName>
    <definedName name="nsamps1" localSheetId="0">#REF!</definedName>
    <definedName name="nsamps1">#REF!</definedName>
    <definedName name="nsampso">'[4]d heap'!$N$18</definedName>
    <definedName name="nsampss">[4]Sampling!$T$17</definedName>
    <definedName name="nsets">'[10]Sample r'!$P$20</definedName>
    <definedName name="Ntwo" localSheetId="0">#REF!</definedName>
    <definedName name="Ntwo">#REF!</definedName>
    <definedName name="nua" localSheetId="4">'d subsets'!$H$8</definedName>
    <definedName name="nua" localSheetId="3">'d two groups'!$H$7</definedName>
    <definedName name="nua">#REF!</definedName>
    <definedName name="nuaa" localSheetId="4">'d subsets'!$H$34</definedName>
    <definedName name="nuaa" localSheetId="3">'d two groups'!$H$33</definedName>
    <definedName name="nuaa">#REF!</definedName>
    <definedName name="nuab" localSheetId="4">'d subsets'!$H$35</definedName>
    <definedName name="nuab" localSheetId="3">'d two groups'!$H$34</definedName>
    <definedName name="nuab">#REF!</definedName>
    <definedName name="nuac" localSheetId="4">'d subsets'!$H$36</definedName>
    <definedName name="nuac" localSheetId="3">'d two groups'!$H$35</definedName>
    <definedName name="nuac">#REF!</definedName>
    <definedName name="nuad" localSheetId="4">'d subsets'!$H$37</definedName>
    <definedName name="nuad" localSheetId="3">'d two groups'!$H$36</definedName>
    <definedName name="nuad">#REF!</definedName>
    <definedName name="nub" localSheetId="4">'d subsets'!$H$9</definedName>
    <definedName name="nub" localSheetId="3">'d two groups'!$H$8</definedName>
    <definedName name="nub">#REF!</definedName>
    <definedName name="nuc" localSheetId="4">'d subsets'!$H$10</definedName>
    <definedName name="nuc" localSheetId="3">'d two groups'!$H$9</definedName>
    <definedName name="nuc">#REF!</definedName>
    <definedName name="nucapt">'[10]Sample r'!$P$22</definedName>
    <definedName name="nud" localSheetId="4">'d subsets'!$H$11</definedName>
    <definedName name="nud" localSheetId="3">'d two groups'!$H$10</definedName>
    <definedName name="nud">#REF!</definedName>
    <definedName name="nue" localSheetId="4">'d subsets'!$H$12</definedName>
    <definedName name="nue" localSheetId="3">'d two groups'!$H$11</definedName>
    <definedName name="nue">#REF!</definedName>
    <definedName name="nuf" localSheetId="4">'d subsets'!$H$13</definedName>
    <definedName name="nuf" localSheetId="3">'d two groups'!$H$12</definedName>
    <definedName name="nuf">#REF!</definedName>
    <definedName name="nug" localSheetId="4">'d subsets'!$H$14</definedName>
    <definedName name="nug" localSheetId="3">'d two groups'!$H$13</definedName>
    <definedName name="nug">#REF!</definedName>
    <definedName name="nuh" localSheetId="4">'d subsets'!$H$15</definedName>
    <definedName name="nuh" localSheetId="3">'d two groups'!$H$14</definedName>
    <definedName name="nuh">#REF!</definedName>
    <definedName name="nui" localSheetId="4">'d subsets'!$H$16</definedName>
    <definedName name="nui" localSheetId="3">'d two groups'!$H$15</definedName>
    <definedName name="nui">#REF!</definedName>
    <definedName name="nuj" localSheetId="4">'d subsets'!$H$17</definedName>
    <definedName name="nuj" localSheetId="3">'d two groups'!$H$16</definedName>
    <definedName name="nuj">#REF!</definedName>
    <definedName name="nuk" localSheetId="4">'d subsets'!$H$18</definedName>
    <definedName name="nuk" localSheetId="3">'d two groups'!$H$17</definedName>
    <definedName name="nuk">#REF!</definedName>
    <definedName name="nul" localSheetId="4">'d subsets'!$H$19</definedName>
    <definedName name="nul" localSheetId="3">'d two groups'!$H$18</definedName>
    <definedName name="nul">#REF!</definedName>
    <definedName name="nullctr">'[19]Case 1 Single Group'!$K$2</definedName>
    <definedName name="num" localSheetId="4">'d subsets'!$H$20</definedName>
    <definedName name="num" localSheetId="3">'d two groups'!$H$19</definedName>
    <definedName name="num">#REF!</definedName>
    <definedName name="NumFreqSets">'[3]Two proportions'!$L$31</definedName>
    <definedName name="numinitsamps" localSheetId="0">#REF!</definedName>
    <definedName name="numinitsamps">#REF!</definedName>
    <definedName name="nun" localSheetId="4">'d subsets'!$H$21</definedName>
    <definedName name="nun" localSheetId="3">'d two groups'!$H$20</definedName>
    <definedName name="nun">#REF!</definedName>
    <definedName name="nuo" localSheetId="4">'d subsets'!$H$22</definedName>
    <definedName name="nuo" localSheetId="3">'d two groups'!$H$21</definedName>
    <definedName name="nuo">#REF!</definedName>
    <definedName name="nup" localSheetId="4">'d subsets'!$H$23</definedName>
    <definedName name="nup" localSheetId="3">'d two groups'!$H$22</definedName>
    <definedName name="nup">#REF!</definedName>
    <definedName name="nuq" localSheetId="4">'d subsets'!$H$24</definedName>
    <definedName name="nuq" localSheetId="3">'d two groups'!$H$23</definedName>
    <definedName name="nuq">#REF!</definedName>
    <definedName name="nur" localSheetId="4">'d subsets'!$H$25</definedName>
    <definedName name="nur" localSheetId="3">'d two groups'!$H$24</definedName>
    <definedName name="nur">#REF!</definedName>
    <definedName name="nus" localSheetId="4">'d subsets'!$H$26</definedName>
    <definedName name="nus" localSheetId="3">'d two groups'!$H$25</definedName>
    <definedName name="nus">#REF!</definedName>
    <definedName name="nut" localSheetId="4">'d subsets'!$H$27</definedName>
    <definedName name="nut" localSheetId="3">'d two groups'!$H$26</definedName>
    <definedName name="nut">#REF!</definedName>
    <definedName name="nuu" localSheetId="4">'d subsets'!$H$28</definedName>
    <definedName name="nuu" localSheetId="3">'d two groups'!$H$27</definedName>
    <definedName name="nuu">#REF!</definedName>
    <definedName name="nuv" localSheetId="4">'d subsets'!$H$29</definedName>
    <definedName name="nuv" localSheetId="3">'d two groups'!$H$28</definedName>
    <definedName name="nuv">#REF!</definedName>
    <definedName name="nuw" localSheetId="4">'d subsets'!$H$30</definedName>
    <definedName name="nuw" localSheetId="3">'d two groups'!$H$29</definedName>
    <definedName name="nuw">#REF!</definedName>
    <definedName name="nux" localSheetId="4">'d subsets'!$H$31</definedName>
    <definedName name="nux" localSheetId="3">'d two groups'!$H$30</definedName>
    <definedName name="nux">#REF!</definedName>
    <definedName name="nuy" localSheetId="4">'d subsets'!$H$32</definedName>
    <definedName name="nuy" localSheetId="3">'d two groups'!$H$31</definedName>
    <definedName name="nuy">#REF!</definedName>
    <definedName name="nuz" localSheetId="4">'d subsets'!$H$33</definedName>
    <definedName name="nuz" localSheetId="3">'d two groups'!$H$32</definedName>
    <definedName name="nuz">#REF!</definedName>
    <definedName name="oldsamps" localSheetId="0">#REF!</definedName>
    <definedName name="oldsamps">#REF!</definedName>
    <definedName name="oldsamps1" localSheetId="0">#REF!</definedName>
    <definedName name="oldsamps1">#REF!</definedName>
    <definedName name="oldsampso">'[4]d heap'!$A$3:$B$304</definedName>
    <definedName name="oldsampss">[4]Sampling!$D$3:$E$304</definedName>
    <definedName name="onealso" localSheetId="0">#REF!</definedName>
    <definedName name="onealso">#REF!</definedName>
    <definedName name="OneSpeed" localSheetId="0">#REF!</definedName>
    <definedName name="OneSpeed">#REF!</definedName>
    <definedName name="Oscrollcount">[8]Describe!$AH$2</definedName>
    <definedName name="overflow">'[12]Vary C'!$N$14</definedName>
    <definedName name="p9obt" localSheetId="0">#REF!</definedName>
    <definedName name="p9obt">#REF!</definedName>
    <definedName name="p9vala1" localSheetId="0">#REF!</definedName>
    <definedName name="p9vala1">#REF!</definedName>
    <definedName name="p9vala2" localSheetId="0">#REF!</definedName>
    <definedName name="p9vala2">#REF!</definedName>
    <definedName name="p9vala3" localSheetId="0">#REF!</definedName>
    <definedName name="p9vala3">#REF!</definedName>
    <definedName name="p9vala4" localSheetId="0">#REF!</definedName>
    <definedName name="p9vala4">#REF!</definedName>
    <definedName name="p9valb3" localSheetId="0">#REF!</definedName>
    <definedName name="p9valb3">#REF!</definedName>
    <definedName name="p9valb4" localSheetId="0">#REF!</definedName>
    <definedName name="p9valb4">#REF!</definedName>
    <definedName name="PairSpeed" localSheetId="0">#REF!</definedName>
    <definedName name="PairSpeed">#REF!</definedName>
    <definedName name="paraminto" localSheetId="0">#REF!</definedName>
    <definedName name="paraminto">#REF!</definedName>
    <definedName name="paraminto1" localSheetId="0">#REF!</definedName>
    <definedName name="paraminto1">#REF!</definedName>
    <definedName name="paramintoo">'[4]d heap'!$D$10</definedName>
    <definedName name="paramintos">[4]Sampling!$G$10</definedName>
    <definedName name="params" localSheetId="0">#REF!</definedName>
    <definedName name="params">#REF!</definedName>
    <definedName name="params1" localSheetId="0">#REF!</definedName>
    <definedName name="params1">#REF!</definedName>
    <definedName name="paramso">'[4]d heap'!$E$10:$E$13</definedName>
    <definedName name="paramss">[4]Sampling!$H$10:$H$13</definedName>
    <definedName name="park">'[10]Calculate r'!$K$2</definedName>
    <definedName name="parkr">'[10]See r'!$C$14</definedName>
    <definedName name="parkr2" localSheetId="0">#REF!</definedName>
    <definedName name="parkr2">#REF!</definedName>
    <definedName name="parkrtwo">'[11]Two correlations'!$J$2</definedName>
    <definedName name="parkrz">'[11]r to z'!$J$2</definedName>
    <definedName name="parksr">'[10]Sample r'!$N$2</definedName>
    <definedName name="pccursortf">[8]Describe!$Y$24</definedName>
    <definedName name="persist">#REF!</definedName>
    <definedName name="pnineobt">#REF!</definedName>
    <definedName name="pnvalafour">#REF!</definedName>
    <definedName name="pnvalaone">#REF!</definedName>
    <definedName name="pnvalathree">#REF!</definedName>
    <definedName name="pnvalatwo">#REF!</definedName>
    <definedName name="pnvalbfour">#REF!</definedName>
    <definedName name="pnvalbthree">#REF!</definedName>
    <definedName name="POPMEAN" localSheetId="4">'[23]Paired Data'!$K$3</definedName>
    <definedName name="POPMEAN" localSheetId="3">'[23]Paired Data'!$K$3</definedName>
    <definedName name="POPMEAN" localSheetId="0">'[26]Paired Data'!$K$3</definedName>
    <definedName name="POPMEAN" localSheetId="1">'[23]Paired Data'!$K$3</definedName>
    <definedName name="POPMEAN" localSheetId="5">'[23]Paired Data'!$K$3</definedName>
    <definedName name="POPMEAN" localSheetId="2">'[23]Paired Data'!$K$3</definedName>
    <definedName name="POPMEAN">'[26]Paired Data'!$K$3</definedName>
    <definedName name="POPMEANDIFF" localSheetId="4">'[23]Paired Data'!$H$11</definedName>
    <definedName name="POPMEANDIFF" localSheetId="3">'[23]Paired Data'!$H$11</definedName>
    <definedName name="POPMEANDIFF" localSheetId="0">'[26]Paired Data'!$H$11</definedName>
    <definedName name="POPMEANDIFF" localSheetId="1">'[23]Paired Data'!$H$11</definedName>
    <definedName name="POPMEANDIFF" localSheetId="5">'[23]Paired Data'!$H$11</definedName>
    <definedName name="POPMEANDIFF" localSheetId="2">'[23]Paired Data'!$H$11</definedName>
    <definedName name="POPMEANDIFF">'[26]Paired Data'!$H$11</definedName>
    <definedName name="POPSIGMA" localSheetId="4">'[23]Paired Data'!$K$5</definedName>
    <definedName name="POPSIGMA" localSheetId="3">'[23]Paired Data'!$K$5</definedName>
    <definedName name="POPSIGMA" localSheetId="0">'[26]Paired Data'!$K$5</definedName>
    <definedName name="POPSIGMA" localSheetId="1">'[23]Paired Data'!$K$5</definedName>
    <definedName name="POPSIGMA" localSheetId="5">'[23]Paired Data'!$K$5</definedName>
    <definedName name="POPSIGMA" localSheetId="2">'[23]Paired Data'!$K$5</definedName>
    <definedName name="POPSIGMA">'[26]Paired Data'!$K$5</definedName>
    <definedName name="preplabel">[15]Replication!$AS$8</definedName>
    <definedName name="Prop1">'[3]Two proportions'!$G$31</definedName>
    <definedName name="Prop2">'[3]Two proportions'!$I$31</definedName>
    <definedName name="ptrs">#REF!</definedName>
    <definedName name="putfour">'[4]Precision one'!$AD$1:$AD$4</definedName>
    <definedName name="putfourg">'[4]Precision one'!$Z$1:$Z$4</definedName>
    <definedName name="putgamma">'[4]Precision one'!$AH$1</definedName>
    <definedName name="putht" localSheetId="0">#REF!</definedName>
    <definedName name="putht">#REF!</definedName>
    <definedName name="putoneprop">'[5]One proportion'!$A$20</definedName>
    <definedName name="putrand" localSheetId="0">'[10]Calculate r'!$AE$2</definedName>
    <definedName name="putrand">'[10]Calculate r'!$AE$2</definedName>
    <definedName name="puttwoprop">'[5]Two proportions'!$B$18</definedName>
    <definedName name="putXY">'[10]Calculate r'!$B$8</definedName>
    <definedName name="pvallabel">[15]Replication!$AS$7</definedName>
    <definedName name="RangeSliders">'[10]Calculate r'!$AX$5</definedName>
    <definedName name="Rep4copy" localSheetId="0">#REF!</definedName>
    <definedName name="Rep4copy">#REF!</definedName>
    <definedName name="Rep4paste" localSheetId="0">#REF!</definedName>
    <definedName name="Rep4paste">#REF!</definedName>
    <definedName name="Rep5copy" localSheetId="0">#REF!</definedName>
    <definedName name="Rep5copy">#REF!</definedName>
    <definedName name="Rep5paste" localSheetId="0">#REF!</definedName>
    <definedName name="Rep5paste">#REF!</definedName>
    <definedName name="Repchange" localSheetId="0">#REF!</definedName>
    <definedName name="Repchange">#REF!</definedName>
    <definedName name="Repfivecopy">#REF!</definedName>
    <definedName name="Repfivepaste">#REF!</definedName>
    <definedName name="repindex" localSheetId="0">#REF!</definedName>
    <definedName name="repindex">#REF!</definedName>
    <definedName name="Replast" localSheetId="0">#REF!</definedName>
    <definedName name="Replast">#REF!</definedName>
    <definedName name="Repnew" localSheetId="0">#REF!</definedName>
    <definedName name="Repnew">#REF!</definedName>
    <definedName name="repnow" localSheetId="0">#REF!</definedName>
    <definedName name="repnow">#REF!</definedName>
    <definedName name="Repold" localSheetId="0">#REF!</definedName>
    <definedName name="Repold">#REF!</definedName>
    <definedName name="repseed" localSheetId="0">#REF!</definedName>
    <definedName name="repseed">#REF!</definedName>
    <definedName name="Repsing2switch" localSheetId="0">#REF!</definedName>
    <definedName name="Repsing2switch">#REF!</definedName>
    <definedName name="repsingswitch" localSheetId="0">#REF!</definedName>
    <definedName name="repsingswitch">#REF!</definedName>
    <definedName name="RepSingtwoSwitch">#REF!</definedName>
    <definedName name="RepSpeed" localSheetId="0">#REF!</definedName>
    <definedName name="RepSpeed">#REF!</definedName>
    <definedName name="Repswitch" localSheetId="0">#REF!</definedName>
    <definedName name="Repswitch">#REF!</definedName>
    <definedName name="revchi">'[5]Two proportions'!$BM$3</definedName>
    <definedName name="RevCI" localSheetId="0">'[14]Two studies'!$AN$18</definedName>
    <definedName name="RevCI">#REF!</definedName>
    <definedName name="revdatatwo">#REF!</definedName>
    <definedName name="RevealMoren">'[3]Two proportions'!$AN$1</definedName>
    <definedName name="RevealSimn">'[3]Two proportions'!$AN$2</definedName>
    <definedName name="RevMA" localSheetId="0">'[14]Two studies'!$AN$19</definedName>
    <definedName name="RevMA">#REF!</definedName>
    <definedName name="RevNHST" localSheetId="0">'[14]Two studies'!$AN$17</definedName>
    <definedName name="RevNHST">#REF!</definedName>
    <definedName name="Revpaired" localSheetId="0">#REF!</definedName>
    <definedName name="Revpaired">#REF!</definedName>
    <definedName name="rforz">#REF!</definedName>
    <definedName name="rfyinc">'[10]Sample r'!$V$36</definedName>
    <definedName name="rmaxy">'[10]Sample r'!$AD$8</definedName>
    <definedName name="rparams">'[10]Sample r'!$P$15:$P$19</definedName>
    <definedName name="rparamsinto">'[10]Sample r'!$O$15</definedName>
    <definedName name="Rpvf">'[7]p value function'!$O$5</definedName>
    <definedName name="rseed">'[10]See r'!$K$5</definedName>
    <definedName name="rswitch">'[10]Sample r'!$N$17</definedName>
    <definedName name="rtzshow" localSheetId="0">#REF!</definedName>
    <definedName name="rtzshow">#REF!</definedName>
    <definedName name="ryinitial">'[10]Sample r'!$AB$1</definedName>
    <definedName name="samplefix">'[5]See r'!$AY$9</definedName>
    <definedName name="samps" localSheetId="0">#REF!</definedName>
    <definedName name="samps">#REF!</definedName>
    <definedName name="samps1" localSheetId="0">#REF!</definedName>
    <definedName name="samps1">#REF!</definedName>
    <definedName name="sampso">'[4]d heap'!$A$4:$B$305</definedName>
    <definedName name="sampss">[4]Sampling!$D$4:$E$305</definedName>
    <definedName name="save11">'[3]Two proportions'!$AD$5</definedName>
    <definedName name="save12">'[3]Two proportions'!$AE$5</definedName>
    <definedName name="save21">'[3]Two proportions'!$AD$6</definedName>
    <definedName name="save22">'[3]Two proportions'!$AE$6</definedName>
    <definedName name="savetotal1">'[3]Two proportions'!$AD$7</definedName>
    <definedName name="savetotal2">'[3]Two proportions'!$AE$7</definedName>
    <definedName name="savexinc">[8]Describe!$Z$16</definedName>
    <definedName name="scatd1name">[5]Scatterplots!$BC$4</definedName>
    <definedName name="scatd2name">[5]Scatterplots!$BH$4</definedName>
    <definedName name="scatd3name">[5]Scatterplots!$BM$4</definedName>
    <definedName name="scatd4name">[5]Scatterplots!$BR$4</definedName>
    <definedName name="scatd5name">[5]Scatterplots!$BW$4</definedName>
    <definedName name="scatd6name">[5]Scatterplots!$CB$4</definedName>
    <definedName name="scatdatafive">[5]Scatterplots!$BV$7:$BW$306</definedName>
    <definedName name="scatdatafour">[5]Scatterplots!$BQ$7:$BR$306</definedName>
    <definedName name="scatdataone">[5]Scatterplots!$BB$7:$BC$306</definedName>
    <definedName name="scatdatasix">[5]Scatterplots!$CA$7:$CB$306</definedName>
    <definedName name="scatdatathree">[5]Scatterplots!$BL$7:$BM$306</definedName>
    <definedName name="scatdatatwo">[5]Scatterplots!$BG$7:$BH$306</definedName>
    <definedName name="scatdname">[5]Scatterplots!$C$6</definedName>
    <definedName name="scatlabels">[5]Scatterplots!$B$12:$C$12</definedName>
    <definedName name="scatlabfive">[5]Scatterplots!$BV$6:$BW$6</definedName>
    <definedName name="scatlabfour">[5]Scatterplots!$BQ$6:$BR$6</definedName>
    <definedName name="scatlabone">[5]Scatterplots!$BB$6:$BC$6</definedName>
    <definedName name="scatlabsix">[5]Scatterplots!$CA$6:$CB$6</definedName>
    <definedName name="scatlabthree">[5]Scatterplots!$BL$6:$BM$6</definedName>
    <definedName name="scatlabtwo">[5]Scatterplots!$BG$6:$BH$6</definedName>
    <definedName name="seriesfourtf">[11]Figure!$AC$96</definedName>
    <definedName name="seriesolabel">[11]Figure!$B$12</definedName>
    <definedName name="seriesonetf">[11]Figure!$AC$84</definedName>
    <definedName name="seriesthreetf">[11]Figure!$AC$92</definedName>
    <definedName name="seriestwotf">[11]Figure!$AC$88</definedName>
    <definedName name="showcapt" localSheetId="0">#REF!</definedName>
    <definedName name="showcapt">#REF!</definedName>
    <definedName name="showmu" localSheetId="0">#REF!</definedName>
    <definedName name="showmu">#REF!</definedName>
    <definedName name="ShowOrigFreq">'[3]Two proportions'!$R$16</definedName>
    <definedName name="Showp">'[3]Two proportions'!$AL$6</definedName>
    <definedName name="showthree">[8]Describe!$V$35</definedName>
    <definedName name="SIGMA" localSheetId="4">'[23]One Group'!$K$4</definedName>
    <definedName name="SIGMA" localSheetId="3">'[23]One Group'!$K$4</definedName>
    <definedName name="SIGMA" localSheetId="0">#REF!</definedName>
    <definedName name="SIGMA" localSheetId="1">'[23]One Group'!$K$4</definedName>
    <definedName name="SIGMA" localSheetId="5">'[23]One Group'!$K$4</definedName>
    <definedName name="SIGMA" localSheetId="2">'[23]One Group'!$K$4</definedName>
    <definedName name="SIGMA">#REF!</definedName>
    <definedName name="SIGMADIFF" localSheetId="4">'[23]Paired Data'!$K$6</definedName>
    <definedName name="SIGMADIFF" localSheetId="3">'[23]Paired Data'!$K$6</definedName>
    <definedName name="SIGMADIFF" localSheetId="0">'[26]Paired Data'!$K$6</definedName>
    <definedName name="SIGMADIFF" localSheetId="1">'[23]Paired Data'!$K$6</definedName>
    <definedName name="SIGMADIFF" localSheetId="5">'[23]Paired Data'!$K$6</definedName>
    <definedName name="SIGMADIFF" localSheetId="2">'[23]Paired Data'!$K$6</definedName>
    <definedName name="SIGMADIFF">'[26]Paired Data'!$K$6</definedName>
    <definedName name="SIGMAREP" localSheetId="4">'[23]One Group Repeated'!$K$4</definedName>
    <definedName name="SIGMAREP" localSheetId="3">'[23]One Group Repeated'!$K$4</definedName>
    <definedName name="SIGMAREP" localSheetId="0">#REF!</definedName>
    <definedName name="SIGMAREP" localSheetId="1">'[23]One Group Repeated'!$K$4</definedName>
    <definedName name="SIGMAREP" localSheetId="5">'[23]One Group Repeated'!$K$4</definedName>
    <definedName name="SIGMAREP" localSheetId="2">'[23]One Group Repeated'!$K$4</definedName>
    <definedName name="SIGMAREP">#REF!</definedName>
    <definedName name="SimOneGrab" localSheetId="0">#REF!</definedName>
    <definedName name="SimOneGrab">#REF!</definedName>
    <definedName name="SimOnePut" localSheetId="0">#REF!</definedName>
    <definedName name="SimOnePut">#REF!</definedName>
    <definedName name="SimPairGrab" localSheetId="0">#REF!</definedName>
    <definedName name="SimPairGrab">#REF!</definedName>
    <definedName name="SimPairPut" localSheetId="0">#REF!</definedName>
    <definedName name="SimPairPut">#REF!</definedName>
    <definedName name="SimTwoGrab" localSheetId="0">#REF!</definedName>
    <definedName name="SimTwoGrab">#REF!</definedName>
    <definedName name="SimTwoPut" localSheetId="0">#REF!</definedName>
    <definedName name="SimTwoPut">#REF!</definedName>
    <definedName name="slidersget">'[10]Calculate r'!$AB$11:$AB$14</definedName>
    <definedName name="slidersput">'[10]Calculate r'!$AB$2</definedName>
    <definedName name="sometrue">[11]Figure!$R$89</definedName>
    <definedName name="soundflag" localSheetId="0">#REF!</definedName>
    <definedName name="soundflag">#REF!</definedName>
    <definedName name="spadjsl">[5]Scatterplots!$DS$1</definedName>
    <definedName name="spcim">[5]Scatterplots!$DU$1</definedName>
    <definedName name="spparticx">[5]Scatterplots!$DW$2</definedName>
    <definedName name="spregl">[5]Scatterplots!$DM$1</definedName>
    <definedName name="spxy">[5]Scatterplots!$DS$3</definedName>
    <definedName name="spyerr">[5]Scatterplots!$DO$1</definedName>
    <definedName name="spypr">[5]Scatterplots!$DW$1</definedName>
    <definedName name="stack">[8]Describe!$Y$14</definedName>
    <definedName name="StartC">'[3]Overlap two proportions'!$AL$8:$AL$67</definedName>
    <definedName name="StartCd">'[3]Overlap two proportions'!$BN$8:$BN$67</definedName>
    <definedName name="startlu" localSheetId="4">'d subsets'!$G$8:$H$37</definedName>
    <definedName name="startlu" localSheetId="3">'d two groups'!$G$7:$H$36</definedName>
    <definedName name="startlu">#REF!</definedName>
    <definedName name="startncp">#REF!</definedName>
    <definedName name="Startp2">'[3]Overlap two proportions'!$V$8:$V$67</definedName>
    <definedName name="startpos">#REF!</definedName>
    <definedName name="Startr2">'[3]Overlap two correlations (n1)'!$P$5:$P$64</definedName>
    <definedName name="StartRawData">'[3]Two proportions'!$AT$9:$AV$9</definedName>
    <definedName name="Stz" localSheetId="0">#REF!</definedName>
    <definedName name="Stz">#REF!</definedName>
    <definedName name="Stzz" localSheetId="0">#REF!</definedName>
    <definedName name="Stzz">#REF!</definedName>
    <definedName name="t" localSheetId="4">'[23]One Group Repeated'!$F$13</definedName>
    <definedName name="t" localSheetId="3">'[23]One Group Repeated'!$F$13</definedName>
    <definedName name="t" localSheetId="0">#REF!</definedName>
    <definedName name="t" localSheetId="1">'[23]One Group Repeated'!$F$13</definedName>
    <definedName name="t" localSheetId="5">'[23]One Group Repeated'!$F$13</definedName>
    <definedName name="t" localSheetId="2">'[23]One Group Repeated'!$F$13</definedName>
    <definedName name="t">#REF!</definedName>
    <definedName name="tbzlh" localSheetId="4">'[1]MA  Standardised units'!$Z$3</definedName>
    <definedName name="tbzlh" localSheetId="3">'[1]MA  Standardised units'!$Z$3</definedName>
    <definedName name="tbzlh" localSheetId="0">'[2]MA  Standardised units'!$Z$3</definedName>
    <definedName name="tbzlh" localSheetId="1">'[1]MA  Standardised units'!$Z$3</definedName>
    <definedName name="tbzlh" localSheetId="5">'[1]MA  Standardised units'!$Z$3</definedName>
    <definedName name="tbzlh" localSheetId="2">'[1]MA  Standardised units'!$Z$3</definedName>
    <definedName name="tbzlh">'[2]MA  Standardised units'!$Z$3</definedName>
    <definedName name="tbzlld">'[4]CI for d'!$AS$5</definedName>
    <definedName name="tbzoneprop">'[5]One proportion'!$B$14</definedName>
    <definedName name="tbzrh" localSheetId="4">'[1]MA  Standardised units'!$AA$3</definedName>
    <definedName name="tbzrh" localSheetId="3">'[1]MA  Standardised units'!$AA$3</definedName>
    <definedName name="tbzrh" localSheetId="0">'[2]MA  Standardised units'!$AA$3</definedName>
    <definedName name="tbzrh" localSheetId="1">'[1]MA  Standardised units'!$AA$3</definedName>
    <definedName name="tbzrh" localSheetId="5">'[1]MA  Standardised units'!$AA$3</definedName>
    <definedName name="tbzrh" localSheetId="2">'[1]MA  Standardised units'!$AA$3</definedName>
    <definedName name="tbzrh">'[2]MA  Standardised units'!$AA$3</definedName>
    <definedName name="tbztwoprop">'[6]Two proportions'!$C$15</definedName>
    <definedName name="tbzuld">'[4]CI for d'!$AS$6</definedName>
    <definedName name="tbzz1">'[3]Overlap two proportions'!$CD$8</definedName>
    <definedName name="tbzz10">'[3]Overlap two proportions'!$CD$17</definedName>
    <definedName name="tbzz11">'[3]Overlap two proportions'!$CD$18</definedName>
    <definedName name="tbzz12">'[3]Overlap two proportions'!$CD$19</definedName>
    <definedName name="tbzz13">'[3]Overlap two proportions'!$CD$20</definedName>
    <definedName name="tbzz14">'[3]Overlap two proportions'!$CD$21</definedName>
    <definedName name="tbzz15">'[3]Overlap two proportions'!$CD$22</definedName>
    <definedName name="tbzz16">'[3]Overlap two proportions'!$CD$23</definedName>
    <definedName name="tbzz17">'[3]Overlap two proportions'!$CD$24</definedName>
    <definedName name="tbzz18">'[3]Overlap two proportions'!$CD$25</definedName>
    <definedName name="tbzz19">'[3]Overlap two proportions'!$CD$26</definedName>
    <definedName name="tbzz2">'[3]Overlap two proportions'!$CD$9</definedName>
    <definedName name="tbzz20">'[3]Overlap two proportions'!$CD$27</definedName>
    <definedName name="tbzz21">'[3]Overlap two proportions'!$CD$28</definedName>
    <definedName name="tbzz22">'[3]Overlap two proportions'!$CD$29</definedName>
    <definedName name="tbzz23">'[3]Overlap two proportions'!$CD$30</definedName>
    <definedName name="tbzz24">'[3]Overlap two proportions'!$CD$31</definedName>
    <definedName name="tbzz25">'[3]Overlap two proportions'!$CD$32</definedName>
    <definedName name="tbzz26">'[3]Overlap two proportions'!$CD$33</definedName>
    <definedName name="tbzz27">'[3]Overlap two proportions'!$CD$34</definedName>
    <definedName name="tbzz28">'[3]Overlap two proportions'!$CD$35</definedName>
    <definedName name="tbzz29">'[3]Overlap two proportions'!$CD$36</definedName>
    <definedName name="tbzz3">'[3]Overlap two proportions'!$CD$10</definedName>
    <definedName name="tbzz30">'[3]Overlap two proportions'!$CD$37</definedName>
    <definedName name="tbzz31">'[3]Overlap two proportions'!$CD$38</definedName>
    <definedName name="tbzz32">'[3]Overlap two proportions'!$CD$39</definedName>
    <definedName name="tbzz33">'[3]Overlap two proportions'!$CD$40</definedName>
    <definedName name="tbzz34">'[3]Overlap two proportions'!$CD$41</definedName>
    <definedName name="tbzz35">'[3]Overlap two proportions'!$CD$42</definedName>
    <definedName name="tbzz36">'[3]Overlap two proportions'!$CD$43</definedName>
    <definedName name="tbzz37">'[3]Overlap two proportions'!$CD$44</definedName>
    <definedName name="tbzz38">'[3]Overlap two proportions'!$CD$45</definedName>
    <definedName name="tbzz39">'[3]Overlap two proportions'!$CD$46</definedName>
    <definedName name="tbzz4">'[3]Overlap two proportions'!$CD$11</definedName>
    <definedName name="tbzz40">'[3]Overlap two proportions'!$CD$47</definedName>
    <definedName name="tbzz41">'[3]Overlap two proportions'!$CD$48</definedName>
    <definedName name="tbzz42">'[3]Overlap two proportions'!$CD$49</definedName>
    <definedName name="tbzz43">'[3]Overlap two proportions'!$CD$50</definedName>
    <definedName name="tbzz44">'[3]Overlap two proportions'!$CD$51</definedName>
    <definedName name="tbzz45">'[3]Overlap two proportions'!$CD$52</definedName>
    <definedName name="tbzz46">'[3]Overlap two proportions'!$CD$53</definedName>
    <definedName name="tbzz47">'[3]Overlap two proportions'!$CD$54</definedName>
    <definedName name="tbzz48">'[3]Overlap two proportions'!$CD$55</definedName>
    <definedName name="tbzz49">'[3]Overlap two proportions'!$CD$56</definedName>
    <definedName name="tbzz5">'[3]Overlap two proportions'!$CD$12</definedName>
    <definedName name="tbzz50">'[3]Overlap two proportions'!$CD$57</definedName>
    <definedName name="tbzz51">'[3]Overlap two proportions'!$CD$58</definedName>
    <definedName name="tbzz52">'[3]Overlap two proportions'!$CD$59</definedName>
    <definedName name="tbzz53">'[3]Overlap two proportions'!$CD$60</definedName>
    <definedName name="tbzz54">'[3]Overlap two proportions'!$CD$61</definedName>
    <definedName name="tbzz55">'[3]Overlap two proportions'!$CD$62</definedName>
    <definedName name="tbzz56">'[3]Overlap two proportions'!$CD$63</definedName>
    <definedName name="tbzz57">'[3]Overlap two proportions'!$CD$64</definedName>
    <definedName name="tbzz58">'[3]Overlap two proportions'!$CD$65</definedName>
    <definedName name="tbzz59">'[3]Overlap two proportions'!$CD$66</definedName>
    <definedName name="tbzz6">'[3]Overlap two proportions'!$CD$13</definedName>
    <definedName name="tbzz60">'[3]Overlap two proportions'!$CD$67</definedName>
    <definedName name="tbzz7">'[3]Overlap two proportions'!$CD$14</definedName>
    <definedName name="tbzz8">'[3]Overlap two proportions'!$CD$15</definedName>
    <definedName name="tbzz9">'[3]Overlap two proportions'!$CD$16</definedName>
    <definedName name="thisisc">'[4]Precision paired'!$V$140</definedName>
    <definedName name="tobez1">'[3]Overlap two proportions'!$BB$8</definedName>
    <definedName name="tobez10">'[3]Overlap two proportions'!$BB$17</definedName>
    <definedName name="tobez11">'[3]Overlap two proportions'!$BB$18</definedName>
    <definedName name="tobez12">'[3]Overlap two proportions'!$BB$19</definedName>
    <definedName name="tobez13">'[3]Overlap two proportions'!$BB$20</definedName>
    <definedName name="tobez14">'[3]Overlap two proportions'!$BB$21</definedName>
    <definedName name="tobez15">'[3]Overlap two proportions'!$BB$22</definedName>
    <definedName name="tobez16">'[3]Overlap two proportions'!$BB$23</definedName>
    <definedName name="tobez17">'[3]Overlap two proportions'!$BB$24</definedName>
    <definedName name="tobez18">'[3]Overlap two proportions'!$BB$25</definedName>
    <definedName name="tobez19">'[3]Overlap two proportions'!$BB$26</definedName>
    <definedName name="tobez2">'[3]Overlap two proportions'!$BB$9</definedName>
    <definedName name="tobez20">'[3]Overlap two proportions'!$BB$27</definedName>
    <definedName name="tobez21">'[3]Overlap two proportions'!$BB$28</definedName>
    <definedName name="tobez22">'[3]Overlap two proportions'!$BB$29</definedName>
    <definedName name="tobez23">'[3]Overlap two proportions'!$BB$30</definedName>
    <definedName name="tobez24">'[3]Overlap two proportions'!$BB$31</definedName>
    <definedName name="tobez25">'[3]Overlap two proportions'!$BB$32</definedName>
    <definedName name="tobez26">'[3]Overlap two proportions'!$BB$33</definedName>
    <definedName name="tobez27">'[3]Overlap two proportions'!$BB$34</definedName>
    <definedName name="tobez28">'[3]Overlap two proportions'!$BB$35</definedName>
    <definedName name="tobez29">'[3]Overlap two proportions'!$BB$36</definedName>
    <definedName name="tobez3">'[3]Overlap two proportions'!$BB$10</definedName>
    <definedName name="tobez30">'[3]Overlap two proportions'!$BB$37</definedName>
    <definedName name="tobez31">'[3]Overlap two proportions'!$BB$38</definedName>
    <definedName name="tobez32">'[3]Overlap two proportions'!$BB$39</definedName>
    <definedName name="tobez33">'[3]Overlap two proportions'!$BB$40</definedName>
    <definedName name="tobez34">'[3]Overlap two proportions'!$BB$41</definedName>
    <definedName name="tobez35">'[3]Overlap two proportions'!$BB$42</definedName>
    <definedName name="tobez36">'[3]Overlap two proportions'!$BB$43</definedName>
    <definedName name="tobez37">'[3]Overlap two proportions'!$BB$44</definedName>
    <definedName name="tobez38">'[3]Overlap two proportions'!$BB$45</definedName>
    <definedName name="tobez39">'[3]Overlap two proportions'!$BB$46</definedName>
    <definedName name="tobez4">'[3]Overlap two proportions'!$BB$11</definedName>
    <definedName name="tobez40">'[3]Overlap two proportions'!$BB$47</definedName>
    <definedName name="tobez41">'[3]Overlap two proportions'!$BB$48</definedName>
    <definedName name="tobez42">'[3]Overlap two proportions'!$BB$49</definedName>
    <definedName name="tobez43">'[3]Overlap two proportions'!$BB$50</definedName>
    <definedName name="tobez44">'[3]Overlap two proportions'!$BB$51</definedName>
    <definedName name="tobez45">'[3]Overlap two proportions'!$BB$52</definedName>
    <definedName name="tobez46">'[3]Overlap two proportions'!$BB$53</definedName>
    <definedName name="tobez47">'[3]Overlap two proportions'!$BB$54</definedName>
    <definedName name="tobez48">'[3]Overlap two proportions'!$BB$55</definedName>
    <definedName name="tobez49">'[3]Overlap two proportions'!$BB$56</definedName>
    <definedName name="tobez5">'[3]Overlap two proportions'!$BB$12</definedName>
    <definedName name="tobez50">'[3]Overlap two proportions'!$BB$57</definedName>
    <definedName name="tobez51">'[3]Overlap two proportions'!$BB$58</definedName>
    <definedName name="tobez52">'[3]Overlap two proportions'!$BB$59</definedName>
    <definedName name="tobez53">'[3]Overlap two proportions'!$BB$60</definedName>
    <definedName name="tobez54">'[3]Overlap two proportions'!$BB$61</definedName>
    <definedName name="tobez55">'[3]Overlap two proportions'!$BB$62</definedName>
    <definedName name="tobez56">'[3]Overlap two proportions'!$BB$63</definedName>
    <definedName name="tobez57">'[3]Overlap two proportions'!$BB$64</definedName>
    <definedName name="tobez58">'[3]Overlap two proportions'!$BB$65</definedName>
    <definedName name="tobez59">'[3]Overlap two proportions'!$BB$66</definedName>
    <definedName name="tobez6">'[3]Overlap two proportions'!$BB$13</definedName>
    <definedName name="tobez60">'[3]Overlap two proportions'!$BB$67</definedName>
    <definedName name="tobez7">'[3]Overlap two proportions'!$BB$14</definedName>
    <definedName name="tobez8">'[3]Overlap two proportions'!$BB$15</definedName>
    <definedName name="tobez9">'[3]Overlap two proportions'!$BB$16</definedName>
    <definedName name="tochange">'[5]See r'!$A$7:$A$8</definedName>
    <definedName name="topleft" localSheetId="0">#REF!</definedName>
    <definedName name="topleftg">'[4]Precision one'!$U$7</definedName>
    <definedName name="Total1">'[3]Two proportions'!$G$13</definedName>
    <definedName name="Total2">'[3]Two proportions'!$I$13</definedName>
    <definedName name="ttbz1">'[3]Overlap two correlations (n1)'!$T$5</definedName>
    <definedName name="ttbz10">'[3]Overlap two correlations (n1)'!$T$14</definedName>
    <definedName name="ttbz11">'[3]Overlap two correlations (n1)'!$T$15</definedName>
    <definedName name="ttbz12">'[3]Overlap two correlations (n1)'!$T$16</definedName>
    <definedName name="ttbz13">'[3]Overlap two correlations (n1)'!$T$17</definedName>
    <definedName name="ttbz14">'[3]Overlap two correlations (n1)'!$T$18</definedName>
    <definedName name="ttbz15">'[3]Overlap two correlations (n1)'!$T$19</definedName>
    <definedName name="ttbz16">'[3]Overlap two correlations (n1)'!$T$20</definedName>
    <definedName name="ttbz17">'[3]Overlap two correlations (n1)'!$T$21</definedName>
    <definedName name="ttbz18">'[3]Overlap two correlations (n1)'!$T$22</definedName>
    <definedName name="ttbz19">'[3]Overlap two correlations (n1)'!$T$23</definedName>
    <definedName name="ttbz2">'[3]Overlap two correlations (n1)'!$T$6</definedName>
    <definedName name="ttbz20">'[3]Overlap two correlations (n1)'!$T$24</definedName>
    <definedName name="ttbz21">'[3]Overlap two correlations (n1)'!$T$25</definedName>
    <definedName name="ttbz22">'[3]Overlap two correlations (n1)'!$T$26</definedName>
    <definedName name="ttbz23">'[3]Overlap two correlations (n1)'!$T$27</definedName>
    <definedName name="ttbz24">'[3]Overlap two correlations (n1)'!$T$28</definedName>
    <definedName name="ttbz25">'[3]Overlap two correlations (n1)'!$T$29</definedName>
    <definedName name="ttbz26">'[3]Overlap two correlations (n1)'!$T$30</definedName>
    <definedName name="ttbz27">'[3]Overlap two correlations (n1)'!$T$31</definedName>
    <definedName name="ttbz28">'[3]Overlap two correlations (n1)'!$T$32</definedName>
    <definedName name="ttbz29">'[3]Overlap two correlations (n1)'!$T$33</definedName>
    <definedName name="ttbz3">'[3]Overlap two correlations (n1)'!$T$7</definedName>
    <definedName name="ttbz30">'[3]Overlap two correlations (n1)'!$T$34</definedName>
    <definedName name="ttbz31">'[3]Overlap two correlations (n1)'!$T$35</definedName>
    <definedName name="ttbz32">'[3]Overlap two correlations (n1)'!$T$36</definedName>
    <definedName name="ttbz33">'[3]Overlap two correlations (n1)'!$T$37</definedName>
    <definedName name="ttbz34">'[3]Overlap two correlations (n1)'!$T$38</definedName>
    <definedName name="ttbz35">'[3]Overlap two correlations (n1)'!$T$39</definedName>
    <definedName name="ttbz36">'[3]Overlap two correlations (n1)'!$T$40</definedName>
    <definedName name="ttbz37">'[3]Overlap two correlations (n1)'!$T$41</definedName>
    <definedName name="ttbz38">'[3]Overlap two correlations (n1)'!$T$42</definedName>
    <definedName name="ttbz39">'[3]Overlap two correlations (n1)'!$T$43</definedName>
    <definedName name="ttbz4">'[3]Overlap two correlations (n1)'!$T$8</definedName>
    <definedName name="ttbz40">'[3]Overlap two correlations (n1)'!$T$44</definedName>
    <definedName name="ttbz41">'[3]Overlap two correlations (n1)'!$T$45</definedName>
    <definedName name="ttbz42">'[3]Overlap two correlations (n1)'!$T$46</definedName>
    <definedName name="ttbz43">'[3]Overlap two correlations (n1)'!$T$47</definedName>
    <definedName name="ttbz44">'[3]Overlap two correlations (n1)'!$T$48</definedName>
    <definedName name="ttbz45">'[3]Overlap two correlations (n1)'!$T$49</definedName>
    <definedName name="ttbz46">'[3]Overlap two correlations (n1)'!$T$50</definedName>
    <definedName name="ttbz47">'[3]Overlap two correlations (n1)'!$T$51</definedName>
    <definedName name="ttbz48">'[3]Overlap two correlations (n1)'!$T$52</definedName>
    <definedName name="ttbz49">'[3]Overlap two correlations (n1)'!$T$53</definedName>
    <definedName name="ttbz5">'[3]Overlap two correlations (n1)'!$T$9</definedName>
    <definedName name="ttbz50">'[3]Overlap two correlations (n1)'!$T$54</definedName>
    <definedName name="ttbz51">'[3]Overlap two correlations (n1)'!$T$55</definedName>
    <definedName name="ttbz52">'[3]Overlap two correlations (n1)'!$T$56</definedName>
    <definedName name="ttbz53">'[3]Overlap two correlations (n1)'!$T$57</definedName>
    <definedName name="ttbz54">'[3]Overlap two correlations (n1)'!$T$58</definedName>
    <definedName name="ttbz55">'[3]Overlap two correlations (n1)'!$T$59</definedName>
    <definedName name="ttbz56">'[3]Overlap two correlations (n1)'!$T$60</definedName>
    <definedName name="ttbz57">'[3]Overlap two correlations (n1)'!$T$61</definedName>
    <definedName name="ttbz58">'[3]Overlap two correlations (n1)'!$T$62</definedName>
    <definedName name="ttbz59">'[3]Overlap two correlations (n1)'!$T$63</definedName>
    <definedName name="ttbz6">'[3]Overlap two correlations (n1)'!$T$10</definedName>
    <definedName name="ttbz60">'[3]Overlap two correlations (n1)'!$T$64</definedName>
    <definedName name="ttbz7">'[3]Overlap two correlations (n1)'!$T$11</definedName>
    <definedName name="ttbz8">'[3]Overlap two correlations (n1)'!$T$12</definedName>
    <definedName name="ttbz9">'[3]Overlap two correlations (n1)'!$T$13</definedName>
    <definedName name="tweak">'[10]See r'!$AB$4</definedName>
    <definedName name="TwoPropDispCI">'[3]Two proportions'!$P$21</definedName>
    <definedName name="TwoPropGT">'[3]Two proportions'!$R$21</definedName>
    <definedName name="TwoPropLT">'[3]Two proportions'!$R$22</definedName>
    <definedName name="TwoPropSpeed">'[3]Two proportions'!$L$29</definedName>
    <definedName name="TwoPropsSaveFreq">'[3]Two proportions'!$AD$5:$AE$6</definedName>
    <definedName name="TwoSpeed" localSheetId="0">#REF!</definedName>
    <definedName name="TwoSpeed">#REF!</definedName>
    <definedName name="ucapt">'[10]Sample r'!$N$21</definedName>
    <definedName name="uncp">#REF!</definedName>
    <definedName name="units">#REF!</definedName>
    <definedName name="xandn">'[5]One proportion'!$B$4</definedName>
    <definedName name="XaxisInt">[8]Describe!$V$13</definedName>
    <definedName name="XaxisL">[8]Describe!$V$6</definedName>
    <definedName name="XaxisU">[8]Describe!$W$6</definedName>
    <definedName name="xinc">[8]Describe!$Z$5</definedName>
    <definedName name="Xl">[8]Describe!$CR$37</definedName>
    <definedName name="Xmajoru">'[10]Calculate r'!$AB$28</definedName>
    <definedName name="Xmax">'[10]Calculate r'!$AB$27</definedName>
    <definedName name="Xmin">'[10]Calculate r'!$AB$26</definedName>
    <definedName name="XRend">#REF!</definedName>
    <definedName name="Xscaleunit">#REF!</definedName>
    <definedName name="Xscrollcount">[8]Describe!$AG$2</definedName>
    <definedName name="Xscrollput">[8]Describe!#REF!</definedName>
    <definedName name="Xu">[8]Describe!$CS$37</definedName>
    <definedName name="Xunits">'[10]Calculate r'!$B$6</definedName>
    <definedName name="xxandnn">'[6]Two proportions'!$C$7</definedName>
    <definedName name="xxx" localSheetId="4">'[23]One Group Repeated'!$F$13</definedName>
    <definedName name="xxx" localSheetId="3">'[23]One Group Repeated'!$F$13</definedName>
    <definedName name="xxx" localSheetId="0">#REF!</definedName>
    <definedName name="xxx" localSheetId="1">'[23]One Group Repeated'!$F$13</definedName>
    <definedName name="xxx" localSheetId="5">'[23]One Group Repeated'!$F$13</definedName>
    <definedName name="xxx" localSheetId="2">'[23]One Group Repeated'!$F$13</definedName>
    <definedName name="xxx">#REF!</definedName>
    <definedName name="xydata">'[10]Calculate r'!$B$8:$C$307</definedName>
    <definedName name="xygaps">#REF!</definedName>
    <definedName name="yaxismax">[8]Describe!$Y$19</definedName>
    <definedName name="Yaxmax">#REF!</definedName>
    <definedName name="yinc">[8]Describe!$Z$6</definedName>
    <definedName name="Yl">[8]Describe!$CR$38</definedName>
    <definedName name="Ymajoru">'[10]Calculate r'!$AB$25</definedName>
    <definedName name="ymajunit">[8]Describe!$Y$17</definedName>
    <definedName name="Ymax">'[10]Calculate r'!$AB$24</definedName>
    <definedName name="Ymin">'[10]Calculate r'!$AB$23</definedName>
    <definedName name="Yu">[8]Describe!$CS$38</definedName>
    <definedName name="zbigl" localSheetId="4">'[1]MA  Standardised units'!$AE$2</definedName>
    <definedName name="zbigl" localSheetId="3">'[1]MA  Standardised units'!$AE$2</definedName>
    <definedName name="zbigl" localSheetId="0">'[2]MA  Standardised units'!$AE$2</definedName>
    <definedName name="zbigl" localSheetId="1">'[1]MA  Standardised units'!$AE$2</definedName>
    <definedName name="zbigl" localSheetId="5">'[1]MA  Standardised units'!$AE$2</definedName>
    <definedName name="zbigl" localSheetId="2">'[1]MA  Standardised units'!$AE$2</definedName>
    <definedName name="zbigl">'[2]MA  Standardised units'!$AE$2</definedName>
    <definedName name="zbigu" localSheetId="4">'[1]MA  Standardised units'!$AE$3</definedName>
    <definedName name="zbigu" localSheetId="3">'[1]MA  Standardised units'!$AE$3</definedName>
    <definedName name="zbigu" localSheetId="0">'[2]MA  Standardised units'!$AE$3</definedName>
    <definedName name="zbigu" localSheetId="1">'[1]MA  Standardised units'!$AE$3</definedName>
    <definedName name="zbigu" localSheetId="5">'[1]MA  Standardised units'!$AE$3</definedName>
    <definedName name="zbigu" localSheetId="2">'[1]MA  Standardised units'!$AE$3</definedName>
    <definedName name="zbigu">'[2]MA  Standardised units'!$AE$3</definedName>
    <definedName name="zcursortf">[8]Describe!$Y$25</definedName>
    <definedName name="zla" localSheetId="4">'d subsets'!$I$8</definedName>
    <definedName name="zla" localSheetId="3">'d two groups'!$I$7</definedName>
    <definedName name="zla">#REF!</definedName>
    <definedName name="zlaa" localSheetId="4">'d subsets'!$I$34</definedName>
    <definedName name="zlaa" localSheetId="3">'d two groups'!$I$33</definedName>
    <definedName name="zlaa">#REF!</definedName>
    <definedName name="zlab" localSheetId="4">'d subsets'!$I$35</definedName>
    <definedName name="zlab" localSheetId="3">'d two groups'!$I$34</definedName>
    <definedName name="zlab">#REF!</definedName>
    <definedName name="zlac" localSheetId="4">'d subsets'!$I$36</definedName>
    <definedName name="zlac" localSheetId="3">'d two groups'!$I$35</definedName>
    <definedName name="zlac">#REF!</definedName>
    <definedName name="zlad" localSheetId="4">'d subsets'!$I$37</definedName>
    <definedName name="zlad" localSheetId="3">'d two groups'!$I$36</definedName>
    <definedName name="zlad">#REF!</definedName>
    <definedName name="zlb" localSheetId="4">'d subsets'!$I$9</definedName>
    <definedName name="zlb" localSheetId="3">'d two groups'!$I$8</definedName>
    <definedName name="zlb">#REF!</definedName>
    <definedName name="zlc" localSheetId="4">'d subsets'!$I$10</definedName>
    <definedName name="zlc" localSheetId="3">'d two groups'!$I$9</definedName>
    <definedName name="zlc">#REF!</definedName>
    <definedName name="zld" localSheetId="4">'d subsets'!$I$11</definedName>
    <definedName name="zld" localSheetId="3">'d two groups'!$I$10</definedName>
    <definedName name="zld">#REF!</definedName>
    <definedName name="zle" localSheetId="4">'d subsets'!$I$12</definedName>
    <definedName name="zle" localSheetId="3">'d two groups'!$I$11</definedName>
    <definedName name="zle">#REF!</definedName>
    <definedName name="zlf" localSheetId="4">'d subsets'!$I$13</definedName>
    <definedName name="zlf" localSheetId="3">'d two groups'!$I$12</definedName>
    <definedName name="zlf">#REF!</definedName>
    <definedName name="zlg" localSheetId="4">'d subsets'!$I$14</definedName>
    <definedName name="zlg" localSheetId="3">'d two groups'!$I$13</definedName>
    <definedName name="zlg">#REF!</definedName>
    <definedName name="zlh" localSheetId="4">'d subsets'!$I$15</definedName>
    <definedName name="zlh" localSheetId="3">'d two groups'!$I$14</definedName>
    <definedName name="zlh">#REF!</definedName>
    <definedName name="zli" localSheetId="4">'d subsets'!$I$16</definedName>
    <definedName name="zli" localSheetId="3">'d two groups'!$I$15</definedName>
    <definedName name="zli">#REF!</definedName>
    <definedName name="zlj" localSheetId="4">'d subsets'!$I$17</definedName>
    <definedName name="zlj" localSheetId="3">'d two groups'!$I$16</definedName>
    <definedName name="zlj">#REF!</definedName>
    <definedName name="zlk" localSheetId="4">'d subsets'!$I$18</definedName>
    <definedName name="zlk" localSheetId="3">'d two groups'!$I$17</definedName>
    <definedName name="zlk">#REF!</definedName>
    <definedName name="zll" localSheetId="4">'d subsets'!$I$19</definedName>
    <definedName name="zll" localSheetId="3">'d two groups'!$I$18</definedName>
    <definedName name="zll">#REF!</definedName>
    <definedName name="zlm" localSheetId="4">'d subsets'!$I$20</definedName>
    <definedName name="zlm" localSheetId="3">'d two groups'!$I$19</definedName>
    <definedName name="zlm">#REF!</definedName>
    <definedName name="zln" localSheetId="4">'d subsets'!$I$21</definedName>
    <definedName name="zln" localSheetId="3">'d two groups'!$I$20</definedName>
    <definedName name="zln">#REF!</definedName>
    <definedName name="zlo" localSheetId="4">'d subsets'!$I$22</definedName>
    <definedName name="zlo" localSheetId="3">'d two groups'!$I$21</definedName>
    <definedName name="zlo">#REF!</definedName>
    <definedName name="zlp" localSheetId="4">'d subsets'!$I$23</definedName>
    <definedName name="zlp" localSheetId="3">'d two groups'!$I$22</definedName>
    <definedName name="zlp">#REF!</definedName>
    <definedName name="zlq" localSheetId="4">'d subsets'!$I$24</definedName>
    <definedName name="zlq" localSheetId="3">'d two groups'!$I$23</definedName>
    <definedName name="zlq">#REF!</definedName>
    <definedName name="zlr" localSheetId="4">'d subsets'!$I$25</definedName>
    <definedName name="zlr" localSheetId="3">'d two groups'!$I$24</definedName>
    <definedName name="zlr">#REF!</definedName>
    <definedName name="zls" localSheetId="4">'d subsets'!$I$26</definedName>
    <definedName name="zls" localSheetId="3">'d two groups'!$I$25</definedName>
    <definedName name="zls">#REF!</definedName>
    <definedName name="zlt" localSheetId="4">'d subsets'!$I$27</definedName>
    <definedName name="zlt" localSheetId="3">'d two groups'!$I$26</definedName>
    <definedName name="zlt">#REF!</definedName>
    <definedName name="zlu" localSheetId="4">'d subsets'!$I$28</definedName>
    <definedName name="zlu" localSheetId="3">'d two groups'!$I$27</definedName>
    <definedName name="zlu">#REF!</definedName>
    <definedName name="zlv" localSheetId="4">'d subsets'!$I$29</definedName>
    <definedName name="zlv" localSheetId="3">'d two groups'!$I$28</definedName>
    <definedName name="zlv">#REF!</definedName>
    <definedName name="zlw" localSheetId="4">'d subsets'!$I$30</definedName>
    <definedName name="zlw" localSheetId="3">'d two groups'!$I$29</definedName>
    <definedName name="zlw">#REF!</definedName>
    <definedName name="zlx" localSheetId="4">'d subsets'!$I$31</definedName>
    <definedName name="zlx" localSheetId="3">'d two groups'!$I$30</definedName>
    <definedName name="zlx">#REF!</definedName>
    <definedName name="zly" localSheetId="4">'d subsets'!$I$32</definedName>
    <definedName name="zly" localSheetId="3">'d two groups'!$I$31</definedName>
    <definedName name="zly">#REF!</definedName>
    <definedName name="zlz" localSheetId="4">'d subsets'!$I$33</definedName>
    <definedName name="zlz" localSheetId="3">'d two groups'!$I$32</definedName>
    <definedName name="zlz">#REF!</definedName>
    <definedName name="zoneprop">'[5]One proportion'!$B$13</definedName>
    <definedName name="ztwoprop">'[6]Two proportions'!$C$14</definedName>
    <definedName name="zua" localSheetId="4">'d subsets'!$J$8</definedName>
    <definedName name="zua" localSheetId="3">'d two groups'!$J$7</definedName>
    <definedName name="zua">#REF!</definedName>
    <definedName name="zuaa" localSheetId="4">'d subsets'!$J$34</definedName>
    <definedName name="zuaa" localSheetId="3">'d two groups'!$J$33</definedName>
    <definedName name="zuaa">#REF!</definedName>
    <definedName name="zuab" localSheetId="4">'d subsets'!$J$35</definedName>
    <definedName name="zuab" localSheetId="3">'d two groups'!$J$34</definedName>
    <definedName name="zuab">#REF!</definedName>
    <definedName name="zuac" localSheetId="4">'d subsets'!$J$36</definedName>
    <definedName name="zuac" localSheetId="3">'d two groups'!$J$35</definedName>
    <definedName name="zuac">#REF!</definedName>
    <definedName name="zuad" localSheetId="4">'d subsets'!$J$37</definedName>
    <definedName name="zuad" localSheetId="3">'d two groups'!$J$36</definedName>
    <definedName name="zuad">#REF!</definedName>
    <definedName name="zub" localSheetId="4">'d subsets'!$J$9</definedName>
    <definedName name="zub" localSheetId="3">'d two groups'!$J$8</definedName>
    <definedName name="zub">#REF!</definedName>
    <definedName name="zuc" localSheetId="4">'d subsets'!$J$10</definedName>
    <definedName name="zuc" localSheetId="3">'d two groups'!$J$9</definedName>
    <definedName name="zuc">#REF!</definedName>
    <definedName name="zud" localSheetId="4">'d subsets'!$J$11</definedName>
    <definedName name="zud" localSheetId="3">'d two groups'!$J$10</definedName>
    <definedName name="zud">#REF!</definedName>
    <definedName name="zue" localSheetId="4">'d subsets'!$J$12</definedName>
    <definedName name="zue" localSheetId="3">'d two groups'!$J$11</definedName>
    <definedName name="zue">#REF!</definedName>
    <definedName name="zuf" localSheetId="4">'d subsets'!$J$13</definedName>
    <definedName name="zuf" localSheetId="3">'d two groups'!$J$12</definedName>
    <definedName name="zuf">#REF!</definedName>
    <definedName name="zug" localSheetId="4">'d subsets'!$J$14</definedName>
    <definedName name="zug" localSheetId="3">'d two groups'!$J$13</definedName>
    <definedName name="zug">#REF!</definedName>
    <definedName name="zuh" localSheetId="4">'d subsets'!$J$15</definedName>
    <definedName name="zuh" localSheetId="3">'d two groups'!$J$14</definedName>
    <definedName name="zuh">#REF!</definedName>
    <definedName name="zui" localSheetId="4">'d subsets'!$J$16</definedName>
    <definedName name="zui" localSheetId="3">'d two groups'!$J$15</definedName>
    <definedName name="zui">#REF!</definedName>
    <definedName name="zuj" localSheetId="4">'d subsets'!$J$17</definedName>
    <definedName name="zuj" localSheetId="3">'d two groups'!$J$16</definedName>
    <definedName name="zuj">#REF!</definedName>
    <definedName name="zuk" localSheetId="4">'d subsets'!$J$18</definedName>
    <definedName name="zuk" localSheetId="3">'d two groups'!$J$17</definedName>
    <definedName name="zuk">#REF!</definedName>
    <definedName name="zul" localSheetId="4">'d subsets'!$J$19</definedName>
    <definedName name="zul" localSheetId="3">'d two groups'!$J$18</definedName>
    <definedName name="zul">#REF!</definedName>
    <definedName name="zum" localSheetId="4">'d subsets'!$J$20</definedName>
    <definedName name="zum" localSheetId="3">'d two groups'!$J$19</definedName>
    <definedName name="zum">#REF!</definedName>
    <definedName name="zun" localSheetId="4">'d subsets'!$J$21</definedName>
    <definedName name="zun" localSheetId="3">'d two groups'!$J$20</definedName>
    <definedName name="zun">#REF!</definedName>
    <definedName name="zuo" localSheetId="4">'d subsets'!$J$22</definedName>
    <definedName name="zuo" localSheetId="3">'d two groups'!$J$21</definedName>
    <definedName name="zuo">#REF!</definedName>
    <definedName name="zup" localSheetId="4">'d subsets'!$J$23</definedName>
    <definedName name="zup" localSheetId="3">'d two groups'!$J$22</definedName>
    <definedName name="zup">#REF!</definedName>
    <definedName name="zuq" localSheetId="4">'d subsets'!$J$24</definedName>
    <definedName name="zuq" localSheetId="3">'d two groups'!$J$23</definedName>
    <definedName name="zuq">#REF!</definedName>
    <definedName name="zur" localSheetId="4">'d subsets'!$J$25</definedName>
    <definedName name="zur" localSheetId="3">'d two groups'!$J$24</definedName>
    <definedName name="zur">#REF!</definedName>
    <definedName name="zus" localSheetId="4">'d subsets'!$J$26</definedName>
    <definedName name="zus" localSheetId="3">'d two groups'!$J$25</definedName>
    <definedName name="zus">#REF!</definedName>
    <definedName name="zut" localSheetId="4">'d subsets'!$J$27</definedName>
    <definedName name="zut" localSheetId="3">'d two groups'!$J$26</definedName>
    <definedName name="zut">#REF!</definedName>
    <definedName name="zuu" localSheetId="4">'d subsets'!$J$28</definedName>
    <definedName name="zuu" localSheetId="3">'d two groups'!$J$27</definedName>
    <definedName name="zuu">#REF!</definedName>
    <definedName name="zuv" localSheetId="4">'d subsets'!$J$29</definedName>
    <definedName name="zuv" localSheetId="3">'d two groups'!$J$28</definedName>
    <definedName name="zuv">#REF!</definedName>
    <definedName name="zuw" localSheetId="4">'d subsets'!$J$30</definedName>
    <definedName name="zuw" localSheetId="3">'d two groups'!$J$29</definedName>
    <definedName name="zuw">#REF!</definedName>
    <definedName name="zux" localSheetId="4">'d subsets'!$J$31</definedName>
    <definedName name="zux" localSheetId="3">'d two groups'!$J$30</definedName>
    <definedName name="zux">#REF!</definedName>
    <definedName name="zuy" localSheetId="4">'d subsets'!$J$32</definedName>
    <definedName name="zuy" localSheetId="3">'d two groups'!$J$31</definedName>
    <definedName name="zuy">#REF!</definedName>
    <definedName name="zuz" localSheetId="4">'d subsets'!$J$33</definedName>
    <definedName name="zuz" localSheetId="3">'d two groups'!$J$32</definedName>
    <definedName name="zuz">#REF!</definedName>
  </definedNames>
  <calcPr calcId="162913"/>
</workbook>
</file>

<file path=xl/calcChain.xml><?xml version="1.0" encoding="utf-8"?>
<calcChain xmlns="http://schemas.openxmlformats.org/spreadsheetml/2006/main">
  <c r="CG18" i="32" l="1"/>
  <c r="CN18" i="32"/>
  <c r="AA18" i="32" s="1"/>
  <c r="CI18" i="32" s="1"/>
  <c r="BM12" i="33"/>
  <c r="BJ12" i="33"/>
  <c r="BM7" i="33"/>
  <c r="BJ7" i="33"/>
  <c r="BM8" i="33"/>
  <c r="BJ8" i="33"/>
  <c r="BM9" i="33"/>
  <c r="BR9" i="33" s="1"/>
  <c r="BJ9" i="33"/>
  <c r="BM10" i="33"/>
  <c r="BJ10" i="33"/>
  <c r="BM11" i="33"/>
  <c r="BR11" i="33" s="1"/>
  <c r="BJ11" i="33"/>
  <c r="BM13" i="33"/>
  <c r="CI13" i="33" s="1"/>
  <c r="BJ13" i="33"/>
  <c r="BM14" i="33"/>
  <c r="BJ14" i="33"/>
  <c r="BM15" i="33"/>
  <c r="BJ15" i="33"/>
  <c r="BM16" i="33"/>
  <c r="BU16" i="33" s="1"/>
  <c r="BW16" i="33" s="1"/>
  <c r="BJ16" i="33"/>
  <c r="BI16" i="33" s="1"/>
  <c r="BM17" i="33"/>
  <c r="CI17" i="33" s="1"/>
  <c r="BJ17" i="33"/>
  <c r="BM18" i="33"/>
  <c r="BJ18" i="33"/>
  <c r="BM19" i="33"/>
  <c r="BJ19" i="33"/>
  <c r="BM20" i="33"/>
  <c r="BJ20" i="33"/>
  <c r="BI20" i="33" s="1"/>
  <c r="BM21" i="33"/>
  <c r="BJ21" i="33"/>
  <c r="BM22" i="33"/>
  <c r="BR22" i="33" s="1"/>
  <c r="BJ22" i="33"/>
  <c r="BM23" i="33"/>
  <c r="BJ23" i="33"/>
  <c r="BI23" i="33" s="1"/>
  <c r="BM24" i="33"/>
  <c r="BW24" i="33" s="1"/>
  <c r="BJ24" i="33"/>
  <c r="BI24" i="33" s="1"/>
  <c r="BM25" i="33"/>
  <c r="BJ25" i="33"/>
  <c r="BI25" i="33" s="1"/>
  <c r="BM26" i="33"/>
  <c r="BJ26" i="33"/>
  <c r="BI26" i="33" s="1"/>
  <c r="BM27" i="33"/>
  <c r="BJ27" i="33"/>
  <c r="BI27" i="33" s="1"/>
  <c r="BM28" i="33"/>
  <c r="BJ28" i="33"/>
  <c r="BI28" i="33" s="1"/>
  <c r="BM29" i="33"/>
  <c r="BJ29" i="33"/>
  <c r="BI29" i="33" s="1"/>
  <c r="BM30" i="33"/>
  <c r="BJ30" i="33"/>
  <c r="BI30" i="33" s="1"/>
  <c r="BM31" i="33"/>
  <c r="BJ31" i="33"/>
  <c r="BI31" i="33" s="1"/>
  <c r="BM32" i="33"/>
  <c r="CC32" i="33" s="1"/>
  <c r="BJ32" i="33"/>
  <c r="BI32" i="33" s="1"/>
  <c r="BM33" i="33"/>
  <c r="BJ33" i="33"/>
  <c r="BI33" i="33" s="1"/>
  <c r="BM34" i="33"/>
  <c r="AA34" i="33" s="1"/>
  <c r="BJ34" i="33"/>
  <c r="BI34" i="33" s="1"/>
  <c r="BM35" i="33"/>
  <c r="BJ35" i="33"/>
  <c r="BI35" i="33" s="1"/>
  <c r="BM36" i="33"/>
  <c r="CC36" i="33" s="1"/>
  <c r="BJ36" i="33"/>
  <c r="BI36" i="33" s="1"/>
  <c r="BZ23" i="33"/>
  <c r="BZ27" i="33"/>
  <c r="CC24" i="33"/>
  <c r="BN33" i="33"/>
  <c r="BU35" i="33"/>
  <c r="AB35" i="33"/>
  <c r="BX33" i="33"/>
  <c r="BY33" i="33"/>
  <c r="BT31" i="33"/>
  <c r="BU31" i="33"/>
  <c r="BX29" i="33"/>
  <c r="BT27" i="33"/>
  <c r="AB23" i="33"/>
  <c r="K31" i="33"/>
  <c r="K29" i="33"/>
  <c r="K23" i="33"/>
  <c r="B6" i="33"/>
  <c r="CI49" i="33"/>
  <c r="CI50" i="33"/>
  <c r="CI48" i="33"/>
  <c r="CI47" i="33"/>
  <c r="CI46" i="33"/>
  <c r="CI45" i="33"/>
  <c r="CI44" i="33"/>
  <c r="CI43" i="33"/>
  <c r="CI42" i="33"/>
  <c r="CI27" i="33"/>
  <c r="CI23" i="33"/>
  <c r="BQ25" i="33"/>
  <c r="BQ21" i="33"/>
  <c r="BQ10" i="33"/>
  <c r="BQ8" i="33"/>
  <c r="R4" i="33"/>
  <c r="AJ3" i="33" s="1"/>
  <c r="AL3" i="33"/>
  <c r="AP3" i="33"/>
  <c r="BQ3" i="33"/>
  <c r="S4" i="33"/>
  <c r="W4" i="33"/>
  <c r="AR4" i="33"/>
  <c r="Y5" i="33"/>
  <c r="C6" i="33"/>
  <c r="R6" i="33"/>
  <c r="AI6" i="33"/>
  <c r="Y8" i="33"/>
  <c r="AR8" i="33"/>
  <c r="Y10" i="33"/>
  <c r="R11" i="33"/>
  <c r="AR12" i="33"/>
  <c r="R13" i="33"/>
  <c r="Y14" i="33"/>
  <c r="AR14" i="33"/>
  <c r="R15" i="33"/>
  <c r="BR15" i="33"/>
  <c r="Y16" i="33"/>
  <c r="AR16" i="33"/>
  <c r="AI17" i="33"/>
  <c r="BR17" i="33"/>
  <c r="Y18" i="33"/>
  <c r="R19" i="33"/>
  <c r="AI19" i="33"/>
  <c r="Y21" i="33"/>
  <c r="R22" i="33"/>
  <c r="AI22" i="33"/>
  <c r="AI23" i="33"/>
  <c r="BR23" i="33"/>
  <c r="AR24" i="33"/>
  <c r="R25" i="33"/>
  <c r="AI25" i="33"/>
  <c r="Y26" i="33"/>
  <c r="AR26" i="33"/>
  <c r="Y28" i="33"/>
  <c r="R29" i="33"/>
  <c r="Y30" i="33"/>
  <c r="Y31" i="33"/>
  <c r="R32" i="33"/>
  <c r="Y32" i="33"/>
  <c r="BR32" i="33"/>
  <c r="Y33" i="33"/>
  <c r="BR33" i="33"/>
  <c r="Y34" i="33"/>
  <c r="BR34" i="33"/>
  <c r="R35" i="33"/>
  <c r="BR35" i="33"/>
  <c r="R36" i="33"/>
  <c r="BR36" i="33"/>
  <c r="R37" i="33"/>
  <c r="Y37" i="33"/>
  <c r="Y38" i="33"/>
  <c r="CN42" i="33"/>
  <c r="CQ42" i="33"/>
  <c r="CR42" i="33" s="1"/>
  <c r="CN43" i="33"/>
  <c r="CQ43" i="33"/>
  <c r="BR44" i="33"/>
  <c r="CN44" i="33"/>
  <c r="CQ44" i="33"/>
  <c r="BR45" i="33"/>
  <c r="CN45" i="33"/>
  <c r="CQ45" i="33"/>
  <c r="BR46" i="33"/>
  <c r="CN46" i="33"/>
  <c r="CQ46" i="33"/>
  <c r="CR46" i="33" s="1"/>
  <c r="BR47" i="33"/>
  <c r="CN47" i="33"/>
  <c r="CQ47" i="33"/>
  <c r="BR48" i="33"/>
  <c r="CN48" i="33"/>
  <c r="CQ48" i="33"/>
  <c r="CN49" i="33"/>
  <c r="CQ49" i="33"/>
  <c r="CN50" i="33"/>
  <c r="CQ50" i="33"/>
  <c r="BP51" i="33"/>
  <c r="BP52" i="33"/>
  <c r="BP53" i="33" s="1"/>
  <c r="BP54" i="33" s="1"/>
  <c r="BP55" i="33" s="1"/>
  <c r="BP56" i="33" s="1"/>
  <c r="BP57" i="33" s="1"/>
  <c r="BP58" i="33" s="1"/>
  <c r="BP59" i="33" s="1"/>
  <c r="BP60" i="33" s="1"/>
  <c r="BP61" i="33" s="1"/>
  <c r="BP62" i="33" s="1"/>
  <c r="BP63" i="33" s="1"/>
  <c r="BP64" i="33" s="1"/>
  <c r="BP65" i="33" s="1"/>
  <c r="BP66" i="33" s="1"/>
  <c r="BP67" i="33" s="1"/>
  <c r="BP68" i="33" s="1"/>
  <c r="BP69" i="33" s="1"/>
  <c r="BP70" i="33" s="1"/>
  <c r="BP71" i="33" s="1"/>
  <c r="BP72" i="33" s="1"/>
  <c r="BP73" i="33" s="1"/>
  <c r="BP74" i="33" s="1"/>
  <c r="BP75" i="33" s="1"/>
  <c r="BP76" i="33" s="1"/>
  <c r="BP77" i="33" s="1"/>
  <c r="BP78" i="33" s="1"/>
  <c r="BP79" i="33" s="1"/>
  <c r="BP80" i="33" s="1"/>
  <c r="BP81" i="33" s="1"/>
  <c r="BP82" i="33" s="1"/>
  <c r="BP83" i="33" s="1"/>
  <c r="BP84" i="33" s="1"/>
  <c r="BP85" i="33" s="1"/>
  <c r="BP86" i="33" s="1"/>
  <c r="BP87" i="33" s="1"/>
  <c r="BP88" i="33" s="1"/>
  <c r="BP89" i="33" s="1"/>
  <c r="BP90" i="33" s="1"/>
  <c r="BP91" i="33" s="1"/>
  <c r="BP92" i="33" s="1"/>
  <c r="BP93" i="33" s="1"/>
  <c r="BP94" i="33" s="1"/>
  <c r="BP95" i="33" s="1"/>
  <c r="BP96" i="33" s="1"/>
  <c r="BP97" i="33" s="1"/>
  <c r="BP98" i="33" s="1"/>
  <c r="BP99" i="33" s="1"/>
  <c r="BP100" i="33" s="1"/>
  <c r="BP101" i="33" s="1"/>
  <c r="BP102" i="33" s="1"/>
  <c r="BP103" i="33" s="1"/>
  <c r="BP104" i="33" s="1"/>
  <c r="BP105" i="33" s="1"/>
  <c r="BP106" i="33" s="1"/>
  <c r="BP107" i="33" s="1"/>
  <c r="BP108" i="33" s="1"/>
  <c r="BP109" i="33" s="1"/>
  <c r="BP110" i="33" s="1"/>
  <c r="BP111" i="33" s="1"/>
  <c r="BP112" i="33" s="1"/>
  <c r="BP113" i="33" s="1"/>
  <c r="BP114" i="33" s="1"/>
  <c r="BP115" i="33" s="1"/>
  <c r="BP116" i="33" s="1"/>
  <c r="BP117" i="33" s="1"/>
  <c r="BP118" i="33" s="1"/>
  <c r="BP119" i="33" s="1"/>
  <c r="BP120" i="33" s="1"/>
  <c r="BP121" i="33" s="1"/>
  <c r="BP122" i="33" s="1"/>
  <c r="BP123" i="33" s="1"/>
  <c r="BP124" i="33" s="1"/>
  <c r="BP125" i="33" s="1"/>
  <c r="BP126" i="33" s="1"/>
  <c r="BP127" i="33" s="1"/>
  <c r="BP128" i="33" s="1"/>
  <c r="BP129" i="33" s="1"/>
  <c r="BP130" i="33" s="1"/>
  <c r="BP131" i="33" s="1"/>
  <c r="BP132" i="33" s="1"/>
  <c r="BP133" i="33" s="1"/>
  <c r="BP134" i="33" s="1"/>
  <c r="BP135" i="33" s="1"/>
  <c r="BP136" i="33" s="1"/>
  <c r="BP137" i="33" s="1"/>
  <c r="BP138" i="33" s="1"/>
  <c r="BP139" i="33" s="1"/>
  <c r="BP140" i="33" s="1"/>
  <c r="BP141" i="33" s="1"/>
  <c r="BP142" i="33" s="1"/>
  <c r="BP143" i="33" s="1"/>
  <c r="BP144" i="33" s="1"/>
  <c r="BP145" i="33" s="1"/>
  <c r="BP146" i="33" s="1"/>
  <c r="BP147" i="33" s="1"/>
  <c r="BP148" i="33" s="1"/>
  <c r="BP149" i="33" s="1"/>
  <c r="BP150" i="33" s="1"/>
  <c r="BP151" i="33" s="1"/>
  <c r="BP152" i="33" s="1"/>
  <c r="BP153" i="33" s="1"/>
  <c r="BP154" i="33" s="1"/>
  <c r="BP155" i="33" s="1"/>
  <c r="BP156" i="33" s="1"/>
  <c r="BP157" i="33" s="1"/>
  <c r="BP158" i="33" s="1"/>
  <c r="BP159" i="33" s="1"/>
  <c r="BP160" i="33" s="1"/>
  <c r="BP161" i="33" s="1"/>
  <c r="BP162" i="33" s="1"/>
  <c r="BP163" i="33" s="1"/>
  <c r="BP164" i="33" s="1"/>
  <c r="BP165" i="33" s="1"/>
  <c r="BP166" i="33" s="1"/>
  <c r="BP167" i="33" s="1"/>
  <c r="BP168" i="33" s="1"/>
  <c r="BP169" i="33" s="1"/>
  <c r="BP170" i="33" s="1"/>
  <c r="BP171" i="33" s="1"/>
  <c r="BP172" i="33" s="1"/>
  <c r="BP173" i="33" s="1"/>
  <c r="BP174" i="33" s="1"/>
  <c r="BP175" i="33" s="1"/>
  <c r="BP176" i="33" s="1"/>
  <c r="BP177" i="33" s="1"/>
  <c r="BP178" i="33" s="1"/>
  <c r="BP179" i="33" s="1"/>
  <c r="BP180" i="33" s="1"/>
  <c r="BP181" i="33" s="1"/>
  <c r="BP182" i="33" s="1"/>
  <c r="BP183" i="33" s="1"/>
  <c r="BP184" i="33" s="1"/>
  <c r="BP185" i="33" s="1"/>
  <c r="BP186" i="33" s="1"/>
  <c r="BP187" i="33" s="1"/>
  <c r="BP188" i="33" s="1"/>
  <c r="BP189" i="33" s="1"/>
  <c r="BP190" i="33" s="1"/>
  <c r="BP191" i="33" s="1"/>
  <c r="BP192" i="33" s="1"/>
  <c r="BP193" i="33" s="1"/>
  <c r="BP194" i="33" s="1"/>
  <c r="BP195" i="33" s="1"/>
  <c r="BP196" i="33" s="1"/>
  <c r="BP197" i="33" s="1"/>
  <c r="BP198" i="33" s="1"/>
  <c r="BP199" i="33" s="1"/>
  <c r="BP200" i="33" s="1"/>
  <c r="BP201" i="33" s="1"/>
  <c r="BP202" i="33" s="1"/>
  <c r="BP203" i="33" s="1"/>
  <c r="BP204" i="33" s="1"/>
  <c r="BP205" i="33" s="1"/>
  <c r="BP206" i="33" s="1"/>
  <c r="BP207" i="33" s="1"/>
  <c r="BP208" i="33" s="1"/>
  <c r="BP209" i="33" s="1"/>
  <c r="BP210" i="33" s="1"/>
  <c r="BP211" i="33" s="1"/>
  <c r="BP212" i="33" s="1"/>
  <c r="BP213" i="33" s="1"/>
  <c r="BP214" i="33" s="1"/>
  <c r="BP215" i="33" s="1"/>
  <c r="BP216" i="33" s="1"/>
  <c r="BP217" i="33" s="1"/>
  <c r="BP218" i="33" s="1"/>
  <c r="BP219" i="33" s="1"/>
  <c r="BP220" i="33" s="1"/>
  <c r="BP221" i="33" s="1"/>
  <c r="BP222" i="33" s="1"/>
  <c r="BP223" i="33" s="1"/>
  <c r="BP224" i="33" s="1"/>
  <c r="BP225" i="33" s="1"/>
  <c r="BP226" i="33" s="1"/>
  <c r="BP227" i="33" s="1"/>
  <c r="BP228" i="33" s="1"/>
  <c r="BP229" i="33" s="1"/>
  <c r="BP230" i="33" s="1"/>
  <c r="BP231" i="33" s="1"/>
  <c r="BP232" i="33" s="1"/>
  <c r="BP233" i="33" s="1"/>
  <c r="BP234" i="33" s="1"/>
  <c r="BP235" i="33" s="1"/>
  <c r="BP236" i="33" s="1"/>
  <c r="BP237" i="33" s="1"/>
  <c r="BP238" i="33" s="1"/>
  <c r="BP239" i="33" s="1"/>
  <c r="BP240" i="33" s="1"/>
  <c r="BP241" i="33" s="1"/>
  <c r="BP242" i="33" s="1"/>
  <c r="BP243" i="33" s="1"/>
  <c r="BP244" i="33" s="1"/>
  <c r="BP245" i="33" s="1"/>
  <c r="BP246" i="33" s="1"/>
  <c r="BP247" i="33" s="1"/>
  <c r="BP248" i="33" s="1"/>
  <c r="BP249" i="33" s="1"/>
  <c r="BP250" i="33" s="1"/>
  <c r="BP251" i="33" s="1"/>
  <c r="CG8" i="32"/>
  <c r="CN8" i="32"/>
  <c r="CG9" i="32"/>
  <c r="CN9" i="32"/>
  <c r="B9" i="32" s="1"/>
  <c r="A9" i="32" s="1"/>
  <c r="CG10" i="32"/>
  <c r="CN10" i="32"/>
  <c r="AA10" i="32" s="1"/>
  <c r="CI10" i="32" s="1"/>
  <c r="CG11" i="32"/>
  <c r="CN11" i="32"/>
  <c r="CG12" i="32"/>
  <c r="CN12" i="32"/>
  <c r="AA12" i="32" s="1"/>
  <c r="CI12" i="32" s="1"/>
  <c r="X12" i="32" s="1"/>
  <c r="CG13" i="32"/>
  <c r="CN13" i="32"/>
  <c r="CG14" i="32"/>
  <c r="CN14" i="32"/>
  <c r="CG15" i="32"/>
  <c r="CN15" i="32"/>
  <c r="CG16" i="32"/>
  <c r="CN16" i="32"/>
  <c r="CG17" i="32"/>
  <c r="CN17" i="32"/>
  <c r="C17" i="32" s="1"/>
  <c r="CG19" i="32"/>
  <c r="CU19" i="32" s="1"/>
  <c r="DA19" i="32" s="1"/>
  <c r="CV19" i="32" s="1"/>
  <c r="CD19" i="32" s="1"/>
  <c r="CN19" i="32"/>
  <c r="CG20" i="32"/>
  <c r="CN20" i="32"/>
  <c r="A20" i="32" s="1"/>
  <c r="CG21" i="32"/>
  <c r="CP21" i="32" s="1"/>
  <c r="CN21" i="32"/>
  <c r="CG22" i="32"/>
  <c r="CN22" i="32"/>
  <c r="CY22" i="32" s="1"/>
  <c r="CG23" i="32"/>
  <c r="CX23" i="32" s="1"/>
  <c r="CN23" i="32"/>
  <c r="CG24" i="32"/>
  <c r="CN24" i="32"/>
  <c r="AA24" i="32" s="1"/>
  <c r="CG25" i="32"/>
  <c r="CN25" i="32"/>
  <c r="CG26" i="32"/>
  <c r="CN26" i="32"/>
  <c r="A26" i="32" s="1"/>
  <c r="CG27" i="32"/>
  <c r="CN27" i="32"/>
  <c r="CG28" i="32"/>
  <c r="CN28" i="32"/>
  <c r="AC28" i="32" s="1"/>
  <c r="CG29" i="32"/>
  <c r="CN29" i="32"/>
  <c r="CG30" i="32"/>
  <c r="CN30" i="32"/>
  <c r="CG31" i="32"/>
  <c r="CN31" i="32"/>
  <c r="CG32" i="32"/>
  <c r="CN32" i="32"/>
  <c r="F32" i="32" s="1"/>
  <c r="CG33" i="32"/>
  <c r="CN33" i="32"/>
  <c r="CG34" i="32"/>
  <c r="CN34" i="32"/>
  <c r="F34" i="32" s="1"/>
  <c r="CG35" i="32"/>
  <c r="CN35" i="32"/>
  <c r="CG36" i="32"/>
  <c r="CN36" i="32"/>
  <c r="CG37" i="32"/>
  <c r="CN37" i="32"/>
  <c r="CL3" i="32"/>
  <c r="CL4" i="32" s="1"/>
  <c r="AC18" i="32"/>
  <c r="CW23" i="32"/>
  <c r="CN5" i="32"/>
  <c r="CM83" i="32"/>
  <c r="CM84" i="32"/>
  <c r="CM85" i="32"/>
  <c r="CM86" i="32"/>
  <c r="CM87" i="32"/>
  <c r="CM88" i="32"/>
  <c r="CM89" i="32"/>
  <c r="CM90" i="32"/>
  <c r="CM91" i="32"/>
  <c r="CM92" i="32"/>
  <c r="CK45" i="32"/>
  <c r="V40" i="32" s="1"/>
  <c r="BV82" i="31"/>
  <c r="BV83" i="31"/>
  <c r="F40" i="31"/>
  <c r="AA35" i="32"/>
  <c r="CI35" i="32"/>
  <c r="AC35" i="32"/>
  <c r="X35" i="32"/>
  <c r="AC37" i="32"/>
  <c r="CO32" i="32"/>
  <c r="BU17" i="31"/>
  <c r="BU8" i="31"/>
  <c r="N8" i="31" s="1"/>
  <c r="O8" i="31"/>
  <c r="BU9" i="31"/>
  <c r="BU10" i="31"/>
  <c r="N10" i="31" s="1"/>
  <c r="BU11" i="31"/>
  <c r="BU12" i="31"/>
  <c r="N12" i="31" s="1"/>
  <c r="BU13" i="31"/>
  <c r="N13" i="31" s="1"/>
  <c r="O13" i="31"/>
  <c r="P13" i="31" s="1"/>
  <c r="BU14" i="31"/>
  <c r="N14" i="31" s="1"/>
  <c r="BU15" i="31"/>
  <c r="BU16" i="31"/>
  <c r="N16" i="31" s="1"/>
  <c r="BU18" i="31"/>
  <c r="BU19" i="31"/>
  <c r="BU20" i="31"/>
  <c r="BY20" i="31" s="1"/>
  <c r="CD20" i="31" s="1"/>
  <c r="BU21" i="31"/>
  <c r="CB21" i="31" s="1"/>
  <c r="BU22" i="31"/>
  <c r="BU23" i="31"/>
  <c r="BY23" i="31" s="1"/>
  <c r="BU24" i="31"/>
  <c r="BY24" i="31" s="1"/>
  <c r="BU25" i="31"/>
  <c r="N25" i="31" s="1"/>
  <c r="BU26" i="31"/>
  <c r="BY26" i="31" s="1"/>
  <c r="CD26" i="31" s="1"/>
  <c r="BU27" i="31"/>
  <c r="BY27" i="31" s="1"/>
  <c r="BU28" i="31"/>
  <c r="BU29" i="31"/>
  <c r="BY29" i="31" s="1"/>
  <c r="BU30" i="31"/>
  <c r="BY30" i="31" s="1"/>
  <c r="BV30" i="31" s="1"/>
  <c r="BU31" i="31"/>
  <c r="BY31" i="31" s="1"/>
  <c r="BU32" i="31"/>
  <c r="BU33" i="31"/>
  <c r="BY33" i="31" s="1"/>
  <c r="BU34" i="31"/>
  <c r="BY34" i="31" s="1"/>
  <c r="BU35" i="31"/>
  <c r="BU36" i="31"/>
  <c r="BY36" i="31" s="1"/>
  <c r="BU37" i="31"/>
  <c r="BY37" i="31" s="1"/>
  <c r="AI45" i="32"/>
  <c r="AI40" i="32"/>
  <c r="EH11" i="32"/>
  <c r="EH12" i="32" s="1"/>
  <c r="EH13" i="32" s="1"/>
  <c r="EH14" i="32" s="1"/>
  <c r="EH15" i="32" s="1"/>
  <c r="EH16" i="32" s="1"/>
  <c r="EH17" i="32" s="1"/>
  <c r="EH18" i="32" s="1"/>
  <c r="EH19" i="32" s="1"/>
  <c r="EH20" i="32" s="1"/>
  <c r="EH21" i="32" s="1"/>
  <c r="EH22" i="32" s="1"/>
  <c r="EH23" i="32" s="1"/>
  <c r="EH24" i="32" s="1"/>
  <c r="EH25" i="32" s="1"/>
  <c r="EH26" i="32" s="1"/>
  <c r="EH27" i="32" s="1"/>
  <c r="EH28" i="32" s="1"/>
  <c r="EH29" i="32" s="1"/>
  <c r="EH30" i="32" s="1"/>
  <c r="EH31" i="32" s="1"/>
  <c r="EH32" i="32" s="1"/>
  <c r="EH33" i="32" s="1"/>
  <c r="EH34" i="32" s="1"/>
  <c r="EH35" i="32" s="1"/>
  <c r="EH36" i="32" s="1"/>
  <c r="EH37" i="32" s="1"/>
  <c r="EH38" i="32" s="1"/>
  <c r="EH39" i="32" s="1"/>
  <c r="EH40" i="32" s="1"/>
  <c r="EH41" i="32" s="1"/>
  <c r="EH42" i="32" s="1"/>
  <c r="EH43" i="32" s="1"/>
  <c r="EH44" i="32" s="1"/>
  <c r="EH45" i="32" s="1"/>
  <c r="EH46" i="32" s="1"/>
  <c r="EH47" i="32" s="1"/>
  <c r="EH48" i="32" s="1"/>
  <c r="EH49" i="32" s="1"/>
  <c r="EH50" i="32" s="1"/>
  <c r="EH51" i="32" s="1"/>
  <c r="EH52" i="32" s="1"/>
  <c r="EH53" i="32" s="1"/>
  <c r="EH54" i="32" s="1"/>
  <c r="EH55" i="32" s="1"/>
  <c r="EH56" i="32" s="1"/>
  <c r="EH57" i="32" s="1"/>
  <c r="EH58" i="32" s="1"/>
  <c r="EH59" i="32" s="1"/>
  <c r="EH60" i="32" s="1"/>
  <c r="EH61" i="32" s="1"/>
  <c r="EH62" i="32" s="1"/>
  <c r="EH63" i="32" s="1"/>
  <c r="EH64" i="32" s="1"/>
  <c r="EH65" i="32" s="1"/>
  <c r="EH66" i="32" s="1"/>
  <c r="EH67" i="32" s="1"/>
  <c r="EH68" i="32" s="1"/>
  <c r="EH69" i="32" s="1"/>
  <c r="EH70" i="32" s="1"/>
  <c r="EH71" i="32" s="1"/>
  <c r="EH72" i="32" s="1"/>
  <c r="EH73" i="32" s="1"/>
  <c r="EH74" i="32" s="1"/>
  <c r="EH75" i="32" s="1"/>
  <c r="EH76" i="32" s="1"/>
  <c r="EH77" i="32" s="1"/>
  <c r="EH78" i="32" s="1"/>
  <c r="EH79" i="32" s="1"/>
  <c r="EH80" i="32" s="1"/>
  <c r="EH81" i="32" s="1"/>
  <c r="EH82" i="32" s="1"/>
  <c r="EH83" i="32" s="1"/>
  <c r="EH84" i="32" s="1"/>
  <c r="EH85" i="32" s="1"/>
  <c r="EH86" i="32" s="1"/>
  <c r="EH87" i="32" s="1"/>
  <c r="EH88" i="32" s="1"/>
  <c r="EH89" i="32" s="1"/>
  <c r="EH90" i="32" s="1"/>
  <c r="EH91" i="32" s="1"/>
  <c r="EH92" i="32" s="1"/>
  <c r="EH93" i="32" s="1"/>
  <c r="EH94" i="32" s="1"/>
  <c r="EH95" i="32" s="1"/>
  <c r="EH96" i="32" s="1"/>
  <c r="EH97" i="32" s="1"/>
  <c r="EH98" i="32" s="1"/>
  <c r="EH99" i="32" s="1"/>
  <c r="EH100" i="32" s="1"/>
  <c r="EH101" i="32" s="1"/>
  <c r="EH102" i="32" s="1"/>
  <c r="EH103" i="32" s="1"/>
  <c r="EH104" i="32" s="1"/>
  <c r="EH105" i="32" s="1"/>
  <c r="EH106" i="32" s="1"/>
  <c r="EH107" i="32" s="1"/>
  <c r="EH108" i="32" s="1"/>
  <c r="EH109" i="32" s="1"/>
  <c r="EH110" i="32" s="1"/>
  <c r="EH111" i="32" s="1"/>
  <c r="EH112" i="32" s="1"/>
  <c r="EH113" i="32" s="1"/>
  <c r="EH114" i="32" s="1"/>
  <c r="EH115" i="32" s="1"/>
  <c r="EH116" i="32" s="1"/>
  <c r="EH117" i="32" s="1"/>
  <c r="EH118" i="32" s="1"/>
  <c r="EH119" i="32" s="1"/>
  <c r="EH120" i="32" s="1"/>
  <c r="EH121" i="32" s="1"/>
  <c r="EH122" i="32" s="1"/>
  <c r="EH123" i="32" s="1"/>
  <c r="EH124" i="32" s="1"/>
  <c r="EH125" i="32" s="1"/>
  <c r="EH126" i="32" s="1"/>
  <c r="EH127" i="32" s="1"/>
  <c r="EH128" i="32" s="1"/>
  <c r="EH129" i="32" s="1"/>
  <c r="EH130" i="32" s="1"/>
  <c r="EH131" i="32" s="1"/>
  <c r="EH132" i="32" s="1"/>
  <c r="EH133" i="32" s="1"/>
  <c r="EH134" i="32" s="1"/>
  <c r="EH135" i="32" s="1"/>
  <c r="EH136" i="32" s="1"/>
  <c r="EH137" i="32" s="1"/>
  <c r="EH138" i="32" s="1"/>
  <c r="EH139" i="32" s="1"/>
  <c r="EH140" i="32" s="1"/>
  <c r="EH141" i="32" s="1"/>
  <c r="EH142" i="32" s="1"/>
  <c r="EH143" i="32" s="1"/>
  <c r="EH144" i="32" s="1"/>
  <c r="EH145" i="32" s="1"/>
  <c r="EH146" i="32" s="1"/>
  <c r="EH147" i="32" s="1"/>
  <c r="EH148" i="32" s="1"/>
  <c r="EH149" i="32" s="1"/>
  <c r="EH150" i="32" s="1"/>
  <c r="EH151" i="32" s="1"/>
  <c r="EH152" i="32" s="1"/>
  <c r="EH153" i="32" s="1"/>
  <c r="EH154" i="32" s="1"/>
  <c r="EH155" i="32" s="1"/>
  <c r="EH156" i="32" s="1"/>
  <c r="EH157" i="32" s="1"/>
  <c r="EH158" i="32" s="1"/>
  <c r="EH159" i="32" s="1"/>
  <c r="EH160" i="32" s="1"/>
  <c r="EH161" i="32" s="1"/>
  <c r="EH162" i="32" s="1"/>
  <c r="EH163" i="32" s="1"/>
  <c r="EH164" i="32" s="1"/>
  <c r="EH165" i="32" s="1"/>
  <c r="EH166" i="32" s="1"/>
  <c r="EH167" i="32" s="1"/>
  <c r="EH168" i="32" s="1"/>
  <c r="EH169" i="32" s="1"/>
  <c r="EH170" i="32" s="1"/>
  <c r="EH171" i="32" s="1"/>
  <c r="EH172" i="32" s="1"/>
  <c r="EH173" i="32" s="1"/>
  <c r="EH174" i="32" s="1"/>
  <c r="EH175" i="32" s="1"/>
  <c r="EH176" i="32" s="1"/>
  <c r="EH177" i="32" s="1"/>
  <c r="EH178" i="32" s="1"/>
  <c r="EH179" i="32" s="1"/>
  <c r="EH180" i="32" s="1"/>
  <c r="EH181" i="32" s="1"/>
  <c r="EH182" i="32" s="1"/>
  <c r="EH183" i="32" s="1"/>
  <c r="EH184" i="32" s="1"/>
  <c r="EH185" i="32" s="1"/>
  <c r="EH186" i="32" s="1"/>
  <c r="EH187" i="32" s="1"/>
  <c r="EH188" i="32" s="1"/>
  <c r="EH189" i="32" s="1"/>
  <c r="EH190" i="32" s="1"/>
  <c r="EH191" i="32" s="1"/>
  <c r="EH192" i="32" s="1"/>
  <c r="EH193" i="32" s="1"/>
  <c r="EH194" i="32" s="1"/>
  <c r="EH195" i="32" s="1"/>
  <c r="EH196" i="32" s="1"/>
  <c r="EH197" i="32" s="1"/>
  <c r="EH198" i="32" s="1"/>
  <c r="EH199" i="32" s="1"/>
  <c r="EH200" i="32" s="1"/>
  <c r="EH201" i="32" s="1"/>
  <c r="EH202" i="32" s="1"/>
  <c r="EH203" i="32" s="1"/>
  <c r="EH204" i="32" s="1"/>
  <c r="EH205" i="32" s="1"/>
  <c r="EH206" i="32" s="1"/>
  <c r="EH207" i="32" s="1"/>
  <c r="EH208" i="32" s="1"/>
  <c r="EH209" i="32" s="1"/>
  <c r="EH210" i="32" s="1"/>
  <c r="EH211" i="32" s="1"/>
  <c r="EC3" i="32"/>
  <c r="EH3" i="32" s="1"/>
  <c r="EH8" i="32"/>
  <c r="EH6" i="32"/>
  <c r="EC9" i="32"/>
  <c r="EC8" i="32"/>
  <c r="EC6" i="32"/>
  <c r="EC11" i="32"/>
  <c r="DY9" i="32"/>
  <c r="DY8" i="32"/>
  <c r="DY7" i="32"/>
  <c r="DY6" i="32"/>
  <c r="DY5" i="32"/>
  <c r="DX11" i="32"/>
  <c r="DX12" i="32" s="1"/>
  <c r="DX13" i="32" s="1"/>
  <c r="DX14" i="32" s="1"/>
  <c r="DX15" i="32" s="1"/>
  <c r="DX16" i="32" s="1"/>
  <c r="DX17" i="32" s="1"/>
  <c r="DX18" i="32" s="1"/>
  <c r="DX19" i="32" s="1"/>
  <c r="DX20" i="32" s="1"/>
  <c r="DX21" i="32" s="1"/>
  <c r="DX22" i="32" s="1"/>
  <c r="DX23" i="32" s="1"/>
  <c r="DX24" i="32" s="1"/>
  <c r="DX25" i="32" s="1"/>
  <c r="DX26" i="32" s="1"/>
  <c r="DX27" i="32" s="1"/>
  <c r="DX28" i="32" s="1"/>
  <c r="DX29" i="32" s="1"/>
  <c r="DX30" i="32" s="1"/>
  <c r="DX31" i="32" s="1"/>
  <c r="DX32" i="32" s="1"/>
  <c r="DX33" i="32" s="1"/>
  <c r="DX34" i="32" s="1"/>
  <c r="DX35" i="32" s="1"/>
  <c r="DX36" i="32" s="1"/>
  <c r="DX37" i="32" s="1"/>
  <c r="DX38" i="32" s="1"/>
  <c r="DX39" i="32" s="1"/>
  <c r="DX40" i="32" s="1"/>
  <c r="DX41" i="32" s="1"/>
  <c r="DX42" i="32" s="1"/>
  <c r="DX43" i="32" s="1"/>
  <c r="DX44" i="32" s="1"/>
  <c r="DX45" i="32" s="1"/>
  <c r="DX46" i="32" s="1"/>
  <c r="DX47" i="32" s="1"/>
  <c r="DX48" i="32" s="1"/>
  <c r="DX49" i="32" s="1"/>
  <c r="DX50" i="32" s="1"/>
  <c r="DX51" i="32" s="1"/>
  <c r="DX52" i="32" s="1"/>
  <c r="DX53" i="32" s="1"/>
  <c r="DX54" i="32" s="1"/>
  <c r="DX55" i="32" s="1"/>
  <c r="DX56" i="32" s="1"/>
  <c r="DX57" i="32" s="1"/>
  <c r="DX58" i="32" s="1"/>
  <c r="DX59" i="32" s="1"/>
  <c r="DX60" i="32" s="1"/>
  <c r="DX61" i="32" s="1"/>
  <c r="DX62" i="32" s="1"/>
  <c r="DX63" i="32" s="1"/>
  <c r="DX64" i="32" s="1"/>
  <c r="DX65" i="32" s="1"/>
  <c r="DX66" i="32" s="1"/>
  <c r="DX67" i="32" s="1"/>
  <c r="DX68" i="32" s="1"/>
  <c r="DX69" i="32" s="1"/>
  <c r="DX70" i="32" s="1"/>
  <c r="DX71" i="32" s="1"/>
  <c r="DX72" i="32" s="1"/>
  <c r="DX73" i="32" s="1"/>
  <c r="DX74" i="32" s="1"/>
  <c r="DX75" i="32" s="1"/>
  <c r="DX76" i="32" s="1"/>
  <c r="DX77" i="32" s="1"/>
  <c r="DX78" i="32" s="1"/>
  <c r="DX79" i="32" s="1"/>
  <c r="DX80" i="32" s="1"/>
  <c r="DX81" i="32" s="1"/>
  <c r="DX82" i="32" s="1"/>
  <c r="DX83" i="32" s="1"/>
  <c r="DX84" i="32" s="1"/>
  <c r="DX85" i="32" s="1"/>
  <c r="DX86" i="32" s="1"/>
  <c r="DX87" i="32" s="1"/>
  <c r="DX88" i="32" s="1"/>
  <c r="DX89" i="32" s="1"/>
  <c r="DX90" i="32" s="1"/>
  <c r="DX91" i="32" s="1"/>
  <c r="DX92" i="32" s="1"/>
  <c r="DX93" i="32" s="1"/>
  <c r="DX94" i="32" s="1"/>
  <c r="DX95" i="32" s="1"/>
  <c r="DX96" i="32" s="1"/>
  <c r="DX97" i="32" s="1"/>
  <c r="DX98" i="32" s="1"/>
  <c r="DX99" i="32" s="1"/>
  <c r="DX100" i="32" s="1"/>
  <c r="DX101" i="32" s="1"/>
  <c r="DX102" i="32" s="1"/>
  <c r="DX103" i="32" s="1"/>
  <c r="DX104" i="32" s="1"/>
  <c r="DX105" i="32" s="1"/>
  <c r="DX106" i="32" s="1"/>
  <c r="DX107" i="32" s="1"/>
  <c r="DX108" i="32" s="1"/>
  <c r="DX109" i="32" s="1"/>
  <c r="DX110" i="32" s="1"/>
  <c r="DX111" i="32" s="1"/>
  <c r="DX112" i="32" s="1"/>
  <c r="DX113" i="32" s="1"/>
  <c r="DX114" i="32" s="1"/>
  <c r="DX115" i="32" s="1"/>
  <c r="DX116" i="32" s="1"/>
  <c r="DX117" i="32" s="1"/>
  <c r="DX118" i="32" s="1"/>
  <c r="DX119" i="32" s="1"/>
  <c r="DX120" i="32" s="1"/>
  <c r="DX121" i="32" s="1"/>
  <c r="DX122" i="32" s="1"/>
  <c r="DX123" i="32" s="1"/>
  <c r="DX124" i="32" s="1"/>
  <c r="DX125" i="32" s="1"/>
  <c r="DX126" i="32" s="1"/>
  <c r="DX127" i="32" s="1"/>
  <c r="DX128" i="32" s="1"/>
  <c r="DX129" i="32" s="1"/>
  <c r="DX130" i="32" s="1"/>
  <c r="DX131" i="32" s="1"/>
  <c r="DX132" i="32" s="1"/>
  <c r="DX133" i="32" s="1"/>
  <c r="DX134" i="32" s="1"/>
  <c r="DX135" i="32" s="1"/>
  <c r="DX136" i="32" s="1"/>
  <c r="DX137" i="32" s="1"/>
  <c r="DX138" i="32" s="1"/>
  <c r="DX139" i="32" s="1"/>
  <c r="DX140" i="32" s="1"/>
  <c r="DX141" i="32" s="1"/>
  <c r="DX142" i="32" s="1"/>
  <c r="DX143" i="32" s="1"/>
  <c r="DX144" i="32" s="1"/>
  <c r="DX145" i="32" s="1"/>
  <c r="DX146" i="32" s="1"/>
  <c r="DX147" i="32" s="1"/>
  <c r="DX148" i="32" s="1"/>
  <c r="DX149" i="32" s="1"/>
  <c r="DX150" i="32" s="1"/>
  <c r="DX151" i="32" s="1"/>
  <c r="DX152" i="32" s="1"/>
  <c r="DX153" i="32" s="1"/>
  <c r="DX154" i="32" s="1"/>
  <c r="DX155" i="32" s="1"/>
  <c r="DX156" i="32" s="1"/>
  <c r="DX157" i="32" s="1"/>
  <c r="DX158" i="32" s="1"/>
  <c r="DX159" i="32" s="1"/>
  <c r="DX160" i="32" s="1"/>
  <c r="DX161" i="32" s="1"/>
  <c r="DX162" i="32" s="1"/>
  <c r="DX163" i="32" s="1"/>
  <c r="DX164" i="32" s="1"/>
  <c r="DX165" i="32" s="1"/>
  <c r="DX166" i="32" s="1"/>
  <c r="DX167" i="32" s="1"/>
  <c r="DX168" i="32" s="1"/>
  <c r="DX169" i="32" s="1"/>
  <c r="DX170" i="32" s="1"/>
  <c r="DX171" i="32" s="1"/>
  <c r="DX172" i="32" s="1"/>
  <c r="DX173" i="32" s="1"/>
  <c r="DX174" i="32" s="1"/>
  <c r="DX175" i="32" s="1"/>
  <c r="DX176" i="32" s="1"/>
  <c r="DX177" i="32" s="1"/>
  <c r="DX178" i="32" s="1"/>
  <c r="DX179" i="32" s="1"/>
  <c r="DX180" i="32" s="1"/>
  <c r="DX181" i="32" s="1"/>
  <c r="DX182" i="32" s="1"/>
  <c r="DX183" i="32" s="1"/>
  <c r="DX184" i="32" s="1"/>
  <c r="DX185" i="32" s="1"/>
  <c r="DX186" i="32" s="1"/>
  <c r="DX187" i="32" s="1"/>
  <c r="DX188" i="32" s="1"/>
  <c r="DX189" i="32" s="1"/>
  <c r="DX190" i="32" s="1"/>
  <c r="DX191" i="32" s="1"/>
  <c r="DX192" i="32" s="1"/>
  <c r="DX193" i="32" s="1"/>
  <c r="DX194" i="32" s="1"/>
  <c r="DX195" i="32" s="1"/>
  <c r="DX196" i="32" s="1"/>
  <c r="DX197" i="32" s="1"/>
  <c r="DX198" i="32" s="1"/>
  <c r="DX199" i="32" s="1"/>
  <c r="DX200" i="32" s="1"/>
  <c r="DX201" i="32" s="1"/>
  <c r="DX202" i="32" s="1"/>
  <c r="DX203" i="32" s="1"/>
  <c r="DX204" i="32" s="1"/>
  <c r="DX205" i="32" s="1"/>
  <c r="DX206" i="32" s="1"/>
  <c r="DX207" i="32" s="1"/>
  <c r="DX208" i="32" s="1"/>
  <c r="DX209" i="32" s="1"/>
  <c r="DX210" i="32" s="1"/>
  <c r="DX211" i="32" s="1"/>
  <c r="DV13" i="32"/>
  <c r="DV14" i="32"/>
  <c r="DV15" i="32"/>
  <c r="DV16" i="32"/>
  <c r="DV17" i="32"/>
  <c r="DV18" i="32"/>
  <c r="DV19" i="32"/>
  <c r="DV20" i="32"/>
  <c r="DV21" i="32"/>
  <c r="DV22" i="32"/>
  <c r="DV23" i="32"/>
  <c r="DV24" i="32"/>
  <c r="DV25" i="32"/>
  <c r="DV26" i="32"/>
  <c r="DV27" i="32"/>
  <c r="DV28" i="32"/>
  <c r="DV29" i="32"/>
  <c r="DV30" i="32"/>
  <c r="DV31" i="32"/>
  <c r="DV32" i="32"/>
  <c r="DV33" i="32"/>
  <c r="DV34" i="32"/>
  <c r="DV35" i="32"/>
  <c r="DV36" i="32"/>
  <c r="DV37" i="32"/>
  <c r="DV38" i="32"/>
  <c r="DV39" i="32"/>
  <c r="DV40" i="32"/>
  <c r="DV41" i="32"/>
  <c r="DV42" i="32"/>
  <c r="DV43" i="32"/>
  <c r="DV44" i="32"/>
  <c r="DV45" i="32"/>
  <c r="DV46" i="32"/>
  <c r="DV47" i="32"/>
  <c r="DV48" i="32"/>
  <c r="DV49" i="32"/>
  <c r="DV50" i="32"/>
  <c r="DV51" i="32"/>
  <c r="DV52" i="32"/>
  <c r="DV53" i="32"/>
  <c r="DV54" i="32"/>
  <c r="DV55" i="32"/>
  <c r="DV56" i="32"/>
  <c r="DV57" i="32"/>
  <c r="DV58" i="32"/>
  <c r="DV59" i="32"/>
  <c r="DV60" i="32"/>
  <c r="DV61" i="32"/>
  <c r="DV62" i="32"/>
  <c r="DV63" i="32"/>
  <c r="DV64" i="32"/>
  <c r="DV65" i="32"/>
  <c r="DV66" i="32"/>
  <c r="DV67" i="32"/>
  <c r="DV68" i="32"/>
  <c r="DV69" i="32"/>
  <c r="DV70" i="32"/>
  <c r="DV71" i="32"/>
  <c r="DV72" i="32"/>
  <c r="DV73" i="32"/>
  <c r="DV74" i="32"/>
  <c r="DV75" i="32"/>
  <c r="DV76" i="32"/>
  <c r="DV77" i="32"/>
  <c r="DV78" i="32"/>
  <c r="DV79" i="32"/>
  <c r="DV80" i="32"/>
  <c r="DV81" i="32"/>
  <c r="DV82" i="32"/>
  <c r="DV83" i="32"/>
  <c r="DV84" i="32"/>
  <c r="DV85" i="32"/>
  <c r="DV86" i="32"/>
  <c r="DV87" i="32"/>
  <c r="DV88" i="32"/>
  <c r="DV89" i="32"/>
  <c r="DV90" i="32"/>
  <c r="DV91" i="32"/>
  <c r="DV92" i="32"/>
  <c r="DV93" i="32"/>
  <c r="DV94" i="32"/>
  <c r="DV95" i="32"/>
  <c r="DV96" i="32"/>
  <c r="DV97" i="32"/>
  <c r="DV98" i="32"/>
  <c r="DV99" i="32"/>
  <c r="DV100" i="32"/>
  <c r="DV101" i="32"/>
  <c r="DV102" i="32"/>
  <c r="DV103" i="32"/>
  <c r="DV104" i="32"/>
  <c r="DV105" i="32"/>
  <c r="DV106" i="32"/>
  <c r="DV107" i="32"/>
  <c r="DV108" i="32"/>
  <c r="DV109" i="32"/>
  <c r="DV110" i="32"/>
  <c r="DV111" i="32"/>
  <c r="DV112" i="32"/>
  <c r="DV113" i="32"/>
  <c r="DV114" i="32"/>
  <c r="DV115" i="32"/>
  <c r="DV116" i="32"/>
  <c r="DV117" i="32"/>
  <c r="DV118" i="32"/>
  <c r="DV119" i="32"/>
  <c r="DV120" i="32"/>
  <c r="DV121" i="32"/>
  <c r="DV122" i="32"/>
  <c r="DV123" i="32"/>
  <c r="DV124" i="32"/>
  <c r="DV125" i="32"/>
  <c r="DV126" i="32"/>
  <c r="DV127" i="32"/>
  <c r="DV128" i="32"/>
  <c r="DV129" i="32"/>
  <c r="DV130" i="32"/>
  <c r="DV131" i="32"/>
  <c r="DV132" i="32"/>
  <c r="DV133" i="32"/>
  <c r="DV134" i="32"/>
  <c r="DV135" i="32"/>
  <c r="DV136" i="32"/>
  <c r="DV137" i="32"/>
  <c r="DV138" i="32"/>
  <c r="DV139" i="32"/>
  <c r="DV140" i="32"/>
  <c r="DV141" i="32"/>
  <c r="DV142" i="32"/>
  <c r="DV143" i="32"/>
  <c r="DV144" i="32"/>
  <c r="DV145" i="32"/>
  <c r="DV146" i="32"/>
  <c r="DV147" i="32"/>
  <c r="DV148" i="32"/>
  <c r="DV149" i="32"/>
  <c r="DV150" i="32"/>
  <c r="DV151" i="32"/>
  <c r="DV152" i="32"/>
  <c r="DV153" i="32"/>
  <c r="DV154" i="32"/>
  <c r="DV155" i="32"/>
  <c r="DV156" i="32"/>
  <c r="DV157" i="32"/>
  <c r="DV158" i="32"/>
  <c r="DV159" i="32"/>
  <c r="DV160" i="32"/>
  <c r="DV161" i="32"/>
  <c r="DV162" i="32"/>
  <c r="DV163" i="32"/>
  <c r="DV164" i="32"/>
  <c r="DV165" i="32"/>
  <c r="DV166" i="32"/>
  <c r="DV167" i="32"/>
  <c r="DV168" i="32"/>
  <c r="DV169" i="32"/>
  <c r="DV170" i="32"/>
  <c r="DV171" i="32"/>
  <c r="DV172" i="32"/>
  <c r="DV173" i="32"/>
  <c r="DV174" i="32"/>
  <c r="DV175" i="32"/>
  <c r="DV176" i="32"/>
  <c r="DV177" i="32"/>
  <c r="DV178" i="32"/>
  <c r="DV179" i="32"/>
  <c r="DV180" i="32"/>
  <c r="DV181" i="32"/>
  <c r="DV182" i="32"/>
  <c r="DV183" i="32"/>
  <c r="DV184" i="32"/>
  <c r="DV185" i="32"/>
  <c r="DV186" i="32"/>
  <c r="DV187" i="32"/>
  <c r="DV188" i="32"/>
  <c r="DV189" i="32"/>
  <c r="DV190" i="32"/>
  <c r="DV191" i="32"/>
  <c r="DV192" i="32"/>
  <c r="DV193" i="32"/>
  <c r="DV194" i="32"/>
  <c r="DV195" i="32"/>
  <c r="DV196" i="32"/>
  <c r="DV197" i="32"/>
  <c r="DV198" i="32"/>
  <c r="DV199" i="32"/>
  <c r="DV200" i="32"/>
  <c r="DV201" i="32"/>
  <c r="DV202" i="32"/>
  <c r="DV203" i="32"/>
  <c r="DV204" i="32"/>
  <c r="DV205" i="32"/>
  <c r="DV206" i="32"/>
  <c r="DV207" i="32"/>
  <c r="DV208" i="32"/>
  <c r="DV209" i="32"/>
  <c r="DV210" i="32"/>
  <c r="DV211" i="32"/>
  <c r="DV12" i="32"/>
  <c r="DV11" i="32"/>
  <c r="EC12" i="32"/>
  <c r="EC13" i="32" s="1"/>
  <c r="EC14" i="32" s="1"/>
  <c r="EC15" i="32" s="1"/>
  <c r="EC16" i="32" s="1"/>
  <c r="EC17" i="32" s="1"/>
  <c r="EC18" i="32" s="1"/>
  <c r="EC19" i="32" s="1"/>
  <c r="EC20" i="32" s="1"/>
  <c r="EC21" i="32" s="1"/>
  <c r="EC22" i="32" s="1"/>
  <c r="EC23" i="32" s="1"/>
  <c r="EC24" i="32" s="1"/>
  <c r="EC25" i="32" s="1"/>
  <c r="EC26" i="32" s="1"/>
  <c r="EC27" i="32" s="1"/>
  <c r="EC28" i="32" s="1"/>
  <c r="EC29" i="32" s="1"/>
  <c r="EC30" i="32" s="1"/>
  <c r="EC31" i="32" s="1"/>
  <c r="EC32" i="32" s="1"/>
  <c r="EC33" i="32" s="1"/>
  <c r="EC34" i="32" s="1"/>
  <c r="EC35" i="32" s="1"/>
  <c r="EC36" i="32" s="1"/>
  <c r="EC37" i="32" s="1"/>
  <c r="EC38" i="32" s="1"/>
  <c r="EC39" i="32" s="1"/>
  <c r="EC40" i="32" s="1"/>
  <c r="EC41" i="32" s="1"/>
  <c r="EC42" i="32" s="1"/>
  <c r="EC43" i="32" s="1"/>
  <c r="EC44" i="32" s="1"/>
  <c r="EC45" i="32" s="1"/>
  <c r="EC46" i="32" s="1"/>
  <c r="EC47" i="32" s="1"/>
  <c r="EC48" i="32" s="1"/>
  <c r="EC49" i="32" s="1"/>
  <c r="EC50" i="32" s="1"/>
  <c r="EC51" i="32" s="1"/>
  <c r="EC52" i="32" s="1"/>
  <c r="EC53" i="32" s="1"/>
  <c r="EC54" i="32" s="1"/>
  <c r="EC55" i="32" s="1"/>
  <c r="EC56" i="32" s="1"/>
  <c r="EC57" i="32" s="1"/>
  <c r="EC58" i="32" s="1"/>
  <c r="EC59" i="32" s="1"/>
  <c r="EC60" i="32" s="1"/>
  <c r="EC61" i="32" s="1"/>
  <c r="EC62" i="32" s="1"/>
  <c r="EC63" i="32" s="1"/>
  <c r="EC64" i="32" s="1"/>
  <c r="EC65" i="32" s="1"/>
  <c r="EC66" i="32" s="1"/>
  <c r="EC67" i="32" s="1"/>
  <c r="EC68" i="32" s="1"/>
  <c r="EC69" i="32" s="1"/>
  <c r="EC70" i="32" s="1"/>
  <c r="EC71" i="32" s="1"/>
  <c r="EC72" i="32" s="1"/>
  <c r="EC73" i="32" s="1"/>
  <c r="EC74" i="32" s="1"/>
  <c r="EC75" i="32" s="1"/>
  <c r="EC76" i="32" s="1"/>
  <c r="EC77" i="32" s="1"/>
  <c r="EC78" i="32" s="1"/>
  <c r="EC79" i="32" s="1"/>
  <c r="EC80" i="32" s="1"/>
  <c r="EC81" i="32" s="1"/>
  <c r="EC82" i="32" s="1"/>
  <c r="EC83" i="32" s="1"/>
  <c r="EC84" i="32" s="1"/>
  <c r="EC85" i="32" s="1"/>
  <c r="EC86" i="32" s="1"/>
  <c r="EC87" i="32" s="1"/>
  <c r="EC88" i="32" s="1"/>
  <c r="EC89" i="32" s="1"/>
  <c r="EC90" i="32" s="1"/>
  <c r="EC91" i="32" s="1"/>
  <c r="EC92" i="32" s="1"/>
  <c r="EC93" i="32" s="1"/>
  <c r="EC94" i="32" s="1"/>
  <c r="EC95" i="32" s="1"/>
  <c r="EC96" i="32" s="1"/>
  <c r="EC97" i="32" s="1"/>
  <c r="EC98" i="32" s="1"/>
  <c r="EC99" i="32" s="1"/>
  <c r="EC100" i="32" s="1"/>
  <c r="EC101" i="32" s="1"/>
  <c r="EC102" i="32" s="1"/>
  <c r="EC103" i="32" s="1"/>
  <c r="EC104" i="32" s="1"/>
  <c r="EC105" i="32" s="1"/>
  <c r="EC106" i="32" s="1"/>
  <c r="EC107" i="32" s="1"/>
  <c r="EC108" i="32" s="1"/>
  <c r="EC109" i="32" s="1"/>
  <c r="EC110" i="32" s="1"/>
  <c r="EC111" i="32" s="1"/>
  <c r="EC112" i="32" s="1"/>
  <c r="EC113" i="32" s="1"/>
  <c r="EC114" i="32" s="1"/>
  <c r="EC115" i="32" s="1"/>
  <c r="EC116" i="32" s="1"/>
  <c r="EC117" i="32" s="1"/>
  <c r="EC118" i="32" s="1"/>
  <c r="EC119" i="32" s="1"/>
  <c r="EC120" i="32" s="1"/>
  <c r="EC121" i="32" s="1"/>
  <c r="EC122" i="32" s="1"/>
  <c r="EC123" i="32" s="1"/>
  <c r="EC124" i="32" s="1"/>
  <c r="EC125" i="32" s="1"/>
  <c r="EC126" i="32" s="1"/>
  <c r="EC127" i="32" s="1"/>
  <c r="EC128" i="32" s="1"/>
  <c r="EC129" i="32" s="1"/>
  <c r="EC130" i="32" s="1"/>
  <c r="EC131" i="32" s="1"/>
  <c r="EC132" i="32" s="1"/>
  <c r="EC133" i="32" s="1"/>
  <c r="EC134" i="32" s="1"/>
  <c r="EC135" i="32" s="1"/>
  <c r="EC136" i="32" s="1"/>
  <c r="EC137" i="32" s="1"/>
  <c r="EC138" i="32" s="1"/>
  <c r="EC139" i="32" s="1"/>
  <c r="EC140" i="32" s="1"/>
  <c r="EC141" i="32" s="1"/>
  <c r="EC142" i="32" s="1"/>
  <c r="EC143" i="32" s="1"/>
  <c r="EC144" i="32" s="1"/>
  <c r="EC145" i="32" s="1"/>
  <c r="EC146" i="32" s="1"/>
  <c r="EC147" i="32" s="1"/>
  <c r="EC148" i="32" s="1"/>
  <c r="EC149" i="32" s="1"/>
  <c r="EC150" i="32" s="1"/>
  <c r="EC151" i="32" s="1"/>
  <c r="EC152" i="32" s="1"/>
  <c r="EC153" i="32" s="1"/>
  <c r="EC154" i="32" s="1"/>
  <c r="EC155" i="32" s="1"/>
  <c r="EC156" i="32" s="1"/>
  <c r="EC157" i="32" s="1"/>
  <c r="EC158" i="32" s="1"/>
  <c r="EC159" i="32" s="1"/>
  <c r="EC160" i="32" s="1"/>
  <c r="EC161" i="32" s="1"/>
  <c r="EC162" i="32" s="1"/>
  <c r="EC163" i="32" s="1"/>
  <c r="EC164" i="32" s="1"/>
  <c r="EC165" i="32" s="1"/>
  <c r="EC166" i="32" s="1"/>
  <c r="EC167" i="32" s="1"/>
  <c r="EC168" i="32" s="1"/>
  <c r="EC169" i="32" s="1"/>
  <c r="EC170" i="32" s="1"/>
  <c r="EC171" i="32" s="1"/>
  <c r="EC172" i="32" s="1"/>
  <c r="EC173" i="32" s="1"/>
  <c r="EC174" i="32" s="1"/>
  <c r="EC175" i="32" s="1"/>
  <c r="EC176" i="32" s="1"/>
  <c r="EC177" i="32" s="1"/>
  <c r="EC178" i="32" s="1"/>
  <c r="EC179" i="32" s="1"/>
  <c r="EC180" i="32" s="1"/>
  <c r="EC181" i="32" s="1"/>
  <c r="EC182" i="32" s="1"/>
  <c r="EC183" i="32" s="1"/>
  <c r="EC184" i="32" s="1"/>
  <c r="EC185" i="32" s="1"/>
  <c r="EC186" i="32" s="1"/>
  <c r="EC187" i="32" s="1"/>
  <c r="EC188" i="32" s="1"/>
  <c r="EC189" i="32" s="1"/>
  <c r="EC190" i="32" s="1"/>
  <c r="EC191" i="32" s="1"/>
  <c r="EC192" i="32" s="1"/>
  <c r="EC193" i="32" s="1"/>
  <c r="EC194" i="32" s="1"/>
  <c r="EC195" i="32" s="1"/>
  <c r="EC196" i="32" s="1"/>
  <c r="EC197" i="32" s="1"/>
  <c r="EC198" i="32" s="1"/>
  <c r="EC199" i="32" s="1"/>
  <c r="EC200" i="32" s="1"/>
  <c r="EC201" i="32" s="1"/>
  <c r="EC202" i="32" s="1"/>
  <c r="EC203" i="32" s="1"/>
  <c r="EC204" i="32" s="1"/>
  <c r="EC205" i="32" s="1"/>
  <c r="EC206" i="32" s="1"/>
  <c r="EC207" i="32" s="1"/>
  <c r="EC208" i="32" s="1"/>
  <c r="EC209" i="32" s="1"/>
  <c r="EC210" i="32" s="1"/>
  <c r="EC211" i="32" s="1"/>
  <c r="I5" i="32"/>
  <c r="J5" i="32" s="1"/>
  <c r="B10" i="32"/>
  <c r="P38" i="32"/>
  <c r="CL5" i="32" s="1"/>
  <c r="N10" i="32"/>
  <c r="O10" i="32"/>
  <c r="P10" i="32"/>
  <c r="P8" i="32"/>
  <c r="N8" i="32"/>
  <c r="O8" i="32"/>
  <c r="N9" i="32"/>
  <c r="O9" i="32"/>
  <c r="P9" i="32"/>
  <c r="N11" i="32"/>
  <c r="O11" i="32"/>
  <c r="P11" i="32"/>
  <c r="N12" i="32"/>
  <c r="O12" i="32"/>
  <c r="P12" i="32"/>
  <c r="B12" i="32"/>
  <c r="A12" i="32" s="1"/>
  <c r="N13" i="32"/>
  <c r="O13" i="32"/>
  <c r="P13" i="32"/>
  <c r="N14" i="32"/>
  <c r="O14" i="32"/>
  <c r="P14" i="32"/>
  <c r="N15" i="32"/>
  <c r="O15" i="32"/>
  <c r="P15" i="32"/>
  <c r="N16" i="32"/>
  <c r="O16" i="32"/>
  <c r="P16" i="32"/>
  <c r="N17" i="32"/>
  <c r="O17" i="32"/>
  <c r="P17" i="32"/>
  <c r="N18" i="32"/>
  <c r="O18" i="32"/>
  <c r="P18" i="32"/>
  <c r="N19" i="32"/>
  <c r="O19" i="32"/>
  <c r="P19" i="32"/>
  <c r="E19" i="32"/>
  <c r="N20" i="32"/>
  <c r="O20" i="32"/>
  <c r="P20" i="32"/>
  <c r="N21" i="32"/>
  <c r="O21" i="32"/>
  <c r="P21" i="32"/>
  <c r="E21" i="32"/>
  <c r="N22" i="32"/>
  <c r="O22" i="32"/>
  <c r="P22" i="32"/>
  <c r="N23" i="32"/>
  <c r="O23" i="32"/>
  <c r="P23" i="32"/>
  <c r="E23" i="32"/>
  <c r="N24" i="32"/>
  <c r="O24" i="32"/>
  <c r="P24" i="32"/>
  <c r="N25" i="32"/>
  <c r="O25" i="32"/>
  <c r="P25" i="32"/>
  <c r="E25" i="32"/>
  <c r="N26" i="32"/>
  <c r="O26" i="32"/>
  <c r="P26" i="32"/>
  <c r="N27" i="32"/>
  <c r="O27" i="32"/>
  <c r="P27" i="32"/>
  <c r="E27" i="32"/>
  <c r="N28" i="32"/>
  <c r="O28" i="32"/>
  <c r="P28" i="32"/>
  <c r="N29" i="32"/>
  <c r="O29" i="32"/>
  <c r="P29" i="32"/>
  <c r="E29" i="32"/>
  <c r="N30" i="32"/>
  <c r="O30" i="32"/>
  <c r="P30" i="32"/>
  <c r="N31" i="32"/>
  <c r="O31" i="32"/>
  <c r="P31" i="32"/>
  <c r="E31" i="32"/>
  <c r="N32" i="32"/>
  <c r="O32" i="32"/>
  <c r="P32" i="32"/>
  <c r="N33" i="32"/>
  <c r="O33" i="32"/>
  <c r="P33" i="32"/>
  <c r="N34" i="32"/>
  <c r="O34" i="32"/>
  <c r="P34" i="32"/>
  <c r="N35" i="32"/>
  <c r="O35" i="32"/>
  <c r="P35" i="32"/>
  <c r="B35" i="32"/>
  <c r="A35" i="32"/>
  <c r="E35" i="32"/>
  <c r="N36" i="32"/>
  <c r="O36" i="32"/>
  <c r="P36" i="32"/>
  <c r="E36" i="32"/>
  <c r="N37" i="32"/>
  <c r="CJ37" i="32" s="1"/>
  <c r="O37" i="32"/>
  <c r="P37" i="32"/>
  <c r="E37" i="32"/>
  <c r="V45" i="32"/>
  <c r="AA37" i="32"/>
  <c r="AA36" i="32"/>
  <c r="AA32" i="32"/>
  <c r="AA31" i="32"/>
  <c r="AA29" i="32"/>
  <c r="AA27" i="32"/>
  <c r="AA25" i="32"/>
  <c r="AA23" i="32"/>
  <c r="AA21" i="32"/>
  <c r="AA19" i="32"/>
  <c r="CI37" i="32"/>
  <c r="X37" i="32"/>
  <c r="CI19" i="32"/>
  <c r="X19" i="32"/>
  <c r="CI21" i="32"/>
  <c r="X21" i="32"/>
  <c r="CI23" i="32"/>
  <c r="X23" i="32"/>
  <c r="CI25" i="32"/>
  <c r="X25" i="32"/>
  <c r="CI27" i="32"/>
  <c r="X27" i="32"/>
  <c r="CI29" i="32"/>
  <c r="X29" i="32"/>
  <c r="X31" i="32"/>
  <c r="X33" i="32"/>
  <c r="CI36" i="32"/>
  <c r="X36" i="32"/>
  <c r="DM12" i="32"/>
  <c r="DM13" i="32"/>
  <c r="DM11" i="32"/>
  <c r="DM10" i="32"/>
  <c r="DM9" i="32"/>
  <c r="DM8" i="32"/>
  <c r="DM7" i="32"/>
  <c r="DM6" i="32"/>
  <c r="DM5" i="32"/>
  <c r="CQ37" i="32"/>
  <c r="CQ36" i="32"/>
  <c r="CQ35" i="32"/>
  <c r="CQ33" i="32"/>
  <c r="CQ29" i="32"/>
  <c r="CQ27" i="32"/>
  <c r="CQ25" i="32"/>
  <c r="CQ23" i="32"/>
  <c r="CQ21" i="32"/>
  <c r="CQ19" i="32"/>
  <c r="CQ13" i="32"/>
  <c r="CQ12" i="32"/>
  <c r="CQ10" i="32"/>
  <c r="CQ8" i="32"/>
  <c r="CS42" i="26"/>
  <c r="CT42" i="26" s="1"/>
  <c r="CS43" i="26"/>
  <c r="CS44" i="26"/>
  <c r="CS45" i="26"/>
  <c r="CS46" i="26"/>
  <c r="CS47" i="26"/>
  <c r="CS48" i="26"/>
  <c r="CS49" i="26"/>
  <c r="CS50" i="26"/>
  <c r="B37" i="32"/>
  <c r="A37" i="32"/>
  <c r="B36" i="32"/>
  <c r="A36" i="32"/>
  <c r="A31" i="32"/>
  <c r="B29" i="32"/>
  <c r="A29" i="32"/>
  <c r="B27" i="32"/>
  <c r="A27" i="32"/>
  <c r="B25" i="32"/>
  <c r="A25" i="32"/>
  <c r="A24" i="32"/>
  <c r="B23" i="32"/>
  <c r="A23" i="32"/>
  <c r="B21" i="32"/>
  <c r="A21" i="32"/>
  <c r="B19" i="32"/>
  <c r="A19" i="32"/>
  <c r="CM112" i="32"/>
  <c r="CM111" i="32"/>
  <c r="CM110" i="32"/>
  <c r="CM109" i="32"/>
  <c r="CM108" i="32"/>
  <c r="CM107" i="32"/>
  <c r="CM106" i="32"/>
  <c r="CM105" i="32"/>
  <c r="CM104" i="32"/>
  <c r="CM103" i="32"/>
  <c r="CM102" i="32"/>
  <c r="CM101" i="32"/>
  <c r="CM100" i="32"/>
  <c r="CM99" i="32"/>
  <c r="CM98" i="32"/>
  <c r="CM97" i="32"/>
  <c r="CM96" i="32"/>
  <c r="CM95" i="32"/>
  <c r="CM94" i="32"/>
  <c r="CM93" i="32"/>
  <c r="CA37" i="32"/>
  <c r="CA36" i="32"/>
  <c r="CA35" i="32"/>
  <c r="CA34" i="32"/>
  <c r="CA33" i="32"/>
  <c r="CA32" i="32"/>
  <c r="CA31" i="32"/>
  <c r="CA30" i="32"/>
  <c r="CA29" i="32"/>
  <c r="CA28" i="32"/>
  <c r="CA27" i="32"/>
  <c r="CA26" i="32"/>
  <c r="CA25" i="32"/>
  <c r="CA24" i="32"/>
  <c r="CA23" i="32"/>
  <c r="CA22" i="32"/>
  <c r="CA21" i="32"/>
  <c r="CA20" i="32"/>
  <c r="CA19" i="32"/>
  <c r="CA18" i="32"/>
  <c r="CA17" i="32"/>
  <c r="CA16" i="32"/>
  <c r="CA15" i="32"/>
  <c r="CA14" i="32"/>
  <c r="CA13" i="32"/>
  <c r="CA12" i="32"/>
  <c r="CA11" i="32"/>
  <c r="CA10" i="32"/>
  <c r="CA9" i="32"/>
  <c r="BZ37" i="32"/>
  <c r="BY37" i="32"/>
  <c r="BZ36" i="32"/>
  <c r="BY36" i="32"/>
  <c r="BZ35" i="32"/>
  <c r="BY35" i="32"/>
  <c r="BZ34" i="32"/>
  <c r="BY34" i="32"/>
  <c r="BZ33" i="32"/>
  <c r="BY33" i="32"/>
  <c r="BZ32" i="32"/>
  <c r="BY32" i="32"/>
  <c r="BZ31" i="32"/>
  <c r="BY31" i="32"/>
  <c r="BZ30" i="32"/>
  <c r="BY30" i="32"/>
  <c r="BZ29" i="32"/>
  <c r="BY29" i="32"/>
  <c r="BZ28" i="32"/>
  <c r="BY28" i="32"/>
  <c r="BZ27" i="32"/>
  <c r="BY27" i="32"/>
  <c r="BZ26" i="32"/>
  <c r="BY26" i="32"/>
  <c r="BZ25" i="32"/>
  <c r="BY25" i="32"/>
  <c r="BZ24" i="32"/>
  <c r="BY24" i="32"/>
  <c r="BZ23" i="32"/>
  <c r="BY23" i="32"/>
  <c r="BZ22" i="32"/>
  <c r="BY22" i="32"/>
  <c r="BZ21" i="32"/>
  <c r="BY21" i="32"/>
  <c r="BZ20" i="32"/>
  <c r="BY20" i="32"/>
  <c r="BZ19" i="32"/>
  <c r="BY19" i="32"/>
  <c r="BZ18" i="32"/>
  <c r="BY18" i="32"/>
  <c r="BZ17" i="32"/>
  <c r="BY17" i="32"/>
  <c r="BZ16" i="32"/>
  <c r="BY16" i="32"/>
  <c r="BZ15" i="32"/>
  <c r="BY15" i="32"/>
  <c r="BZ14" i="32"/>
  <c r="BY14" i="32"/>
  <c r="BZ13" i="32"/>
  <c r="BY13" i="32"/>
  <c r="BZ12" i="32"/>
  <c r="BY12" i="32"/>
  <c r="BZ11" i="32"/>
  <c r="BY11" i="32"/>
  <c r="BZ10" i="32"/>
  <c r="BY10" i="32"/>
  <c r="BZ9" i="32"/>
  <c r="BY9" i="32"/>
  <c r="BZ8" i="32"/>
  <c r="BY8" i="32"/>
  <c r="CC20" i="31"/>
  <c r="CC23" i="31"/>
  <c r="CD23" i="31"/>
  <c r="CC26" i="31"/>
  <c r="CC27" i="31"/>
  <c r="CD27" i="31"/>
  <c r="CC29" i="31"/>
  <c r="CD29" i="31"/>
  <c r="CC30" i="31"/>
  <c r="CD30" i="31"/>
  <c r="CC31" i="31"/>
  <c r="CD31" i="31"/>
  <c r="CC33" i="31"/>
  <c r="CD33" i="31"/>
  <c r="CC36" i="31"/>
  <c r="CC37" i="31"/>
  <c r="CD37" i="31"/>
  <c r="CQ114" i="32"/>
  <c r="CQ113" i="32"/>
  <c r="CQ77" i="32"/>
  <c r="CQ76" i="32"/>
  <c r="CR3" i="32"/>
  <c r="AK4" i="32"/>
  <c r="AN4" i="32" s="1"/>
  <c r="AT4" i="32"/>
  <c r="CM4" i="32"/>
  <c r="CR4" i="32"/>
  <c r="R7" i="32"/>
  <c r="S7" i="32"/>
  <c r="AF7" i="32"/>
  <c r="AV8" i="32"/>
  <c r="CR8" i="32"/>
  <c r="AK9" i="32"/>
  <c r="AV10" i="32"/>
  <c r="CR10" i="32"/>
  <c r="AK11" i="32"/>
  <c r="AV11" i="32"/>
  <c r="C12" i="32"/>
  <c r="D12" i="32"/>
  <c r="AK12" i="32"/>
  <c r="AV12" i="32"/>
  <c r="CR12" i="32"/>
  <c r="AK13" i="32"/>
  <c r="AV13" i="32"/>
  <c r="AK14" i="32"/>
  <c r="AV14" i="32"/>
  <c r="AK15" i="32"/>
  <c r="AV15" i="32"/>
  <c r="AK16" i="32"/>
  <c r="AV16" i="32"/>
  <c r="AK17" i="32"/>
  <c r="AV17" i="32"/>
  <c r="AK18" i="32"/>
  <c r="AV18" i="32"/>
  <c r="C19" i="32"/>
  <c r="D19" i="32"/>
  <c r="F19" i="32"/>
  <c r="AK19" i="32"/>
  <c r="AV19" i="32"/>
  <c r="CR19" i="32"/>
  <c r="AK20" i="32"/>
  <c r="AV20" i="32"/>
  <c r="C21" i="32"/>
  <c r="D21" i="32"/>
  <c r="F21" i="32"/>
  <c r="AK21" i="32"/>
  <c r="AV21" i="32"/>
  <c r="CR21" i="32"/>
  <c r="AK22" i="32"/>
  <c r="AV22" i="32"/>
  <c r="C23" i="32"/>
  <c r="D23" i="32"/>
  <c r="F23" i="32"/>
  <c r="AK23" i="32"/>
  <c r="AV23" i="32"/>
  <c r="CR23" i="32"/>
  <c r="F24" i="32"/>
  <c r="AK24" i="32"/>
  <c r="AV24" i="32"/>
  <c r="C25" i="32"/>
  <c r="D25" i="32"/>
  <c r="F25" i="32"/>
  <c r="AK25" i="32"/>
  <c r="AV25" i="32"/>
  <c r="CR25" i="32"/>
  <c r="AK26" i="32"/>
  <c r="AV26" i="32"/>
  <c r="C27" i="32"/>
  <c r="D27" i="32"/>
  <c r="F27" i="32"/>
  <c r="AK27" i="32"/>
  <c r="AV27" i="32"/>
  <c r="CR27" i="32"/>
  <c r="AK28" i="32"/>
  <c r="AV28" i="32"/>
  <c r="C29" i="32"/>
  <c r="D29" i="32"/>
  <c r="F29" i="32"/>
  <c r="AK29" i="32"/>
  <c r="AV29" i="32"/>
  <c r="CR29" i="32"/>
  <c r="AK30" i="32"/>
  <c r="AV30" i="32"/>
  <c r="C31" i="32"/>
  <c r="AK31" i="32"/>
  <c r="AV31" i="32"/>
  <c r="AK32" i="32"/>
  <c r="AV32" i="32"/>
  <c r="AK33" i="32"/>
  <c r="AV33" i="32"/>
  <c r="D34" i="32"/>
  <c r="AK34" i="32"/>
  <c r="AV34" i="32"/>
  <c r="CR34" i="32"/>
  <c r="C35" i="32"/>
  <c r="D35" i="32"/>
  <c r="F35" i="32"/>
  <c r="AK35" i="32"/>
  <c r="AV35" i="32"/>
  <c r="CR35" i="32"/>
  <c r="C36" i="32"/>
  <c r="D36" i="32"/>
  <c r="F36" i="32"/>
  <c r="AK36" i="32"/>
  <c r="AV36" i="32"/>
  <c r="CR36" i="32"/>
  <c r="C37" i="32"/>
  <c r="D37" i="32"/>
  <c r="F37" i="32"/>
  <c r="AK37" i="32"/>
  <c r="AV37" i="32"/>
  <c r="CR37" i="32"/>
  <c r="AK38" i="32"/>
  <c r="AV38" i="32"/>
  <c r="AK39" i="32"/>
  <c r="AV39" i="32"/>
  <c r="AK40" i="32"/>
  <c r="AV40" i="32"/>
  <c r="CI7" i="30"/>
  <c r="CI17" i="30"/>
  <c r="CI8" i="30"/>
  <c r="AA8" i="30"/>
  <c r="CI9" i="30"/>
  <c r="CL9" i="30" s="1"/>
  <c r="CI10" i="30"/>
  <c r="AA10" i="30" s="1"/>
  <c r="CD10" i="30" s="1"/>
  <c r="X10" i="30" s="1"/>
  <c r="CK10" i="30" s="1"/>
  <c r="DS10" i="30" s="1"/>
  <c r="CI11" i="30"/>
  <c r="AA11" i="30" s="1"/>
  <c r="CD11" i="30" s="1"/>
  <c r="CI12" i="30"/>
  <c r="CL12" i="30" s="1"/>
  <c r="CI13" i="30"/>
  <c r="CL13" i="30" s="1"/>
  <c r="CI14" i="30"/>
  <c r="AA14" i="30" s="1"/>
  <c r="CI15" i="30"/>
  <c r="AA15" i="30" s="1"/>
  <c r="CD15" i="30"/>
  <c r="CI16" i="30"/>
  <c r="AA16" i="30" s="1"/>
  <c r="CI18" i="30"/>
  <c r="CI19" i="30"/>
  <c r="AC19" i="30" s="1"/>
  <c r="CK19" i="30"/>
  <c r="DS19" i="30" s="1"/>
  <c r="DT19" i="30" s="1"/>
  <c r="CY19" i="30" s="1"/>
  <c r="CI20" i="30"/>
  <c r="CI21" i="30"/>
  <c r="AC21" i="30" s="1"/>
  <c r="CI22" i="30"/>
  <c r="CI23" i="30"/>
  <c r="AC23" i="30" s="1"/>
  <c r="CI24" i="30"/>
  <c r="CI25" i="30"/>
  <c r="CS25" i="30" s="1"/>
  <c r="CI26" i="30"/>
  <c r="CI27" i="30"/>
  <c r="CI28" i="30"/>
  <c r="CI29" i="30"/>
  <c r="CR29" i="30" s="1"/>
  <c r="CK29" i="30"/>
  <c r="CI30" i="30"/>
  <c r="CI31" i="30"/>
  <c r="CP31" i="30" s="1"/>
  <c r="CW31" i="30" s="1"/>
  <c r="CI32" i="30"/>
  <c r="CR32" i="30" s="1"/>
  <c r="CI33" i="30"/>
  <c r="CI34" i="30"/>
  <c r="CL34" i="30" s="1"/>
  <c r="CI35" i="30"/>
  <c r="CP35" i="30" s="1"/>
  <c r="CW35" i="30" s="1"/>
  <c r="CI36" i="30"/>
  <c r="CG2" i="30"/>
  <c r="CP19" i="30"/>
  <c r="CU19" i="30" s="1"/>
  <c r="CP21" i="30"/>
  <c r="CW21" i="30" s="1"/>
  <c r="CP24" i="30"/>
  <c r="CP29" i="30"/>
  <c r="CV29" i="30" s="1"/>
  <c r="CQ29" i="30" s="1"/>
  <c r="CS21" i="30"/>
  <c r="CS29" i="30"/>
  <c r="CS31" i="30"/>
  <c r="CJ19" i="30"/>
  <c r="CJ21" i="30"/>
  <c r="CT31" i="30"/>
  <c r="CR19" i="30"/>
  <c r="CR24" i="30"/>
  <c r="CR28" i="30"/>
  <c r="CR35" i="30"/>
  <c r="CR36" i="30"/>
  <c r="CW19" i="30"/>
  <c r="AK3" i="30"/>
  <c r="AK39" i="30" s="1"/>
  <c r="K38" i="31"/>
  <c r="BS7" i="26"/>
  <c r="O7" i="26" s="1"/>
  <c r="BS8" i="26"/>
  <c r="BS9" i="26"/>
  <c r="N9" i="26"/>
  <c r="BS20" i="26"/>
  <c r="P20" i="26" s="1"/>
  <c r="BS19" i="26"/>
  <c r="O19" i="26" s="1"/>
  <c r="BS18" i="26"/>
  <c r="BS17" i="26"/>
  <c r="BV17" i="26" s="1"/>
  <c r="BS10" i="26"/>
  <c r="BS12" i="26"/>
  <c r="BS11" i="26"/>
  <c r="BS13" i="26"/>
  <c r="N13" i="26" s="1"/>
  <c r="BS14" i="26"/>
  <c r="BS15" i="26"/>
  <c r="O15" i="26" s="1"/>
  <c r="P15" i="26" s="1"/>
  <c r="CB15" i="26" s="1"/>
  <c r="BS16" i="26"/>
  <c r="N16" i="26" s="1"/>
  <c r="BS21" i="26"/>
  <c r="BS22" i="26"/>
  <c r="BT22" i="26" s="1"/>
  <c r="BS23" i="26"/>
  <c r="BS24" i="26"/>
  <c r="BV24" i="26" s="1"/>
  <c r="BS25" i="26"/>
  <c r="BS26" i="26"/>
  <c r="O26" i="26" s="1"/>
  <c r="BS27" i="26"/>
  <c r="BS28" i="26"/>
  <c r="BS29" i="26"/>
  <c r="BS30" i="26"/>
  <c r="BV30" i="26"/>
  <c r="BS31" i="26"/>
  <c r="O31" i="26" s="1"/>
  <c r="BS32" i="26"/>
  <c r="BV32" i="26" s="1"/>
  <c r="BS33" i="26"/>
  <c r="BS34" i="26"/>
  <c r="BT34" i="26" s="1"/>
  <c r="BS35" i="26"/>
  <c r="BY35" i="26" s="1"/>
  <c r="BS36" i="26"/>
  <c r="BV36" i="26"/>
  <c r="T40" i="31"/>
  <c r="AI7" i="31"/>
  <c r="N18" i="31"/>
  <c r="O18" i="31"/>
  <c r="P19" i="31"/>
  <c r="N20" i="31"/>
  <c r="O20" i="31"/>
  <c r="P20" i="31"/>
  <c r="O21" i="31"/>
  <c r="O22" i="31"/>
  <c r="N23" i="31"/>
  <c r="O23" i="31"/>
  <c r="P23" i="31"/>
  <c r="N24" i="31"/>
  <c r="O24" i="31"/>
  <c r="P24" i="31"/>
  <c r="N26" i="31"/>
  <c r="O26" i="31"/>
  <c r="P26" i="31"/>
  <c r="N27" i="31"/>
  <c r="O27" i="31"/>
  <c r="P27" i="31"/>
  <c r="P28" i="31"/>
  <c r="N29" i="31"/>
  <c r="O29" i="31"/>
  <c r="P29" i="31"/>
  <c r="N30" i="31"/>
  <c r="O30" i="31"/>
  <c r="P30" i="31"/>
  <c r="N31" i="31"/>
  <c r="O31" i="31"/>
  <c r="P31" i="31"/>
  <c r="P32" i="31"/>
  <c r="N33" i="31"/>
  <c r="O33" i="31"/>
  <c r="P33" i="31"/>
  <c r="N34" i="31"/>
  <c r="O34" i="31"/>
  <c r="P34" i="31"/>
  <c r="O35" i="31"/>
  <c r="P35" i="31"/>
  <c r="N36" i="31"/>
  <c r="O36" i="31"/>
  <c r="P36" i="31"/>
  <c r="N37" i="31"/>
  <c r="O37" i="31"/>
  <c r="P37" i="31"/>
  <c r="K39" i="31"/>
  <c r="N26" i="26"/>
  <c r="P19" i="26"/>
  <c r="N22" i="26"/>
  <c r="N24" i="26"/>
  <c r="O24" i="26"/>
  <c r="P28" i="26"/>
  <c r="N30" i="26"/>
  <c r="N17" i="26"/>
  <c r="R7" i="31"/>
  <c r="CB37" i="31"/>
  <c r="R37" i="31"/>
  <c r="AJ37" i="31"/>
  <c r="CB36" i="31"/>
  <c r="CB35" i="31"/>
  <c r="CB34" i="31"/>
  <c r="CB33" i="31"/>
  <c r="R33" i="31"/>
  <c r="AJ33" i="31"/>
  <c r="CB31" i="31"/>
  <c r="R31" i="31"/>
  <c r="AJ31" i="31"/>
  <c r="CB30" i="31"/>
  <c r="R30" i="31"/>
  <c r="AJ30" i="31"/>
  <c r="CB29" i="31"/>
  <c r="R29" i="31"/>
  <c r="AJ29" i="31"/>
  <c r="CB28" i="31"/>
  <c r="CB27" i="31"/>
  <c r="R27" i="31"/>
  <c r="AJ27" i="31"/>
  <c r="CB26" i="31"/>
  <c r="R26" i="31"/>
  <c r="AJ26" i="31"/>
  <c r="CB24" i="31"/>
  <c r="CB23" i="31"/>
  <c r="R23" i="31"/>
  <c r="AJ23" i="31"/>
  <c r="CB20" i="31"/>
  <c r="R20" i="31"/>
  <c r="AJ20" i="31"/>
  <c r="CB18" i="31"/>
  <c r="CB13" i="31"/>
  <c r="AH37" i="31"/>
  <c r="AH36" i="31"/>
  <c r="AH33" i="31"/>
  <c r="AH31" i="31"/>
  <c r="AH30" i="31"/>
  <c r="AH29" i="31"/>
  <c r="AH27" i="31"/>
  <c r="AH26" i="31"/>
  <c r="AH23" i="31"/>
  <c r="AH20" i="31"/>
  <c r="P35" i="26"/>
  <c r="N36" i="26"/>
  <c r="O36" i="26"/>
  <c r="P36" i="26"/>
  <c r="O32" i="26"/>
  <c r="P32" i="26"/>
  <c r="CB23" i="26"/>
  <c r="CC23" i="26" s="1"/>
  <c r="CB24" i="26"/>
  <c r="CB36" i="26"/>
  <c r="CB30" i="26"/>
  <c r="CF30" i="26" s="1"/>
  <c r="CB28" i="26"/>
  <c r="CB22" i="26"/>
  <c r="CI22" i="26" s="1"/>
  <c r="CB26" i="26"/>
  <c r="BT17" i="26"/>
  <c r="BT20" i="26"/>
  <c r="BT36" i="26"/>
  <c r="CG36" i="26"/>
  <c r="BT30" i="26"/>
  <c r="BT28" i="26"/>
  <c r="BT26" i="26"/>
  <c r="CE17" i="26"/>
  <c r="CE24" i="26"/>
  <c r="CE36" i="26"/>
  <c r="CE30" i="26"/>
  <c r="CE28" i="26"/>
  <c r="CE22" i="26"/>
  <c r="CE26" i="26"/>
  <c r="CH22" i="26"/>
  <c r="CJ26" i="26"/>
  <c r="CH36" i="26"/>
  <c r="BZ4" i="31"/>
  <c r="BI37" i="31"/>
  <c r="BI36" i="31"/>
  <c r="BI35" i="31"/>
  <c r="BI34" i="31"/>
  <c r="BI33" i="31"/>
  <c r="BI32" i="31"/>
  <c r="BI31" i="31"/>
  <c r="BI30" i="31"/>
  <c r="BI29" i="31"/>
  <c r="BI28" i="31"/>
  <c r="BI27" i="31"/>
  <c r="BI26" i="31"/>
  <c r="BI25" i="31"/>
  <c r="BI24" i="31"/>
  <c r="BI23" i="31"/>
  <c r="BI22" i="31"/>
  <c r="BI21" i="31"/>
  <c r="BI20" i="31"/>
  <c r="BI19" i="31"/>
  <c r="BI18" i="31"/>
  <c r="BI17" i="31"/>
  <c r="BI16" i="31"/>
  <c r="BI15" i="31"/>
  <c r="BI14" i="31"/>
  <c r="BI13" i="31"/>
  <c r="BI12" i="31"/>
  <c r="BI11" i="31"/>
  <c r="BI10" i="31"/>
  <c r="BI9" i="31"/>
  <c r="EB11" i="31"/>
  <c r="EB12" i="31"/>
  <c r="EB10" i="31"/>
  <c r="EB9" i="31"/>
  <c r="EB8" i="31"/>
  <c r="EB7" i="31"/>
  <c r="EB6" i="31"/>
  <c r="EB5" i="31"/>
  <c r="EB4" i="31"/>
  <c r="BZ3" i="31"/>
  <c r="BH9" i="31"/>
  <c r="BH10" i="31"/>
  <c r="BH11" i="31"/>
  <c r="BH12" i="31"/>
  <c r="BH13" i="31"/>
  <c r="BH14" i="31"/>
  <c r="BH15" i="31"/>
  <c r="BH16" i="31"/>
  <c r="BH17" i="31"/>
  <c r="BH18" i="31"/>
  <c r="BH19" i="31"/>
  <c r="BH20" i="31"/>
  <c r="BH21" i="31"/>
  <c r="BH22" i="31"/>
  <c r="BH23" i="31"/>
  <c r="BH24" i="31"/>
  <c r="BH25" i="31"/>
  <c r="BH26" i="31"/>
  <c r="BH27" i="31"/>
  <c r="BH28" i="31"/>
  <c r="BH29" i="31"/>
  <c r="BH30" i="31"/>
  <c r="BH31" i="31"/>
  <c r="BH32" i="31"/>
  <c r="BH33" i="31"/>
  <c r="BH34" i="31"/>
  <c r="BH35" i="31"/>
  <c r="BH36" i="31"/>
  <c r="BH37" i="31"/>
  <c r="BH8" i="31"/>
  <c r="BG9" i="31"/>
  <c r="BG10" i="31"/>
  <c r="BG11" i="31"/>
  <c r="BG12" i="31"/>
  <c r="BG13" i="31"/>
  <c r="BG14" i="31"/>
  <c r="BG15" i="31"/>
  <c r="BG16" i="31"/>
  <c r="BG17" i="31"/>
  <c r="BG18" i="31"/>
  <c r="BG19" i="31"/>
  <c r="BG20" i="31"/>
  <c r="BG21" i="31"/>
  <c r="BG22" i="31"/>
  <c r="BG23" i="31"/>
  <c r="BG24" i="31"/>
  <c r="BG25" i="31"/>
  <c r="BG26" i="31"/>
  <c r="BG27" i="31"/>
  <c r="BG28" i="31"/>
  <c r="BG29" i="31"/>
  <c r="BG30" i="31"/>
  <c r="BG31" i="31"/>
  <c r="BG32" i="31"/>
  <c r="BG33" i="31"/>
  <c r="BG34" i="31"/>
  <c r="BG35" i="31"/>
  <c r="BG36" i="31"/>
  <c r="BG37" i="31"/>
  <c r="BG8" i="31"/>
  <c r="AA18" i="30"/>
  <c r="AA19" i="30"/>
  <c r="X19" i="30"/>
  <c r="AA20" i="30"/>
  <c r="X20" i="30"/>
  <c r="AA21" i="30"/>
  <c r="CD21" i="30"/>
  <c r="X21" i="30"/>
  <c r="AA23" i="30"/>
  <c r="AA24" i="30"/>
  <c r="X24" i="30"/>
  <c r="BX23" i="31"/>
  <c r="BX20" i="31"/>
  <c r="BX26" i="31"/>
  <c r="BX27" i="31"/>
  <c r="BX29" i="31"/>
  <c r="BX30" i="31"/>
  <c r="BX31" i="31"/>
  <c r="BX33" i="31"/>
  <c r="BX36" i="31"/>
  <c r="BX37" i="31"/>
  <c r="DN11" i="31"/>
  <c r="DN12" i="31" s="1"/>
  <c r="DN13" i="31" s="1"/>
  <c r="DN14" i="31" s="1"/>
  <c r="DN15" i="31" s="1"/>
  <c r="CD5" i="31"/>
  <c r="CB4" i="31"/>
  <c r="V5" i="31"/>
  <c r="BV84" i="31"/>
  <c r="BV85" i="31"/>
  <c r="BV86" i="31"/>
  <c r="BV87" i="31"/>
  <c r="BV88" i="31"/>
  <c r="BV89" i="31"/>
  <c r="BV90" i="31"/>
  <c r="BV91" i="31"/>
  <c r="BV92" i="31"/>
  <c r="BV93" i="31"/>
  <c r="BV94" i="31"/>
  <c r="BV95" i="31"/>
  <c r="BV96" i="31"/>
  <c r="BV97" i="31"/>
  <c r="BV98" i="31"/>
  <c r="BV99" i="31"/>
  <c r="BV100" i="31"/>
  <c r="BV101" i="31"/>
  <c r="BV102" i="31"/>
  <c r="BV103" i="31"/>
  <c r="BV104" i="31"/>
  <c r="BV105" i="31"/>
  <c r="BV106" i="31"/>
  <c r="BV107" i="31"/>
  <c r="BV108" i="31"/>
  <c r="BV109" i="31"/>
  <c r="BV110" i="31"/>
  <c r="BV111" i="31"/>
  <c r="F45" i="31"/>
  <c r="T45" i="31"/>
  <c r="BR30" i="31"/>
  <c r="BQ30" i="31"/>
  <c r="DX11" i="31"/>
  <c r="DX12" i="31" s="1"/>
  <c r="DX13" i="31" s="1"/>
  <c r="DX14" i="31" s="1"/>
  <c r="DX15" i="31" s="1"/>
  <c r="DX16" i="31" s="1"/>
  <c r="DX17" i="31" s="1"/>
  <c r="DX18" i="31" s="1"/>
  <c r="DX19" i="31" s="1"/>
  <c r="DX20" i="31" s="1"/>
  <c r="DX21" i="31" s="1"/>
  <c r="DX22" i="31" s="1"/>
  <c r="DX23" i="31" s="1"/>
  <c r="DX24" i="31" s="1"/>
  <c r="DX25" i="31" s="1"/>
  <c r="DX26" i="31" s="1"/>
  <c r="DX27" i="31" s="1"/>
  <c r="DX28" i="31" s="1"/>
  <c r="DX29" i="31" s="1"/>
  <c r="DX30" i="31" s="1"/>
  <c r="DX31" i="31" s="1"/>
  <c r="DX32" i="31" s="1"/>
  <c r="DX33" i="31" s="1"/>
  <c r="DX34" i="31" s="1"/>
  <c r="DX35" i="31" s="1"/>
  <c r="DX36" i="31" s="1"/>
  <c r="DX37" i="31" s="1"/>
  <c r="DX38" i="31" s="1"/>
  <c r="DX39" i="31" s="1"/>
  <c r="DX40" i="31" s="1"/>
  <c r="DX41" i="31" s="1"/>
  <c r="DX42" i="31" s="1"/>
  <c r="DX43" i="31" s="1"/>
  <c r="DX44" i="31" s="1"/>
  <c r="DX45" i="31" s="1"/>
  <c r="DX46" i="31" s="1"/>
  <c r="DX47" i="31" s="1"/>
  <c r="DX48" i="31" s="1"/>
  <c r="DX49" i="31" s="1"/>
  <c r="DX50" i="31" s="1"/>
  <c r="DX51" i="31" s="1"/>
  <c r="DX52" i="31" s="1"/>
  <c r="DX53" i="31" s="1"/>
  <c r="DX54" i="31" s="1"/>
  <c r="DX55" i="31" s="1"/>
  <c r="DX56" i="31" s="1"/>
  <c r="DX57" i="31" s="1"/>
  <c r="DX58" i="31" s="1"/>
  <c r="DX59" i="31" s="1"/>
  <c r="DX60" i="31" s="1"/>
  <c r="DX61" i="31" s="1"/>
  <c r="DX62" i="31" s="1"/>
  <c r="DX63" i="31" s="1"/>
  <c r="DX64" i="31" s="1"/>
  <c r="DX65" i="31" s="1"/>
  <c r="DX66" i="31" s="1"/>
  <c r="DX67" i="31" s="1"/>
  <c r="DX68" i="31" s="1"/>
  <c r="DX69" i="31" s="1"/>
  <c r="DX70" i="31" s="1"/>
  <c r="DX71" i="31" s="1"/>
  <c r="DX72" i="31" s="1"/>
  <c r="DX73" i="31" s="1"/>
  <c r="DX74" i="31" s="1"/>
  <c r="DX75" i="31" s="1"/>
  <c r="DX76" i="31" s="1"/>
  <c r="DX77" i="31" s="1"/>
  <c r="DX78" i="31" s="1"/>
  <c r="DX79" i="31" s="1"/>
  <c r="DX80" i="31" s="1"/>
  <c r="DX81" i="31" s="1"/>
  <c r="DX82" i="31" s="1"/>
  <c r="DX83" i="31" s="1"/>
  <c r="DX84" i="31" s="1"/>
  <c r="DX85" i="31" s="1"/>
  <c r="DX86" i="31" s="1"/>
  <c r="DX87" i="31" s="1"/>
  <c r="DX88" i="31" s="1"/>
  <c r="DX89" i="31" s="1"/>
  <c r="DX90" i="31" s="1"/>
  <c r="DX91" i="31" s="1"/>
  <c r="DX92" i="31" s="1"/>
  <c r="DX93" i="31" s="1"/>
  <c r="DX94" i="31" s="1"/>
  <c r="DX95" i="31" s="1"/>
  <c r="DX96" i="31" s="1"/>
  <c r="DX97" i="31" s="1"/>
  <c r="DX98" i="31" s="1"/>
  <c r="DX99" i="31" s="1"/>
  <c r="DX100" i="31" s="1"/>
  <c r="DX101" i="31" s="1"/>
  <c r="DX102" i="31" s="1"/>
  <c r="DX103" i="31" s="1"/>
  <c r="DX104" i="31" s="1"/>
  <c r="DX105" i="31" s="1"/>
  <c r="DX106" i="31" s="1"/>
  <c r="DX107" i="31" s="1"/>
  <c r="DX108" i="31" s="1"/>
  <c r="DX109" i="31" s="1"/>
  <c r="DX110" i="31" s="1"/>
  <c r="DX111" i="31" s="1"/>
  <c r="DX112" i="31" s="1"/>
  <c r="DX113" i="31" s="1"/>
  <c r="DX114" i="31" s="1"/>
  <c r="DX115" i="31" s="1"/>
  <c r="DX116" i="31" s="1"/>
  <c r="DX117" i="31" s="1"/>
  <c r="DX118" i="31" s="1"/>
  <c r="DX119" i="31" s="1"/>
  <c r="DX120" i="31" s="1"/>
  <c r="DX121" i="31" s="1"/>
  <c r="DX122" i="31" s="1"/>
  <c r="DX123" i="31" s="1"/>
  <c r="DX124" i="31" s="1"/>
  <c r="DX125" i="31" s="1"/>
  <c r="DX126" i="31" s="1"/>
  <c r="DX127" i="31" s="1"/>
  <c r="DX128" i="31" s="1"/>
  <c r="DX129" i="31" s="1"/>
  <c r="DX130" i="31" s="1"/>
  <c r="DX131" i="31" s="1"/>
  <c r="DX132" i="31" s="1"/>
  <c r="DX133" i="31" s="1"/>
  <c r="DX134" i="31" s="1"/>
  <c r="DX135" i="31" s="1"/>
  <c r="DX136" i="31" s="1"/>
  <c r="DX137" i="31" s="1"/>
  <c r="DX138" i="31" s="1"/>
  <c r="DX139" i="31" s="1"/>
  <c r="DX140" i="31" s="1"/>
  <c r="DX141" i="31" s="1"/>
  <c r="DX142" i="31" s="1"/>
  <c r="DX143" i="31" s="1"/>
  <c r="DX144" i="31" s="1"/>
  <c r="DX145" i="31" s="1"/>
  <c r="DX146" i="31" s="1"/>
  <c r="DX147" i="31" s="1"/>
  <c r="DX148" i="31" s="1"/>
  <c r="DX149" i="31" s="1"/>
  <c r="DX150" i="31" s="1"/>
  <c r="DX151" i="31" s="1"/>
  <c r="DX152" i="31" s="1"/>
  <c r="DX153" i="31" s="1"/>
  <c r="DX154" i="31" s="1"/>
  <c r="DX155" i="31" s="1"/>
  <c r="DX156" i="31" s="1"/>
  <c r="DX157" i="31" s="1"/>
  <c r="DX158" i="31" s="1"/>
  <c r="DX159" i="31" s="1"/>
  <c r="DX160" i="31" s="1"/>
  <c r="DX161" i="31" s="1"/>
  <c r="DX162" i="31" s="1"/>
  <c r="DX163" i="31" s="1"/>
  <c r="DX164" i="31" s="1"/>
  <c r="DX165" i="31" s="1"/>
  <c r="DX166" i="31" s="1"/>
  <c r="DX167" i="31" s="1"/>
  <c r="DX168" i="31" s="1"/>
  <c r="DX169" i="31" s="1"/>
  <c r="DX170" i="31" s="1"/>
  <c r="DX171" i="31" s="1"/>
  <c r="DX172" i="31" s="1"/>
  <c r="DX173" i="31" s="1"/>
  <c r="DX174" i="31" s="1"/>
  <c r="DX175" i="31" s="1"/>
  <c r="DX176" i="31" s="1"/>
  <c r="DX177" i="31" s="1"/>
  <c r="DX178" i="31" s="1"/>
  <c r="DX179" i="31" s="1"/>
  <c r="DX180" i="31" s="1"/>
  <c r="DX181" i="31" s="1"/>
  <c r="DX182" i="31" s="1"/>
  <c r="DX183" i="31" s="1"/>
  <c r="DX184" i="31" s="1"/>
  <c r="DX185" i="31" s="1"/>
  <c r="DX186" i="31" s="1"/>
  <c r="DX187" i="31" s="1"/>
  <c r="DX188" i="31" s="1"/>
  <c r="DX189" i="31" s="1"/>
  <c r="DX190" i="31" s="1"/>
  <c r="DX191" i="31" s="1"/>
  <c r="DX192" i="31" s="1"/>
  <c r="DX193" i="31" s="1"/>
  <c r="DX194" i="31" s="1"/>
  <c r="DX195" i="31" s="1"/>
  <c r="DX196" i="31" s="1"/>
  <c r="DX197" i="31" s="1"/>
  <c r="DX198" i="31" s="1"/>
  <c r="DX199" i="31" s="1"/>
  <c r="DX200" i="31" s="1"/>
  <c r="DX201" i="31" s="1"/>
  <c r="DX202" i="31" s="1"/>
  <c r="DX203" i="31" s="1"/>
  <c r="DX204" i="31" s="1"/>
  <c r="DX205" i="31" s="1"/>
  <c r="DX206" i="31" s="1"/>
  <c r="DX207" i="31" s="1"/>
  <c r="DX208" i="31" s="1"/>
  <c r="DX209" i="31" s="1"/>
  <c r="DX210" i="31" s="1"/>
  <c r="DX211" i="31" s="1"/>
  <c r="DS3" i="31"/>
  <c r="DX3" i="31" s="1"/>
  <c r="DX5" i="31" s="1"/>
  <c r="DX8" i="31"/>
  <c r="DX6" i="31"/>
  <c r="DS11" i="31"/>
  <c r="DS12" i="31" s="1"/>
  <c r="DS13" i="31" s="1"/>
  <c r="DS14" i="31" s="1"/>
  <c r="DS15" i="31" s="1"/>
  <c r="DS16" i="31" s="1"/>
  <c r="DS17" i="31" s="1"/>
  <c r="DS18" i="31" s="1"/>
  <c r="DS19" i="31" s="1"/>
  <c r="DS20" i="31" s="1"/>
  <c r="DS21" i="31" s="1"/>
  <c r="DS22" i="31" s="1"/>
  <c r="DS23" i="31" s="1"/>
  <c r="DS24" i="31" s="1"/>
  <c r="DS25" i="31" s="1"/>
  <c r="DS26" i="31" s="1"/>
  <c r="DS27" i="31" s="1"/>
  <c r="DS28" i="31" s="1"/>
  <c r="DS29" i="31" s="1"/>
  <c r="DS30" i="31" s="1"/>
  <c r="DS31" i="31" s="1"/>
  <c r="DS32" i="31" s="1"/>
  <c r="DS33" i="31" s="1"/>
  <c r="DS34" i="31" s="1"/>
  <c r="DS35" i="31" s="1"/>
  <c r="DS36" i="31" s="1"/>
  <c r="DS37" i="31" s="1"/>
  <c r="DS38" i="31" s="1"/>
  <c r="DS39" i="31" s="1"/>
  <c r="DS40" i="31" s="1"/>
  <c r="DS41" i="31" s="1"/>
  <c r="DS42" i="31" s="1"/>
  <c r="DS43" i="31" s="1"/>
  <c r="DS44" i="31" s="1"/>
  <c r="DS45" i="31" s="1"/>
  <c r="DS46" i="31" s="1"/>
  <c r="DS47" i="31" s="1"/>
  <c r="DS48" i="31" s="1"/>
  <c r="DS49" i="31" s="1"/>
  <c r="DS50" i="31" s="1"/>
  <c r="DS51" i="31" s="1"/>
  <c r="DS52" i="31" s="1"/>
  <c r="DS53" i="31" s="1"/>
  <c r="DS54" i="31" s="1"/>
  <c r="DS55" i="31" s="1"/>
  <c r="DS56" i="31" s="1"/>
  <c r="DS57" i="31" s="1"/>
  <c r="DS58" i="31" s="1"/>
  <c r="DS59" i="31" s="1"/>
  <c r="DS60" i="31" s="1"/>
  <c r="DS61" i="31" s="1"/>
  <c r="DS62" i="31" s="1"/>
  <c r="DS63" i="31" s="1"/>
  <c r="DS64" i="31" s="1"/>
  <c r="DS65" i="31" s="1"/>
  <c r="DS66" i="31" s="1"/>
  <c r="DS67" i="31" s="1"/>
  <c r="DS68" i="31" s="1"/>
  <c r="DS69" i="31" s="1"/>
  <c r="DS70" i="31" s="1"/>
  <c r="DS71" i="31" s="1"/>
  <c r="DS72" i="31" s="1"/>
  <c r="DS73" i="31" s="1"/>
  <c r="DS74" i="31" s="1"/>
  <c r="DS75" i="31" s="1"/>
  <c r="DS76" i="31" s="1"/>
  <c r="DS77" i="31" s="1"/>
  <c r="DS78" i="31" s="1"/>
  <c r="DS79" i="31" s="1"/>
  <c r="DS80" i="31" s="1"/>
  <c r="DS81" i="31" s="1"/>
  <c r="DS82" i="31" s="1"/>
  <c r="DS83" i="31" s="1"/>
  <c r="DS84" i="31" s="1"/>
  <c r="DS85" i="31" s="1"/>
  <c r="DS86" i="31" s="1"/>
  <c r="DS87" i="31" s="1"/>
  <c r="DS88" i="31" s="1"/>
  <c r="DS89" i="31" s="1"/>
  <c r="DS90" i="31" s="1"/>
  <c r="DS91" i="31" s="1"/>
  <c r="DS92" i="31" s="1"/>
  <c r="DS93" i="31" s="1"/>
  <c r="DS94" i="31" s="1"/>
  <c r="DS95" i="31" s="1"/>
  <c r="DS96" i="31" s="1"/>
  <c r="DS97" i="31" s="1"/>
  <c r="DS98" i="31" s="1"/>
  <c r="DS99" i="31" s="1"/>
  <c r="DS100" i="31" s="1"/>
  <c r="DS101" i="31" s="1"/>
  <c r="DS102" i="31" s="1"/>
  <c r="DS103" i="31" s="1"/>
  <c r="DS104" i="31" s="1"/>
  <c r="DS105" i="31" s="1"/>
  <c r="DS106" i="31" s="1"/>
  <c r="DS107" i="31" s="1"/>
  <c r="DS108" i="31" s="1"/>
  <c r="DS109" i="31" s="1"/>
  <c r="DS110" i="31" s="1"/>
  <c r="DS111" i="31" s="1"/>
  <c r="DS112" i="31" s="1"/>
  <c r="DS113" i="31" s="1"/>
  <c r="DS114" i="31" s="1"/>
  <c r="DS115" i="31" s="1"/>
  <c r="DS116" i="31" s="1"/>
  <c r="DS117" i="31" s="1"/>
  <c r="DS118" i="31" s="1"/>
  <c r="DS119" i="31" s="1"/>
  <c r="DS120" i="31" s="1"/>
  <c r="DS121" i="31" s="1"/>
  <c r="DS122" i="31" s="1"/>
  <c r="DS123" i="31" s="1"/>
  <c r="DS124" i="31" s="1"/>
  <c r="DS125" i="31" s="1"/>
  <c r="DS126" i="31" s="1"/>
  <c r="DS127" i="31" s="1"/>
  <c r="DS128" i="31" s="1"/>
  <c r="DS129" i="31" s="1"/>
  <c r="DS130" i="31" s="1"/>
  <c r="DS131" i="31" s="1"/>
  <c r="DS132" i="31" s="1"/>
  <c r="DS133" i="31" s="1"/>
  <c r="DS134" i="31" s="1"/>
  <c r="DS135" i="31" s="1"/>
  <c r="DS136" i="31" s="1"/>
  <c r="DS137" i="31" s="1"/>
  <c r="DS138" i="31" s="1"/>
  <c r="DS139" i="31" s="1"/>
  <c r="DS140" i="31" s="1"/>
  <c r="DS141" i="31" s="1"/>
  <c r="DS142" i="31" s="1"/>
  <c r="DS143" i="31" s="1"/>
  <c r="DS144" i="31" s="1"/>
  <c r="DS145" i="31" s="1"/>
  <c r="DS146" i="31" s="1"/>
  <c r="DS147" i="31" s="1"/>
  <c r="DS148" i="31" s="1"/>
  <c r="DS149" i="31" s="1"/>
  <c r="DS150" i="31" s="1"/>
  <c r="DS151" i="31" s="1"/>
  <c r="DS152" i="31" s="1"/>
  <c r="DS153" i="31" s="1"/>
  <c r="DS154" i="31" s="1"/>
  <c r="DS155" i="31" s="1"/>
  <c r="DS156" i="31" s="1"/>
  <c r="DS157" i="31" s="1"/>
  <c r="DS158" i="31" s="1"/>
  <c r="DS159" i="31" s="1"/>
  <c r="DS160" i="31" s="1"/>
  <c r="DS161" i="31" s="1"/>
  <c r="DS162" i="31" s="1"/>
  <c r="DS163" i="31" s="1"/>
  <c r="DS164" i="31" s="1"/>
  <c r="DS165" i="31" s="1"/>
  <c r="DS166" i="31" s="1"/>
  <c r="DS167" i="31" s="1"/>
  <c r="DS168" i="31" s="1"/>
  <c r="DS169" i="31" s="1"/>
  <c r="DS170" i="31" s="1"/>
  <c r="DS171" i="31" s="1"/>
  <c r="DS172" i="31" s="1"/>
  <c r="DS173" i="31" s="1"/>
  <c r="DS174" i="31" s="1"/>
  <c r="DS175" i="31" s="1"/>
  <c r="DS176" i="31" s="1"/>
  <c r="DS177" i="31" s="1"/>
  <c r="DS178" i="31" s="1"/>
  <c r="DS179" i="31" s="1"/>
  <c r="DS180" i="31" s="1"/>
  <c r="DS181" i="31" s="1"/>
  <c r="DS182" i="31" s="1"/>
  <c r="DS183" i="31" s="1"/>
  <c r="DS184" i="31" s="1"/>
  <c r="DS185" i="31" s="1"/>
  <c r="DS186" i="31" s="1"/>
  <c r="DS187" i="31" s="1"/>
  <c r="DS188" i="31" s="1"/>
  <c r="DS189" i="31" s="1"/>
  <c r="DS190" i="31" s="1"/>
  <c r="DS191" i="31" s="1"/>
  <c r="DS192" i="31" s="1"/>
  <c r="DS193" i="31" s="1"/>
  <c r="DS194" i="31" s="1"/>
  <c r="DS195" i="31" s="1"/>
  <c r="DS196" i="31" s="1"/>
  <c r="DS197" i="31" s="1"/>
  <c r="DS198" i="31" s="1"/>
  <c r="DS199" i="31" s="1"/>
  <c r="DS200" i="31" s="1"/>
  <c r="DS201" i="31" s="1"/>
  <c r="DS202" i="31" s="1"/>
  <c r="DS203" i="31" s="1"/>
  <c r="DS204" i="31" s="1"/>
  <c r="DS205" i="31" s="1"/>
  <c r="DS206" i="31" s="1"/>
  <c r="DS207" i="31" s="1"/>
  <c r="DS208" i="31" s="1"/>
  <c r="DS209" i="31" s="1"/>
  <c r="DS210" i="31" s="1"/>
  <c r="DS211" i="31" s="1"/>
  <c r="DS8" i="31"/>
  <c r="DS6" i="31"/>
  <c r="CD104" i="31"/>
  <c r="CC104" i="31"/>
  <c r="CA37" i="31"/>
  <c r="CA36" i="31"/>
  <c r="CA33" i="31"/>
  <c r="CA31" i="31"/>
  <c r="CA30" i="31"/>
  <c r="CA29" i="31"/>
  <c r="CA27" i="31"/>
  <c r="CA26" i="31"/>
  <c r="CA23" i="31"/>
  <c r="CA20" i="31"/>
  <c r="BT44" i="31"/>
  <c r="CC67" i="31"/>
  <c r="CD67" i="31"/>
  <c r="B7" i="31"/>
  <c r="C7" i="31"/>
  <c r="DO5" i="31"/>
  <c r="DO6" i="31"/>
  <c r="DO7" i="31"/>
  <c r="DO8" i="31"/>
  <c r="DO9" i="31"/>
  <c r="DN16" i="31"/>
  <c r="DN17" i="31" s="1"/>
  <c r="DN18" i="31" s="1"/>
  <c r="DN19" i="31" s="1"/>
  <c r="DN20" i="31" s="1"/>
  <c r="DN21" i="31" s="1"/>
  <c r="DN22" i="31" s="1"/>
  <c r="DN23" i="31" s="1"/>
  <c r="DN24" i="31" s="1"/>
  <c r="DN25" i="31" s="1"/>
  <c r="DN26" i="31" s="1"/>
  <c r="DN27" i="31" s="1"/>
  <c r="DN28" i="31" s="1"/>
  <c r="DN29" i="31" s="1"/>
  <c r="DN30" i="31" s="1"/>
  <c r="DN31" i="31" s="1"/>
  <c r="DN32" i="31" s="1"/>
  <c r="DN33" i="31" s="1"/>
  <c r="DN34" i="31" s="1"/>
  <c r="DN35" i="31" s="1"/>
  <c r="DN36" i="31" s="1"/>
  <c r="DN37" i="31" s="1"/>
  <c r="DN38" i="31" s="1"/>
  <c r="DN39" i="31" s="1"/>
  <c r="DN40" i="31" s="1"/>
  <c r="DN41" i="31" s="1"/>
  <c r="DN42" i="31" s="1"/>
  <c r="DN43" i="31" s="1"/>
  <c r="DN44" i="31" s="1"/>
  <c r="DN45" i="31" s="1"/>
  <c r="DN46" i="31" s="1"/>
  <c r="DN47" i="31" s="1"/>
  <c r="DN48" i="31" s="1"/>
  <c r="DN49" i="31" s="1"/>
  <c r="DN50" i="31" s="1"/>
  <c r="DN51" i="31" s="1"/>
  <c r="DN52" i="31" s="1"/>
  <c r="DN53" i="31" s="1"/>
  <c r="DN54" i="31" s="1"/>
  <c r="DN55" i="31" s="1"/>
  <c r="DN56" i="31" s="1"/>
  <c r="DN57" i="31" s="1"/>
  <c r="DN58" i="31" s="1"/>
  <c r="DN59" i="31" s="1"/>
  <c r="DN60" i="31" s="1"/>
  <c r="DN61" i="31" s="1"/>
  <c r="DN62" i="31" s="1"/>
  <c r="DN63" i="31" s="1"/>
  <c r="DN64" i="31" s="1"/>
  <c r="DN65" i="31" s="1"/>
  <c r="DN66" i="31" s="1"/>
  <c r="DN67" i="31" s="1"/>
  <c r="DN68" i="31" s="1"/>
  <c r="DN69" i="31" s="1"/>
  <c r="DN70" i="31" s="1"/>
  <c r="DN71" i="31" s="1"/>
  <c r="DN72" i="31" s="1"/>
  <c r="DN73" i="31" s="1"/>
  <c r="DN74" i="31" s="1"/>
  <c r="DN75" i="31" s="1"/>
  <c r="DN76" i="31" s="1"/>
  <c r="DN77" i="31" s="1"/>
  <c r="DN78" i="31" s="1"/>
  <c r="DN79" i="31" s="1"/>
  <c r="DN80" i="31" s="1"/>
  <c r="DN81" i="31" s="1"/>
  <c r="DN82" i="31" s="1"/>
  <c r="DN83" i="31" s="1"/>
  <c r="DN84" i="31" s="1"/>
  <c r="DN85" i="31" s="1"/>
  <c r="DN86" i="31" s="1"/>
  <c r="DN87" i="31" s="1"/>
  <c r="DN88" i="31" s="1"/>
  <c r="DN89" i="31" s="1"/>
  <c r="DN90" i="31" s="1"/>
  <c r="DN91" i="31" s="1"/>
  <c r="DN92" i="31" s="1"/>
  <c r="DN93" i="31" s="1"/>
  <c r="DN94" i="31" s="1"/>
  <c r="DN95" i="31" s="1"/>
  <c r="DN96" i="31" s="1"/>
  <c r="DN97" i="31" s="1"/>
  <c r="DN98" i="31" s="1"/>
  <c r="DN99" i="31" s="1"/>
  <c r="DN100" i="31" s="1"/>
  <c r="DN101" i="31" s="1"/>
  <c r="DN102" i="31" s="1"/>
  <c r="DN103" i="31" s="1"/>
  <c r="DN104" i="31" s="1"/>
  <c r="DN105" i="31" s="1"/>
  <c r="DN106" i="31" s="1"/>
  <c r="DN107" i="31" s="1"/>
  <c r="DN108" i="31" s="1"/>
  <c r="DN109" i="31" s="1"/>
  <c r="DN110" i="31" s="1"/>
  <c r="DN111" i="31" s="1"/>
  <c r="DN112" i="31" s="1"/>
  <c r="DN113" i="31" s="1"/>
  <c r="DN114" i="31" s="1"/>
  <c r="DN115" i="31" s="1"/>
  <c r="DN116" i="31" s="1"/>
  <c r="DN117" i="31" s="1"/>
  <c r="DN118" i="31" s="1"/>
  <c r="DN119" i="31" s="1"/>
  <c r="DN120" i="31" s="1"/>
  <c r="DN121" i="31" s="1"/>
  <c r="DN122" i="31" s="1"/>
  <c r="DN123" i="31" s="1"/>
  <c r="DN124" i="31" s="1"/>
  <c r="DN125" i="31" s="1"/>
  <c r="DN126" i="31" s="1"/>
  <c r="DN127" i="31" s="1"/>
  <c r="DN128" i="31" s="1"/>
  <c r="DN129" i="31" s="1"/>
  <c r="DN130" i="31" s="1"/>
  <c r="DN131" i="31" s="1"/>
  <c r="DN132" i="31" s="1"/>
  <c r="DN133" i="31" s="1"/>
  <c r="DN134" i="31" s="1"/>
  <c r="DN135" i="31" s="1"/>
  <c r="DN136" i="31" s="1"/>
  <c r="DN137" i="31" s="1"/>
  <c r="DN138" i="31" s="1"/>
  <c r="DN139" i="31" s="1"/>
  <c r="DN140" i="31" s="1"/>
  <c r="DN141" i="31" s="1"/>
  <c r="DN142" i="31" s="1"/>
  <c r="DN143" i="31" s="1"/>
  <c r="DN144" i="31" s="1"/>
  <c r="DN145" i="31" s="1"/>
  <c r="DN146" i="31" s="1"/>
  <c r="DN147" i="31" s="1"/>
  <c r="DN148" i="31" s="1"/>
  <c r="DN149" i="31" s="1"/>
  <c r="DN150" i="31" s="1"/>
  <c r="DN151" i="31" s="1"/>
  <c r="DN152" i="31" s="1"/>
  <c r="DN153" i="31" s="1"/>
  <c r="DN154" i="31" s="1"/>
  <c r="DN155" i="31" s="1"/>
  <c r="DN156" i="31" s="1"/>
  <c r="DN157" i="31" s="1"/>
  <c r="DN158" i="31" s="1"/>
  <c r="DN159" i="31" s="1"/>
  <c r="DN160" i="31" s="1"/>
  <c r="DN161" i="31" s="1"/>
  <c r="DN162" i="31" s="1"/>
  <c r="DN163" i="31" s="1"/>
  <c r="DN164" i="31" s="1"/>
  <c r="DN165" i="31" s="1"/>
  <c r="DN166" i="31" s="1"/>
  <c r="DN167" i="31" s="1"/>
  <c r="DN168" i="31" s="1"/>
  <c r="DN169" i="31" s="1"/>
  <c r="DN170" i="31" s="1"/>
  <c r="DN171" i="31" s="1"/>
  <c r="DN172" i="31" s="1"/>
  <c r="DN173" i="31" s="1"/>
  <c r="DN174" i="31" s="1"/>
  <c r="DN175" i="31" s="1"/>
  <c r="DN176" i="31" s="1"/>
  <c r="DN177" i="31" s="1"/>
  <c r="DN178" i="31" s="1"/>
  <c r="DN179" i="31" s="1"/>
  <c r="DN180" i="31" s="1"/>
  <c r="DN181" i="31" s="1"/>
  <c r="DN182" i="31" s="1"/>
  <c r="DN183" i="31" s="1"/>
  <c r="DN184" i="31" s="1"/>
  <c r="DN185" i="31" s="1"/>
  <c r="DN186" i="31" s="1"/>
  <c r="DN187" i="31" s="1"/>
  <c r="DN188" i="31" s="1"/>
  <c r="DN189" i="31" s="1"/>
  <c r="DN190" i="31" s="1"/>
  <c r="DN191" i="31" s="1"/>
  <c r="DN192" i="31" s="1"/>
  <c r="DN193" i="31" s="1"/>
  <c r="DN194" i="31" s="1"/>
  <c r="DN195" i="31" s="1"/>
  <c r="DN196" i="31" s="1"/>
  <c r="DN197" i="31" s="1"/>
  <c r="DN198" i="31" s="1"/>
  <c r="DN199" i="31" s="1"/>
  <c r="DN200" i="31" s="1"/>
  <c r="DN201" i="31" s="1"/>
  <c r="DN202" i="31" s="1"/>
  <c r="DN203" i="31" s="1"/>
  <c r="DN204" i="31" s="1"/>
  <c r="DN205" i="31" s="1"/>
  <c r="DN206" i="31" s="1"/>
  <c r="DN207" i="31" s="1"/>
  <c r="DN208" i="31" s="1"/>
  <c r="DN209" i="31" s="1"/>
  <c r="DN210" i="31" s="1"/>
  <c r="DN211" i="31" s="1"/>
  <c r="E36" i="30"/>
  <c r="I4" i="30"/>
  <c r="N36" i="30"/>
  <c r="O36" i="30"/>
  <c r="P36" i="30"/>
  <c r="P37" i="30"/>
  <c r="CG4" i="30" s="1"/>
  <c r="E35" i="30"/>
  <c r="N35" i="30"/>
  <c r="O35" i="30"/>
  <c r="P35" i="30"/>
  <c r="N34" i="30"/>
  <c r="O34" i="30"/>
  <c r="P34" i="30"/>
  <c r="E33" i="30"/>
  <c r="N33" i="30"/>
  <c r="O33" i="30"/>
  <c r="P33" i="30"/>
  <c r="E32" i="30"/>
  <c r="N32" i="30"/>
  <c r="O32" i="30"/>
  <c r="P32" i="30"/>
  <c r="E31" i="30"/>
  <c r="N31" i="30"/>
  <c r="O31" i="30"/>
  <c r="P31" i="30"/>
  <c r="N30" i="30"/>
  <c r="O30" i="30"/>
  <c r="P30" i="30"/>
  <c r="E29" i="30"/>
  <c r="N29" i="30"/>
  <c r="O29" i="30"/>
  <c r="P29" i="30"/>
  <c r="CE29" i="30" s="1"/>
  <c r="E28" i="30"/>
  <c r="N28" i="30"/>
  <c r="O28" i="30"/>
  <c r="P28" i="30"/>
  <c r="N27" i="30"/>
  <c r="O27" i="30"/>
  <c r="P27" i="30"/>
  <c r="B26" i="30"/>
  <c r="E26" i="30"/>
  <c r="N26" i="30"/>
  <c r="O26" i="30"/>
  <c r="P26" i="30"/>
  <c r="B25" i="30"/>
  <c r="A25" i="30"/>
  <c r="N25" i="30"/>
  <c r="O25" i="30"/>
  <c r="P25" i="30"/>
  <c r="B24" i="30"/>
  <c r="A24" i="30"/>
  <c r="E24" i="30"/>
  <c r="N24" i="30"/>
  <c r="O24" i="30"/>
  <c r="P24" i="30"/>
  <c r="N23" i="30"/>
  <c r="O23" i="30"/>
  <c r="P23" i="30"/>
  <c r="E22" i="30"/>
  <c r="N22" i="30"/>
  <c r="O22" i="30"/>
  <c r="P22" i="30"/>
  <c r="B21" i="30"/>
  <c r="A21" i="30"/>
  <c r="E21" i="30"/>
  <c r="N21" i="30"/>
  <c r="O21" i="30"/>
  <c r="P21" i="30"/>
  <c r="B20" i="30"/>
  <c r="A20" i="30"/>
  <c r="E20" i="30"/>
  <c r="N20" i="30"/>
  <c r="O20" i="30"/>
  <c r="P20" i="30"/>
  <c r="B19" i="30"/>
  <c r="A19" i="30"/>
  <c r="E19" i="30"/>
  <c r="N19" i="30"/>
  <c r="O19" i="30"/>
  <c r="P19" i="30"/>
  <c r="B18" i="30"/>
  <c r="E18" i="30"/>
  <c r="N18" i="30"/>
  <c r="O18" i="30"/>
  <c r="P18" i="30"/>
  <c r="B17" i="30"/>
  <c r="N17" i="30"/>
  <c r="O17" i="30"/>
  <c r="P17" i="30"/>
  <c r="N16" i="30"/>
  <c r="O16" i="30"/>
  <c r="P16" i="30"/>
  <c r="B15" i="30"/>
  <c r="A15" i="30" s="1"/>
  <c r="N15" i="30"/>
  <c r="O15" i="30"/>
  <c r="P15" i="30"/>
  <c r="B14" i="30"/>
  <c r="D14" i="30" s="1"/>
  <c r="N14" i="30"/>
  <c r="O14" i="30"/>
  <c r="P14" i="30"/>
  <c r="B13" i="30"/>
  <c r="N13" i="30"/>
  <c r="O13" i="30"/>
  <c r="P13" i="30"/>
  <c r="N12" i="30"/>
  <c r="O12" i="30"/>
  <c r="P12" i="30"/>
  <c r="B11" i="30"/>
  <c r="N11" i="30"/>
  <c r="CE11" i="30" s="1"/>
  <c r="O11" i="30"/>
  <c r="P11" i="30"/>
  <c r="B10" i="30"/>
  <c r="D10" i="30" s="1"/>
  <c r="N10" i="30"/>
  <c r="O10" i="30"/>
  <c r="P10" i="30"/>
  <c r="B9" i="30"/>
  <c r="D9" i="30" s="1"/>
  <c r="N9" i="30"/>
  <c r="O9" i="30"/>
  <c r="P9" i="30"/>
  <c r="B8" i="30"/>
  <c r="A8" i="30" s="1"/>
  <c r="N8" i="30"/>
  <c r="O8" i="30"/>
  <c r="P8" i="30"/>
  <c r="N7" i="30"/>
  <c r="CE7" i="30" s="1"/>
  <c r="O7" i="30"/>
  <c r="P7" i="30"/>
  <c r="AV3" i="30"/>
  <c r="AU3" i="30"/>
  <c r="AT3" i="30"/>
  <c r="AS3" i="30"/>
  <c r="AR3" i="30"/>
  <c r="AQ3" i="30"/>
  <c r="AP3" i="30"/>
  <c r="AO3" i="30"/>
  <c r="AN3" i="30"/>
  <c r="AM3" i="30"/>
  <c r="AL3" i="30"/>
  <c r="AV38" i="30"/>
  <c r="AV37" i="30"/>
  <c r="AV36" i="30"/>
  <c r="AV35" i="30"/>
  <c r="AV34" i="30"/>
  <c r="AV33" i="30"/>
  <c r="AV32" i="30"/>
  <c r="AV31" i="30"/>
  <c r="AV30" i="30"/>
  <c r="AV29" i="30"/>
  <c r="AV28" i="30"/>
  <c r="AV27" i="30"/>
  <c r="AV26" i="30"/>
  <c r="AV25" i="30"/>
  <c r="AV24" i="30"/>
  <c r="AV23" i="30"/>
  <c r="AV22" i="30"/>
  <c r="AV21" i="30"/>
  <c r="AV20" i="30"/>
  <c r="AV19" i="30"/>
  <c r="AV18" i="30"/>
  <c r="AV17" i="30"/>
  <c r="AV16" i="30"/>
  <c r="AV15" i="30"/>
  <c r="AV14" i="30"/>
  <c r="AV13" i="30"/>
  <c r="AV12" i="30"/>
  <c r="AV11" i="30"/>
  <c r="AV10" i="30"/>
  <c r="AV9" i="30"/>
  <c r="AV8" i="30"/>
  <c r="AV7" i="30"/>
  <c r="AV6" i="30"/>
  <c r="AV5" i="30"/>
  <c r="AV4" i="30"/>
  <c r="AK38" i="30"/>
  <c r="AK5" i="30"/>
  <c r="AK6" i="30"/>
  <c r="AK7" i="30"/>
  <c r="AK8" i="30"/>
  <c r="AK9" i="30"/>
  <c r="AK10" i="30"/>
  <c r="AK11" i="30"/>
  <c r="AK12" i="30"/>
  <c r="AK13" i="30"/>
  <c r="AK14" i="30"/>
  <c r="AK15" i="30"/>
  <c r="AK16" i="30"/>
  <c r="AK17" i="30"/>
  <c r="AK18" i="30"/>
  <c r="AK19" i="30"/>
  <c r="AK20" i="30"/>
  <c r="AK21" i="30"/>
  <c r="AK22" i="30"/>
  <c r="AK23" i="30"/>
  <c r="AK24" i="30"/>
  <c r="AK25" i="30"/>
  <c r="AK26" i="30"/>
  <c r="AK27" i="30"/>
  <c r="AK28" i="30"/>
  <c r="AK29" i="30"/>
  <c r="AK30" i="30"/>
  <c r="AK31" i="30"/>
  <c r="AK32" i="30"/>
  <c r="AK33" i="30"/>
  <c r="AK34" i="30"/>
  <c r="AK35" i="30"/>
  <c r="AK36" i="30"/>
  <c r="AK37" i="30"/>
  <c r="AK4" i="30"/>
  <c r="V4" i="26"/>
  <c r="CZ47" i="30"/>
  <c r="CZ48" i="30"/>
  <c r="CZ46" i="30"/>
  <c r="CZ45" i="30"/>
  <c r="CZ44" i="30"/>
  <c r="CZ43" i="30"/>
  <c r="CZ42" i="30"/>
  <c r="CZ41" i="30"/>
  <c r="CZ40" i="30"/>
  <c r="CX36" i="30"/>
  <c r="CX35" i="30"/>
  <c r="CX32" i="30"/>
  <c r="CX31" i="30"/>
  <c r="CX29" i="30"/>
  <c r="CX28" i="30"/>
  <c r="CX26" i="30"/>
  <c r="CX24" i="30"/>
  <c r="CX23" i="30"/>
  <c r="CX22" i="30"/>
  <c r="CX21" i="30"/>
  <c r="CX20" i="30"/>
  <c r="CX19" i="30"/>
  <c r="CX18" i="30"/>
  <c r="CX15" i="30"/>
  <c r="CX11" i="30"/>
  <c r="CX10" i="30"/>
  <c r="CX8" i="30"/>
  <c r="CL36" i="30"/>
  <c r="CL35" i="30"/>
  <c r="CL32" i="30"/>
  <c r="CL31" i="30"/>
  <c r="CL29" i="30"/>
  <c r="CL28" i="30"/>
  <c r="CL26" i="30"/>
  <c r="CL24" i="30"/>
  <c r="CL23" i="30"/>
  <c r="CL22" i="30"/>
  <c r="CL21" i="30"/>
  <c r="CL20" i="30"/>
  <c r="CL19" i="30"/>
  <c r="CL18" i="30"/>
  <c r="CL16" i="30"/>
  <c r="CL15" i="30"/>
  <c r="CL14" i="30"/>
  <c r="CL11" i="30"/>
  <c r="CL10" i="30"/>
  <c r="CL7" i="30"/>
  <c r="CL8" i="30"/>
  <c r="CJ36" i="30"/>
  <c r="CJ35" i="30"/>
  <c r="CJ33" i="30"/>
  <c r="CJ32" i="30"/>
  <c r="CJ31" i="30"/>
  <c r="CJ29" i="30"/>
  <c r="CJ28" i="30"/>
  <c r="AC36" i="30"/>
  <c r="AC35" i="30"/>
  <c r="AC32" i="30"/>
  <c r="AC31" i="30"/>
  <c r="AC29" i="30"/>
  <c r="AC28" i="30"/>
  <c r="CH3" i="30"/>
  <c r="CG3" i="30"/>
  <c r="B36" i="30"/>
  <c r="A36" i="30"/>
  <c r="AA36" i="30"/>
  <c r="CD36" i="30"/>
  <c r="B35" i="30"/>
  <c r="A35" i="30"/>
  <c r="AA35" i="30"/>
  <c r="CD35" i="30"/>
  <c r="B33" i="30"/>
  <c r="AA33" i="30"/>
  <c r="CD33" i="30"/>
  <c r="B32" i="30"/>
  <c r="A32" i="30"/>
  <c r="AA32" i="30"/>
  <c r="CD32" i="30"/>
  <c r="B31" i="30"/>
  <c r="A31" i="30"/>
  <c r="AA31" i="30"/>
  <c r="CD31" i="30"/>
  <c r="B29" i="30"/>
  <c r="A29" i="30"/>
  <c r="AA29" i="30"/>
  <c r="CD29" i="30"/>
  <c r="B28" i="30"/>
  <c r="A28" i="30"/>
  <c r="AA28" i="30"/>
  <c r="CD28" i="30"/>
  <c r="B27" i="30"/>
  <c r="X32" i="30"/>
  <c r="X35" i="30"/>
  <c r="X36" i="30"/>
  <c r="X27" i="30"/>
  <c r="X28" i="30"/>
  <c r="X29" i="30"/>
  <c r="X31" i="30"/>
  <c r="CU29" i="30"/>
  <c r="CU31" i="30"/>
  <c r="CU35" i="30"/>
  <c r="CM2" i="30"/>
  <c r="CM3" i="30"/>
  <c r="DS29" i="30"/>
  <c r="DT29" i="30" s="1"/>
  <c r="CY29" i="30" s="1"/>
  <c r="R6" i="30"/>
  <c r="S6" i="30"/>
  <c r="AF6" i="30"/>
  <c r="CM7" i="30"/>
  <c r="CM8" i="30"/>
  <c r="CM9" i="30"/>
  <c r="CM10" i="30"/>
  <c r="D11" i="30"/>
  <c r="CM11" i="30"/>
  <c r="C15" i="30"/>
  <c r="D15" i="30"/>
  <c r="CM15" i="30"/>
  <c r="CM17" i="30"/>
  <c r="C18" i="30"/>
  <c r="F18" i="30"/>
  <c r="CM18" i="30"/>
  <c r="C19" i="30"/>
  <c r="D19" i="30"/>
  <c r="F19" i="30"/>
  <c r="CM19" i="30"/>
  <c r="C20" i="30"/>
  <c r="D20" i="30"/>
  <c r="F20" i="30"/>
  <c r="CM20" i="30"/>
  <c r="C21" i="30"/>
  <c r="D21" i="30"/>
  <c r="F21" i="30"/>
  <c r="CM21" i="30"/>
  <c r="C22" i="30"/>
  <c r="D22" i="30"/>
  <c r="F22" i="30"/>
  <c r="CM22" i="30"/>
  <c r="F23" i="30"/>
  <c r="C24" i="30"/>
  <c r="D24" i="30"/>
  <c r="F24" i="30"/>
  <c r="CM24" i="30"/>
  <c r="C25" i="30"/>
  <c r="D25" i="30"/>
  <c r="CM25" i="30"/>
  <c r="C26" i="30"/>
  <c r="F26" i="30"/>
  <c r="CM26" i="30"/>
  <c r="C27" i="30"/>
  <c r="C28" i="30"/>
  <c r="D28" i="30"/>
  <c r="F28" i="30"/>
  <c r="CM28" i="30"/>
  <c r="C29" i="30"/>
  <c r="D29" i="30"/>
  <c r="F29" i="30"/>
  <c r="CM29" i="30"/>
  <c r="C30" i="30"/>
  <c r="C31" i="30"/>
  <c r="D31" i="30"/>
  <c r="F31" i="30"/>
  <c r="CM31" i="30"/>
  <c r="C32" i="30"/>
  <c r="D32" i="30"/>
  <c r="F32" i="30"/>
  <c r="CM32" i="30"/>
  <c r="C33" i="30"/>
  <c r="D33" i="30"/>
  <c r="F33" i="30"/>
  <c r="CM33" i="30"/>
  <c r="C35" i="30"/>
  <c r="D35" i="30"/>
  <c r="F35" i="30"/>
  <c r="CM35" i="30"/>
  <c r="C36" i="30"/>
  <c r="D36" i="30"/>
  <c r="F36" i="30"/>
  <c r="CM36" i="30"/>
  <c r="CH40" i="30"/>
  <c r="CH41" i="30"/>
  <c r="CH42" i="30"/>
  <c r="CH43" i="30"/>
  <c r="CH44" i="30"/>
  <c r="CH48" i="30"/>
  <c r="CH49" i="30" s="1"/>
  <c r="CH50" i="30" s="1"/>
  <c r="CH51" i="30" s="1"/>
  <c r="CH52" i="30" s="1"/>
  <c r="CH53" i="30" s="1"/>
  <c r="CH54" i="30" s="1"/>
  <c r="CH55" i="30" s="1"/>
  <c r="CH56" i="30" s="1"/>
  <c r="CH57" i="30" s="1"/>
  <c r="CH58" i="30" s="1"/>
  <c r="CH59" i="30" s="1"/>
  <c r="CH60" i="30" s="1"/>
  <c r="CH61" i="30" s="1"/>
  <c r="CH62" i="30" s="1"/>
  <c r="CH63" i="30" s="1"/>
  <c r="CH64" i="30" s="1"/>
  <c r="CH65" i="30" s="1"/>
  <c r="CH66" i="30" s="1"/>
  <c r="CH67" i="30" s="1"/>
  <c r="CH68" i="30" s="1"/>
  <c r="CH69" i="30" s="1"/>
  <c r="CH70" i="30" s="1"/>
  <c r="CH71" i="30" s="1"/>
  <c r="CH72" i="30" s="1"/>
  <c r="CH73" i="30" s="1"/>
  <c r="CH74" i="30" s="1"/>
  <c r="CH75" i="30" s="1"/>
  <c r="CH76" i="30" s="1"/>
  <c r="CH77" i="30" s="1"/>
  <c r="CH78" i="30" s="1"/>
  <c r="CH79" i="30" s="1"/>
  <c r="CH80" i="30" s="1"/>
  <c r="CH81" i="30" s="1"/>
  <c r="CH82" i="30" s="1"/>
  <c r="CH83" i="30" s="1"/>
  <c r="CH84" i="30" s="1"/>
  <c r="CH85" i="30" s="1"/>
  <c r="CH86" i="30" s="1"/>
  <c r="CH87" i="30" s="1"/>
  <c r="CH88" i="30" s="1"/>
  <c r="CH89" i="30" s="1"/>
  <c r="CH90" i="30" s="1"/>
  <c r="CH91" i="30" s="1"/>
  <c r="CH92" i="30" s="1"/>
  <c r="CH93" i="30" s="1"/>
  <c r="CH94" i="30" s="1"/>
  <c r="CH95" i="30" s="1"/>
  <c r="CH96" i="30" s="1"/>
  <c r="CH97" i="30" s="1"/>
  <c r="CH98" i="30" s="1"/>
  <c r="CH99" i="30" s="1"/>
  <c r="CH100" i="30" s="1"/>
  <c r="CH101" i="30" s="1"/>
  <c r="CH102" i="30" s="1"/>
  <c r="CH103" i="30" s="1"/>
  <c r="CH104" i="30" s="1"/>
  <c r="CH105" i="30" s="1"/>
  <c r="CH106" i="30" s="1"/>
  <c r="CH107" i="30" s="1"/>
  <c r="CH108" i="30" s="1"/>
  <c r="CH109" i="30" s="1"/>
  <c r="CH110" i="30" s="1"/>
  <c r="CH111" i="30" s="1"/>
  <c r="CH112" i="30" s="1"/>
  <c r="CH113" i="30" s="1"/>
  <c r="CH114" i="30" s="1"/>
  <c r="CH115" i="30" s="1"/>
  <c r="CH116" i="30" s="1"/>
  <c r="CH117" i="30" s="1"/>
  <c r="CH118" i="30" s="1"/>
  <c r="CH119" i="30" s="1"/>
  <c r="CH120" i="30" s="1"/>
  <c r="CH121" i="30" s="1"/>
  <c r="CH122" i="30" s="1"/>
  <c r="CH123" i="30" s="1"/>
  <c r="CH124" i="30" s="1"/>
  <c r="CH125" i="30" s="1"/>
  <c r="CH126" i="30" s="1"/>
  <c r="CH127" i="30" s="1"/>
  <c r="CH128" i="30" s="1"/>
  <c r="CH129" i="30" s="1"/>
  <c r="CH130" i="30" s="1"/>
  <c r="CH131" i="30" s="1"/>
  <c r="CH132" i="30" s="1"/>
  <c r="CH133" i="30" s="1"/>
  <c r="CH134" i="30" s="1"/>
  <c r="CH135" i="30" s="1"/>
  <c r="CH136" i="30" s="1"/>
  <c r="CH137" i="30" s="1"/>
  <c r="CH138" i="30" s="1"/>
  <c r="CH139" i="30" s="1"/>
  <c r="CH140" i="30" s="1"/>
  <c r="CH141" i="30" s="1"/>
  <c r="CH142" i="30" s="1"/>
  <c r="CH143" i="30" s="1"/>
  <c r="CH144" i="30" s="1"/>
  <c r="CH145" i="30" s="1"/>
  <c r="CH146" i="30" s="1"/>
  <c r="CH147" i="30" s="1"/>
  <c r="CH148" i="30" s="1"/>
  <c r="CH149" i="30" s="1"/>
  <c r="CH150" i="30" s="1"/>
  <c r="CH151" i="30" s="1"/>
  <c r="CH152" i="30" s="1"/>
  <c r="CH153" i="30" s="1"/>
  <c r="CH154" i="30" s="1"/>
  <c r="CH155" i="30" s="1"/>
  <c r="CH156" i="30" s="1"/>
  <c r="CH157" i="30" s="1"/>
  <c r="CH158" i="30" s="1"/>
  <c r="CH159" i="30" s="1"/>
  <c r="CH160" i="30" s="1"/>
  <c r="CH161" i="30" s="1"/>
  <c r="CH162" i="30" s="1"/>
  <c r="CH163" i="30" s="1"/>
  <c r="CH164" i="30" s="1"/>
  <c r="CH165" i="30" s="1"/>
  <c r="CH166" i="30" s="1"/>
  <c r="CH167" i="30" s="1"/>
  <c r="CH168" i="30" s="1"/>
  <c r="CH169" i="30" s="1"/>
  <c r="CH170" i="30" s="1"/>
  <c r="CH171" i="30" s="1"/>
  <c r="CH172" i="30" s="1"/>
  <c r="CH173" i="30" s="1"/>
  <c r="CH174" i="30" s="1"/>
  <c r="CH175" i="30" s="1"/>
  <c r="CH176" i="30" s="1"/>
  <c r="CH177" i="30" s="1"/>
  <c r="CH178" i="30" s="1"/>
  <c r="CH179" i="30" s="1"/>
  <c r="CH180" i="30" s="1"/>
  <c r="CH181" i="30" s="1"/>
  <c r="CH182" i="30" s="1"/>
  <c r="CH183" i="30" s="1"/>
  <c r="CH184" i="30" s="1"/>
  <c r="CH185" i="30" s="1"/>
  <c r="CH186" i="30" s="1"/>
  <c r="CH187" i="30" s="1"/>
  <c r="CH188" i="30" s="1"/>
  <c r="CH189" i="30" s="1"/>
  <c r="CH190" i="30" s="1"/>
  <c r="CH191" i="30" s="1"/>
  <c r="CH192" i="30" s="1"/>
  <c r="CH193" i="30" s="1"/>
  <c r="CH194" i="30" s="1"/>
  <c r="CH195" i="30" s="1"/>
  <c r="CH196" i="30" s="1"/>
  <c r="CH197" i="30" s="1"/>
  <c r="CH198" i="30" s="1"/>
  <c r="CH199" i="30" s="1"/>
  <c r="CH200" i="30" s="1"/>
  <c r="CH201" i="30" s="1"/>
  <c r="CH202" i="30" s="1"/>
  <c r="CH203" i="30" s="1"/>
  <c r="CH204" i="30" s="1"/>
  <c r="CH205" i="30" s="1"/>
  <c r="CH206" i="30" s="1"/>
  <c r="CH207" i="30" s="1"/>
  <c r="CH208" i="30" s="1"/>
  <c r="CH209" i="30" s="1"/>
  <c r="CH210" i="30" s="1"/>
  <c r="CH211" i="30" s="1"/>
  <c r="CH212" i="30" s="1"/>
  <c r="CH213" i="30" s="1"/>
  <c r="CH214" i="30" s="1"/>
  <c r="CH215" i="30" s="1"/>
  <c r="CH216" i="30" s="1"/>
  <c r="CH217" i="30" s="1"/>
  <c r="CH218" i="30" s="1"/>
  <c r="CH219" i="30" s="1"/>
  <c r="CH220" i="30" s="1"/>
  <c r="CH221" i="30" s="1"/>
  <c r="CH222" i="30" s="1"/>
  <c r="CH223" i="30" s="1"/>
  <c r="CH224" i="30" s="1"/>
  <c r="CH225" i="30" s="1"/>
  <c r="CH226" i="30" s="1"/>
  <c r="CH227" i="30" s="1"/>
  <c r="CH228" i="30" s="1"/>
  <c r="CH229" i="30" s="1"/>
  <c r="CH230" i="30" s="1"/>
  <c r="CH231" i="30" s="1"/>
  <c r="CH232" i="30" s="1"/>
  <c r="CH233" i="30" s="1"/>
  <c r="CH234" i="30" s="1"/>
  <c r="CH235" i="30" s="1"/>
  <c r="CH236" i="30" s="1"/>
  <c r="CH237" i="30" s="1"/>
  <c r="CH238" i="30" s="1"/>
  <c r="CH239" i="30" s="1"/>
  <c r="CH240" i="30" s="1"/>
  <c r="CH241" i="30" s="1"/>
  <c r="CH242" i="30" s="1"/>
  <c r="CH243" i="30" s="1"/>
  <c r="CH244" i="30" s="1"/>
  <c r="CH245" i="30" s="1"/>
  <c r="CH246" i="30" s="1"/>
  <c r="CH247" i="30" s="1"/>
  <c r="CH248" i="30" s="1"/>
  <c r="BA13" i="26"/>
  <c r="BY36" i="26"/>
  <c r="R36" i="26"/>
  <c r="AG36" i="26"/>
  <c r="R35" i="26"/>
  <c r="BY33" i="26"/>
  <c r="R33" i="26"/>
  <c r="BY32" i="26"/>
  <c r="R32" i="26"/>
  <c r="BY31" i="26"/>
  <c r="R31" i="26"/>
  <c r="BY30" i="26"/>
  <c r="R30" i="26"/>
  <c r="BY29" i="26"/>
  <c r="R29" i="26"/>
  <c r="BY28" i="26"/>
  <c r="R28" i="26"/>
  <c r="BY26" i="26"/>
  <c r="R26" i="26"/>
  <c r="BY25" i="26"/>
  <c r="R25" i="26"/>
  <c r="BY24" i="26"/>
  <c r="R24" i="26"/>
  <c r="BY23" i="26"/>
  <c r="R23" i="26"/>
  <c r="BY22" i="26"/>
  <c r="R22" i="26"/>
  <c r="BY21" i="26"/>
  <c r="R21" i="26"/>
  <c r="BY20" i="26"/>
  <c r="R20" i="26"/>
  <c r="BY19" i="26"/>
  <c r="R19" i="26"/>
  <c r="BY18" i="26"/>
  <c r="R18" i="26"/>
  <c r="BY17" i="26"/>
  <c r="R17" i="26"/>
  <c r="AG17" i="26"/>
  <c r="AE36" i="26"/>
  <c r="AE17" i="26"/>
  <c r="CC36" i="26"/>
  <c r="CK49" i="26"/>
  <c r="CK50" i="26"/>
  <c r="CK48" i="26"/>
  <c r="CK47" i="26"/>
  <c r="CK46" i="26"/>
  <c r="CK45" i="26"/>
  <c r="CK44" i="26"/>
  <c r="CK43" i="26"/>
  <c r="CK42" i="26"/>
  <c r="CC30" i="26"/>
  <c r="CC26" i="26"/>
  <c r="CC24" i="26"/>
  <c r="CC22" i="26"/>
  <c r="CK36" i="26"/>
  <c r="CK35" i="26"/>
  <c r="CK33" i="26"/>
  <c r="CK32" i="26"/>
  <c r="CK31" i="26"/>
  <c r="CK30" i="26"/>
  <c r="CK29" i="26"/>
  <c r="CK28" i="26"/>
  <c r="CK27" i="26"/>
  <c r="CK26" i="26"/>
  <c r="CK25" i="26"/>
  <c r="CK24" i="26"/>
  <c r="CK23" i="26"/>
  <c r="CK22" i="26"/>
  <c r="CK21" i="26"/>
  <c r="CK20" i="26"/>
  <c r="CK19" i="26"/>
  <c r="CK18" i="26"/>
  <c r="CK17" i="26"/>
  <c r="CK16" i="26"/>
  <c r="CK15" i="26"/>
  <c r="CK14" i="26"/>
  <c r="CK13" i="26"/>
  <c r="CK12" i="26"/>
  <c r="CK11" i="26"/>
  <c r="CK10" i="26"/>
  <c r="CK9" i="26"/>
  <c r="CK8" i="26"/>
  <c r="CK7" i="26"/>
  <c r="BW36" i="26"/>
  <c r="BW35" i="26"/>
  <c r="BW33" i="26"/>
  <c r="BW32" i="26"/>
  <c r="BW31" i="26"/>
  <c r="BW30" i="26"/>
  <c r="BW29" i="26"/>
  <c r="BW28" i="26"/>
  <c r="BW26" i="26"/>
  <c r="BW25" i="26"/>
  <c r="BW24" i="26"/>
  <c r="BW23" i="26"/>
  <c r="BW22" i="26"/>
  <c r="BW21" i="26"/>
  <c r="BW20" i="26"/>
  <c r="BW19" i="26"/>
  <c r="BW18" i="26"/>
  <c r="BW17" i="26"/>
  <c r="BW16" i="26"/>
  <c r="BW14" i="26"/>
  <c r="BW13" i="26"/>
  <c r="BW12" i="26"/>
  <c r="BW11" i="26"/>
  <c r="BW10" i="26"/>
  <c r="BW9" i="26"/>
  <c r="BW8" i="26"/>
  <c r="BW7" i="26"/>
  <c r="BX36" i="26"/>
  <c r="BX35" i="26"/>
  <c r="BX34" i="26"/>
  <c r="BX33" i="26"/>
  <c r="BX32" i="26"/>
  <c r="BX31" i="26"/>
  <c r="BX30" i="26"/>
  <c r="BX29" i="26"/>
  <c r="BX28" i="26"/>
  <c r="BX26" i="26"/>
  <c r="BX25" i="26"/>
  <c r="BX24" i="26"/>
  <c r="BX23" i="26"/>
  <c r="BX22" i="26"/>
  <c r="BX21" i="26"/>
  <c r="BX20" i="26"/>
  <c r="BX19" i="26"/>
  <c r="BX18" i="26"/>
  <c r="BX17" i="26"/>
  <c r="BX16" i="26"/>
  <c r="BX15" i="26"/>
  <c r="BX14" i="26"/>
  <c r="BX13" i="26"/>
  <c r="BX12" i="26"/>
  <c r="BX11" i="26"/>
  <c r="BX10" i="26"/>
  <c r="BX9" i="26"/>
  <c r="BX8" i="26"/>
  <c r="BX7" i="26"/>
  <c r="BU36" i="26"/>
  <c r="BU35" i="26"/>
  <c r="BU33" i="26"/>
  <c r="BU32" i="26"/>
  <c r="BU31" i="26"/>
  <c r="BU30" i="26"/>
  <c r="BU29" i="26"/>
  <c r="BU28" i="26"/>
  <c r="BU26" i="26"/>
  <c r="BU25" i="26"/>
  <c r="BU24" i="26"/>
  <c r="BU23" i="26"/>
  <c r="BU22" i="26"/>
  <c r="BU21" i="26"/>
  <c r="BU20" i="26"/>
  <c r="BU19" i="26"/>
  <c r="BU18" i="26"/>
  <c r="BU17" i="26"/>
  <c r="BU16" i="26"/>
  <c r="BU14" i="26"/>
  <c r="BU13" i="26"/>
  <c r="BU12" i="26"/>
  <c r="BU11" i="26"/>
  <c r="BU10" i="26"/>
  <c r="BU9" i="26"/>
  <c r="BU8" i="26"/>
  <c r="BU7" i="26"/>
  <c r="BW2" i="26"/>
  <c r="BW3" i="26"/>
  <c r="DF32" i="26"/>
  <c r="DF28" i="26"/>
  <c r="DG28" i="26" s="1"/>
  <c r="CL32" i="26" s="1"/>
  <c r="DF20" i="26"/>
  <c r="DG20" i="26" s="1"/>
  <c r="CL24" i="26" s="1"/>
  <c r="DF13" i="26"/>
  <c r="DG13" i="26" s="1"/>
  <c r="CL17" i="26" s="1"/>
  <c r="B6" i="26"/>
  <c r="C6" i="26"/>
  <c r="R6" i="26"/>
  <c r="AF6" i="26"/>
  <c r="BZ17" i="26"/>
  <c r="CA17" i="26"/>
  <c r="CA24" i="26"/>
  <c r="CA32" i="26"/>
  <c r="DG32" i="26"/>
  <c r="CL36" i="26" s="1"/>
  <c r="BZ36" i="26"/>
  <c r="CA36" i="26"/>
  <c r="CP42" i="26"/>
  <c r="CP43" i="26"/>
  <c r="CP44" i="26"/>
  <c r="CP45" i="26"/>
  <c r="CP46" i="26"/>
  <c r="CP47" i="26"/>
  <c r="BX44" i="26"/>
  <c r="CP48" i="26"/>
  <c r="BX45" i="26"/>
  <c r="CP49" i="26"/>
  <c r="BX46" i="26"/>
  <c r="CP50" i="26"/>
  <c r="BX47" i="26"/>
  <c r="BX48" i="26"/>
  <c r="BV51" i="26"/>
  <c r="BV52" i="26"/>
  <c r="BV53" i="26" s="1"/>
  <c r="BV54" i="26" s="1"/>
  <c r="BV55" i="26" s="1"/>
  <c r="BV56" i="26" s="1"/>
  <c r="BV57" i="26" s="1"/>
  <c r="BV58" i="26" s="1"/>
  <c r="BV59" i="26" s="1"/>
  <c r="BV60" i="26" s="1"/>
  <c r="BV61" i="26" s="1"/>
  <c r="BV62" i="26" s="1"/>
  <c r="BV63" i="26" s="1"/>
  <c r="BV64" i="26" s="1"/>
  <c r="BV65" i="26" s="1"/>
  <c r="BV66" i="26" s="1"/>
  <c r="BV67" i="26" s="1"/>
  <c r="BV68" i="26" s="1"/>
  <c r="BV69" i="26" s="1"/>
  <c r="BV70" i="26" s="1"/>
  <c r="BV71" i="26" s="1"/>
  <c r="BV72" i="26" s="1"/>
  <c r="BV73" i="26" s="1"/>
  <c r="BV74" i="26" s="1"/>
  <c r="BV75" i="26" s="1"/>
  <c r="BV76" i="26" s="1"/>
  <c r="BV77" i="26" s="1"/>
  <c r="BV78" i="26" s="1"/>
  <c r="BV79" i="26" s="1"/>
  <c r="BV80" i="26" s="1"/>
  <c r="BV81" i="26" s="1"/>
  <c r="BV82" i="26" s="1"/>
  <c r="BV83" i="26" s="1"/>
  <c r="BV84" i="26" s="1"/>
  <c r="BV85" i="26" s="1"/>
  <c r="BV86" i="26" s="1"/>
  <c r="BV87" i="26" s="1"/>
  <c r="BV88" i="26" s="1"/>
  <c r="BV89" i="26" s="1"/>
  <c r="BV90" i="26" s="1"/>
  <c r="BV91" i="26" s="1"/>
  <c r="BV92" i="26" s="1"/>
  <c r="BV93" i="26" s="1"/>
  <c r="BV94" i="26" s="1"/>
  <c r="BV95" i="26" s="1"/>
  <c r="BV96" i="26" s="1"/>
  <c r="BV97" i="26" s="1"/>
  <c r="BV98" i="26" s="1"/>
  <c r="BV99" i="26" s="1"/>
  <c r="BV100" i="26" s="1"/>
  <c r="BV101" i="26" s="1"/>
  <c r="BV102" i="26" s="1"/>
  <c r="BV103" i="26" s="1"/>
  <c r="BV104" i="26" s="1"/>
  <c r="BV105" i="26" s="1"/>
  <c r="BV106" i="26" s="1"/>
  <c r="BV107" i="26" s="1"/>
  <c r="BV108" i="26" s="1"/>
  <c r="BV109" i="26" s="1"/>
  <c r="BV110" i="26" s="1"/>
  <c r="BV111" i="26" s="1"/>
  <c r="BV112" i="26" s="1"/>
  <c r="BV113" i="26" s="1"/>
  <c r="BV114" i="26" s="1"/>
  <c r="BV115" i="26" s="1"/>
  <c r="BV116" i="26" s="1"/>
  <c r="BV117" i="26" s="1"/>
  <c r="BV118" i="26" s="1"/>
  <c r="BV119" i="26" s="1"/>
  <c r="BV120" i="26" s="1"/>
  <c r="BV121" i="26" s="1"/>
  <c r="BV122" i="26" s="1"/>
  <c r="BV123" i="26" s="1"/>
  <c r="BV124" i="26" s="1"/>
  <c r="BV125" i="26" s="1"/>
  <c r="BV126" i="26" s="1"/>
  <c r="BV127" i="26" s="1"/>
  <c r="BV128" i="26" s="1"/>
  <c r="BV129" i="26" s="1"/>
  <c r="BV130" i="26" s="1"/>
  <c r="BV131" i="26" s="1"/>
  <c r="BV132" i="26" s="1"/>
  <c r="BV133" i="26" s="1"/>
  <c r="BV134" i="26" s="1"/>
  <c r="BV135" i="26" s="1"/>
  <c r="BV136" i="26" s="1"/>
  <c r="BV137" i="26" s="1"/>
  <c r="BV138" i="26" s="1"/>
  <c r="BV139" i="26" s="1"/>
  <c r="BV140" i="26" s="1"/>
  <c r="BV141" i="26" s="1"/>
  <c r="BV142" i="26" s="1"/>
  <c r="BV143" i="26" s="1"/>
  <c r="BV144" i="26" s="1"/>
  <c r="BV145" i="26" s="1"/>
  <c r="BV146" i="26" s="1"/>
  <c r="BV147" i="26" s="1"/>
  <c r="BV148" i="26" s="1"/>
  <c r="BV149" i="26" s="1"/>
  <c r="BV150" i="26" s="1"/>
  <c r="BV151" i="26" s="1"/>
  <c r="BV152" i="26" s="1"/>
  <c r="BV153" i="26" s="1"/>
  <c r="BV154" i="26" s="1"/>
  <c r="BV155" i="26" s="1"/>
  <c r="BV156" i="26" s="1"/>
  <c r="BV157" i="26" s="1"/>
  <c r="BV158" i="26" s="1"/>
  <c r="BV159" i="26" s="1"/>
  <c r="BV160" i="26" s="1"/>
  <c r="BV161" i="26" s="1"/>
  <c r="BV162" i="26" s="1"/>
  <c r="BV163" i="26" s="1"/>
  <c r="BV164" i="26" s="1"/>
  <c r="BV165" i="26" s="1"/>
  <c r="BV166" i="26" s="1"/>
  <c r="BV167" i="26" s="1"/>
  <c r="BV168" i="26" s="1"/>
  <c r="BV169" i="26" s="1"/>
  <c r="BV170" i="26" s="1"/>
  <c r="BV171" i="26" s="1"/>
  <c r="BV172" i="26" s="1"/>
  <c r="BV173" i="26" s="1"/>
  <c r="BV174" i="26" s="1"/>
  <c r="BV175" i="26" s="1"/>
  <c r="BV176" i="26" s="1"/>
  <c r="BV177" i="26" s="1"/>
  <c r="BV178" i="26" s="1"/>
  <c r="BV179" i="26" s="1"/>
  <c r="BV180" i="26" s="1"/>
  <c r="BV181" i="26" s="1"/>
  <c r="BV182" i="26" s="1"/>
  <c r="BV183" i="26" s="1"/>
  <c r="BV184" i="26" s="1"/>
  <c r="BV185" i="26" s="1"/>
  <c r="BV186" i="26" s="1"/>
  <c r="BV187" i="26" s="1"/>
  <c r="BV188" i="26" s="1"/>
  <c r="BV189" i="26" s="1"/>
  <c r="BV190" i="26" s="1"/>
  <c r="BV191" i="26" s="1"/>
  <c r="BV192" i="26" s="1"/>
  <c r="BV193" i="26" s="1"/>
  <c r="BV194" i="26" s="1"/>
  <c r="BV195" i="26" s="1"/>
  <c r="BV196" i="26" s="1"/>
  <c r="BV197" i="26" s="1"/>
  <c r="BV198" i="26" s="1"/>
  <c r="BV199" i="26" s="1"/>
  <c r="BV200" i="26" s="1"/>
  <c r="BV201" i="26" s="1"/>
  <c r="BV202" i="26" s="1"/>
  <c r="BV203" i="26" s="1"/>
  <c r="BV204" i="26" s="1"/>
  <c r="BV205" i="26" s="1"/>
  <c r="BV206" i="26" s="1"/>
  <c r="BV207" i="26" s="1"/>
  <c r="BV208" i="26" s="1"/>
  <c r="BV209" i="26" s="1"/>
  <c r="BV210" i="26" s="1"/>
  <c r="BV211" i="26" s="1"/>
  <c r="BV212" i="26" s="1"/>
  <c r="BV213" i="26" s="1"/>
  <c r="BV214" i="26" s="1"/>
  <c r="BV215" i="26" s="1"/>
  <c r="BV216" i="26" s="1"/>
  <c r="BV217" i="26" s="1"/>
  <c r="BV218" i="26" s="1"/>
  <c r="BV219" i="26" s="1"/>
  <c r="BV220" i="26" s="1"/>
  <c r="BV221" i="26" s="1"/>
  <c r="BV222" i="26" s="1"/>
  <c r="BV223" i="26" s="1"/>
  <c r="BV224" i="26" s="1"/>
  <c r="BV225" i="26" s="1"/>
  <c r="BV226" i="26" s="1"/>
  <c r="BV227" i="26" s="1"/>
  <c r="BV228" i="26" s="1"/>
  <c r="BV229" i="26" s="1"/>
  <c r="BV230" i="26" s="1"/>
  <c r="BV231" i="26" s="1"/>
  <c r="BV232" i="26" s="1"/>
  <c r="BV233" i="26" s="1"/>
  <c r="BV234" i="26" s="1"/>
  <c r="BV235" i="26" s="1"/>
  <c r="BV236" i="26" s="1"/>
  <c r="BV237" i="26" s="1"/>
  <c r="BV238" i="26" s="1"/>
  <c r="BV239" i="26" s="1"/>
  <c r="BV240" i="26" s="1"/>
  <c r="BV241" i="26" s="1"/>
  <c r="BV242" i="26" s="1"/>
  <c r="BV243" i="26" s="1"/>
  <c r="BV244" i="26" s="1"/>
  <c r="BV245" i="26" s="1"/>
  <c r="BV246" i="26" s="1"/>
  <c r="BV247" i="26" s="1"/>
  <c r="BV248" i="26" s="1"/>
  <c r="BV249" i="26" s="1"/>
  <c r="BV250" i="26" s="1"/>
  <c r="BV251" i="26" s="1"/>
  <c r="V23" i="26"/>
  <c r="AC18" i="26"/>
  <c r="Y4" i="26"/>
  <c r="AF40" i="31"/>
  <c r="V31" i="31"/>
  <c r="V23" i="31"/>
  <c r="V15" i="31"/>
  <c r="V7" i="31"/>
  <c r="DL11" i="31"/>
  <c r="DL12" i="31"/>
  <c r="DL211" i="31"/>
  <c r="DL210" i="31"/>
  <c r="DL209" i="31"/>
  <c r="DL208" i="31"/>
  <c r="DL207" i="31"/>
  <c r="DL206" i="31"/>
  <c r="DL205" i="31"/>
  <c r="DL204" i="31"/>
  <c r="DL203" i="31"/>
  <c r="DL202" i="31"/>
  <c r="DL201" i="31"/>
  <c r="DL200" i="31"/>
  <c r="DL199" i="31"/>
  <c r="DL198" i="31"/>
  <c r="DL197" i="31"/>
  <c r="DL196" i="31"/>
  <c r="DL195" i="31"/>
  <c r="DL194" i="31"/>
  <c r="DL193" i="31"/>
  <c r="DL192" i="31"/>
  <c r="DL191" i="31"/>
  <c r="DL190" i="31"/>
  <c r="DL189" i="31"/>
  <c r="DL188" i="31"/>
  <c r="DL187" i="31"/>
  <c r="DL186" i="31"/>
  <c r="DL185" i="31"/>
  <c r="DL184" i="31"/>
  <c r="DL183" i="31"/>
  <c r="DL182" i="31"/>
  <c r="DL181" i="31"/>
  <c r="DL180" i="31"/>
  <c r="DL179" i="31"/>
  <c r="DL178" i="31"/>
  <c r="DL177" i="31"/>
  <c r="DL176" i="31"/>
  <c r="DL175" i="31"/>
  <c r="DL174" i="31"/>
  <c r="DL173" i="31"/>
  <c r="DL172" i="31"/>
  <c r="DL171" i="31"/>
  <c r="DL170" i="31"/>
  <c r="DL169" i="31"/>
  <c r="DL168" i="31"/>
  <c r="DL167" i="31"/>
  <c r="DL166" i="31"/>
  <c r="DL165" i="31"/>
  <c r="DL164" i="31"/>
  <c r="DL163" i="31"/>
  <c r="DL162" i="31"/>
  <c r="DL161" i="31"/>
  <c r="DL160" i="31"/>
  <c r="DL159" i="31"/>
  <c r="DL158" i="31"/>
  <c r="DL157" i="31"/>
  <c r="DL156" i="31"/>
  <c r="DL155" i="31"/>
  <c r="DL154" i="31"/>
  <c r="DL153" i="31"/>
  <c r="DL152" i="31"/>
  <c r="DL151" i="31"/>
  <c r="DL150" i="31"/>
  <c r="DL149" i="31"/>
  <c r="DL148" i="31"/>
  <c r="DL147" i="31"/>
  <c r="DL146" i="31"/>
  <c r="DL145" i="31"/>
  <c r="DL144" i="31"/>
  <c r="DL143" i="31"/>
  <c r="DL142" i="31"/>
  <c r="DL141" i="31"/>
  <c r="DL140" i="31"/>
  <c r="DL139" i="31"/>
  <c r="DL138" i="31"/>
  <c r="DL137" i="31"/>
  <c r="DL136" i="31"/>
  <c r="DL135" i="31"/>
  <c r="DL134" i="31"/>
  <c r="DL133" i="31"/>
  <c r="DL132" i="31"/>
  <c r="DL131" i="31"/>
  <c r="DL130" i="31"/>
  <c r="DL129" i="31"/>
  <c r="DL128" i="31"/>
  <c r="DL127" i="31"/>
  <c r="DL126" i="31"/>
  <c r="DL125" i="31"/>
  <c r="DL124" i="31"/>
  <c r="DL123" i="31"/>
  <c r="DL122" i="31"/>
  <c r="DL121" i="31"/>
  <c r="DL120" i="31"/>
  <c r="DL119" i="31"/>
  <c r="DL118" i="31"/>
  <c r="DL117" i="31"/>
  <c r="DL116" i="31"/>
  <c r="DL115" i="31"/>
  <c r="DL114" i="31"/>
  <c r="DL113" i="31"/>
  <c r="DL112" i="31"/>
  <c r="DL111" i="31"/>
  <c r="DL110" i="31"/>
  <c r="DL109" i="31"/>
  <c r="DL108" i="31"/>
  <c r="DL107" i="31"/>
  <c r="DL106" i="31"/>
  <c r="DL105" i="31"/>
  <c r="DL104" i="31"/>
  <c r="DL103" i="31"/>
  <c r="DL102" i="31"/>
  <c r="DL101" i="31"/>
  <c r="DL100" i="31"/>
  <c r="DL99" i="31"/>
  <c r="DL98" i="31"/>
  <c r="DL97" i="31"/>
  <c r="DL96" i="31"/>
  <c r="DL95" i="31"/>
  <c r="DL94" i="31"/>
  <c r="DL93" i="31"/>
  <c r="DL92" i="31"/>
  <c r="DL91" i="31"/>
  <c r="DL90" i="31"/>
  <c r="DL89" i="31"/>
  <c r="DL88" i="31"/>
  <c r="DL87" i="31"/>
  <c r="DL86" i="31"/>
  <c r="DL85" i="31"/>
  <c r="DL84" i="31"/>
  <c r="DL83" i="31"/>
  <c r="DL82" i="31"/>
  <c r="DL81" i="31"/>
  <c r="DL80" i="31"/>
  <c r="DL79" i="31"/>
  <c r="DL78" i="31"/>
  <c r="DL77" i="31"/>
  <c r="DL76" i="31"/>
  <c r="DL75" i="31"/>
  <c r="DL74" i="31"/>
  <c r="DL73" i="31"/>
  <c r="DL72" i="31"/>
  <c r="DL71" i="31"/>
  <c r="DL70" i="31"/>
  <c r="DL69" i="31"/>
  <c r="DL68" i="31"/>
  <c r="DL67" i="31"/>
  <c r="DL66" i="31"/>
  <c r="DL65" i="31"/>
  <c r="DL64" i="31"/>
  <c r="DL63" i="31"/>
  <c r="DL62" i="31"/>
  <c r="DL61" i="31"/>
  <c r="DL60" i="31"/>
  <c r="DL59" i="31"/>
  <c r="DL58" i="31"/>
  <c r="DL57" i="31"/>
  <c r="DL56" i="31"/>
  <c r="DL55" i="31"/>
  <c r="DL54" i="31"/>
  <c r="DL53" i="31"/>
  <c r="DL52" i="31"/>
  <c r="DL51" i="31"/>
  <c r="DL50" i="31"/>
  <c r="DL49" i="31"/>
  <c r="DL48" i="31"/>
  <c r="DL47" i="31"/>
  <c r="DL46" i="31"/>
  <c r="DL45" i="31"/>
  <c r="DL44" i="31"/>
  <c r="DL43" i="31"/>
  <c r="DL42" i="31"/>
  <c r="DL41" i="31"/>
  <c r="DL40" i="31"/>
  <c r="DL39" i="31"/>
  <c r="DL38" i="31"/>
  <c r="DL37" i="31"/>
  <c r="DL36" i="31"/>
  <c r="DL35" i="31"/>
  <c r="DL34" i="31"/>
  <c r="DL33" i="31"/>
  <c r="DL32" i="31"/>
  <c r="DL31" i="31"/>
  <c r="DL30" i="31"/>
  <c r="DL29" i="31"/>
  <c r="DL28" i="31"/>
  <c r="DL27" i="31"/>
  <c r="DL26" i="31"/>
  <c r="DL25" i="31"/>
  <c r="DL24" i="31"/>
  <c r="DL23" i="31"/>
  <c r="DL22" i="31"/>
  <c r="DL21" i="31"/>
  <c r="DL20" i="31"/>
  <c r="DL19" i="31"/>
  <c r="DL18" i="31"/>
  <c r="DL17" i="31"/>
  <c r="DL16" i="31"/>
  <c r="DL15" i="31"/>
  <c r="DL14" i="31"/>
  <c r="DL13" i="31"/>
  <c r="F15" i="30"/>
  <c r="E17" i="30"/>
  <c r="E16" i="30"/>
  <c r="F16" i="30"/>
  <c r="F17" i="30"/>
  <c r="E15" i="30"/>
  <c r="E18" i="32"/>
  <c r="F16" i="32"/>
  <c r="E16" i="32"/>
  <c r="F18" i="32"/>
  <c r="E10" i="30"/>
  <c r="E12" i="32"/>
  <c r="F8" i="32"/>
  <c r="F8" i="30"/>
  <c r="E7" i="30"/>
  <c r="F10" i="30"/>
  <c r="F10" i="32"/>
  <c r="E11" i="30"/>
  <c r="F11" i="30"/>
  <c r="E8" i="32"/>
  <c r="E9" i="30"/>
  <c r="F13" i="32"/>
  <c r="F12" i="32"/>
  <c r="F9" i="30"/>
  <c r="F11" i="32"/>
  <c r="E10" i="32"/>
  <c r="F7" i="30"/>
  <c r="E8" i="30"/>
  <c r="CE34" i="26" l="1"/>
  <c r="AF41" i="31"/>
  <c r="AF37" i="31"/>
  <c r="AF35" i="31"/>
  <c r="AF33" i="31"/>
  <c r="AF31" i="31"/>
  <c r="AF29" i="31"/>
  <c r="AF27" i="31"/>
  <c r="AF25" i="31"/>
  <c r="AF23" i="31"/>
  <c r="AF21" i="31"/>
  <c r="AF19" i="31"/>
  <c r="AF17" i="31"/>
  <c r="AF15" i="31"/>
  <c r="AF13" i="31"/>
  <c r="AF11" i="31"/>
  <c r="AF9" i="31"/>
  <c r="AF7" i="31"/>
  <c r="AF5" i="31"/>
  <c r="Y5" i="31"/>
  <c r="AC5" i="31"/>
  <c r="AF43" i="31"/>
  <c r="AF39" i="31"/>
  <c r="AF36" i="31"/>
  <c r="AF34" i="31"/>
  <c r="AF32" i="31"/>
  <c r="AF30" i="31"/>
  <c r="AF28" i="31"/>
  <c r="AF26" i="31"/>
  <c r="AF24" i="31"/>
  <c r="AF22" i="31"/>
  <c r="AF20" i="31"/>
  <c r="AF18" i="31"/>
  <c r="AF16" i="31"/>
  <c r="AF14" i="31"/>
  <c r="AF12" i="31"/>
  <c r="AF10" i="31"/>
  <c r="AF8" i="31"/>
  <c r="AF6" i="31"/>
  <c r="AA5" i="31"/>
  <c r="W5" i="31"/>
  <c r="AF42" i="31"/>
  <c r="AF38" i="31"/>
  <c r="V36" i="31"/>
  <c r="V34" i="31"/>
  <c r="V32" i="31"/>
  <c r="V30" i="31"/>
  <c r="V28" i="31"/>
  <c r="V26" i="31"/>
  <c r="V24" i="31"/>
  <c r="V22" i="31"/>
  <c r="V20" i="31"/>
  <c r="V18" i="31"/>
  <c r="V16" i="31"/>
  <c r="V14" i="31"/>
  <c r="V12" i="31"/>
  <c r="V10" i="31"/>
  <c r="V8" i="31"/>
  <c r="V6" i="31"/>
  <c r="Z5" i="31"/>
  <c r="CF28" i="26"/>
  <c r="CC28" i="26"/>
  <c r="CJ34" i="30"/>
  <c r="C34" i="30"/>
  <c r="E34" i="30"/>
  <c r="AC34" i="30"/>
  <c r="AA34" i="30"/>
  <c r="X34" i="30"/>
  <c r="CM34" i="30"/>
  <c r="CD34" i="30"/>
  <c r="CL30" i="30"/>
  <c r="CJ30" i="30"/>
  <c r="CD30" i="30"/>
  <c r="X30" i="30"/>
  <c r="E30" i="30"/>
  <c r="D30" i="30"/>
  <c r="B30" i="30"/>
  <c r="CM30" i="30"/>
  <c r="V9" i="31"/>
  <c r="V17" i="31"/>
  <c r="V25" i="31"/>
  <c r="V33" i="31"/>
  <c r="CX34" i="30"/>
  <c r="V27" i="26"/>
  <c r="AU3" i="26"/>
  <c r="V25" i="26"/>
  <c r="V19" i="26"/>
  <c r="AC14" i="26"/>
  <c r="V9" i="26"/>
  <c r="Z4" i="26"/>
  <c r="BA17" i="26"/>
  <c r="AR13" i="26"/>
  <c r="V37" i="26"/>
  <c r="AC22" i="26"/>
  <c r="V17" i="26"/>
  <c r="V11" i="26"/>
  <c r="AC6" i="26"/>
  <c r="AY3" i="26"/>
  <c r="AC26" i="26"/>
  <c r="V21" i="26"/>
  <c r="V15" i="26"/>
  <c r="AC10" i="26"/>
  <c r="V5" i="26"/>
  <c r="X5" i="31"/>
  <c r="V11" i="31"/>
  <c r="V19" i="31"/>
  <c r="V27" i="31"/>
  <c r="V35" i="31"/>
  <c r="V7" i="26"/>
  <c r="AE5" i="31"/>
  <c r="V13" i="31"/>
  <c r="V21" i="31"/>
  <c r="V29" i="31"/>
  <c r="V37" i="31"/>
  <c r="V13" i="26"/>
  <c r="AR17" i="26"/>
  <c r="F34" i="30"/>
  <c r="A11" i="30"/>
  <c r="C11" i="30"/>
  <c r="P34" i="26"/>
  <c r="BV34" i="26"/>
  <c r="N34" i="26"/>
  <c r="O34" i="26"/>
  <c r="CB34" i="26"/>
  <c r="R34" i="26"/>
  <c r="BW34" i="26"/>
  <c r="CK34" i="26"/>
  <c r="BY34" i="26"/>
  <c r="BU34" i="26"/>
  <c r="AG30" i="26"/>
  <c r="AE30" i="26"/>
  <c r="BZ30" i="26"/>
  <c r="DF26" i="26"/>
  <c r="DG26" i="26" s="1"/>
  <c r="CL30" i="26" s="1"/>
  <c r="CA30" i="26"/>
  <c r="BY27" i="26"/>
  <c r="R27" i="26"/>
  <c r="BX27" i="26"/>
  <c r="BU27" i="26"/>
  <c r="BW27" i="26"/>
  <c r="CP27" i="30"/>
  <c r="CR27" i="30"/>
  <c r="F27" i="30"/>
  <c r="C23" i="30"/>
  <c r="CM12" i="30"/>
  <c r="AA27" i="30"/>
  <c r="AC27" i="30"/>
  <c r="CJ27" i="30"/>
  <c r="I18" i="30"/>
  <c r="CG18" i="30" s="1"/>
  <c r="AE18" i="30" s="1"/>
  <c r="A23" i="30"/>
  <c r="I26" i="30"/>
  <c r="CE33" i="30"/>
  <c r="CE34" i="30"/>
  <c r="X23" i="30"/>
  <c r="F28" i="32"/>
  <c r="F20" i="32"/>
  <c r="J20" i="32" s="1"/>
  <c r="A28" i="32"/>
  <c r="CQ26" i="32"/>
  <c r="BY35" i="31"/>
  <c r="N35" i="31"/>
  <c r="BY21" i="31"/>
  <c r="N21" i="31"/>
  <c r="CW32" i="32"/>
  <c r="CI32" i="32"/>
  <c r="A32" i="32"/>
  <c r="AC32" i="32"/>
  <c r="E32" i="32"/>
  <c r="I32" i="32" s="1"/>
  <c r="X32" i="32"/>
  <c r="C32" i="32"/>
  <c r="CX32" i="32"/>
  <c r="CQ32" i="32"/>
  <c r="C28" i="32"/>
  <c r="E28" i="32"/>
  <c r="I28" i="32" s="1"/>
  <c r="CI28" i="32"/>
  <c r="CQ28" i="32"/>
  <c r="D28" i="32"/>
  <c r="CR28" i="32"/>
  <c r="X28" i="32"/>
  <c r="B28" i="32"/>
  <c r="AC24" i="32"/>
  <c r="C24" i="32"/>
  <c r="E24" i="32"/>
  <c r="I24" i="32" s="1"/>
  <c r="CI24" i="32"/>
  <c r="CQ24" i="32"/>
  <c r="D24" i="32"/>
  <c r="CR24" i="32"/>
  <c r="X24" i="32"/>
  <c r="B24" i="32"/>
  <c r="AC20" i="32"/>
  <c r="CO20" i="32"/>
  <c r="C20" i="32"/>
  <c r="E20" i="32"/>
  <c r="I20" i="32" s="1"/>
  <c r="CL20" i="32" s="1"/>
  <c r="AG20" i="32" s="1"/>
  <c r="CI20" i="32"/>
  <c r="CQ20" i="32"/>
  <c r="D20" i="32"/>
  <c r="CR20" i="32"/>
  <c r="X20" i="32"/>
  <c r="B20" i="32"/>
  <c r="AA17" i="32"/>
  <c r="CI17" i="32" s="1"/>
  <c r="D17" i="32"/>
  <c r="D13" i="32"/>
  <c r="B13" i="32"/>
  <c r="CQ9" i="32"/>
  <c r="D9" i="32"/>
  <c r="CR9" i="32"/>
  <c r="E17" i="32"/>
  <c r="I17" i="32" s="1"/>
  <c r="D27" i="30"/>
  <c r="CM23" i="30"/>
  <c r="A27" i="30"/>
  <c r="CL27" i="30"/>
  <c r="CX27" i="30"/>
  <c r="B23" i="30"/>
  <c r="E27" i="30"/>
  <c r="I29" i="30"/>
  <c r="CG29" i="30" s="1"/>
  <c r="I33" i="30"/>
  <c r="CD23" i="30"/>
  <c r="P21" i="31"/>
  <c r="BV28" i="26"/>
  <c r="N28" i="26"/>
  <c r="O28" i="26"/>
  <c r="CJ23" i="30"/>
  <c r="CR20" i="30"/>
  <c r="CP20" i="30"/>
  <c r="CR32" i="32"/>
  <c r="D32" i="32"/>
  <c r="F26" i="32"/>
  <c r="CR17" i="32"/>
  <c r="C9" i="32"/>
  <c r="B32" i="32"/>
  <c r="CQ22" i="32"/>
  <c r="AA20" i="32"/>
  <c r="BV20" i="31"/>
  <c r="BX94" i="31" s="1"/>
  <c r="BY18" i="31"/>
  <c r="CC18" i="31" s="1"/>
  <c r="P18" i="31"/>
  <c r="BW36" i="33"/>
  <c r="BY25" i="31"/>
  <c r="O25" i="31"/>
  <c r="P25" i="31"/>
  <c r="CP34" i="32"/>
  <c r="CO34" i="32"/>
  <c r="E34" i="32"/>
  <c r="I34" i="32" s="1"/>
  <c r="X34" i="32"/>
  <c r="CQ34" i="32"/>
  <c r="CY34" i="32"/>
  <c r="B34" i="32"/>
  <c r="C34" i="32"/>
  <c r="AC34" i="32"/>
  <c r="AA34" i="32"/>
  <c r="A34" i="32"/>
  <c r="CY30" i="32"/>
  <c r="AC30" i="32"/>
  <c r="C30" i="32"/>
  <c r="E30" i="32"/>
  <c r="I30" i="32" s="1"/>
  <c r="CL30" i="32" s="1"/>
  <c r="AA30" i="32"/>
  <c r="CI30" i="32"/>
  <c r="D30" i="32"/>
  <c r="CR30" i="32"/>
  <c r="CO30" i="32"/>
  <c r="X30" i="32"/>
  <c r="B30" i="32"/>
  <c r="C26" i="32"/>
  <c r="E26" i="32"/>
  <c r="I26" i="32" s="1"/>
  <c r="AA26" i="32"/>
  <c r="CI26" i="32"/>
  <c r="D26" i="32"/>
  <c r="CR26" i="32"/>
  <c r="AC26" i="32"/>
  <c r="X26" i="32"/>
  <c r="B26" i="32"/>
  <c r="C22" i="32"/>
  <c r="AC22" i="32"/>
  <c r="E22" i="32"/>
  <c r="I22" i="32" s="1"/>
  <c r="AA22" i="32"/>
  <c r="CI22" i="32"/>
  <c r="D22" i="32"/>
  <c r="CR22" i="32"/>
  <c r="X22" i="32"/>
  <c r="B22" i="32"/>
  <c r="CQ15" i="32"/>
  <c r="CR15" i="32"/>
  <c r="B11" i="32"/>
  <c r="A11" i="32" s="1"/>
  <c r="CQ11" i="32"/>
  <c r="CR11" i="32"/>
  <c r="D11" i="32"/>
  <c r="F17" i="32"/>
  <c r="CM27" i="30"/>
  <c r="D23" i="30"/>
  <c r="CD27" i="30"/>
  <c r="E23" i="30"/>
  <c r="DS9" i="31"/>
  <c r="CB25" i="31"/>
  <c r="O30" i="26"/>
  <c r="P30" i="26"/>
  <c r="BV22" i="26"/>
  <c r="O22" i="26"/>
  <c r="P22" i="26"/>
  <c r="CS33" i="30"/>
  <c r="CP33" i="30"/>
  <c r="F30" i="32"/>
  <c r="F22" i="32"/>
  <c r="CR13" i="32"/>
  <c r="A22" i="32"/>
  <c r="A30" i="32"/>
  <c r="CQ30" i="32"/>
  <c r="CI34" i="32"/>
  <c r="AA28" i="32"/>
  <c r="BV36" i="31"/>
  <c r="CD36" i="31"/>
  <c r="R36" i="31"/>
  <c r="AJ36" i="31"/>
  <c r="BY32" i="31"/>
  <c r="N32" i="31"/>
  <c r="O32" i="31"/>
  <c r="CB32" i="31"/>
  <c r="BY28" i="31"/>
  <c r="N28" i="31"/>
  <c r="O28" i="31"/>
  <c r="Z30" i="33"/>
  <c r="AA30" i="33"/>
  <c r="BV28" i="33"/>
  <c r="CC28" i="33"/>
  <c r="AA26" i="33"/>
  <c r="Z26" i="33"/>
  <c r="BN24" i="33"/>
  <c r="BV24" i="33"/>
  <c r="BN20" i="33"/>
  <c r="BR20" i="33"/>
  <c r="BQ11" i="33"/>
  <c r="CI11" i="33"/>
  <c r="BN11" i="33"/>
  <c r="CI7" i="33"/>
  <c r="BR7" i="33"/>
  <c r="I37" i="32"/>
  <c r="I36" i="32"/>
  <c r="I35" i="32"/>
  <c r="EC5" i="32"/>
  <c r="CW21" i="32"/>
  <c r="CY35" i="32"/>
  <c r="CU34" i="32"/>
  <c r="CY32" i="32"/>
  <c r="CU30" i="32"/>
  <c r="CX22" i="32"/>
  <c r="CY20" i="32"/>
  <c r="CR43" i="33"/>
  <c r="BV26" i="26"/>
  <c r="CT35" i="30"/>
  <c r="CK35" i="30"/>
  <c r="DS35" i="30" s="1"/>
  <c r="DT35" i="30" s="1"/>
  <c r="CY35" i="30" s="1"/>
  <c r="CK21" i="30"/>
  <c r="DS21" i="30" s="1"/>
  <c r="DT21" i="30" s="1"/>
  <c r="CY21" i="30" s="1"/>
  <c r="I31" i="32"/>
  <c r="I29" i="32"/>
  <c r="I27" i="32"/>
  <c r="I25" i="32"/>
  <c r="I23" i="32"/>
  <c r="I21" i="32"/>
  <c r="I19" i="32"/>
  <c r="CO23" i="32"/>
  <c r="CY29" i="32"/>
  <c r="CP25" i="32"/>
  <c r="CU23" i="32"/>
  <c r="CO12" i="32"/>
  <c r="J27" i="32"/>
  <c r="J25" i="32"/>
  <c r="CJ9" i="32"/>
  <c r="CY36" i="32"/>
  <c r="O16" i="26"/>
  <c r="P16" i="26" s="1"/>
  <c r="BV16" i="26" s="1"/>
  <c r="BU15" i="26"/>
  <c r="BW15" i="26"/>
  <c r="BY15" i="26"/>
  <c r="R15" i="26" s="1"/>
  <c r="N15" i="26"/>
  <c r="BT15" i="26" s="1"/>
  <c r="BX34" i="31"/>
  <c r="CA34" i="31"/>
  <c r="CC34" i="31"/>
  <c r="CD34" i="31"/>
  <c r="R34" i="31"/>
  <c r="AJ34" i="31"/>
  <c r="AH34" i="31"/>
  <c r="R24" i="31"/>
  <c r="CC24" i="31"/>
  <c r="AJ24" i="31"/>
  <c r="AH24" i="31"/>
  <c r="BV24" i="31"/>
  <c r="CD24" i="31"/>
  <c r="BX24" i="31"/>
  <c r="CA24" i="31"/>
  <c r="DB23" i="32"/>
  <c r="CZ23" i="32"/>
  <c r="DA23" i="32"/>
  <c r="CV23" i="32" s="1"/>
  <c r="CD23" i="32" s="1"/>
  <c r="AG24" i="26"/>
  <c r="AE24" i="26"/>
  <c r="BZ24" i="26"/>
  <c r="CF15" i="26"/>
  <c r="CC15" i="26"/>
  <c r="AC27" i="26"/>
  <c r="BA5" i="26"/>
  <c r="BA21" i="26"/>
  <c r="AR25" i="26"/>
  <c r="AR9" i="26"/>
  <c r="BA9" i="26"/>
  <c r="BA25" i="26"/>
  <c r="AR21" i="26"/>
  <c r="AR5" i="26"/>
  <c r="AC38" i="26"/>
  <c r="AC24" i="26"/>
  <c r="AC20" i="26"/>
  <c r="AC16" i="26"/>
  <c r="AC12" i="26"/>
  <c r="AC8" i="26"/>
  <c r="AC4" i="26"/>
  <c r="AG32" i="26"/>
  <c r="AE32" i="26"/>
  <c r="BZ32" i="26"/>
  <c r="R28" i="31"/>
  <c r="CC28" i="31"/>
  <c r="AJ28" i="31"/>
  <c r="AH28" i="31"/>
  <c r="CD28" i="31"/>
  <c r="BX28" i="31"/>
  <c r="CA28" i="31"/>
  <c r="BV28" i="31"/>
  <c r="R18" i="31"/>
  <c r="BX18" i="31"/>
  <c r="AH18" i="31"/>
  <c r="CD18" i="31"/>
  <c r="CE18" i="30"/>
  <c r="CE19" i="30"/>
  <c r="CE26" i="30"/>
  <c r="CG26" i="30" s="1"/>
  <c r="AE26" i="30" s="1"/>
  <c r="CJ30" i="26"/>
  <c r="CE19" i="26"/>
  <c r="CE32" i="26"/>
  <c r="BT19" i="26"/>
  <c r="BT24" i="26"/>
  <c r="CB19" i="26"/>
  <c r="CB32" i="26"/>
  <c r="CI32" i="26" s="1"/>
  <c r="CB17" i="26"/>
  <c r="N32" i="26"/>
  <c r="N19" i="26"/>
  <c r="P26" i="26"/>
  <c r="CW29" i="30"/>
  <c r="CU21" i="30"/>
  <c r="CT29" i="30"/>
  <c r="CS23" i="30"/>
  <c r="AV9" i="32"/>
  <c r="AK5" i="32"/>
  <c r="AL4" i="32"/>
  <c r="CT47" i="26"/>
  <c r="CJ30" i="32"/>
  <c r="CJ22" i="32"/>
  <c r="CJ12" i="32"/>
  <c r="EC7" i="32"/>
  <c r="CO29" i="32"/>
  <c r="AC25" i="32"/>
  <c r="CW20" i="32"/>
  <c r="CX29" i="32"/>
  <c r="CU29" i="32"/>
  <c r="CP22" i="32"/>
  <c r="CH22" i="32" s="1"/>
  <c r="CR50" i="33"/>
  <c r="CR49" i="33"/>
  <c r="BW28" i="33"/>
  <c r="Z34" i="33"/>
  <c r="BV36" i="33"/>
  <c r="CE27" i="30"/>
  <c r="CE30" i="30"/>
  <c r="CE35" i="30"/>
  <c r="CH28" i="26"/>
  <c r="CG34" i="26"/>
  <c r="BT32" i="26"/>
  <c r="O17" i="26"/>
  <c r="P24" i="26"/>
  <c r="N7" i="26"/>
  <c r="BT7" i="26" s="1"/>
  <c r="BV19" i="26"/>
  <c r="AV39" i="30"/>
  <c r="CT27" i="30"/>
  <c r="CP23" i="30"/>
  <c r="CK27" i="30"/>
  <c r="DS27" i="30" s="1"/>
  <c r="DT27" i="30" s="1"/>
  <c r="CY27" i="30" s="1"/>
  <c r="P8" i="31"/>
  <c r="CB8" i="31" s="1"/>
  <c r="CO25" i="32"/>
  <c r="AC29" i="32"/>
  <c r="AC23" i="32"/>
  <c r="BT81" i="31"/>
  <c r="CW30" i="32"/>
  <c r="CY25" i="32"/>
  <c r="CX34" i="32"/>
  <c r="CX25" i="32"/>
  <c r="CP29" i="32"/>
  <c r="CH29" i="32" s="1"/>
  <c r="CW22" i="32"/>
  <c r="CR45" i="33"/>
  <c r="AI20" i="33"/>
  <c r="AI13" i="33"/>
  <c r="AI11" i="33"/>
  <c r="AI9" i="33"/>
  <c r="R7" i="33"/>
  <c r="AR5" i="33"/>
  <c r="U4" i="33"/>
  <c r="AN3" i="33"/>
  <c r="BV32" i="33"/>
  <c r="BN28" i="33"/>
  <c r="AV7" i="32"/>
  <c r="AS4" i="32"/>
  <c r="CE36" i="30"/>
  <c r="CW33" i="30"/>
  <c r="CV21" i="30"/>
  <c r="CQ21" i="30" s="1"/>
  <c r="AK7" i="32"/>
  <c r="AV6" i="32"/>
  <c r="AO4" i="32"/>
  <c r="O16" i="31"/>
  <c r="O12" i="31"/>
  <c r="P12" i="31" s="1"/>
  <c r="CB12" i="31" s="1"/>
  <c r="CO22" i="32"/>
  <c r="CN60" i="32" s="1"/>
  <c r="CW34" i="32"/>
  <c r="CX30" i="32"/>
  <c r="CP16" i="32"/>
  <c r="CL22" i="32"/>
  <c r="AW22" i="32" s="1"/>
  <c r="CU18" i="32"/>
  <c r="CX18" i="32" s="1"/>
  <c r="C18" i="32"/>
  <c r="CQ17" i="32"/>
  <c r="B18" i="32"/>
  <c r="A18" i="32" s="1"/>
  <c r="B17" i="32"/>
  <c r="A17" i="32" s="1"/>
  <c r="CR18" i="32"/>
  <c r="D18" i="32"/>
  <c r="CQ18" i="32"/>
  <c r="B15" i="32"/>
  <c r="D15" i="32" s="1"/>
  <c r="AA15" i="32"/>
  <c r="CI15" i="32" s="1"/>
  <c r="CW16" i="32"/>
  <c r="CR16" i="32"/>
  <c r="AA16" i="32"/>
  <c r="CI16" i="32" s="1"/>
  <c r="CX16" i="32"/>
  <c r="CU16" i="32"/>
  <c r="DA16" i="32" s="1"/>
  <c r="CV16" i="32" s="1"/>
  <c r="D16" i="32"/>
  <c r="AA14" i="32"/>
  <c r="CI14" i="32" s="1"/>
  <c r="AC14" i="32" s="1"/>
  <c r="CU14" i="32" s="1"/>
  <c r="CX14" i="32" s="1"/>
  <c r="C16" i="32"/>
  <c r="CR14" i="32"/>
  <c r="CQ14" i="32"/>
  <c r="B16" i="32"/>
  <c r="A16" i="32" s="1"/>
  <c r="B14" i="32"/>
  <c r="CQ16" i="32"/>
  <c r="CO16" i="32"/>
  <c r="CM14" i="30"/>
  <c r="CX13" i="30"/>
  <c r="CM13" i="30"/>
  <c r="CE13" i="30"/>
  <c r="CE14" i="30"/>
  <c r="CX14" i="30"/>
  <c r="I34" i="30"/>
  <c r="CL37" i="32"/>
  <c r="AW37" i="32" s="1"/>
  <c r="AY37" i="32" s="1"/>
  <c r="X4" i="26"/>
  <c r="AB4" i="26"/>
  <c r="V6" i="26"/>
  <c r="V8" i="26"/>
  <c r="V10" i="26"/>
  <c r="V12" i="26"/>
  <c r="V14" i="26"/>
  <c r="V16" i="26"/>
  <c r="V18" i="26"/>
  <c r="V20" i="26"/>
  <c r="V22" i="26"/>
  <c r="V24" i="26"/>
  <c r="V26" i="26"/>
  <c r="V38" i="26"/>
  <c r="AR3" i="26"/>
  <c r="AR7" i="26"/>
  <c r="AR11" i="26"/>
  <c r="AR15" i="26"/>
  <c r="AR19" i="26"/>
  <c r="AR23" i="26"/>
  <c r="AS3" i="26"/>
  <c r="AW3" i="26"/>
  <c r="BA3" i="26"/>
  <c r="BA23" i="26"/>
  <c r="BA19" i="26"/>
  <c r="BA15" i="26"/>
  <c r="BA11" i="26"/>
  <c r="BA7" i="26"/>
  <c r="F30" i="30"/>
  <c r="F25" i="30"/>
  <c r="D8" i="30"/>
  <c r="J4" i="30"/>
  <c r="J23" i="30" s="1"/>
  <c r="AA30" i="30"/>
  <c r="AC30" i="30"/>
  <c r="CX9" i="30"/>
  <c r="V32" i="26"/>
  <c r="AC31" i="26"/>
  <c r="CE21" i="30"/>
  <c r="CE31" i="30"/>
  <c r="CG30" i="26"/>
  <c r="CH30" i="26"/>
  <c r="CI30" i="26"/>
  <c r="O33" i="26"/>
  <c r="BV33" i="26"/>
  <c r="P33" i="26"/>
  <c r="BT33" i="26"/>
  <c r="BV25" i="26"/>
  <c r="O25" i="26"/>
  <c r="N12" i="26"/>
  <c r="O12" i="26"/>
  <c r="P12" i="26"/>
  <c r="BT12" i="26"/>
  <c r="AA22" i="30"/>
  <c r="B22" i="30"/>
  <c r="CP22" i="30"/>
  <c r="CW22" i="30" s="1"/>
  <c r="CD22" i="30"/>
  <c r="A22" i="30"/>
  <c r="X22" i="30"/>
  <c r="X17" i="30"/>
  <c r="CK17" i="30" s="1"/>
  <c r="DS17" i="30" s="1"/>
  <c r="CD17" i="30"/>
  <c r="CJ17" i="30"/>
  <c r="CL17" i="30"/>
  <c r="J24" i="32"/>
  <c r="J22" i="32"/>
  <c r="BY22" i="31"/>
  <c r="P22" i="31"/>
  <c r="CB22" i="31"/>
  <c r="N22" i="31"/>
  <c r="BY19" i="31"/>
  <c r="N19" i="31"/>
  <c r="CB19" i="31"/>
  <c r="O19" i="31"/>
  <c r="N9" i="31"/>
  <c r="O9" i="31"/>
  <c r="P9" i="31" s="1"/>
  <c r="CB9" i="31"/>
  <c r="CP37" i="32"/>
  <c r="CX37" i="32"/>
  <c r="CY37" i="32"/>
  <c r="CW37" i="32"/>
  <c r="CO37" i="32"/>
  <c r="CX35" i="32"/>
  <c r="CW35" i="32"/>
  <c r="CO35" i="32"/>
  <c r="CU35" i="32"/>
  <c r="CP33" i="32"/>
  <c r="CX33" i="32"/>
  <c r="CW33" i="32"/>
  <c r="AC33" i="32"/>
  <c r="E33" i="32"/>
  <c r="I33" i="32" s="1"/>
  <c r="C33" i="32"/>
  <c r="AA33" i="32"/>
  <c r="B33" i="32"/>
  <c r="D33" i="32"/>
  <c r="CI33" i="32"/>
  <c r="A33" i="32"/>
  <c r="F33" i="32"/>
  <c r="J33" i="32" s="1"/>
  <c r="CR33" i="32"/>
  <c r="AC31" i="32"/>
  <c r="CO31" i="32"/>
  <c r="CY31" i="32"/>
  <c r="D31" i="32"/>
  <c r="CR31" i="32"/>
  <c r="CQ31" i="32"/>
  <c r="F31" i="32"/>
  <c r="J31" i="32" s="1"/>
  <c r="CI31" i="32"/>
  <c r="B31" i="32"/>
  <c r="CX28" i="32"/>
  <c r="CY28" i="32"/>
  <c r="CO28" i="32"/>
  <c r="CW28" i="32"/>
  <c r="CO26" i="32"/>
  <c r="CW26" i="32"/>
  <c r="CX26" i="32"/>
  <c r="CY26" i="32"/>
  <c r="CW97" i="32"/>
  <c r="CW60" i="32"/>
  <c r="CF27" i="33"/>
  <c r="CE27" i="33"/>
  <c r="CH27" i="33"/>
  <c r="CG27" i="33"/>
  <c r="CA27" i="33" s="1"/>
  <c r="CD27" i="33"/>
  <c r="AR4" i="26"/>
  <c r="AR8" i="26"/>
  <c r="AR12" i="26"/>
  <c r="AR16" i="26"/>
  <c r="AR20" i="26"/>
  <c r="AR24" i="26"/>
  <c r="AT3" i="26"/>
  <c r="AX3" i="26"/>
  <c r="BA26" i="26"/>
  <c r="BA22" i="26"/>
  <c r="BA18" i="26"/>
  <c r="BA14" i="26"/>
  <c r="BA10" i="26"/>
  <c r="BA6" i="26"/>
  <c r="C10" i="30"/>
  <c r="C8" i="30"/>
  <c r="V28" i="26"/>
  <c r="I20" i="30"/>
  <c r="I22" i="30"/>
  <c r="I30" i="30"/>
  <c r="I31" i="30"/>
  <c r="CI19" i="26"/>
  <c r="CG19" i="26"/>
  <c r="CJ19" i="26"/>
  <c r="BV35" i="26"/>
  <c r="BT35" i="26"/>
  <c r="O35" i="26"/>
  <c r="BV27" i="26"/>
  <c r="N27" i="26"/>
  <c r="AC25" i="30"/>
  <c r="CK25" i="30"/>
  <c r="DS25" i="30" s="1"/>
  <c r="DT25" i="30" s="1"/>
  <c r="CY25" i="30" s="1"/>
  <c r="CP25" i="30"/>
  <c r="AA25" i="30"/>
  <c r="E25" i="30"/>
  <c r="I25" i="30" s="1"/>
  <c r="CJ25" i="30"/>
  <c r="CD25" i="30"/>
  <c r="CX25" i="30"/>
  <c r="CL25" i="30"/>
  <c r="X25" i="30"/>
  <c r="AA12" i="30"/>
  <c r="B12" i="30"/>
  <c r="D12" i="30" s="1"/>
  <c r="AA7" i="30"/>
  <c r="CD7" i="30" s="1"/>
  <c r="B7" i="30"/>
  <c r="A7" i="30" s="1"/>
  <c r="A14" i="32"/>
  <c r="C14" i="32"/>
  <c r="D14" i="32"/>
  <c r="A10" i="32"/>
  <c r="C10" i="32"/>
  <c r="D10" i="32"/>
  <c r="BY61" i="31"/>
  <c r="BX61" i="31"/>
  <c r="CC61" i="31"/>
  <c r="BR24" i="31"/>
  <c r="CD61" i="31"/>
  <c r="BQ24" i="31"/>
  <c r="AC29" i="26"/>
  <c r="AC34" i="26"/>
  <c r="V29" i="26"/>
  <c r="V35" i="26"/>
  <c r="AC30" i="26"/>
  <c r="AC35" i="26"/>
  <c r="V31" i="26"/>
  <c r="V36" i="26"/>
  <c r="CG15" i="26"/>
  <c r="CF19" i="26"/>
  <c r="BV29" i="26"/>
  <c r="CB29" i="26"/>
  <c r="CE29" i="26"/>
  <c r="O21" i="26"/>
  <c r="BV21" i="26"/>
  <c r="CB21" i="26"/>
  <c r="N21" i="26"/>
  <c r="CE21" i="26"/>
  <c r="BT13" i="26"/>
  <c r="N8" i="26"/>
  <c r="O8" i="26"/>
  <c r="P8" i="26" s="1"/>
  <c r="CX30" i="30"/>
  <c r="A30" i="30"/>
  <c r="CP30" i="30"/>
  <c r="CU30" i="30" s="1"/>
  <c r="J32" i="32"/>
  <c r="J19" i="32"/>
  <c r="CO33" i="32"/>
  <c r="W4" i="26"/>
  <c r="AA4" i="26"/>
  <c r="AC5" i="26"/>
  <c r="AC7" i="26"/>
  <c r="AC9" i="26"/>
  <c r="AC11" i="26"/>
  <c r="AC13" i="26"/>
  <c r="AC15" i="26"/>
  <c r="AC17" i="26"/>
  <c r="AC19" i="26"/>
  <c r="AC21" i="26"/>
  <c r="AC23" i="26"/>
  <c r="AC25" i="26"/>
  <c r="AC37" i="26"/>
  <c r="AR6" i="26"/>
  <c r="AR10" i="26"/>
  <c r="AR14" i="26"/>
  <c r="AR18" i="26"/>
  <c r="AR22" i="26"/>
  <c r="AR26" i="26"/>
  <c r="AV3" i="26"/>
  <c r="AZ3" i="26"/>
  <c r="BA24" i="26"/>
  <c r="BA20" i="26"/>
  <c r="BA16" i="26"/>
  <c r="BA12" i="26"/>
  <c r="BA8" i="26"/>
  <c r="BA4" i="26"/>
  <c r="D7" i="30"/>
  <c r="CX7" i="30"/>
  <c r="CX12" i="30"/>
  <c r="V33" i="26"/>
  <c r="AC33" i="26"/>
  <c r="I24" i="30"/>
  <c r="I27" i="30"/>
  <c r="N29" i="26"/>
  <c r="P25" i="26"/>
  <c r="O27" i="26"/>
  <c r="BV31" i="26"/>
  <c r="N31" i="26"/>
  <c r="BV23" i="26"/>
  <c r="CE23" i="26"/>
  <c r="N23" i="26"/>
  <c r="N11" i="26"/>
  <c r="O11" i="26"/>
  <c r="P11" i="26" s="1"/>
  <c r="BY11" i="26" s="1"/>
  <c r="R11" i="26" s="1"/>
  <c r="BT11" i="26"/>
  <c r="CR33" i="30"/>
  <c r="CK33" i="30"/>
  <c r="DS33" i="30" s="1"/>
  <c r="DT33" i="30" s="1"/>
  <c r="CY33" i="30" s="1"/>
  <c r="CT33" i="30"/>
  <c r="CX33" i="30"/>
  <c r="CL33" i="30"/>
  <c r="AC33" i="30"/>
  <c r="A33" i="30"/>
  <c r="X33" i="30"/>
  <c r="CD14" i="30"/>
  <c r="X14" i="30" s="1"/>
  <c r="CK14" i="30" s="1"/>
  <c r="DS14" i="30" s="1"/>
  <c r="J37" i="32"/>
  <c r="J35" i="32"/>
  <c r="CU37" i="32"/>
  <c r="CN97" i="32"/>
  <c r="CC22" i="32"/>
  <c r="CB22" i="32"/>
  <c r="J36" i="32"/>
  <c r="J30" i="32"/>
  <c r="J28" i="32"/>
  <c r="CT43" i="26"/>
  <c r="CJ28" i="32"/>
  <c r="CL28" i="32" s="1"/>
  <c r="CJ20" i="32"/>
  <c r="CJ18" i="32"/>
  <c r="CO24" i="32"/>
  <c r="CU33" i="32"/>
  <c r="CE23" i="30"/>
  <c r="CE25" i="30"/>
  <c r="CE32" i="30"/>
  <c r="I36" i="30"/>
  <c r="CG36" i="30" s="1"/>
  <c r="AG36" i="30" s="1"/>
  <c r="DS5" i="31"/>
  <c r="DS7" i="31"/>
  <c r="BX102" i="31"/>
  <c r="CD19" i="30"/>
  <c r="CJ22" i="26"/>
  <c r="CG22" i="26"/>
  <c r="CF22" i="26"/>
  <c r="P17" i="26"/>
  <c r="P7" i="26"/>
  <c r="BV7" i="26" s="1"/>
  <c r="CV31" i="30"/>
  <c r="CQ31" i="30" s="1"/>
  <c r="CV19" i="30"/>
  <c r="CQ19" i="30" s="1"/>
  <c r="CR31" i="30"/>
  <c r="CR23" i="30"/>
  <c r="CK31" i="30"/>
  <c r="DS31" i="30" s="1"/>
  <c r="DT31" i="30" s="1"/>
  <c r="CY31" i="30" s="1"/>
  <c r="CK23" i="30"/>
  <c r="DS23" i="30" s="1"/>
  <c r="DT23" i="30" s="1"/>
  <c r="CY23" i="30" s="1"/>
  <c r="J34" i="32"/>
  <c r="J26" i="32"/>
  <c r="J23" i="32"/>
  <c r="J21" i="32"/>
  <c r="AK8" i="32"/>
  <c r="AV5" i="32"/>
  <c r="AP4" i="32"/>
  <c r="CJ34" i="32"/>
  <c r="CL34" i="32" s="1"/>
  <c r="CJ26" i="32"/>
  <c r="CL26" i="32" s="1"/>
  <c r="AX26" i="32" s="1"/>
  <c r="CT26" i="32" s="1"/>
  <c r="X16" i="32"/>
  <c r="AC16" i="32"/>
  <c r="CY21" i="32"/>
  <c r="AC21" i="32"/>
  <c r="CO21" i="32"/>
  <c r="CX21" i="32"/>
  <c r="AC19" i="32"/>
  <c r="CO19" i="32"/>
  <c r="CE9" i="30"/>
  <c r="CE10" i="30"/>
  <c r="CE15" i="30"/>
  <c r="I19" i="30"/>
  <c r="I21" i="30"/>
  <c r="CG21" i="30" s="1"/>
  <c r="I23" i="30"/>
  <c r="I28" i="30"/>
  <c r="I32" i="30"/>
  <c r="I35" i="30"/>
  <c r="CG35" i="30" s="1"/>
  <c r="BX98" i="31"/>
  <c r="CV27" i="30"/>
  <c r="CQ27" i="30" s="1"/>
  <c r="CS35" i="30"/>
  <c r="CS27" i="30"/>
  <c r="CS19" i="30"/>
  <c r="X11" i="30"/>
  <c r="CK11" i="30" s="1"/>
  <c r="DS11" i="30" s="1"/>
  <c r="J29" i="32"/>
  <c r="CT49" i="26"/>
  <c r="CT45" i="26"/>
  <c r="CJ36" i="32"/>
  <c r="CL36" i="32" s="1"/>
  <c r="CJ32" i="32"/>
  <c r="CL32" i="32" s="1"/>
  <c r="CJ24" i="32"/>
  <c r="CL24" i="32" s="1"/>
  <c r="CY60" i="32"/>
  <c r="CY97" i="32"/>
  <c r="CP97" i="32"/>
  <c r="CR97" i="32" s="1"/>
  <c r="CP60" i="32"/>
  <c r="CR60" i="32" s="1"/>
  <c r="CH21" i="32"/>
  <c r="CP59" i="32" s="1"/>
  <c r="CR59" i="32" s="1"/>
  <c r="DB19" i="32"/>
  <c r="CZ19" i="32"/>
  <c r="AA8" i="32"/>
  <c r="CI8" i="32" s="1"/>
  <c r="X8" i="32" s="1"/>
  <c r="CP8" i="32" s="1"/>
  <c r="B8" i="32"/>
  <c r="C8" i="32" s="1"/>
  <c r="CP31" i="32"/>
  <c r="CU24" i="32"/>
  <c r="CH23" i="33"/>
  <c r="CF23" i="33"/>
  <c r="CD23" i="33"/>
  <c r="CE23" i="33"/>
  <c r="CG23" i="33"/>
  <c r="CA23" i="33" s="1"/>
  <c r="BP35" i="33"/>
  <c r="DD31" i="33" s="1"/>
  <c r="DE31" i="33" s="1"/>
  <c r="CJ35" i="33" s="1"/>
  <c r="CC35" i="33"/>
  <c r="Z35" i="33"/>
  <c r="AA35" i="33"/>
  <c r="M35" i="33"/>
  <c r="BN35" i="33"/>
  <c r="BV35" i="33"/>
  <c r="BW35" i="33"/>
  <c r="BX35" i="33"/>
  <c r="BQ35" i="33"/>
  <c r="BY35" i="33"/>
  <c r="BP33" i="33"/>
  <c r="DD29" i="33" s="1"/>
  <c r="DE29" i="33" s="1"/>
  <c r="CJ33" i="33" s="1"/>
  <c r="BV33" i="33"/>
  <c r="BW33" i="33"/>
  <c r="M33" i="33"/>
  <c r="CC33" i="33"/>
  <c r="Z33" i="33"/>
  <c r="AA33" i="33"/>
  <c r="BT33" i="33"/>
  <c r="AB33" i="33"/>
  <c r="BZ33" i="33"/>
  <c r="BU33" i="33"/>
  <c r="CI33" i="33"/>
  <c r="BP31" i="33"/>
  <c r="DD27" i="33" s="1"/>
  <c r="DE27" i="33" s="1"/>
  <c r="CJ31" i="33" s="1"/>
  <c r="CC31" i="33"/>
  <c r="Z31" i="33"/>
  <c r="AA31" i="33"/>
  <c r="M31" i="33"/>
  <c r="BV31" i="33"/>
  <c r="BW31" i="33"/>
  <c r="BN31" i="33"/>
  <c r="BY31" i="33"/>
  <c r="BX31" i="33"/>
  <c r="BQ31" i="33"/>
  <c r="BR31" i="33"/>
  <c r="BP29" i="33"/>
  <c r="DD25" i="33" s="1"/>
  <c r="DE25" i="33" s="1"/>
  <c r="CJ29" i="33" s="1"/>
  <c r="BV29" i="33"/>
  <c r="BW29" i="33"/>
  <c r="M29" i="33"/>
  <c r="CC29" i="33"/>
  <c r="Z29" i="33"/>
  <c r="AA29" i="33"/>
  <c r="BZ29" i="33"/>
  <c r="BN29" i="33"/>
  <c r="BU29" i="33"/>
  <c r="CI29" i="33"/>
  <c r="BT29" i="33"/>
  <c r="AB29" i="33"/>
  <c r="BP27" i="33"/>
  <c r="DD23" i="33" s="1"/>
  <c r="DE23" i="33" s="1"/>
  <c r="CJ27" i="33" s="1"/>
  <c r="CC27" i="33"/>
  <c r="BN27" i="33"/>
  <c r="Z27" i="33"/>
  <c r="AA27" i="33"/>
  <c r="M27" i="33"/>
  <c r="BV27" i="33"/>
  <c r="BW27" i="33"/>
  <c r="BX27" i="33"/>
  <c r="BQ27" i="33"/>
  <c r="BR27" i="33"/>
  <c r="BY27" i="33"/>
  <c r="BP25" i="33"/>
  <c r="DD21" i="33" s="1"/>
  <c r="DE21" i="33" s="1"/>
  <c r="CJ25" i="33" s="1"/>
  <c r="BV25" i="33"/>
  <c r="BW25" i="33"/>
  <c r="M25" i="33"/>
  <c r="CC25" i="33"/>
  <c r="BN25" i="33"/>
  <c r="Z25" i="33"/>
  <c r="AA25" i="33"/>
  <c r="BT25" i="33"/>
  <c r="AB25" i="33"/>
  <c r="BZ25" i="33"/>
  <c r="BU25" i="33"/>
  <c r="CI25" i="33"/>
  <c r="BP23" i="33"/>
  <c r="DD19" i="33" s="1"/>
  <c r="DE19" i="33" s="1"/>
  <c r="CJ23" i="33" s="1"/>
  <c r="CC23" i="33"/>
  <c r="Z23" i="33"/>
  <c r="AA23" i="33"/>
  <c r="M23" i="33"/>
  <c r="BV23" i="33"/>
  <c r="BW23" i="33"/>
  <c r="BY23" i="33"/>
  <c r="BN23" i="33"/>
  <c r="BX23" i="33"/>
  <c r="BQ23" i="33"/>
  <c r="BN21" i="33"/>
  <c r="CI21" i="33"/>
  <c r="BR21" i="33"/>
  <c r="BQ19" i="33"/>
  <c r="BN19" i="33"/>
  <c r="BN15" i="33"/>
  <c r="BQ15" i="33"/>
  <c r="BN10" i="33"/>
  <c r="CI10" i="33"/>
  <c r="BR10" i="33"/>
  <c r="CI8" i="33"/>
  <c r="BN8" i="33"/>
  <c r="BR8" i="33"/>
  <c r="CI12" i="33"/>
  <c r="BN12" i="33"/>
  <c r="BQ12" i="33"/>
  <c r="BR12" i="33"/>
  <c r="BY13" i="31"/>
  <c r="CW29" i="32"/>
  <c r="CW25" i="32"/>
  <c r="CW19" i="32"/>
  <c r="CY33" i="32"/>
  <c r="CY24" i="32"/>
  <c r="CX24" i="32"/>
  <c r="CX19" i="32"/>
  <c r="CU25" i="32"/>
  <c r="CU21" i="32"/>
  <c r="CU22" i="32"/>
  <c r="CX20" i="32"/>
  <c r="CR44" i="33"/>
  <c r="R38" i="33"/>
  <c r="Y36" i="33"/>
  <c r="Y35" i="33"/>
  <c r="R34" i="33"/>
  <c r="R33" i="33"/>
  <c r="BR29" i="33"/>
  <c r="Y27" i="33"/>
  <c r="BR25" i="33"/>
  <c r="Y24" i="33"/>
  <c r="R23" i="33"/>
  <c r="AR21" i="33"/>
  <c r="R20" i="33"/>
  <c r="AR18" i="33"/>
  <c r="R17" i="33"/>
  <c r="AI15" i="33"/>
  <c r="BR13" i="33"/>
  <c r="Y12" i="33"/>
  <c r="AR10" i="33"/>
  <c r="R9" i="33"/>
  <c r="AI7" i="33"/>
  <c r="Y4" i="33"/>
  <c r="AR3" i="33"/>
  <c r="BQ13" i="33"/>
  <c r="BQ29" i="33"/>
  <c r="CI15" i="33"/>
  <c r="CI31" i="33"/>
  <c r="K25" i="33"/>
  <c r="K33" i="33"/>
  <c r="BU23" i="33"/>
  <c r="BY25" i="33"/>
  <c r="AB27" i="33"/>
  <c r="BW32" i="33"/>
  <c r="BT35" i="33"/>
  <c r="BN13" i="33"/>
  <c r="BZ35" i="33"/>
  <c r="CJ16" i="32"/>
  <c r="CJ10" i="32"/>
  <c r="BV34" i="31"/>
  <c r="BY108" i="31" s="1"/>
  <c r="BV26" i="31"/>
  <c r="BY100" i="31" s="1"/>
  <c r="BV18" i="31"/>
  <c r="P16" i="31"/>
  <c r="CB16" i="31" s="1"/>
  <c r="BY8" i="31"/>
  <c r="R8" i="31" s="1"/>
  <c r="CW31" i="32"/>
  <c r="CW24" i="32"/>
  <c r="CW99" i="32" s="1"/>
  <c r="CX31" i="32"/>
  <c r="CU31" i="32"/>
  <c r="CP28" i="32"/>
  <c r="CH28" i="32" s="1"/>
  <c r="CP24" i="32"/>
  <c r="CH24" i="32" s="1"/>
  <c r="CX99" i="32" s="1"/>
  <c r="BR19" i="33"/>
  <c r="AK3" i="33"/>
  <c r="AO3" i="33"/>
  <c r="T4" i="33"/>
  <c r="X4" i="33"/>
  <c r="R5" i="33"/>
  <c r="AR6" i="33"/>
  <c r="AR7" i="33"/>
  <c r="AI8" i="33"/>
  <c r="Y9" i="33"/>
  <c r="R10" i="33"/>
  <c r="AR11" i="33"/>
  <c r="AI12" i="33"/>
  <c r="Y13" i="33"/>
  <c r="R14" i="33"/>
  <c r="AR15" i="33"/>
  <c r="AI16" i="33"/>
  <c r="Y17" i="33"/>
  <c r="R18" i="33"/>
  <c r="AR19" i="33"/>
  <c r="Y20" i="33"/>
  <c r="R21" i="33"/>
  <c r="AR22" i="33"/>
  <c r="Y23" i="33"/>
  <c r="AI24" i="33"/>
  <c r="Y25" i="33"/>
  <c r="R26" i="33"/>
  <c r="R30" i="33"/>
  <c r="R31" i="33"/>
  <c r="AI3" i="33"/>
  <c r="AM3" i="33"/>
  <c r="AQ3" i="33"/>
  <c r="V4" i="33"/>
  <c r="AI4" i="33"/>
  <c r="AI5" i="33"/>
  <c r="Y6" i="33"/>
  <c r="Y7" i="33"/>
  <c r="R8" i="33"/>
  <c r="AR9" i="33"/>
  <c r="AI10" i="33"/>
  <c r="Y11" i="33"/>
  <c r="R12" i="33"/>
  <c r="AR13" i="33"/>
  <c r="AI14" i="33"/>
  <c r="Y15" i="33"/>
  <c r="R16" i="33"/>
  <c r="AR17" i="33"/>
  <c r="AI18" i="33"/>
  <c r="Y19" i="33"/>
  <c r="AR20" i="33"/>
  <c r="AI21" i="33"/>
  <c r="Y22" i="33"/>
  <c r="AR23" i="33"/>
  <c r="R24" i="33"/>
  <c r="AR25" i="33"/>
  <c r="AI26" i="33"/>
  <c r="R27" i="33"/>
  <c r="R28" i="33"/>
  <c r="Y29" i="33"/>
  <c r="BQ17" i="33"/>
  <c r="BQ33" i="33"/>
  <c r="CI19" i="33"/>
  <c r="CI35" i="33"/>
  <c r="K27" i="33"/>
  <c r="K35" i="33"/>
  <c r="BT23" i="33"/>
  <c r="BX25" i="33"/>
  <c r="BU27" i="33"/>
  <c r="BY29" i="33"/>
  <c r="AB31" i="33"/>
  <c r="BN17" i="33"/>
  <c r="BZ31" i="33"/>
  <c r="BP36" i="33"/>
  <c r="DD32" i="33" s="1"/>
  <c r="DE32" i="33" s="1"/>
  <c r="CJ36" i="33" s="1"/>
  <c r="BT36" i="33"/>
  <c r="BU36" i="33"/>
  <c r="AB36" i="33"/>
  <c r="CI36" i="33"/>
  <c r="BZ36" i="33"/>
  <c r="BX36" i="33"/>
  <c r="BY36" i="33"/>
  <c r="M36" i="33"/>
  <c r="BQ36" i="33"/>
  <c r="Z36" i="33"/>
  <c r="K36" i="33"/>
  <c r="BN36" i="33"/>
  <c r="AA36" i="33"/>
  <c r="BP34" i="33"/>
  <c r="DD30" i="33" s="1"/>
  <c r="DE30" i="33" s="1"/>
  <c r="CJ34" i="33" s="1"/>
  <c r="BZ34" i="33"/>
  <c r="CH34" i="33" s="1"/>
  <c r="BX34" i="33"/>
  <c r="BY34" i="33"/>
  <c r="BQ34" i="33"/>
  <c r="BN34" i="33"/>
  <c r="BT34" i="33"/>
  <c r="BU34" i="33"/>
  <c r="AB34" i="33"/>
  <c r="M34" i="33"/>
  <c r="CI34" i="33"/>
  <c r="CC34" i="33"/>
  <c r="BV34" i="33"/>
  <c r="BW34" i="33"/>
  <c r="K34" i="33"/>
  <c r="BP32" i="33"/>
  <c r="DD28" i="33" s="1"/>
  <c r="DE28" i="33" s="1"/>
  <c r="CJ32" i="33" s="1"/>
  <c r="BN32" i="33"/>
  <c r="BT32" i="33"/>
  <c r="BU32" i="33"/>
  <c r="AB32" i="33"/>
  <c r="CI32" i="33"/>
  <c r="BZ32" i="33"/>
  <c r="BX32" i="33"/>
  <c r="BY32" i="33"/>
  <c r="M32" i="33"/>
  <c r="BQ32" i="33"/>
  <c r="AA32" i="33"/>
  <c r="K32" i="33"/>
  <c r="Z32" i="33"/>
  <c r="BP30" i="33"/>
  <c r="DD26" i="33" s="1"/>
  <c r="DE26" i="33" s="1"/>
  <c r="CJ30" i="33" s="1"/>
  <c r="BZ30" i="33"/>
  <c r="CH30" i="33" s="1"/>
  <c r="BN30" i="33"/>
  <c r="BX30" i="33"/>
  <c r="BY30" i="33"/>
  <c r="BQ30" i="33"/>
  <c r="BT30" i="33"/>
  <c r="BU30" i="33"/>
  <c r="AB30" i="33"/>
  <c r="M30" i="33"/>
  <c r="CI30" i="33"/>
  <c r="BW30" i="33"/>
  <c r="CC30" i="33"/>
  <c r="BV30" i="33"/>
  <c r="K30" i="33"/>
  <c r="BR30" i="33"/>
  <c r="BP28" i="33"/>
  <c r="DD24" i="33" s="1"/>
  <c r="DE24" i="33" s="1"/>
  <c r="CJ28" i="33" s="1"/>
  <c r="BT28" i="33"/>
  <c r="BU28" i="33"/>
  <c r="AB28" i="33"/>
  <c r="CI28" i="33"/>
  <c r="BZ28" i="33"/>
  <c r="BX28" i="33"/>
  <c r="BY28" i="33"/>
  <c r="M28" i="33"/>
  <c r="BQ28" i="33"/>
  <c r="Z28" i="33"/>
  <c r="K28" i="33"/>
  <c r="BR28" i="33"/>
  <c r="AA28" i="33"/>
  <c r="BP26" i="33"/>
  <c r="DD22" i="33" s="1"/>
  <c r="DE22" i="33" s="1"/>
  <c r="CJ26" i="33" s="1"/>
  <c r="BZ26" i="33"/>
  <c r="CH26" i="33" s="1"/>
  <c r="BX26" i="33"/>
  <c r="BY26" i="33"/>
  <c r="BQ26" i="33"/>
  <c r="BT26" i="33"/>
  <c r="BU26" i="33"/>
  <c r="AB26" i="33"/>
  <c r="M26" i="33"/>
  <c r="CI26" i="33"/>
  <c r="CC26" i="33"/>
  <c r="BN26" i="33"/>
  <c r="BV26" i="33"/>
  <c r="BR26" i="33"/>
  <c r="BW26" i="33"/>
  <c r="K26" i="33"/>
  <c r="BP24" i="33"/>
  <c r="DD20" i="33" s="1"/>
  <c r="DE20" i="33" s="1"/>
  <c r="CJ24" i="33" s="1"/>
  <c r="BT24" i="33"/>
  <c r="BU24" i="33"/>
  <c r="AB24" i="33"/>
  <c r="CI24" i="33"/>
  <c r="BZ24" i="33"/>
  <c r="BX24" i="33"/>
  <c r="BY24" i="33"/>
  <c r="M24" i="33"/>
  <c r="BQ24" i="33"/>
  <c r="AA24" i="33"/>
  <c r="K24" i="33"/>
  <c r="Z24" i="33"/>
  <c r="BR24" i="33"/>
  <c r="BQ22" i="33"/>
  <c r="BN22" i="33"/>
  <c r="CI22" i="33"/>
  <c r="CI20" i="33"/>
  <c r="BT20" i="33"/>
  <c r="BV20" i="33" s="1"/>
  <c r="BX20" i="33" s="1"/>
  <c r="Z20" i="33" s="1"/>
  <c r="BQ20" i="33"/>
  <c r="BU20" i="33"/>
  <c r="BW20" i="33" s="1"/>
  <c r="BQ18" i="33"/>
  <c r="BN18" i="33"/>
  <c r="CI18" i="33"/>
  <c r="BR18" i="33"/>
  <c r="BN16" i="33"/>
  <c r="BT16" i="33"/>
  <c r="BV16" i="33" s="1"/>
  <c r="BX16" i="33" s="1"/>
  <c r="Z16" i="33" s="1"/>
  <c r="CI16" i="33"/>
  <c r="BQ16" i="33"/>
  <c r="BR16" i="33"/>
  <c r="BQ14" i="33"/>
  <c r="CI14" i="33"/>
  <c r="BN14" i="33"/>
  <c r="BR14" i="33"/>
  <c r="BN9" i="33"/>
  <c r="CI9" i="33"/>
  <c r="BQ9" i="33"/>
  <c r="BN7" i="33"/>
  <c r="BQ7" i="33"/>
  <c r="BZ20" i="33"/>
  <c r="CC20" i="33" s="1"/>
  <c r="BZ16" i="33"/>
  <c r="CD16" i="33" s="1"/>
  <c r="CM16" i="30"/>
  <c r="A16" i="30"/>
  <c r="D17" i="30"/>
  <c r="CX17" i="30"/>
  <c r="CE17" i="30"/>
  <c r="D16" i="30"/>
  <c r="CX16" i="30"/>
  <c r="B16" i="30"/>
  <c r="AA17" i="30"/>
  <c r="C16" i="30"/>
  <c r="I7" i="30"/>
  <c r="CG7" i="30" s="1"/>
  <c r="I10" i="30"/>
  <c r="I11" i="30"/>
  <c r="CG11" i="30" s="1"/>
  <c r="I15" i="30"/>
  <c r="J16" i="30"/>
  <c r="I8" i="30"/>
  <c r="I9" i="30"/>
  <c r="I16" i="30"/>
  <c r="I17" i="30"/>
  <c r="CG17" i="30" s="1"/>
  <c r="J10" i="32"/>
  <c r="J7" i="30"/>
  <c r="J18" i="32"/>
  <c r="J17" i="32"/>
  <c r="J13" i="32"/>
  <c r="J16" i="32"/>
  <c r="J12" i="32"/>
  <c r="J8" i="32"/>
  <c r="J11" i="32"/>
  <c r="I18" i="32"/>
  <c r="I16" i="32"/>
  <c r="I12" i="32"/>
  <c r="CL12" i="32" s="1"/>
  <c r="I8" i="32"/>
  <c r="I10" i="32"/>
  <c r="A13" i="30"/>
  <c r="C13" i="30"/>
  <c r="D13" i="30"/>
  <c r="CG33" i="30"/>
  <c r="A9" i="30"/>
  <c r="C9" i="30"/>
  <c r="A17" i="30"/>
  <c r="C17" i="30"/>
  <c r="CW24" i="30"/>
  <c r="CV24" i="30"/>
  <c r="CQ24" i="30" s="1"/>
  <c r="CU24" i="30"/>
  <c r="CW20" i="30"/>
  <c r="CV20" i="30"/>
  <c r="CQ20" i="30" s="1"/>
  <c r="CU20" i="30"/>
  <c r="BX67" i="31"/>
  <c r="BX104" i="31"/>
  <c r="BX100" i="31"/>
  <c r="CF34" i="26"/>
  <c r="CH34" i="26"/>
  <c r="CF29" i="26"/>
  <c r="CJ29" i="26"/>
  <c r="CH29" i="26"/>
  <c r="CJ24" i="26"/>
  <c r="CG24" i="26"/>
  <c r="CI24" i="26"/>
  <c r="CF24" i="26"/>
  <c r="O18" i="26"/>
  <c r="BT18" i="26"/>
  <c r="BV18" i="26"/>
  <c r="N18" i="26"/>
  <c r="CB18" i="26"/>
  <c r="CE18" i="26"/>
  <c r="CV30" i="30"/>
  <c r="CQ30" i="30" s="1"/>
  <c r="CE24" i="30"/>
  <c r="CE28" i="30"/>
  <c r="DX7" i="31"/>
  <c r="DX9" i="31"/>
  <c r="AF48" i="31"/>
  <c r="V47" i="31"/>
  <c r="V43" i="31"/>
  <c r="V39" i="31"/>
  <c r="AF49" i="31"/>
  <c r="V48" i="31"/>
  <c r="V44" i="31"/>
  <c r="V40" i="31"/>
  <c r="V49" i="31"/>
  <c r="V45" i="31"/>
  <c r="V41" i="31"/>
  <c r="V42" i="31"/>
  <c r="V46" i="31"/>
  <c r="V38" i="31"/>
  <c r="AF47" i="31"/>
  <c r="AF45" i="31"/>
  <c r="AB5" i="31"/>
  <c r="AF46" i="31"/>
  <c r="AF44" i="31"/>
  <c r="AD5" i="31"/>
  <c r="CE15" i="26"/>
  <c r="AC10" i="30"/>
  <c r="CP10" i="30" s="1"/>
  <c r="AC14" i="30"/>
  <c r="CP14" i="30" s="1"/>
  <c r="CJ10" i="30"/>
  <c r="CS34" i="30"/>
  <c r="CT34" i="30"/>
  <c r="CR34" i="30"/>
  <c r="CK34" i="30"/>
  <c r="A34" i="30"/>
  <c r="D34" i="30"/>
  <c r="CP34" i="30"/>
  <c r="AC26" i="30"/>
  <c r="CS26" i="30"/>
  <c r="CT26" i="30"/>
  <c r="CJ26" i="30"/>
  <c r="CR26" i="30"/>
  <c r="CK26" i="30"/>
  <c r="AA26" i="30"/>
  <c r="D26" i="30"/>
  <c r="CP26" i="30"/>
  <c r="CD26" i="30"/>
  <c r="AC18" i="30"/>
  <c r="CS18" i="30"/>
  <c r="CT18" i="30"/>
  <c r="CJ18" i="30"/>
  <c r="CR18" i="30"/>
  <c r="CK18" i="30"/>
  <c r="X18" i="30"/>
  <c r="D18" i="30"/>
  <c r="CP18" i="30"/>
  <c r="CE20" i="30"/>
  <c r="AC28" i="26"/>
  <c r="AC32" i="26"/>
  <c r="AC36" i="26"/>
  <c r="V30" i="26"/>
  <c r="V34" i="26"/>
  <c r="CH26" i="26"/>
  <c r="CG26" i="26"/>
  <c r="CF26" i="26"/>
  <c r="CI26" i="26"/>
  <c r="CF23" i="26"/>
  <c r="CI23" i="26"/>
  <c r="CH23" i="26"/>
  <c r="CG23" i="26"/>
  <c r="CJ23" i="26"/>
  <c r="C14" i="30"/>
  <c r="B34" i="30"/>
  <c r="CE8" i="30"/>
  <c r="A10" i="30"/>
  <c r="CE12" i="30"/>
  <c r="A14" i="30"/>
  <c r="CE16" i="30"/>
  <c r="A18" i="30"/>
  <c r="CE22" i="30"/>
  <c r="CG22" i="30" s="1"/>
  <c r="A26" i="30"/>
  <c r="BX108" i="31"/>
  <c r="X26" i="30"/>
  <c r="CD18" i="30"/>
  <c r="CJ34" i="26"/>
  <c r="CH24" i="26"/>
  <c r="P18" i="26"/>
  <c r="CF21" i="26"/>
  <c r="CJ21" i="26"/>
  <c r="CJ32" i="26"/>
  <c r="CG17" i="26"/>
  <c r="CJ17" i="26"/>
  <c r="CV22" i="30"/>
  <c r="CQ22" i="30" s="1"/>
  <c r="CU22" i="30"/>
  <c r="CS30" i="30"/>
  <c r="CT30" i="30"/>
  <c r="CR30" i="30"/>
  <c r="CK30" i="30"/>
  <c r="AC22" i="30"/>
  <c r="CS22" i="30"/>
  <c r="CT22" i="30"/>
  <c r="CJ22" i="30"/>
  <c r="CR22" i="30"/>
  <c r="CK22" i="30"/>
  <c r="AA9" i="30"/>
  <c r="CD9" i="30" s="1"/>
  <c r="BV12" i="26"/>
  <c r="X16" i="30"/>
  <c r="CK16" i="30" s="1"/>
  <c r="BT16" i="26"/>
  <c r="O14" i="26"/>
  <c r="P14" i="26" s="1"/>
  <c r="N14" i="26"/>
  <c r="O10" i="26"/>
  <c r="P10" i="26" s="1"/>
  <c r="BY10" i="26" s="1"/>
  <c r="R10" i="26" s="1"/>
  <c r="N10" i="26"/>
  <c r="CP36" i="30"/>
  <c r="CK36" i="30"/>
  <c r="CS36" i="30"/>
  <c r="CT36" i="30"/>
  <c r="CP28" i="30"/>
  <c r="CK28" i="30"/>
  <c r="CS28" i="30"/>
  <c r="CT28" i="30"/>
  <c r="AC20" i="30"/>
  <c r="CT20" i="30"/>
  <c r="CJ20" i="30"/>
  <c r="CD20" i="30"/>
  <c r="CK20" i="30"/>
  <c r="CS20" i="30"/>
  <c r="BV15" i="26"/>
  <c r="CV35" i="30"/>
  <c r="CQ35" i="30" s="1"/>
  <c r="X15" i="30"/>
  <c r="CK15" i="30" s="1"/>
  <c r="CJ28" i="26"/>
  <c r="CG28" i="26"/>
  <c r="CI28" i="26"/>
  <c r="CF36" i="26"/>
  <c r="CJ36" i="26"/>
  <c r="CI36" i="26"/>
  <c r="N35" i="26"/>
  <c r="CB35" i="26"/>
  <c r="CE35" i="26"/>
  <c r="N33" i="26"/>
  <c r="CB33" i="26"/>
  <c r="CE33" i="26"/>
  <c r="BT31" i="26"/>
  <c r="P31" i="26"/>
  <c r="CB31" i="26"/>
  <c r="CE31" i="26"/>
  <c r="P29" i="26"/>
  <c r="BT29" i="26"/>
  <c r="O29" i="26"/>
  <c r="BT27" i="26"/>
  <c r="P27" i="26"/>
  <c r="CB27" i="26"/>
  <c r="CE27" i="26"/>
  <c r="N25" i="26"/>
  <c r="BT25" i="26"/>
  <c r="CB25" i="26"/>
  <c r="CE25" i="26"/>
  <c r="P23" i="26"/>
  <c r="BT23" i="26"/>
  <c r="O23" i="26"/>
  <c r="BT21" i="26"/>
  <c r="P21" i="26"/>
  <c r="O20" i="26"/>
  <c r="CB20" i="26"/>
  <c r="CE20" i="26"/>
  <c r="BV20" i="26"/>
  <c r="N20" i="26"/>
  <c r="CP32" i="30"/>
  <c r="CK32" i="30"/>
  <c r="CS32" i="30"/>
  <c r="CT32" i="30"/>
  <c r="AC24" i="30"/>
  <c r="CT24" i="30"/>
  <c r="CJ24" i="30"/>
  <c r="CD24" i="30"/>
  <c r="CK24" i="30"/>
  <c r="CS24" i="30"/>
  <c r="AA13" i="30"/>
  <c r="CD13" i="30" s="1"/>
  <c r="CH21" i="26"/>
  <c r="CH17" i="26"/>
  <c r="O13" i="26"/>
  <c r="P13" i="26" s="1"/>
  <c r="O9" i="26"/>
  <c r="P9" i="26" s="1"/>
  <c r="BV9" i="26" s="1"/>
  <c r="CR25" i="30"/>
  <c r="CR21" i="30"/>
  <c r="CR17" i="30"/>
  <c r="CT25" i="30"/>
  <c r="CT23" i="30"/>
  <c r="CT21" i="30"/>
  <c r="CT19" i="30"/>
  <c r="CT17" i="30"/>
  <c r="AC17" i="30"/>
  <c r="CP17" i="30" s="1"/>
  <c r="AC15" i="30"/>
  <c r="CP15" i="30" s="1"/>
  <c r="AC11" i="30"/>
  <c r="CP11" i="30" s="1"/>
  <c r="CD16" i="30"/>
  <c r="AC16" i="30" s="1"/>
  <c r="CP16" i="30" s="1"/>
  <c r="CD12" i="30"/>
  <c r="AC12" i="30" s="1"/>
  <c r="CP12" i="30" s="1"/>
  <c r="CD8" i="30"/>
  <c r="X8" i="30" s="1"/>
  <c r="AK10" i="32"/>
  <c r="AK6" i="32"/>
  <c r="AU4" i="32"/>
  <c r="AQ4" i="32"/>
  <c r="AM4" i="32"/>
  <c r="CT50" i="26"/>
  <c r="CT48" i="26"/>
  <c r="CT46" i="26"/>
  <c r="CT44" i="26"/>
  <c r="CJ14" i="32"/>
  <c r="BT9" i="26"/>
  <c r="BT8" i="26"/>
  <c r="AV4" i="32"/>
  <c r="AR4" i="32"/>
  <c r="AV46" i="32"/>
  <c r="AV42" i="32"/>
  <c r="AK47" i="32"/>
  <c r="AK43" i="32"/>
  <c r="AV47" i="32"/>
  <c r="AV43" i="32"/>
  <c r="AK48" i="32"/>
  <c r="AK44" i="32"/>
  <c r="AV48" i="32"/>
  <c r="AV44" i="32"/>
  <c r="AK49" i="32"/>
  <c r="AK45" i="32"/>
  <c r="AK41" i="32"/>
  <c r="AK46" i="32"/>
  <c r="AV41" i="32"/>
  <c r="AV49" i="32"/>
  <c r="AK42" i="32"/>
  <c r="AV45" i="32"/>
  <c r="BV37" i="31"/>
  <c r="BY111" i="31" s="1"/>
  <c r="BV29" i="31"/>
  <c r="BY103" i="31" s="1"/>
  <c r="BV21" i="31"/>
  <c r="BY95" i="31" s="1"/>
  <c r="CJ35" i="32"/>
  <c r="CL35" i="32" s="1"/>
  <c r="CJ33" i="32"/>
  <c r="CL33" i="32" s="1"/>
  <c r="CJ31" i="32"/>
  <c r="CL31" i="32" s="1"/>
  <c r="CJ29" i="32"/>
  <c r="CL29" i="32" s="1"/>
  <c r="CJ27" i="32"/>
  <c r="CL27" i="32" s="1"/>
  <c r="CJ25" i="32"/>
  <c r="CJ23" i="32"/>
  <c r="CL23" i="32" s="1"/>
  <c r="CJ21" i="32"/>
  <c r="CL21" i="32" s="1"/>
  <c r="CJ19" i="32"/>
  <c r="CL19" i="32" s="1"/>
  <c r="CJ17" i="32"/>
  <c r="CJ15" i="32"/>
  <c r="CJ13" i="32"/>
  <c r="CJ8" i="32"/>
  <c r="CZ16" i="32"/>
  <c r="DB16" i="32"/>
  <c r="CJ11" i="32"/>
  <c r="CY103" i="32"/>
  <c r="CY66" i="32"/>
  <c r="EH7" i="32"/>
  <c r="EH9" i="32"/>
  <c r="EH5" i="32"/>
  <c r="O11" i="31"/>
  <c r="P11" i="31" s="1"/>
  <c r="CB11" i="31" s="1"/>
  <c r="N11" i="31"/>
  <c r="BV8" i="31"/>
  <c r="CX36" i="32"/>
  <c r="AC36" i="32"/>
  <c r="CW36" i="32"/>
  <c r="CO36" i="32"/>
  <c r="CH34" i="32"/>
  <c r="CN109" i="32" s="1"/>
  <c r="CW27" i="32"/>
  <c r="CX27" i="32"/>
  <c r="CY27" i="32"/>
  <c r="AC27" i="32"/>
  <c r="CU27" i="32"/>
  <c r="CO27" i="32"/>
  <c r="CH25" i="32"/>
  <c r="CX63" i="32" s="1"/>
  <c r="BY109" i="31"/>
  <c r="BV35" i="31"/>
  <c r="BV27" i="31"/>
  <c r="BY101" i="31" s="1"/>
  <c r="BV19" i="31"/>
  <c r="BY56" i="31" s="1"/>
  <c r="BY98" i="31"/>
  <c r="CK82" i="32"/>
  <c r="BV33" i="31"/>
  <c r="BY107" i="31" s="1"/>
  <c r="BV25" i="31"/>
  <c r="BY99" i="31" s="1"/>
  <c r="O15" i="31"/>
  <c r="P15" i="31" s="1"/>
  <c r="N15" i="31"/>
  <c r="O17" i="31"/>
  <c r="P17" i="31" s="1"/>
  <c r="CB17" i="31" s="1"/>
  <c r="N17" i="31"/>
  <c r="AC10" i="32"/>
  <c r="CU10" i="32" s="1"/>
  <c r="X10" i="32"/>
  <c r="CO10" i="32" s="1"/>
  <c r="BY104" i="31"/>
  <c r="BY12" i="31"/>
  <c r="BV31" i="31"/>
  <c r="BY105" i="31" s="1"/>
  <c r="BY68" i="31"/>
  <c r="BV23" i="31"/>
  <c r="BX97" i="31" s="1"/>
  <c r="BY110" i="31"/>
  <c r="BY102" i="31"/>
  <c r="CH33" i="32"/>
  <c r="CX71" i="32" s="1"/>
  <c r="CU26" i="32"/>
  <c r="CP26" i="32"/>
  <c r="AA13" i="32"/>
  <c r="CI13" i="32" s="1"/>
  <c r="AA9" i="32"/>
  <c r="CI9" i="32" s="1"/>
  <c r="BI21" i="33"/>
  <c r="BZ21" i="33" s="1"/>
  <c r="CC21" i="33" s="1"/>
  <c r="BI19" i="33"/>
  <c r="BZ19" i="33" s="1"/>
  <c r="CC19" i="33" s="1"/>
  <c r="BT19" i="33"/>
  <c r="BV19" i="33" s="1"/>
  <c r="BU19" i="33"/>
  <c r="BW19" i="33" s="1"/>
  <c r="BI17" i="33"/>
  <c r="BZ17" i="33" s="1"/>
  <c r="CC17" i="33"/>
  <c r="BI15" i="33"/>
  <c r="BZ15" i="33" s="1"/>
  <c r="CC15" i="33" s="1"/>
  <c r="BI13" i="33"/>
  <c r="BZ13" i="33" s="1"/>
  <c r="CC13" i="33" s="1"/>
  <c r="BI10" i="33"/>
  <c r="BZ10" i="33" s="1"/>
  <c r="BP8" i="33"/>
  <c r="BI8" i="33"/>
  <c r="BZ8" i="33" s="1"/>
  <c r="BU8" i="33"/>
  <c r="BW8" i="33" s="1"/>
  <c r="BI12" i="33"/>
  <c r="BZ12" i="33" s="1"/>
  <c r="CC12" i="33" s="1"/>
  <c r="BY71" i="31"/>
  <c r="BY67" i="31"/>
  <c r="BY63" i="31"/>
  <c r="O14" i="31"/>
  <c r="P14" i="31" s="1"/>
  <c r="O10" i="31"/>
  <c r="P10" i="31" s="1"/>
  <c r="CU32" i="32"/>
  <c r="CP32" i="32"/>
  <c r="CP103" i="32"/>
  <c r="CR103" i="32" s="1"/>
  <c r="CP66" i="32"/>
  <c r="CR66" i="32" s="1"/>
  <c r="CP23" i="32"/>
  <c r="CY23" i="32"/>
  <c r="CR47" i="33"/>
  <c r="CR48" i="33"/>
  <c r="CX97" i="32"/>
  <c r="CX60" i="32"/>
  <c r="CH16" i="32"/>
  <c r="CU91" i="32" s="1"/>
  <c r="AC12" i="32"/>
  <c r="CU12" i="32" s="1"/>
  <c r="CU36" i="32"/>
  <c r="CP27" i="32"/>
  <c r="CU20" i="32"/>
  <c r="AA11" i="32"/>
  <c r="CI11" i="32" s="1"/>
  <c r="CP19" i="32"/>
  <c r="CY19" i="32"/>
  <c r="X17" i="32"/>
  <c r="AC17" i="32"/>
  <c r="CU17" i="32" s="1"/>
  <c r="CU96" i="32"/>
  <c r="CP36" i="32"/>
  <c r="CP35" i="32"/>
  <c r="CP30" i="32"/>
  <c r="CU28" i="32"/>
  <c r="CP20" i="32"/>
  <c r="CY16" i="32"/>
  <c r="CH31" i="32"/>
  <c r="CU106" i="32" s="1"/>
  <c r="CP12" i="32"/>
  <c r="BY20" i="33"/>
  <c r="AA20" i="33" s="1"/>
  <c r="M20" i="33"/>
  <c r="CE30" i="33"/>
  <c r="CD26" i="33"/>
  <c r="CE26" i="33"/>
  <c r="CG26" i="33"/>
  <c r="CA26" i="33" s="1"/>
  <c r="CF26" i="33"/>
  <c r="BP19" i="33"/>
  <c r="BY16" i="33"/>
  <c r="AA16" i="33" s="1"/>
  <c r="M16" i="33"/>
  <c r="BP22" i="33"/>
  <c r="BP20" i="33"/>
  <c r="BP16" i="33"/>
  <c r="CC22" i="33"/>
  <c r="BT22" i="33"/>
  <c r="BV22" i="33" s="1"/>
  <c r="BI22" i="33"/>
  <c r="BZ22" i="33" s="1"/>
  <c r="CE20" i="33"/>
  <c r="BI18" i="33"/>
  <c r="BZ18" i="33" s="1"/>
  <c r="CC18" i="33" s="1"/>
  <c r="BI14" i="33"/>
  <c r="BZ14" i="33" s="1"/>
  <c r="CC14" i="33" s="1"/>
  <c r="BI11" i="33"/>
  <c r="BZ11" i="33" s="1"/>
  <c r="BI9" i="33"/>
  <c r="BZ9" i="33" s="1"/>
  <c r="BI7" i="33"/>
  <c r="BZ7" i="33" s="1"/>
  <c r="X18" i="32"/>
  <c r="E9" i="32"/>
  <c r="F9" i="32"/>
  <c r="E15" i="32"/>
  <c r="F14" i="32"/>
  <c r="E13" i="30"/>
  <c r="E12" i="30"/>
  <c r="E11" i="32"/>
  <c r="F13" i="30"/>
  <c r="E13" i="32"/>
  <c r="F12" i="30"/>
  <c r="E14" i="30"/>
  <c r="F15" i="32"/>
  <c r="F14" i="30"/>
  <c r="E14" i="32"/>
  <c r="J12" i="30" l="1"/>
  <c r="I13" i="32"/>
  <c r="I11" i="32"/>
  <c r="CL11" i="32" s="1"/>
  <c r="I12" i="30"/>
  <c r="J9" i="32"/>
  <c r="I9" i="32"/>
  <c r="CL9" i="32" s="1"/>
  <c r="CY104" i="32"/>
  <c r="CU104" i="32"/>
  <c r="CX67" i="32"/>
  <c r="AW30" i="32"/>
  <c r="AX30" i="32"/>
  <c r="CT30" i="32" s="1"/>
  <c r="BT12" i="33"/>
  <c r="BV12" i="33" s="1"/>
  <c r="CL25" i="32"/>
  <c r="CG32" i="26"/>
  <c r="J10" i="30"/>
  <c r="CX104" i="32"/>
  <c r="CG27" i="30"/>
  <c r="AW27" i="30" s="1"/>
  <c r="AE26" i="26"/>
  <c r="BZ26" i="26"/>
  <c r="AG26" i="26"/>
  <c r="CA26" i="26"/>
  <c r="DF22" i="26"/>
  <c r="DG22" i="26" s="1"/>
  <c r="CL26" i="26" s="1"/>
  <c r="DA30" i="32"/>
  <c r="CV30" i="32" s="1"/>
  <c r="CD30" i="32" s="1"/>
  <c r="DB30" i="32"/>
  <c r="CZ30" i="32"/>
  <c r="CC21" i="31"/>
  <c r="CD21" i="31"/>
  <c r="CD58" i="31" s="1"/>
  <c r="R21" i="31"/>
  <c r="BX21" i="31"/>
  <c r="AH21" i="31"/>
  <c r="CA21" i="31"/>
  <c r="AJ21" i="31"/>
  <c r="CD73" i="31"/>
  <c r="CD110" i="31"/>
  <c r="CC25" i="31"/>
  <c r="CC62" i="31" s="1"/>
  <c r="CD25" i="31"/>
  <c r="AJ25" i="31"/>
  <c r="BX25" i="31"/>
  <c r="CA25" i="31"/>
  <c r="R25" i="31"/>
  <c r="AH25" i="31"/>
  <c r="BY57" i="31"/>
  <c r="BQ20" i="31"/>
  <c r="CC57" i="31"/>
  <c r="BX57" i="31"/>
  <c r="CC94" i="31"/>
  <c r="BR20" i="31"/>
  <c r="CD94" i="31"/>
  <c r="CD57" i="31"/>
  <c r="BZ34" i="26"/>
  <c r="CA34" i="26"/>
  <c r="AE34" i="26"/>
  <c r="AG34" i="26"/>
  <c r="DF30" i="26"/>
  <c r="DG30" i="26" s="1"/>
  <c r="CL34" i="26" s="1"/>
  <c r="CY12" i="32"/>
  <c r="CY50" i="32" s="1"/>
  <c r="J11" i="30"/>
  <c r="J8" i="30"/>
  <c r="J17" i="30"/>
  <c r="CG19" i="30"/>
  <c r="AX19" i="30" s="1"/>
  <c r="CO19" i="30" s="1"/>
  <c r="CG30" i="30"/>
  <c r="CG34" i="30"/>
  <c r="AJ18" i="31"/>
  <c r="DB34" i="32"/>
  <c r="CZ34" i="32"/>
  <c r="DA34" i="32"/>
  <c r="CV34" i="32" s="1"/>
  <c r="CD34" i="32" s="1"/>
  <c r="BV32" i="31"/>
  <c r="CC32" i="31"/>
  <c r="CD32" i="31"/>
  <c r="R32" i="31"/>
  <c r="AJ32" i="31"/>
  <c r="AH32" i="31"/>
  <c r="BX32" i="31"/>
  <c r="CA32" i="31"/>
  <c r="BY73" i="31"/>
  <c r="BQ36" i="31"/>
  <c r="BR36" i="31"/>
  <c r="C11" i="32"/>
  <c r="BX73" i="31"/>
  <c r="AJ35" i="31"/>
  <c r="CC35" i="31"/>
  <c r="CD35" i="31"/>
  <c r="AH35" i="31"/>
  <c r="R35" i="31"/>
  <c r="BX35" i="31"/>
  <c r="CA35" i="31"/>
  <c r="CW27" i="30"/>
  <c r="CU27" i="30"/>
  <c r="CI34" i="26"/>
  <c r="CC34" i="26"/>
  <c r="CC110" i="31"/>
  <c r="CD20" i="33"/>
  <c r="CU72" i="32"/>
  <c r="BY94" i="31"/>
  <c r="BP17" i="33"/>
  <c r="BU15" i="33"/>
  <c r="BW15" i="33" s="1"/>
  <c r="M15" i="33" s="1"/>
  <c r="BT17" i="33"/>
  <c r="BV17" i="33" s="1"/>
  <c r="BX63" i="31"/>
  <c r="J15" i="30"/>
  <c r="J9" i="30"/>
  <c r="CA18" i="31"/>
  <c r="CC98" i="31"/>
  <c r="CV33" i="30"/>
  <c r="CQ33" i="30" s="1"/>
  <c r="CU33" i="30"/>
  <c r="AG22" i="26"/>
  <c r="CA22" i="26"/>
  <c r="DF18" i="26"/>
  <c r="DG18" i="26" s="1"/>
  <c r="CL22" i="26" s="1"/>
  <c r="BZ22" i="26"/>
  <c r="AE22" i="26"/>
  <c r="DF24" i="26"/>
  <c r="DG24" i="26" s="1"/>
  <c r="CL28" i="26" s="1"/>
  <c r="BZ28" i="26"/>
  <c r="AG28" i="26"/>
  <c r="AE28" i="26"/>
  <c r="CA28" i="26"/>
  <c r="CC73" i="31"/>
  <c r="A13" i="32"/>
  <c r="C13" i="32"/>
  <c r="BX110" i="31"/>
  <c r="AC7" i="30"/>
  <c r="CP7" i="30" s="1"/>
  <c r="X7" i="30"/>
  <c r="X15" i="32"/>
  <c r="AC15" i="32"/>
  <c r="CU15" i="32" s="1"/>
  <c r="CX15" i="32" s="1"/>
  <c r="CD30" i="33"/>
  <c r="BU18" i="33"/>
  <c r="BW18" i="33" s="1"/>
  <c r="M18" i="33" s="1"/>
  <c r="CF30" i="33"/>
  <c r="CE34" i="33"/>
  <c r="CX96" i="32"/>
  <c r="BT10" i="33"/>
  <c r="BV10" i="33" s="1"/>
  <c r="K10" i="33" s="1"/>
  <c r="BU22" i="33"/>
  <c r="BW22" i="33" s="1"/>
  <c r="BP18" i="33"/>
  <c r="DD14" i="33" s="1"/>
  <c r="CG30" i="33"/>
  <c r="CA30" i="33" s="1"/>
  <c r="K16" i="33"/>
  <c r="CY63" i="32"/>
  <c r="BY66" i="31"/>
  <c r="CA66" i="31" s="1"/>
  <c r="CL10" i="32"/>
  <c r="AE10" i="32" s="1"/>
  <c r="AW10" i="32" s="1"/>
  <c r="CG9" i="30"/>
  <c r="AE9" i="30" s="1"/>
  <c r="AW9" i="30" s="1"/>
  <c r="CP96" i="32"/>
  <c r="CR96" i="32" s="1"/>
  <c r="CN104" i="32"/>
  <c r="CY67" i="32"/>
  <c r="CO8" i="32"/>
  <c r="CW8" i="32" s="1"/>
  <c r="CP67" i="32"/>
  <c r="CR67" i="32" s="1"/>
  <c r="A15" i="32"/>
  <c r="CP104" i="32"/>
  <c r="CR104" i="32" s="1"/>
  <c r="C7" i="30"/>
  <c r="CH32" i="26"/>
  <c r="CF32" i="26"/>
  <c r="CC32" i="26"/>
  <c r="BX65" i="31"/>
  <c r="CC65" i="31"/>
  <c r="CC102" i="31"/>
  <c r="CD98" i="31"/>
  <c r="F41" i="31"/>
  <c r="T41" i="31"/>
  <c r="CH19" i="26"/>
  <c r="CC19" i="26"/>
  <c r="CD102" i="31"/>
  <c r="CD65" i="31"/>
  <c r="AB20" i="33"/>
  <c r="CW62" i="32"/>
  <c r="BY16" i="31"/>
  <c r="BV16" i="31" s="1"/>
  <c r="CW59" i="32"/>
  <c r="AG19" i="26"/>
  <c r="BZ19" i="26"/>
  <c r="CA19" i="26"/>
  <c r="AE19" i="26"/>
  <c r="DF15" i="26"/>
  <c r="DG15" i="26" s="1"/>
  <c r="CL19" i="26" s="1"/>
  <c r="BY65" i="31"/>
  <c r="BR28" i="31"/>
  <c r="BQ28" i="31"/>
  <c r="AC8" i="32"/>
  <c r="CU8" i="32" s="1"/>
  <c r="CY8" i="32" s="1"/>
  <c r="CY62" i="32"/>
  <c r="BV10" i="26"/>
  <c r="BZ10" i="26" s="1"/>
  <c r="AX18" i="30"/>
  <c r="CO18" i="30" s="1"/>
  <c r="CN67" i="32"/>
  <c r="CG31" i="30"/>
  <c r="AG31" i="30" s="1"/>
  <c r="BY9" i="31"/>
  <c r="CU23" i="30"/>
  <c r="CV23" i="30"/>
  <c r="CQ23" i="30" s="1"/>
  <c r="CW23" i="30"/>
  <c r="CZ29" i="32"/>
  <c r="DA29" i="32"/>
  <c r="CV29" i="32" s="1"/>
  <c r="CD29" i="32" s="1"/>
  <c r="DB29" i="32"/>
  <c r="CF17" i="26"/>
  <c r="CI17" i="26"/>
  <c r="CC17" i="26"/>
  <c r="AE30" i="32"/>
  <c r="CS37" i="32"/>
  <c r="AY22" i="32"/>
  <c r="CS22" i="32"/>
  <c r="CS60" i="32" s="1"/>
  <c r="AG28" i="32"/>
  <c r="AE28" i="32"/>
  <c r="AG30" i="32"/>
  <c r="AE22" i="32"/>
  <c r="AX22" i="32"/>
  <c r="CT22" i="32" s="1"/>
  <c r="CT60" i="32" s="1"/>
  <c r="AG22" i="32"/>
  <c r="AX37" i="32"/>
  <c r="CT37" i="32" s="1"/>
  <c r="J14" i="32"/>
  <c r="I14" i="32"/>
  <c r="CL14" i="32" s="1"/>
  <c r="I15" i="32"/>
  <c r="CL15" i="32" s="1"/>
  <c r="J15" i="32"/>
  <c r="C15" i="32"/>
  <c r="X14" i="32"/>
  <c r="AW36" i="30"/>
  <c r="AY36" i="30" s="1"/>
  <c r="CG10" i="30"/>
  <c r="AG10" i="30" s="1"/>
  <c r="AX10" i="30" s="1"/>
  <c r="CO10" i="30" s="1"/>
  <c r="CG25" i="30"/>
  <c r="AX25" i="30" s="1"/>
  <c r="CO25" i="30" s="1"/>
  <c r="J14" i="30"/>
  <c r="I14" i="30"/>
  <c r="CG14" i="30" s="1"/>
  <c r="I13" i="30"/>
  <c r="CG13" i="30" s="1"/>
  <c r="J13" i="30"/>
  <c r="CJ14" i="30"/>
  <c r="CR14" i="30" s="1"/>
  <c r="AY27" i="30"/>
  <c r="CN27" i="30"/>
  <c r="AE20" i="32"/>
  <c r="AE30" i="30"/>
  <c r="AW30" i="30"/>
  <c r="AE37" i="32"/>
  <c r="AG37" i="32"/>
  <c r="AW26" i="30"/>
  <c r="CN26" i="30" s="1"/>
  <c r="AG26" i="30"/>
  <c r="AX26" i="30"/>
  <c r="CO26" i="30" s="1"/>
  <c r="AE31" i="30"/>
  <c r="CG24" i="30"/>
  <c r="AW24" i="30" s="1"/>
  <c r="AG18" i="30"/>
  <c r="CG20" i="30"/>
  <c r="AE20" i="30" s="1"/>
  <c r="AG30" i="30"/>
  <c r="AX32" i="32"/>
  <c r="CT32" i="32" s="1"/>
  <c r="AW32" i="32"/>
  <c r="AE32" i="32"/>
  <c r="AG32" i="32"/>
  <c r="CB108" i="31"/>
  <c r="CA108" i="31"/>
  <c r="X13" i="32"/>
  <c r="AC13" i="32"/>
  <c r="CU13" i="32" s="1"/>
  <c r="X13" i="30"/>
  <c r="CJ13" i="30" s="1"/>
  <c r="AC13" i="30"/>
  <c r="CP13" i="30" s="1"/>
  <c r="AJ8" i="31"/>
  <c r="AH8" i="31"/>
  <c r="AX24" i="32"/>
  <c r="CT24" i="32" s="1"/>
  <c r="AE24" i="32"/>
  <c r="AG24" i="32"/>
  <c r="AW24" i="32"/>
  <c r="AY24" i="32" s="1"/>
  <c r="AE34" i="32"/>
  <c r="AW34" i="32"/>
  <c r="AG34" i="32"/>
  <c r="AX34" i="32"/>
  <c r="CT34" i="32" s="1"/>
  <c r="CT109" i="32" s="1"/>
  <c r="BY8" i="26"/>
  <c r="R8" i="26" s="1"/>
  <c r="AG8" i="26" s="1"/>
  <c r="CB8" i="26"/>
  <c r="CE8" i="26" s="1"/>
  <c r="BV8" i="26"/>
  <c r="CX91" i="32"/>
  <c r="CD32" i="33"/>
  <c r="CE32" i="33"/>
  <c r="CG32" i="33"/>
  <c r="CA32" i="33" s="1"/>
  <c r="CH32" i="33"/>
  <c r="CF32" i="33"/>
  <c r="CH31" i="33"/>
  <c r="CF31" i="33"/>
  <c r="CG31" i="33"/>
  <c r="CA31" i="33" s="1"/>
  <c r="CD31" i="33"/>
  <c r="CE31" i="33"/>
  <c r="BQ18" i="31"/>
  <c r="CD92" i="31"/>
  <c r="BX55" i="31"/>
  <c r="CC92" i="31"/>
  <c r="BR18" i="31"/>
  <c r="CC55" i="31"/>
  <c r="BX92" i="31"/>
  <c r="CD55" i="31"/>
  <c r="CF34" i="33"/>
  <c r="AB16" i="33"/>
  <c r="CU62" i="32"/>
  <c r="DB62" i="32" s="1"/>
  <c r="CX62" i="32"/>
  <c r="CX109" i="32"/>
  <c r="CY72" i="32"/>
  <c r="CP109" i="32"/>
  <c r="CR109" i="32" s="1"/>
  <c r="BT7" i="33"/>
  <c r="BV7" i="33" s="1"/>
  <c r="K7" i="33" s="1"/>
  <c r="BT9" i="33"/>
  <c r="BV9" i="33" s="1"/>
  <c r="BT14" i="33"/>
  <c r="BV14" i="33" s="1"/>
  <c r="BX14" i="33" s="1"/>
  <c r="Z14" i="33" s="1"/>
  <c r="CG34" i="33"/>
  <c r="CA34" i="33" s="1"/>
  <c r="K20" i="33"/>
  <c r="CP54" i="32"/>
  <c r="CR54" i="32" s="1"/>
  <c r="CP99" i="32"/>
  <c r="CR99" i="32" s="1"/>
  <c r="BY55" i="31"/>
  <c r="CA55" i="31" s="1"/>
  <c r="BP13" i="33"/>
  <c r="CX69" i="32"/>
  <c r="BY60" i="31"/>
  <c r="CA60" i="31" s="1"/>
  <c r="CP62" i="32"/>
  <c r="CR62" i="32" s="1"/>
  <c r="CP72" i="32"/>
  <c r="CR72" i="32" s="1"/>
  <c r="CB10" i="26"/>
  <c r="CG28" i="30"/>
  <c r="AG28" i="30" s="1"/>
  <c r="CW30" i="30"/>
  <c r="AX36" i="30"/>
  <c r="CO36" i="30" s="1"/>
  <c r="CL18" i="32"/>
  <c r="AG18" i="32" s="1"/>
  <c r="AX18" i="32" s="1"/>
  <c r="CT18" i="32" s="1"/>
  <c r="CG28" i="33"/>
  <c r="CA28" i="33" s="1"/>
  <c r="CD28" i="33"/>
  <c r="CF28" i="33"/>
  <c r="CE28" i="33"/>
  <c r="CH28" i="33"/>
  <c r="R16" i="31"/>
  <c r="AJ16" i="31" s="1"/>
  <c r="CZ21" i="32"/>
  <c r="CU59" i="32"/>
  <c r="DA21" i="32"/>
  <c r="CV21" i="32" s="1"/>
  <c r="CD21" i="32" s="1"/>
  <c r="DB21" i="32"/>
  <c r="CD33" i="33"/>
  <c r="CF33" i="33"/>
  <c r="CH33" i="33"/>
  <c r="CE33" i="33"/>
  <c r="CG33" i="33"/>
  <c r="CA33" i="33" s="1"/>
  <c r="CN62" i="32"/>
  <c r="CN99" i="32"/>
  <c r="BV11" i="26"/>
  <c r="BZ23" i="26"/>
  <c r="AE23" i="26"/>
  <c r="DF19" i="26"/>
  <c r="DG19" i="26" s="1"/>
  <c r="CL23" i="26" s="1"/>
  <c r="CA23" i="26"/>
  <c r="AG23" i="26"/>
  <c r="A12" i="30"/>
  <c r="BZ21" i="26"/>
  <c r="DF17" i="26"/>
  <c r="DG17" i="26" s="1"/>
  <c r="CL21" i="26" s="1"/>
  <c r="AG21" i="26"/>
  <c r="AE21" i="26"/>
  <c r="CA21" i="26"/>
  <c r="BZ29" i="26"/>
  <c r="AG29" i="26"/>
  <c r="DF25" i="26"/>
  <c r="DG25" i="26" s="1"/>
  <c r="CL29" i="26" s="1"/>
  <c r="CA29" i="26"/>
  <c r="AE29" i="26"/>
  <c r="CB61" i="31"/>
  <c r="CA61" i="31"/>
  <c r="CX103" i="32"/>
  <c r="CX66" i="32"/>
  <c r="BX9" i="31"/>
  <c r="CC9" i="31"/>
  <c r="CD19" i="31"/>
  <c r="AH19" i="31"/>
  <c r="R19" i="31"/>
  <c r="BX19" i="31"/>
  <c r="BX56" i="31" s="1"/>
  <c r="AJ19" i="31"/>
  <c r="CC19" i="31"/>
  <c r="CC93" i="31" s="1"/>
  <c r="CA19" i="31"/>
  <c r="BV22" i="31"/>
  <c r="CC22" i="31"/>
  <c r="R22" i="31"/>
  <c r="CD22" i="31"/>
  <c r="AJ22" i="31"/>
  <c r="AH22" i="31"/>
  <c r="CA22" i="31"/>
  <c r="BX22" i="31"/>
  <c r="J24" i="30"/>
  <c r="J21" i="30"/>
  <c r="CB24" i="32"/>
  <c r="CC24" i="32"/>
  <c r="CZ25" i="32"/>
  <c r="DA25" i="32"/>
  <c r="CV25" i="32" s="1"/>
  <c r="CD25" i="32" s="1"/>
  <c r="DB25" i="32"/>
  <c r="BX16" i="31"/>
  <c r="CY59" i="32"/>
  <c r="CY96" i="32"/>
  <c r="AW28" i="32"/>
  <c r="AX28" i="32"/>
  <c r="CT28" i="32" s="1"/>
  <c r="DB37" i="32"/>
  <c r="CZ37" i="32"/>
  <c r="DA37" i="32"/>
  <c r="CV37" i="32" s="1"/>
  <c r="CD37" i="32" s="1"/>
  <c r="DF3" i="26"/>
  <c r="DG3" i="26" s="1"/>
  <c r="CL7" i="26" s="1"/>
  <c r="BZ7" i="26"/>
  <c r="CA7" i="26"/>
  <c r="CW66" i="32"/>
  <c r="CW103" i="32"/>
  <c r="DA35" i="32"/>
  <c r="CV35" i="32" s="1"/>
  <c r="CD35" i="32" s="1"/>
  <c r="DB35" i="32"/>
  <c r="CZ35" i="32"/>
  <c r="CH37" i="32"/>
  <c r="CX75" i="32" s="1"/>
  <c r="BZ33" i="26"/>
  <c r="AG33" i="26"/>
  <c r="DF29" i="26"/>
  <c r="DG29" i="26" s="1"/>
  <c r="CL33" i="26" s="1"/>
  <c r="CA33" i="26"/>
  <c r="AE33" i="26"/>
  <c r="J26" i="30"/>
  <c r="J35" i="30"/>
  <c r="J27" i="30"/>
  <c r="J31" i="30"/>
  <c r="J25" i="30"/>
  <c r="J28" i="30"/>
  <c r="BP7" i="33"/>
  <c r="BP11" i="33"/>
  <c r="CE16" i="33"/>
  <c r="BT18" i="33"/>
  <c r="BV18" i="33" s="1"/>
  <c r="BX18" i="33" s="1"/>
  <c r="Z18" i="33" s="1"/>
  <c r="BP21" i="33"/>
  <c r="CD34" i="33"/>
  <c r="CU69" i="32"/>
  <c r="CZ69" i="32" s="1"/>
  <c r="BU12" i="33"/>
  <c r="BW12" i="33" s="1"/>
  <c r="M12" i="33" s="1"/>
  <c r="BP10" i="33"/>
  <c r="BT15" i="33"/>
  <c r="BV15" i="33" s="1"/>
  <c r="BT21" i="33"/>
  <c r="BV21" i="33" s="1"/>
  <c r="K21" i="33" s="1"/>
  <c r="BY97" i="31"/>
  <c r="CA97" i="31" s="1"/>
  <c r="CX72" i="32"/>
  <c r="CY109" i="32"/>
  <c r="CY99" i="32"/>
  <c r="BY11" i="31"/>
  <c r="BV11" i="31" s="1"/>
  <c r="CU54" i="32"/>
  <c r="DB54" i="32" s="1"/>
  <c r="BY74" i="31"/>
  <c r="AG26" i="32"/>
  <c r="D8" i="32"/>
  <c r="CJ11" i="30"/>
  <c r="AE36" i="30"/>
  <c r="AW18" i="30"/>
  <c r="AY18" i="30" s="1"/>
  <c r="AX30" i="30"/>
  <c r="CO30" i="30" s="1"/>
  <c r="CL16" i="32"/>
  <c r="AG16" i="32" s="1"/>
  <c r="AX16" i="32" s="1"/>
  <c r="CT16" i="32" s="1"/>
  <c r="CG15" i="30"/>
  <c r="AW15" i="30" s="1"/>
  <c r="CC16" i="33"/>
  <c r="CD24" i="33"/>
  <c r="CE24" i="33"/>
  <c r="CG24" i="33"/>
  <c r="CA24" i="33" s="1"/>
  <c r="CH24" i="33"/>
  <c r="CF24" i="33"/>
  <c r="CC28" i="32"/>
  <c r="CB28" i="32"/>
  <c r="BQ26" i="31"/>
  <c r="CD100" i="31"/>
  <c r="CC100" i="31"/>
  <c r="BR26" i="31"/>
  <c r="CD63" i="31"/>
  <c r="CC63" i="31"/>
  <c r="CE35" i="33"/>
  <c r="CF35" i="33"/>
  <c r="CH35" i="33"/>
  <c r="CG35" i="33"/>
  <c r="CA35" i="33" s="1"/>
  <c r="CD35" i="33"/>
  <c r="CW67" i="32"/>
  <c r="CW104" i="32"/>
  <c r="CD25" i="33"/>
  <c r="CF25" i="33"/>
  <c r="CH25" i="33"/>
  <c r="CE25" i="33"/>
  <c r="CG25" i="33"/>
  <c r="CA25" i="33" s="1"/>
  <c r="CD29" i="33"/>
  <c r="CE29" i="33"/>
  <c r="CH29" i="33"/>
  <c r="CF29" i="33"/>
  <c r="CG29" i="33"/>
  <c r="CA29" i="33" s="1"/>
  <c r="DB24" i="32"/>
  <c r="CZ24" i="32"/>
  <c r="CU99" i="32"/>
  <c r="DA24" i="32"/>
  <c r="CV24" i="32" s="1"/>
  <c r="CD24" i="32" s="1"/>
  <c r="BY92" i="31"/>
  <c r="CG23" i="30"/>
  <c r="CX59" i="32"/>
  <c r="CB7" i="26"/>
  <c r="BY7" i="26"/>
  <c r="R7" i="26" s="1"/>
  <c r="AG7" i="26" s="1"/>
  <c r="CG32" i="30"/>
  <c r="CB11" i="26"/>
  <c r="CE11" i="26" s="1"/>
  <c r="BZ31" i="26"/>
  <c r="AE31" i="26"/>
  <c r="AG31" i="26"/>
  <c r="DF27" i="26"/>
  <c r="DG27" i="26" s="1"/>
  <c r="CL31" i="26" s="1"/>
  <c r="CA31" i="26"/>
  <c r="J18" i="30"/>
  <c r="CS30" i="32"/>
  <c r="AY30" i="32"/>
  <c r="CW25" i="30"/>
  <c r="CU25" i="30"/>
  <c r="CV25" i="30"/>
  <c r="CQ25" i="30" s="1"/>
  <c r="BZ35" i="26"/>
  <c r="CA35" i="26"/>
  <c r="AE35" i="26"/>
  <c r="AG35" i="26"/>
  <c r="DF31" i="26"/>
  <c r="DG31" i="26" s="1"/>
  <c r="CL35" i="26" s="1"/>
  <c r="J32" i="30"/>
  <c r="CN103" i="32"/>
  <c r="CN66" i="32"/>
  <c r="CB29" i="32"/>
  <c r="CU67" i="32"/>
  <c r="CC29" i="32"/>
  <c r="CB12" i="26"/>
  <c r="BY12" i="26"/>
  <c r="R12" i="26" s="1"/>
  <c r="AE12" i="26" s="1"/>
  <c r="BZ25" i="26"/>
  <c r="CA25" i="26"/>
  <c r="AG25" i="26"/>
  <c r="DF21" i="26"/>
  <c r="DG21" i="26" s="1"/>
  <c r="CL25" i="26" s="1"/>
  <c r="AE25" i="26"/>
  <c r="J30" i="30"/>
  <c r="J36" i="30"/>
  <c r="J34" i="30"/>
  <c r="BU7" i="33"/>
  <c r="BW7" i="33" s="1"/>
  <c r="AE26" i="32"/>
  <c r="X12" i="30"/>
  <c r="A8" i="32"/>
  <c r="AW26" i="32"/>
  <c r="CS26" i="32" s="1"/>
  <c r="CG36" i="33"/>
  <c r="CA36" i="33" s="1"/>
  <c r="CD36" i="33"/>
  <c r="CF36" i="33"/>
  <c r="CE36" i="33"/>
  <c r="CH36" i="33"/>
  <c r="DB31" i="32"/>
  <c r="CZ31" i="32"/>
  <c r="DA31" i="32"/>
  <c r="CV31" i="32" s="1"/>
  <c r="CD31" i="32" s="1"/>
  <c r="CC8" i="31"/>
  <c r="CD8" i="31"/>
  <c r="CD45" i="31" s="1"/>
  <c r="BX8" i="31"/>
  <c r="BX82" i="31" s="1"/>
  <c r="CA8" i="31"/>
  <c r="BQ34" i="31"/>
  <c r="CD108" i="31"/>
  <c r="CC71" i="31"/>
  <c r="CC108" i="31"/>
  <c r="CD71" i="31"/>
  <c r="BR34" i="31"/>
  <c r="CZ22" i="32"/>
  <c r="DA22" i="32"/>
  <c r="CV22" i="32" s="1"/>
  <c r="CD22" i="32" s="1"/>
  <c r="CU97" i="32"/>
  <c r="DB22" i="32"/>
  <c r="CU60" i="32"/>
  <c r="BV13" i="31"/>
  <c r="CC13" i="31"/>
  <c r="R13" i="31"/>
  <c r="AJ13" i="31" s="1"/>
  <c r="CA13" i="31"/>
  <c r="CD13" i="31"/>
  <c r="BX13" i="31"/>
  <c r="CB100" i="31"/>
  <c r="CA100" i="31"/>
  <c r="CB21" i="32"/>
  <c r="CC21" i="32"/>
  <c r="CW96" i="32"/>
  <c r="CN96" i="32"/>
  <c r="CN59" i="32"/>
  <c r="CZ33" i="32"/>
  <c r="DA33" i="32"/>
  <c r="CV33" i="32" s="1"/>
  <c r="CD33" i="32" s="1"/>
  <c r="DB33" i="32"/>
  <c r="AX20" i="32"/>
  <c r="CT20" i="32" s="1"/>
  <c r="AW20" i="32"/>
  <c r="BX71" i="31"/>
  <c r="J19" i="30"/>
  <c r="CG21" i="26"/>
  <c r="CI21" i="26"/>
  <c r="CC21" i="26"/>
  <c r="CI29" i="26"/>
  <c r="CG29" i="26"/>
  <c r="CC29" i="26"/>
  <c r="BZ27" i="26"/>
  <c r="CA27" i="26"/>
  <c r="AE27" i="26"/>
  <c r="AG27" i="26"/>
  <c r="DF23" i="26"/>
  <c r="DG23" i="26" s="1"/>
  <c r="CL27" i="26" s="1"/>
  <c r="J33" i="30"/>
  <c r="C12" i="30"/>
  <c r="J20" i="30"/>
  <c r="J22" i="30"/>
  <c r="J29" i="30"/>
  <c r="AE27" i="30"/>
  <c r="AG27" i="30"/>
  <c r="AX27" i="30"/>
  <c r="CO27" i="30" s="1"/>
  <c r="AE27" i="32"/>
  <c r="AG27" i="32"/>
  <c r="AX27" i="32"/>
  <c r="CT27" i="32" s="1"/>
  <c r="AW27" i="32"/>
  <c r="CB111" i="31"/>
  <c r="CA111" i="31"/>
  <c r="BV13" i="26"/>
  <c r="BY13" i="26"/>
  <c r="R13" i="26" s="1"/>
  <c r="CB13" i="26"/>
  <c r="CO13" i="32"/>
  <c r="CP13" i="32"/>
  <c r="CS13" i="30"/>
  <c r="CB14" i="31"/>
  <c r="BY14" i="31"/>
  <c r="CB10" i="31"/>
  <c r="BY10" i="31"/>
  <c r="CX10" i="32"/>
  <c r="CB15" i="31"/>
  <c r="BY15" i="31"/>
  <c r="AE25" i="32"/>
  <c r="AG25" i="32"/>
  <c r="AW25" i="32"/>
  <c r="AX25" i="32"/>
  <c r="CT25" i="32" s="1"/>
  <c r="AE33" i="32"/>
  <c r="AG33" i="32"/>
  <c r="AW33" i="32"/>
  <c r="AX33" i="32"/>
  <c r="CT33" i="32" s="1"/>
  <c r="CS16" i="30"/>
  <c r="DF5" i="26"/>
  <c r="BZ9" i="26"/>
  <c r="CA9" i="26"/>
  <c r="X9" i="30"/>
  <c r="AC9" i="30"/>
  <c r="CP9" i="30" s="1"/>
  <c r="CA105" i="31"/>
  <c r="CB105" i="31"/>
  <c r="CK8" i="30"/>
  <c r="CJ8" i="30"/>
  <c r="AC9" i="32"/>
  <c r="CU9" i="32" s="1"/>
  <c r="X9" i="32"/>
  <c r="CB107" i="31"/>
  <c r="CA107" i="31"/>
  <c r="CA101" i="31"/>
  <c r="CB101" i="31"/>
  <c r="AE23" i="32"/>
  <c r="AX23" i="32"/>
  <c r="CT23" i="32" s="1"/>
  <c r="AG23" i="32"/>
  <c r="AW23" i="32"/>
  <c r="AE31" i="32"/>
  <c r="AG31" i="32"/>
  <c r="AX31" i="32"/>
  <c r="CT31" i="32" s="1"/>
  <c r="AW31" i="32"/>
  <c r="CS12" i="30"/>
  <c r="BX9" i="33"/>
  <c r="Z9" i="33" s="1"/>
  <c r="K9" i="33"/>
  <c r="DD7" i="33"/>
  <c r="K22" i="33"/>
  <c r="BX22" i="33"/>
  <c r="Z22" i="33" s="1"/>
  <c r="DD16" i="33"/>
  <c r="CH30" i="32"/>
  <c r="CP105" i="32" s="1"/>
  <c r="CR105" i="32" s="1"/>
  <c r="BY8" i="33"/>
  <c r="AA8" i="33" s="1"/>
  <c r="M8" i="33"/>
  <c r="DD4" i="33"/>
  <c r="DD6" i="33"/>
  <c r="DD9" i="33"/>
  <c r="BY19" i="33"/>
  <c r="AA19" i="33" s="1"/>
  <c r="M19" i="33"/>
  <c r="CH26" i="32"/>
  <c r="CU64" i="32" s="1"/>
  <c r="CB94" i="31"/>
  <c r="CA94" i="31"/>
  <c r="CB68" i="31"/>
  <c r="CA68" i="31"/>
  <c r="CY10" i="32"/>
  <c r="CW10" i="32"/>
  <c r="CP18" i="32"/>
  <c r="CO18" i="32"/>
  <c r="DD3" i="33"/>
  <c r="DE3" i="33" s="1"/>
  <c r="CJ7" i="33" s="1"/>
  <c r="K14" i="33"/>
  <c r="M22" i="33"/>
  <c r="BY22" i="33"/>
  <c r="AA22" i="33" s="1"/>
  <c r="AC11" i="32"/>
  <c r="CU11" i="32" s="1"/>
  <c r="X11" i="32"/>
  <c r="CY106" i="32"/>
  <c r="CX106" i="32"/>
  <c r="CW69" i="32"/>
  <c r="CN69" i="32"/>
  <c r="CN106" i="32"/>
  <c r="CB31" i="32"/>
  <c r="CC31" i="32"/>
  <c r="DA96" i="32"/>
  <c r="CV96" i="32" s="1"/>
  <c r="DB96" i="32"/>
  <c r="CZ96" i="32"/>
  <c r="CP17" i="32"/>
  <c r="CO17" i="32"/>
  <c r="DA36" i="32"/>
  <c r="CV36" i="32" s="1"/>
  <c r="CZ36" i="32"/>
  <c r="DB36" i="32"/>
  <c r="CH23" i="32"/>
  <c r="K12" i="33"/>
  <c r="BX12" i="33"/>
  <c r="Z12" i="33" s="1"/>
  <c r="CD8" i="33"/>
  <c r="CE8" i="33"/>
  <c r="BX17" i="33"/>
  <c r="Z17" i="33" s="1"/>
  <c r="K17" i="33"/>
  <c r="BX21" i="33"/>
  <c r="Z21" i="33" s="1"/>
  <c r="CP108" i="32"/>
  <c r="CR108" i="32" s="1"/>
  <c r="CW108" i="32"/>
  <c r="CX108" i="32"/>
  <c r="CY108" i="32"/>
  <c r="CN71" i="32"/>
  <c r="CW71" i="32"/>
  <c r="CN108" i="32"/>
  <c r="CB33" i="32"/>
  <c r="CC33" i="32"/>
  <c r="CB104" i="31"/>
  <c r="CA104" i="31"/>
  <c r="CB99" i="31"/>
  <c r="CA99" i="31"/>
  <c r="BX109" i="31"/>
  <c r="BQ35" i="31"/>
  <c r="CC72" i="31"/>
  <c r="CC109" i="31"/>
  <c r="BX72" i="31"/>
  <c r="CD72" i="31"/>
  <c r="BR35" i="31"/>
  <c r="CD109" i="31"/>
  <c r="BY45" i="31"/>
  <c r="BR8" i="31"/>
  <c r="BQ8" i="31"/>
  <c r="CC45" i="31"/>
  <c r="CC82" i="31"/>
  <c r="CZ91" i="32"/>
  <c r="DB91" i="32"/>
  <c r="DA91" i="32"/>
  <c r="CV91" i="32" s="1"/>
  <c r="BQ21" i="31"/>
  <c r="BR21" i="31"/>
  <c r="CC95" i="31"/>
  <c r="CC58" i="31"/>
  <c r="BX58" i="31"/>
  <c r="CD95" i="31"/>
  <c r="CB103" i="31"/>
  <c r="CA103" i="31"/>
  <c r="AE29" i="32"/>
  <c r="AW29" i="32"/>
  <c r="AG29" i="32"/>
  <c r="AX29" i="32"/>
  <c r="CT29" i="32" s="1"/>
  <c r="CS11" i="30"/>
  <c r="DS24" i="30"/>
  <c r="DT24" i="30" s="1"/>
  <c r="CY24" i="30" s="1"/>
  <c r="CW32" i="30"/>
  <c r="CV32" i="30"/>
  <c r="CQ32" i="30" s="1"/>
  <c r="CU32" i="30"/>
  <c r="CJ20" i="26"/>
  <c r="CF20" i="26"/>
  <c r="CG20" i="26"/>
  <c r="CI20" i="26"/>
  <c r="CC20" i="26"/>
  <c r="CH20" i="26"/>
  <c r="CJ25" i="26"/>
  <c r="CI25" i="26"/>
  <c r="CG25" i="26"/>
  <c r="CF25" i="26"/>
  <c r="CH25" i="26"/>
  <c r="CC25" i="26"/>
  <c r="CI27" i="26"/>
  <c r="CH27" i="26"/>
  <c r="CG27" i="26"/>
  <c r="CF27" i="26"/>
  <c r="CJ27" i="26"/>
  <c r="CC27" i="26"/>
  <c r="CC10" i="26"/>
  <c r="CF10" i="26"/>
  <c r="DF12" i="26"/>
  <c r="CA16" i="26"/>
  <c r="BZ16" i="26"/>
  <c r="CB16" i="26"/>
  <c r="CE16" i="26" s="1"/>
  <c r="BY16" i="26"/>
  <c r="R16" i="26" s="1"/>
  <c r="AG16" i="26" s="1"/>
  <c r="DS30" i="30"/>
  <c r="DT30" i="30" s="1"/>
  <c r="CY30" i="30" s="1"/>
  <c r="AG22" i="30"/>
  <c r="AE22" i="30"/>
  <c r="AW22" i="30"/>
  <c r="AX22" i="30"/>
  <c r="CO22" i="30" s="1"/>
  <c r="CV26" i="30"/>
  <c r="CQ26" i="30" s="1"/>
  <c r="CU26" i="30"/>
  <c r="CW26" i="30"/>
  <c r="DS34" i="30"/>
  <c r="DT34" i="30" s="1"/>
  <c r="CY34" i="30" s="1"/>
  <c r="CS7" i="30"/>
  <c r="CS14" i="30"/>
  <c r="AX29" i="30"/>
  <c r="CO29" i="30" s="1"/>
  <c r="AE29" i="30"/>
  <c r="AG29" i="30"/>
  <c r="AW29" i="30"/>
  <c r="AG35" i="30"/>
  <c r="AW35" i="30"/>
  <c r="AE35" i="30"/>
  <c r="AX35" i="30"/>
  <c r="CO35" i="30" s="1"/>
  <c r="AE9" i="32"/>
  <c r="AW9" i="32" s="1"/>
  <c r="AG9" i="32"/>
  <c r="AX9" i="32" s="1"/>
  <c r="CT9" i="32" s="1"/>
  <c r="BZ37" i="33"/>
  <c r="BZ40" i="33" s="1"/>
  <c r="CD7" i="33"/>
  <c r="CE7" i="33"/>
  <c r="CC7" i="33"/>
  <c r="CD18" i="33"/>
  <c r="CE18" i="33"/>
  <c r="CD22" i="33"/>
  <c r="CE22" i="33"/>
  <c r="DD12" i="33"/>
  <c r="CH20" i="32"/>
  <c r="CH36" i="32"/>
  <c r="CN74" i="32" s="1"/>
  <c r="CX17" i="32"/>
  <c r="CH27" i="32"/>
  <c r="CN102" i="32" s="1"/>
  <c r="CY61" i="32"/>
  <c r="CH32" i="32"/>
  <c r="CP107" i="32" s="1"/>
  <c r="CR107" i="32" s="1"/>
  <c r="CA71" i="31"/>
  <c r="CB71" i="31"/>
  <c r="CD19" i="33"/>
  <c r="CE19" i="33"/>
  <c r="CA110" i="31"/>
  <c r="CB110" i="31"/>
  <c r="CD60" i="31"/>
  <c r="BQ23" i="31"/>
  <c r="CC60" i="31"/>
  <c r="BR23" i="31"/>
  <c r="CC97" i="31"/>
  <c r="CD97" i="31"/>
  <c r="DA62" i="32"/>
  <c r="CV62" i="32" s="1"/>
  <c r="BY62" i="31"/>
  <c r="BX99" i="31"/>
  <c r="CD62" i="31"/>
  <c r="BQ25" i="31"/>
  <c r="CC99" i="31"/>
  <c r="BX62" i="31"/>
  <c r="BR25" i="31"/>
  <c r="CD99" i="31"/>
  <c r="CU102" i="32"/>
  <c r="CZ27" i="32"/>
  <c r="DB27" i="32"/>
  <c r="DA27" i="32"/>
  <c r="CV27" i="32" s="1"/>
  <c r="CD16" i="32"/>
  <c r="BX103" i="31"/>
  <c r="CD66" i="31"/>
  <c r="BQ29" i="31"/>
  <c r="BX66" i="31"/>
  <c r="BR29" i="31"/>
  <c r="CC103" i="31"/>
  <c r="CC66" i="31"/>
  <c r="CD103" i="31"/>
  <c r="CA8" i="26"/>
  <c r="BZ8" i="26"/>
  <c r="DF4" i="26"/>
  <c r="DS32" i="30"/>
  <c r="DT32" i="30" s="1"/>
  <c r="CY32" i="30" s="1"/>
  <c r="CI31" i="26"/>
  <c r="CH31" i="26"/>
  <c r="CF31" i="26"/>
  <c r="CG31" i="26"/>
  <c r="CJ31" i="26"/>
  <c r="CC31" i="26"/>
  <c r="CF33" i="26"/>
  <c r="CG33" i="26"/>
  <c r="CJ33" i="26"/>
  <c r="CH33" i="26"/>
  <c r="CI33" i="26"/>
  <c r="CC33" i="26"/>
  <c r="CA12" i="26"/>
  <c r="BZ12" i="26"/>
  <c r="DF8" i="26"/>
  <c r="DS26" i="30"/>
  <c r="DT26" i="30" s="1"/>
  <c r="CY26" i="30" s="1"/>
  <c r="AG18" i="26"/>
  <c r="AE18" i="26"/>
  <c r="DF14" i="26"/>
  <c r="DG14" i="26" s="1"/>
  <c r="CL18" i="26" s="1"/>
  <c r="CA18" i="26"/>
  <c r="BZ18" i="26"/>
  <c r="AW34" i="30"/>
  <c r="AX34" i="30"/>
  <c r="CO34" i="30" s="1"/>
  <c r="AG34" i="30"/>
  <c r="AE34" i="30"/>
  <c r="AE11" i="30"/>
  <c r="AW11" i="30" s="1"/>
  <c r="AG11" i="30"/>
  <c r="AX11" i="30" s="1"/>
  <c r="CO11" i="30" s="1"/>
  <c r="CU100" i="32"/>
  <c r="CY71" i="32"/>
  <c r="CU108" i="32"/>
  <c r="BY64" i="31"/>
  <c r="CP63" i="32"/>
  <c r="CR63" i="32" s="1"/>
  <c r="BP9" i="33"/>
  <c r="BT11" i="33"/>
  <c r="BV11" i="33" s="1"/>
  <c r="BU14" i="33"/>
  <c r="BW14" i="33" s="1"/>
  <c r="CP69" i="32"/>
  <c r="CR69" i="32" s="1"/>
  <c r="BP12" i="33"/>
  <c r="CC8" i="33"/>
  <c r="BU10" i="33"/>
  <c r="BW10" i="33" s="1"/>
  <c r="BT13" i="33"/>
  <c r="BV13" i="33" s="1"/>
  <c r="BP15" i="33"/>
  <c r="BU17" i="33"/>
  <c r="BW17" i="33" s="1"/>
  <c r="BU21" i="33"/>
  <c r="BW21" i="33" s="1"/>
  <c r="CP71" i="32"/>
  <c r="CR71" i="32" s="1"/>
  <c r="CW106" i="32"/>
  <c r="CU71" i="32"/>
  <c r="BY93" i="31"/>
  <c r="BY72" i="31"/>
  <c r="CP100" i="32"/>
  <c r="CR100" i="32" s="1"/>
  <c r="BY58" i="31"/>
  <c r="CR11" i="30"/>
  <c r="AC8" i="30"/>
  <c r="CP8" i="30" s="1"/>
  <c r="BX60" i="31"/>
  <c r="CG16" i="30"/>
  <c r="CG8" i="30"/>
  <c r="BY7" i="33"/>
  <c r="AA7" i="33" s="1"/>
  <c r="M7" i="33"/>
  <c r="CD9" i="33"/>
  <c r="CE9" i="33"/>
  <c r="DD15" i="33"/>
  <c r="DA104" i="32"/>
  <c r="CV104" i="32" s="1"/>
  <c r="DB104" i="32"/>
  <c r="CZ104" i="32"/>
  <c r="CX13" i="32"/>
  <c r="DB69" i="32"/>
  <c r="CB63" i="31"/>
  <c r="CA63" i="31"/>
  <c r="BX15" i="33"/>
  <c r="Z15" i="33" s="1"/>
  <c r="K15" i="33"/>
  <c r="CD11" i="33"/>
  <c r="CE11" i="33"/>
  <c r="CC11" i="33"/>
  <c r="BY18" i="33"/>
  <c r="AA18" i="33" s="1"/>
  <c r="DD13" i="33"/>
  <c r="CH8" i="32"/>
  <c r="CP83" i="32" s="1"/>
  <c r="CU103" i="32"/>
  <c r="CU66" i="32"/>
  <c r="DA28" i="32"/>
  <c r="CV28" i="32" s="1"/>
  <c r="CZ28" i="32"/>
  <c r="DB28" i="32"/>
  <c r="CX12" i="32"/>
  <c r="CW12" i="32"/>
  <c r="DA32" i="32"/>
  <c r="CV32" i="32" s="1"/>
  <c r="CZ32" i="32"/>
  <c r="DB32" i="32"/>
  <c r="BX10" i="33"/>
  <c r="Z10" i="33" s="1"/>
  <c r="CD13" i="33"/>
  <c r="CE13" i="33"/>
  <c r="BX7" i="33"/>
  <c r="Z7" i="33" s="1"/>
  <c r="CD14" i="33"/>
  <c r="CE14" i="33"/>
  <c r="DD18" i="33"/>
  <c r="DD17" i="33"/>
  <c r="CH12" i="32"/>
  <c r="CU87" i="32" s="1"/>
  <c r="CY54" i="32"/>
  <c r="CY91" i="32"/>
  <c r="CH35" i="32"/>
  <c r="CP73" i="32" s="1"/>
  <c r="CR73" i="32" s="1"/>
  <c r="CH19" i="32"/>
  <c r="CY94" i="32" s="1"/>
  <c r="DA20" i="32"/>
  <c r="CV20" i="32" s="1"/>
  <c r="CZ20" i="32"/>
  <c r="DB20" i="32"/>
  <c r="CP91" i="32"/>
  <c r="CR91" i="32" s="1"/>
  <c r="CW54" i="32"/>
  <c r="CW91" i="32"/>
  <c r="CN54" i="32"/>
  <c r="CN91" i="32"/>
  <c r="CB16" i="32"/>
  <c r="CC16" i="32"/>
  <c r="DA72" i="32"/>
  <c r="CV72" i="32" s="1"/>
  <c r="DB72" i="32"/>
  <c r="CZ72" i="32"/>
  <c r="CB67" i="31"/>
  <c r="CA67" i="31"/>
  <c r="CD12" i="33"/>
  <c r="CE12" i="33"/>
  <c r="CD10" i="33"/>
  <c r="CE10" i="33"/>
  <c r="CD15" i="33"/>
  <c r="CE15" i="33"/>
  <c r="CD17" i="33"/>
  <c r="CE17" i="33"/>
  <c r="BX19" i="33"/>
  <c r="Z19" i="33" s="1"/>
  <c r="K19" i="33"/>
  <c r="CD21" i="33"/>
  <c r="CE21" i="33"/>
  <c r="CU101" i="32"/>
  <c r="DB26" i="32"/>
  <c r="DA26" i="32"/>
  <c r="CV26" i="32" s="1"/>
  <c r="CZ26" i="32"/>
  <c r="CA102" i="31"/>
  <c r="CB102" i="31"/>
  <c r="CD68" i="31"/>
  <c r="BQ31" i="31"/>
  <c r="BX105" i="31"/>
  <c r="CC68" i="31"/>
  <c r="BX68" i="31"/>
  <c r="BR31" i="31"/>
  <c r="CC105" i="31"/>
  <c r="CD105" i="31"/>
  <c r="BV12" i="31"/>
  <c r="BY86" i="31" s="1"/>
  <c r="CD12" i="31"/>
  <c r="CC12" i="31"/>
  <c r="CA12" i="31"/>
  <c r="R12" i="31"/>
  <c r="AJ12" i="31" s="1"/>
  <c r="BX12" i="31"/>
  <c r="CD56" i="31"/>
  <c r="BQ19" i="31"/>
  <c r="CC56" i="31"/>
  <c r="BR19" i="31"/>
  <c r="CD93" i="31"/>
  <c r="CX65" i="32"/>
  <c r="CX102" i="32"/>
  <c r="CU109" i="32"/>
  <c r="CW72" i="32"/>
  <c r="CW109" i="32"/>
  <c r="CN72" i="32"/>
  <c r="CB34" i="32"/>
  <c r="CC34" i="32"/>
  <c r="AE35" i="32"/>
  <c r="AG35" i="32"/>
  <c r="AX35" i="32"/>
  <c r="CT35" i="32" s="1"/>
  <c r="AW35" i="32"/>
  <c r="CB66" i="31"/>
  <c r="BX111" i="31"/>
  <c r="BX74" i="31"/>
  <c r="BQ37" i="31"/>
  <c r="CC74" i="31"/>
  <c r="BR37" i="31"/>
  <c r="CC111" i="31"/>
  <c r="CD74" i="31"/>
  <c r="CD111" i="31"/>
  <c r="AE21" i="32"/>
  <c r="AG21" i="32"/>
  <c r="AW21" i="32"/>
  <c r="AX21" i="32"/>
  <c r="CT21" i="32" s="1"/>
  <c r="AG36" i="32"/>
  <c r="AX36" i="32"/>
  <c r="CT36" i="32" s="1"/>
  <c r="AE36" i="32"/>
  <c r="AW36" i="32"/>
  <c r="CS17" i="30"/>
  <c r="CA20" i="26"/>
  <c r="AE20" i="26"/>
  <c r="BZ20" i="26"/>
  <c r="AG20" i="26"/>
  <c r="DF16" i="26"/>
  <c r="DG16" i="26" s="1"/>
  <c r="CL20" i="26" s="1"/>
  <c r="CI35" i="26"/>
  <c r="CF35" i="26"/>
  <c r="CG35" i="26"/>
  <c r="CH35" i="26"/>
  <c r="CJ35" i="26"/>
  <c r="CC35" i="26"/>
  <c r="AE15" i="26"/>
  <c r="CA15" i="26"/>
  <c r="AG15" i="26"/>
  <c r="BZ15" i="26"/>
  <c r="DF11" i="26"/>
  <c r="DS20" i="30"/>
  <c r="DT20" i="30" s="1"/>
  <c r="CY20" i="30" s="1"/>
  <c r="CW28" i="30"/>
  <c r="CV28" i="30"/>
  <c r="CQ28" i="30" s="1"/>
  <c r="CU28" i="30"/>
  <c r="CW36" i="30"/>
  <c r="CV36" i="30"/>
  <c r="CQ36" i="30" s="1"/>
  <c r="CU36" i="30"/>
  <c r="CB14" i="26"/>
  <c r="BY14" i="26"/>
  <c r="R14" i="26" s="1"/>
  <c r="DS22" i="30"/>
  <c r="DT22" i="30" s="1"/>
  <c r="CY22" i="30" s="1"/>
  <c r="CV18" i="30"/>
  <c r="CQ18" i="30" s="1"/>
  <c r="CU18" i="30"/>
  <c r="CW18" i="30"/>
  <c r="CT10" i="30"/>
  <c r="CR10" i="30"/>
  <c r="CS10" i="30"/>
  <c r="CN36" i="30"/>
  <c r="AE19" i="30"/>
  <c r="AE17" i="30"/>
  <c r="AX17" i="30"/>
  <c r="CO17" i="30" s="1"/>
  <c r="AG17" i="30"/>
  <c r="AW17" i="30"/>
  <c r="BU9" i="33"/>
  <c r="BW9" i="33" s="1"/>
  <c r="CP10" i="32"/>
  <c r="CC9" i="33"/>
  <c r="BU11" i="33"/>
  <c r="BW11" i="33" s="1"/>
  <c r="BP14" i="33"/>
  <c r="BT8" i="33"/>
  <c r="BV8" i="33" s="1"/>
  <c r="CC10" i="33"/>
  <c r="BU13" i="33"/>
  <c r="BW13" i="33" s="1"/>
  <c r="CY69" i="32"/>
  <c r="BY17" i="31"/>
  <c r="CX54" i="32"/>
  <c r="CP106" i="32"/>
  <c r="CR106" i="32" s="1"/>
  <c r="BY82" i="31"/>
  <c r="CJ16" i="30"/>
  <c r="CT11" i="30"/>
  <c r="BX95" i="31"/>
  <c r="BT10" i="26"/>
  <c r="CE10" i="26" s="1"/>
  <c r="CL8" i="32"/>
  <c r="CL13" i="32"/>
  <c r="CL17" i="32"/>
  <c r="BY70" i="31"/>
  <c r="BX107" i="31"/>
  <c r="BQ33" i="31"/>
  <c r="BX70" i="31"/>
  <c r="CC70" i="31"/>
  <c r="CC107" i="31"/>
  <c r="CD70" i="31"/>
  <c r="BR33" i="31"/>
  <c r="CD107" i="31"/>
  <c r="V41" i="32"/>
  <c r="AI41" i="32"/>
  <c r="CA98" i="31"/>
  <c r="CB98" i="31"/>
  <c r="CB56" i="31"/>
  <c r="CA56" i="31"/>
  <c r="CD64" i="31"/>
  <c r="BX64" i="31"/>
  <c r="BQ27" i="31"/>
  <c r="CC101" i="31"/>
  <c r="BX101" i="31"/>
  <c r="CC64" i="31"/>
  <c r="BR27" i="31"/>
  <c r="CD101" i="31"/>
  <c r="CA109" i="31"/>
  <c r="CB109" i="31"/>
  <c r="CU63" i="32"/>
  <c r="CW100" i="32"/>
  <c r="CN100" i="32"/>
  <c r="CW63" i="32"/>
  <c r="CN63" i="32"/>
  <c r="CY100" i="32"/>
  <c r="CX100" i="32"/>
  <c r="CB25" i="32"/>
  <c r="CC25" i="32"/>
  <c r="CY65" i="32"/>
  <c r="CY102" i="32"/>
  <c r="DA106" i="32"/>
  <c r="CV106" i="32" s="1"/>
  <c r="CZ106" i="32"/>
  <c r="DB106" i="32"/>
  <c r="CZ54" i="32"/>
  <c r="CB95" i="31"/>
  <c r="CA95" i="31"/>
  <c r="CB74" i="31"/>
  <c r="CA74" i="31"/>
  <c r="CS15" i="30"/>
  <c r="DS15" i="30"/>
  <c r="CB9" i="26"/>
  <c r="CE9" i="26" s="1"/>
  <c r="BY9" i="26"/>
  <c r="R9" i="26" s="1"/>
  <c r="AG9" i="26" s="1"/>
  <c r="DS28" i="30"/>
  <c r="DT28" i="30" s="1"/>
  <c r="CY28" i="30" s="1"/>
  <c r="DS36" i="30"/>
  <c r="DT36" i="30" s="1"/>
  <c r="CY36" i="30" s="1"/>
  <c r="AG10" i="26"/>
  <c r="AE10" i="26"/>
  <c r="DF6" i="26"/>
  <c r="CA10" i="26"/>
  <c r="BV14" i="26"/>
  <c r="BT14" i="26"/>
  <c r="DS16" i="30"/>
  <c r="AE19" i="32"/>
  <c r="AG19" i="32"/>
  <c r="AX19" i="32"/>
  <c r="CT19" i="32" s="1"/>
  <c r="AW19" i="32"/>
  <c r="DS18" i="30"/>
  <c r="DT18" i="30" s="1"/>
  <c r="CY18" i="30" s="1"/>
  <c r="CV34" i="30"/>
  <c r="CQ34" i="30" s="1"/>
  <c r="CU34" i="30"/>
  <c r="CW34" i="30"/>
  <c r="AX28" i="30"/>
  <c r="CO28" i="30" s="1"/>
  <c r="AW28" i="30"/>
  <c r="CH18" i="26"/>
  <c r="CF18" i="26"/>
  <c r="CG18" i="26"/>
  <c r="CC18" i="26"/>
  <c r="CJ18" i="26"/>
  <c r="CI18" i="26"/>
  <c r="AE21" i="30"/>
  <c r="AX21" i="30"/>
  <c r="CO21" i="30" s="1"/>
  <c r="AW21" i="30"/>
  <c r="AG21" i="30"/>
  <c r="AX33" i="30"/>
  <c r="CO33" i="30" s="1"/>
  <c r="AE33" i="30"/>
  <c r="AW33" i="30"/>
  <c r="AG33" i="30"/>
  <c r="AY30" i="30"/>
  <c r="CN30" i="30"/>
  <c r="AE12" i="32"/>
  <c r="AW12" i="32" s="1"/>
  <c r="AG12" i="32"/>
  <c r="AX12" i="32" s="1"/>
  <c r="CT12" i="32" s="1"/>
  <c r="AE7" i="30"/>
  <c r="AW7" i="30" s="1"/>
  <c r="AG7" i="30"/>
  <c r="AX7" i="30" s="1"/>
  <c r="CO7" i="30" s="1"/>
  <c r="CJ15" i="30"/>
  <c r="CG12" i="30"/>
  <c r="AE10" i="30" l="1"/>
  <c r="AW10" i="30" s="1"/>
  <c r="CC106" i="31"/>
  <c r="CC69" i="31"/>
  <c r="AG19" i="30"/>
  <c r="CT14" i="30"/>
  <c r="AW19" i="30"/>
  <c r="CZ62" i="32"/>
  <c r="BX45" i="31"/>
  <c r="BY15" i="33"/>
  <c r="AA15" i="33" s="1"/>
  <c r="CK13" i="30"/>
  <c r="BX106" i="31"/>
  <c r="BX69" i="31"/>
  <c r="CD106" i="31"/>
  <c r="CD69" i="31"/>
  <c r="AB7" i="33"/>
  <c r="CU107" i="32"/>
  <c r="CZ107" i="32" s="1"/>
  <c r="AE8" i="26"/>
  <c r="CB55" i="31"/>
  <c r="CB97" i="31"/>
  <c r="CD11" i="31"/>
  <c r="CD85" i="31" s="1"/>
  <c r="CT99" i="32"/>
  <c r="CA73" i="31"/>
  <c r="CB73" i="31"/>
  <c r="BY69" i="31"/>
  <c r="BR32" i="31"/>
  <c r="BQ32" i="31"/>
  <c r="BY106" i="31"/>
  <c r="CB57" i="31"/>
  <c r="CA57" i="31"/>
  <c r="AX24" i="30"/>
  <c r="CO24" i="30" s="1"/>
  <c r="CY46" i="32"/>
  <c r="CX8" i="32"/>
  <c r="CP64" i="32"/>
  <c r="CR64" i="32" s="1"/>
  <c r="AG20" i="30"/>
  <c r="AE28" i="30"/>
  <c r="AW20" i="30"/>
  <c r="AY20" i="30" s="1"/>
  <c r="AG10" i="32"/>
  <c r="AX10" i="32" s="1"/>
  <c r="CT10" i="32" s="1"/>
  <c r="AW31" i="30"/>
  <c r="CN31" i="30" s="1"/>
  <c r="AG9" i="30"/>
  <c r="AX9" i="30" s="1"/>
  <c r="CO9" i="30" s="1"/>
  <c r="CT97" i="32"/>
  <c r="AX31" i="30"/>
  <c r="CO31" i="30" s="1"/>
  <c r="AW16" i="32"/>
  <c r="CS16" i="32" s="1"/>
  <c r="CS91" i="32" s="1"/>
  <c r="BY90" i="31"/>
  <c r="BQ16" i="31"/>
  <c r="CO14" i="32"/>
  <c r="CP14" i="32"/>
  <c r="CH14" i="32" s="1"/>
  <c r="CP89" i="32" s="1"/>
  <c r="CR89" i="32" s="1"/>
  <c r="BV9" i="31"/>
  <c r="CC46" i="31" s="1"/>
  <c r="CG8" i="26"/>
  <c r="CP110" i="32"/>
  <c r="CR110" i="32" s="1"/>
  <c r="DA69" i="32"/>
  <c r="CV69" i="32" s="1"/>
  <c r="CJ69" i="32" s="1"/>
  <c r="CY57" i="32"/>
  <c r="CY112" i="32"/>
  <c r="CN112" i="32"/>
  <c r="CS112" i="32" s="1"/>
  <c r="CU75" i="32"/>
  <c r="CD16" i="31"/>
  <c r="CD90" i="31" s="1"/>
  <c r="CA9" i="31"/>
  <c r="CB65" i="31"/>
  <c r="CA65" i="31"/>
  <c r="CO15" i="32"/>
  <c r="CP15" i="32"/>
  <c r="CH15" i="32" s="1"/>
  <c r="CU90" i="32" s="1"/>
  <c r="CD2" i="33"/>
  <c r="AE16" i="26"/>
  <c r="BX46" i="31"/>
  <c r="CD82" i="31"/>
  <c r="DE4" i="33"/>
  <c r="CJ8" i="33" s="1"/>
  <c r="CY75" i="32"/>
  <c r="CW112" i="32"/>
  <c r="AG25" i="30"/>
  <c r="CP75" i="32"/>
  <c r="CR75" i="32" s="1"/>
  <c r="CC16" i="31"/>
  <c r="CC53" i="31" s="1"/>
  <c r="CD9" i="31"/>
  <c r="CK7" i="30"/>
  <c r="DS7" i="30" s="1"/>
  <c r="DT7" i="30" s="1"/>
  <c r="CY7" i="30" s="1"/>
  <c r="CJ7" i="30"/>
  <c r="CP57" i="32"/>
  <c r="CR57" i="32" s="1"/>
  <c r="BX93" i="31"/>
  <c r="AG12" i="26"/>
  <c r="CP70" i="32"/>
  <c r="CR70" i="32" s="1"/>
  <c r="CW75" i="32"/>
  <c r="AB18" i="33"/>
  <c r="CP112" i="32"/>
  <c r="CR112" i="32" s="1"/>
  <c r="CA16" i="31"/>
  <c r="R9" i="31"/>
  <c r="AH9" i="31" s="1"/>
  <c r="CT103" i="32"/>
  <c r="CT66" i="32"/>
  <c r="AE16" i="32"/>
  <c r="CT62" i="32"/>
  <c r="CS97" i="32"/>
  <c r="AE18" i="32"/>
  <c r="AW18" i="32" s="1"/>
  <c r="AY18" i="32" s="1"/>
  <c r="DA54" i="32"/>
  <c r="CV54" i="32" s="1"/>
  <c r="CJ54" i="32" s="1"/>
  <c r="AG13" i="30"/>
  <c r="AX13" i="30" s="1"/>
  <c r="CO13" i="30" s="1"/>
  <c r="AE13" i="30"/>
  <c r="AW13" i="30" s="1"/>
  <c r="AW25" i="30"/>
  <c r="CN25" i="30" s="1"/>
  <c r="AX20" i="30"/>
  <c r="CO20" i="30" s="1"/>
  <c r="AY26" i="30"/>
  <c r="AE25" i="30"/>
  <c r="AE14" i="30"/>
  <c r="AW14" i="30" s="1"/>
  <c r="CN14" i="30" s="1"/>
  <c r="AG14" i="30"/>
  <c r="AX14" i="30" s="1"/>
  <c r="CO14" i="30" s="1"/>
  <c r="AY31" i="30"/>
  <c r="AY26" i="32"/>
  <c r="AG24" i="30"/>
  <c r="AG15" i="30"/>
  <c r="AE24" i="30"/>
  <c r="CN18" i="30"/>
  <c r="CS24" i="32"/>
  <c r="CS99" i="32" s="1"/>
  <c r="BX87" i="31"/>
  <c r="BX50" i="31"/>
  <c r="CK12" i="30"/>
  <c r="DS12" i="30" s="1"/>
  <c r="CJ12" i="30"/>
  <c r="CD96" i="31"/>
  <c r="CD59" i="31"/>
  <c r="AE15" i="30"/>
  <c r="AX15" i="30"/>
  <c r="CO15" i="30" s="1"/>
  <c r="CF2" i="26"/>
  <c r="T36" i="26" s="1"/>
  <c r="BX90" i="31"/>
  <c r="BY49" i="31"/>
  <c r="CB49" i="31" s="1"/>
  <c r="CB60" i="31"/>
  <c r="CP94" i="32"/>
  <c r="CR94" i="32" s="1"/>
  <c r="K18" i="33"/>
  <c r="BP5" i="33"/>
  <c r="BY12" i="33"/>
  <c r="AA12" i="33" s="1"/>
  <c r="AB12" i="33" s="1"/>
  <c r="CP68" i="32"/>
  <c r="CR68" i="32" s="1"/>
  <c r="AE9" i="26"/>
  <c r="R11" i="31"/>
  <c r="AH11" i="31" s="1"/>
  <c r="CS20" i="32"/>
  <c r="AY20" i="32"/>
  <c r="AH13" i="31"/>
  <c r="DA60" i="32"/>
  <c r="CV60" i="32" s="1"/>
  <c r="CJ60" i="32" s="1"/>
  <c r="CZ60" i="32"/>
  <c r="DB60" i="32"/>
  <c r="AW32" i="30"/>
  <c r="AE32" i="30"/>
  <c r="AX32" i="30"/>
  <c r="CO32" i="30" s="1"/>
  <c r="AG32" i="30"/>
  <c r="AW23" i="30"/>
  <c r="AE23" i="30"/>
  <c r="AX23" i="30"/>
  <c r="CO23" i="30" s="1"/>
  <c r="AG23" i="30"/>
  <c r="BQ22" i="31"/>
  <c r="BR22" i="31"/>
  <c r="BY59" i="31"/>
  <c r="BY96" i="31"/>
  <c r="CB92" i="31"/>
  <c r="CA92" i="31"/>
  <c r="DB75" i="32"/>
  <c r="DA75" i="32"/>
  <c r="CV75" i="32" s="1"/>
  <c r="CJ75" i="32" s="1"/>
  <c r="CZ75" i="32"/>
  <c r="BX96" i="31"/>
  <c r="BX59" i="31"/>
  <c r="AE11" i="26"/>
  <c r="AG11" i="26"/>
  <c r="DF7" i="26"/>
  <c r="BZ11" i="26"/>
  <c r="CA11" i="26"/>
  <c r="AY32" i="32"/>
  <c r="CS32" i="32"/>
  <c r="DG6" i="26"/>
  <c r="CL10" i="26" s="1"/>
  <c r="BX53" i="31"/>
  <c r="BR16" i="31"/>
  <c r="CP37" i="30"/>
  <c r="BY53" i="31"/>
  <c r="CB53" i="31" s="1"/>
  <c r="CP101" i="32"/>
  <c r="CR101" i="32" s="1"/>
  <c r="CC11" i="31"/>
  <c r="BX11" i="31"/>
  <c r="BX85" i="31" s="1"/>
  <c r="CC50" i="31"/>
  <c r="CC87" i="31"/>
  <c r="DA97" i="32"/>
  <c r="CV97" i="32" s="1"/>
  <c r="CJ97" i="32" s="1"/>
  <c r="CZ97" i="32"/>
  <c r="DB97" i="32"/>
  <c r="CF12" i="26"/>
  <c r="CG12" i="26"/>
  <c r="CC12" i="26"/>
  <c r="CE12" i="26"/>
  <c r="DB67" i="32"/>
  <c r="DA67" i="32"/>
  <c r="CV67" i="32" s="1"/>
  <c r="CJ67" i="32" s="1"/>
  <c r="CZ67" i="32"/>
  <c r="CF7" i="26"/>
  <c r="CC7" i="26"/>
  <c r="CE7" i="26"/>
  <c r="CG7" i="26"/>
  <c r="CC37" i="32"/>
  <c r="CB37" i="32"/>
  <c r="CX74" i="32"/>
  <c r="AB15" i="33"/>
  <c r="CU38" i="32"/>
  <c r="CA11" i="31"/>
  <c r="CD50" i="31"/>
  <c r="CD87" i="31"/>
  <c r="BR13" i="31"/>
  <c r="BQ13" i="31"/>
  <c r="BY87" i="31"/>
  <c r="BY50" i="31"/>
  <c r="CC11" i="26"/>
  <c r="CG11" i="26"/>
  <c r="CF11" i="26"/>
  <c r="CZ99" i="32"/>
  <c r="DA99" i="32"/>
  <c r="CV99" i="32" s="1"/>
  <c r="CJ99" i="32" s="1"/>
  <c r="DB99" i="32"/>
  <c r="CN75" i="32"/>
  <c r="AE7" i="26"/>
  <c r="AY28" i="32"/>
  <c r="CS28" i="32"/>
  <c r="CS66" i="32" s="1"/>
  <c r="CC96" i="31"/>
  <c r="CC59" i="31"/>
  <c r="CX112" i="32"/>
  <c r="DB59" i="32"/>
  <c r="CZ59" i="32"/>
  <c r="DA59" i="32"/>
  <c r="CV59" i="32" s="1"/>
  <c r="CJ59" i="32" s="1"/>
  <c r="CC8" i="26"/>
  <c r="CF8" i="26"/>
  <c r="CS34" i="32"/>
  <c r="CS109" i="32" s="1"/>
  <c r="AY34" i="32"/>
  <c r="CU112" i="32"/>
  <c r="AH16" i="31"/>
  <c r="T28" i="26"/>
  <c r="T29" i="26"/>
  <c r="T19" i="26"/>
  <c r="T26" i="26"/>
  <c r="T35" i="26"/>
  <c r="T25" i="26"/>
  <c r="DA64" i="32"/>
  <c r="CV64" i="32" s="1"/>
  <c r="DB64" i="32"/>
  <c r="CZ64" i="32"/>
  <c r="CT91" i="32"/>
  <c r="CD20" i="32"/>
  <c r="CD28" i="32"/>
  <c r="BY21" i="33"/>
  <c r="AA21" i="33" s="1"/>
  <c r="AB21" i="33" s="1"/>
  <c r="M21" i="33"/>
  <c r="M10" i="33"/>
  <c r="BY10" i="33"/>
  <c r="AA10" i="33" s="1"/>
  <c r="AB10" i="33" s="1"/>
  <c r="M14" i="33"/>
  <c r="BY14" i="33"/>
  <c r="AA14" i="33" s="1"/>
  <c r="AB14" i="33" s="1"/>
  <c r="DA108" i="32"/>
  <c r="CV108" i="32" s="1"/>
  <c r="CZ108" i="32"/>
  <c r="DB108" i="32"/>
  <c r="CT74" i="32"/>
  <c r="CD27" i="32"/>
  <c r="DA102" i="32"/>
  <c r="CV102" i="32" s="1"/>
  <c r="CZ102" i="32"/>
  <c r="DB102" i="32"/>
  <c r="CJ62" i="32"/>
  <c r="CB27" i="32"/>
  <c r="CC27" i="32"/>
  <c r="CB36" i="32"/>
  <c r="CC36" i="32"/>
  <c r="CY111" i="32"/>
  <c r="CY74" i="32"/>
  <c r="CY95" i="32"/>
  <c r="CW58" i="32"/>
  <c r="CW95" i="32"/>
  <c r="CX58" i="32"/>
  <c r="CX95" i="32"/>
  <c r="CN58" i="32"/>
  <c r="CN95" i="32"/>
  <c r="CB20" i="32"/>
  <c r="CC20" i="32"/>
  <c r="CY58" i="32"/>
  <c r="CS9" i="32"/>
  <c r="AY9" i="32"/>
  <c r="AY35" i="30"/>
  <c r="CN35" i="30"/>
  <c r="CN22" i="30"/>
  <c r="AY22" i="30"/>
  <c r="CT104" i="32"/>
  <c r="CT67" i="32"/>
  <c r="CT108" i="32"/>
  <c r="CW61" i="32"/>
  <c r="CN98" i="32"/>
  <c r="CB23" i="32"/>
  <c r="CC23" i="32"/>
  <c r="CW98" i="32"/>
  <c r="CX98" i="32"/>
  <c r="CN61" i="32"/>
  <c r="CX61" i="32"/>
  <c r="CU98" i="32"/>
  <c r="CU61" i="32"/>
  <c r="CT69" i="32"/>
  <c r="CP11" i="32"/>
  <c r="CO11" i="32"/>
  <c r="P23" i="33"/>
  <c r="P27" i="33"/>
  <c r="P31" i="33"/>
  <c r="P34" i="33"/>
  <c r="P36" i="33"/>
  <c r="P26" i="33"/>
  <c r="P28" i="33"/>
  <c r="P32" i="33"/>
  <c r="P24" i="33"/>
  <c r="P30" i="33"/>
  <c r="P33" i="33"/>
  <c r="P35" i="33"/>
  <c r="P29" i="33"/>
  <c r="P25" i="33"/>
  <c r="CY18" i="32"/>
  <c r="CW18" i="32"/>
  <c r="DS8" i="30"/>
  <c r="CJ9" i="30"/>
  <c r="CK9" i="30"/>
  <c r="CR13" i="30"/>
  <c r="CT13" i="30"/>
  <c r="CS33" i="32"/>
  <c r="CS108" i="32" s="1"/>
  <c r="AY33" i="32"/>
  <c r="CS25" i="32"/>
  <c r="CS63" i="32" s="1"/>
  <c r="AY25" i="32"/>
  <c r="BR11" i="31"/>
  <c r="BQ11" i="31"/>
  <c r="BY88" i="31"/>
  <c r="BV14" i="31"/>
  <c r="BY51" i="31" s="1"/>
  <c r="CD14" i="31"/>
  <c r="CC14" i="31"/>
  <c r="AJ14" i="31"/>
  <c r="R14" i="31"/>
  <c r="AH14" i="31" s="1"/>
  <c r="BX14" i="31"/>
  <c r="CA14" i="31"/>
  <c r="CF13" i="26"/>
  <c r="CG13" i="26"/>
  <c r="CC13" i="26"/>
  <c r="CE13" i="26"/>
  <c r="CD37" i="33"/>
  <c r="CC42" i="33" s="1"/>
  <c r="CW111" i="32"/>
  <c r="CU74" i="32"/>
  <c r="AB22" i="33"/>
  <c r="CD49" i="31"/>
  <c r="CD86" i="31"/>
  <c r="CB86" i="31"/>
  <c r="CA86" i="31"/>
  <c r="CD26" i="32"/>
  <c r="CJ72" i="32"/>
  <c r="CN87" i="32"/>
  <c r="CN50" i="32"/>
  <c r="CB12" i="32"/>
  <c r="CC12" i="32"/>
  <c r="CJ104" i="32"/>
  <c r="AG16" i="30"/>
  <c r="AE16" i="30"/>
  <c r="AW16" i="30"/>
  <c r="AX16" i="30"/>
  <c r="CO16" i="30" s="1"/>
  <c r="CB72" i="31"/>
  <c r="CA72" i="31"/>
  <c r="BX13" i="33"/>
  <c r="Z13" i="33" s="1"/>
  <c r="K13" i="33"/>
  <c r="AE15" i="32"/>
  <c r="AW15" i="32" s="1"/>
  <c r="AG15" i="32"/>
  <c r="AX15" i="32" s="1"/>
  <c r="CT15" i="32" s="1"/>
  <c r="CB64" i="31"/>
  <c r="CA64" i="31"/>
  <c r="CW46" i="32"/>
  <c r="CW83" i="32"/>
  <c r="CA62" i="31"/>
  <c r="CB62" i="31"/>
  <c r="CB15" i="32"/>
  <c r="CC39" i="33"/>
  <c r="CC37" i="33"/>
  <c r="CB45" i="31"/>
  <c r="CA45" i="31"/>
  <c r="CD36" i="32"/>
  <c r="CH17" i="32"/>
  <c r="CN55" i="32" s="1"/>
  <c r="CT106" i="32"/>
  <c r="BR37" i="33"/>
  <c r="B29" i="33"/>
  <c r="G38" i="33"/>
  <c r="BV44" i="33"/>
  <c r="BV45" i="33" s="1"/>
  <c r="B31" i="33"/>
  <c r="B23" i="33"/>
  <c r="B35" i="33"/>
  <c r="B27" i="33"/>
  <c r="B25" i="33"/>
  <c r="B33" i="33"/>
  <c r="B30" i="33"/>
  <c r="B26" i="33"/>
  <c r="B28" i="33"/>
  <c r="B32" i="33"/>
  <c r="B24" i="33"/>
  <c r="B34" i="33"/>
  <c r="B36" i="33"/>
  <c r="AY31" i="32"/>
  <c r="CS31" i="32"/>
  <c r="CS69" i="32" s="1"/>
  <c r="AY23" i="32"/>
  <c r="CS23" i="32"/>
  <c r="CT8" i="30"/>
  <c r="CR8" i="30"/>
  <c r="CS9" i="30"/>
  <c r="CC85" i="31"/>
  <c r="CC48" i="31"/>
  <c r="CD48" i="31"/>
  <c r="BV15" i="31"/>
  <c r="BY89" i="31" s="1"/>
  <c r="CD15" i="31"/>
  <c r="R15" i="31"/>
  <c r="AH15" i="31" s="1"/>
  <c r="BX15" i="31"/>
  <c r="CC15" i="31"/>
  <c r="CA15" i="31"/>
  <c r="BV10" i="31"/>
  <c r="BY47" i="31" s="1"/>
  <c r="CD10" i="31"/>
  <c r="CC10" i="31"/>
  <c r="CG2" i="31"/>
  <c r="R10" i="31"/>
  <c r="AH10" i="31" s="1"/>
  <c r="BX10" i="31"/>
  <c r="CA10" i="31"/>
  <c r="BY6" i="31"/>
  <c r="BZ48" i="31" s="1"/>
  <c r="AG12" i="30"/>
  <c r="AX12" i="30" s="1"/>
  <c r="CO12" i="30" s="1"/>
  <c r="AE12" i="30"/>
  <c r="AW12" i="30" s="1"/>
  <c r="AY10" i="32"/>
  <c r="CS10" i="32"/>
  <c r="AY33" i="30"/>
  <c r="CN33" i="30"/>
  <c r="AY19" i="32"/>
  <c r="CS19" i="32"/>
  <c r="CJ106" i="32"/>
  <c r="AE13" i="32"/>
  <c r="AW13" i="32" s="1"/>
  <c r="AG13" i="32"/>
  <c r="AX13" i="32" s="1"/>
  <c r="CT13" i="32" s="1"/>
  <c r="CB82" i="31"/>
  <c r="CA82" i="31"/>
  <c r="B14" i="33"/>
  <c r="DD10" i="33"/>
  <c r="BY9" i="33"/>
  <c r="AA9" i="33" s="1"/>
  <c r="AB9" i="33" s="1"/>
  <c r="M9" i="33"/>
  <c r="CS36" i="32"/>
  <c r="CS74" i="32" s="1"/>
  <c r="AY36" i="32"/>
  <c r="CT96" i="32"/>
  <c r="CT59" i="32"/>
  <c r="AY35" i="32"/>
  <c r="CS35" i="32"/>
  <c r="CC86" i="31"/>
  <c r="CC49" i="31"/>
  <c r="BQ12" i="31"/>
  <c r="BR12" i="31"/>
  <c r="CN94" i="32"/>
  <c r="CU94" i="32"/>
  <c r="CW57" i="32"/>
  <c r="CB19" i="32"/>
  <c r="CC19" i="32"/>
  <c r="CN57" i="32"/>
  <c r="CX94" i="32"/>
  <c r="CU57" i="32"/>
  <c r="CX57" i="32"/>
  <c r="CW94" i="32"/>
  <c r="CW50" i="32"/>
  <c r="CW87" i="32"/>
  <c r="CZ103" i="32"/>
  <c r="DA103" i="32"/>
  <c r="CV103" i="32" s="1"/>
  <c r="DB103" i="32"/>
  <c r="AG8" i="30"/>
  <c r="AX8" i="30" s="1"/>
  <c r="CO8" i="30" s="1"/>
  <c r="AE8" i="30"/>
  <c r="AW8" i="30" s="1"/>
  <c r="DD11" i="33"/>
  <c r="B15" i="33"/>
  <c r="B12" i="33"/>
  <c r="DD8" i="33"/>
  <c r="DD5" i="33"/>
  <c r="DE5" i="33" s="1"/>
  <c r="CJ9" i="33" s="1"/>
  <c r="B9" i="33"/>
  <c r="DA100" i="32"/>
  <c r="CV100" i="32" s="1"/>
  <c r="DB100" i="32"/>
  <c r="CZ100" i="32"/>
  <c r="AY11" i="30"/>
  <c r="CN11" i="30"/>
  <c r="DG7" i="26"/>
  <c r="CL11" i="26" s="1"/>
  <c r="DG4" i="26"/>
  <c r="CL8" i="26" s="1"/>
  <c r="CN29" i="30"/>
  <c r="AY29" i="30"/>
  <c r="CF16" i="26"/>
  <c r="CG16" i="26"/>
  <c r="CC16" i="26"/>
  <c r="CS29" i="32"/>
  <c r="AY29" i="32"/>
  <c r="CT71" i="32"/>
  <c r="CW17" i="32"/>
  <c r="CY17" i="32"/>
  <c r="CJ96" i="32"/>
  <c r="CX9" i="32"/>
  <c r="CW13" i="32"/>
  <c r="CY13" i="32"/>
  <c r="BZ13" i="26"/>
  <c r="AG13" i="26"/>
  <c r="DF9" i="26"/>
  <c r="DG9" i="26" s="1"/>
  <c r="CL13" i="26" s="1"/>
  <c r="CA13" i="26"/>
  <c r="AE13" i="26"/>
  <c r="CP52" i="32"/>
  <c r="CR52" i="32" s="1"/>
  <c r="CU50" i="32"/>
  <c r="CU83" i="32"/>
  <c r="CW102" i="32"/>
  <c r="CU65" i="32"/>
  <c r="CY98" i="32"/>
  <c r="CP65" i="32"/>
  <c r="CR65" i="32" s="1"/>
  <c r="CE37" i="33"/>
  <c r="CC40" i="33" s="1"/>
  <c r="CP61" i="32"/>
  <c r="CR61" i="32" s="1"/>
  <c r="B10" i="33"/>
  <c r="B20" i="33"/>
  <c r="CY83" i="32"/>
  <c r="CE14" i="26"/>
  <c r="CX111" i="32"/>
  <c r="CN65" i="32"/>
  <c r="AH12" i="31"/>
  <c r="AB19" i="33"/>
  <c r="CU95" i="32"/>
  <c r="CP87" i="32"/>
  <c r="CR87" i="32" s="1"/>
  <c r="CU70" i="32"/>
  <c r="CP46" i="32"/>
  <c r="B17" i="33"/>
  <c r="CU46" i="32"/>
  <c r="B19" i="33"/>
  <c r="CW65" i="32"/>
  <c r="CP102" i="32"/>
  <c r="CR102" i="32" s="1"/>
  <c r="CP74" i="32"/>
  <c r="CR74" i="32" s="1"/>
  <c r="CP58" i="32"/>
  <c r="CR58" i="32" s="1"/>
  <c r="B16" i="33"/>
  <c r="CG10" i="26"/>
  <c r="CP98" i="32"/>
  <c r="CR98" i="32" s="1"/>
  <c r="B11" i="33"/>
  <c r="DG5" i="26"/>
  <c r="CL9" i="26" s="1"/>
  <c r="AJ11" i="31"/>
  <c r="BY48" i="31"/>
  <c r="AY21" i="30"/>
  <c r="CN21" i="30"/>
  <c r="CA70" i="31"/>
  <c r="CB70" i="31"/>
  <c r="CT16" i="30"/>
  <c r="CR16" i="30"/>
  <c r="CT72" i="32"/>
  <c r="BX49" i="31"/>
  <c r="BX86" i="31"/>
  <c r="CN89" i="32"/>
  <c r="CN52" i="32"/>
  <c r="CC14" i="32"/>
  <c r="CX89" i="32"/>
  <c r="CD32" i="32"/>
  <c r="DB87" i="32"/>
  <c r="CZ87" i="32"/>
  <c r="DA87" i="32"/>
  <c r="CV87" i="32" s="1"/>
  <c r="CR83" i="32"/>
  <c r="CN83" i="32"/>
  <c r="CB8" i="32"/>
  <c r="CC8" i="32"/>
  <c r="CN46" i="32"/>
  <c r="AE14" i="32"/>
  <c r="AW14" i="32" s="1"/>
  <c r="AG14" i="32"/>
  <c r="AX14" i="32" s="1"/>
  <c r="CT14" i="32" s="1"/>
  <c r="CS8" i="30"/>
  <c r="CB58" i="31"/>
  <c r="CA58" i="31"/>
  <c r="CA93" i="31"/>
  <c r="CB93" i="31"/>
  <c r="AY16" i="32"/>
  <c r="CS12" i="32"/>
  <c r="AY12" i="32"/>
  <c r="CN28" i="30"/>
  <c r="AY28" i="30"/>
  <c r="AG14" i="26"/>
  <c r="AE14" i="26"/>
  <c r="DF10" i="26"/>
  <c r="DG10" i="26" s="1"/>
  <c r="CL14" i="26" s="1"/>
  <c r="CA14" i="26"/>
  <c r="BZ14" i="26"/>
  <c r="CF9" i="26"/>
  <c r="CG9" i="26"/>
  <c r="CC9" i="26"/>
  <c r="CC38" i="26"/>
  <c r="CB37" i="26"/>
  <c r="T7" i="26" s="1"/>
  <c r="CT63" i="32"/>
  <c r="DB63" i="32"/>
  <c r="DA63" i="32"/>
  <c r="CV63" i="32" s="1"/>
  <c r="CZ63" i="32"/>
  <c r="AG8" i="32"/>
  <c r="AX8" i="32" s="1"/>
  <c r="CT8" i="32" s="1"/>
  <c r="AE8" i="32"/>
  <c r="AW8" i="32" s="1"/>
  <c r="BY13" i="33"/>
  <c r="AA13" i="33" s="1"/>
  <c r="M13" i="33"/>
  <c r="BY11" i="33"/>
  <c r="AA11" i="33" s="1"/>
  <c r="M11" i="33"/>
  <c r="AY9" i="30"/>
  <c r="CN9" i="30"/>
  <c r="AY17" i="30"/>
  <c r="CN17" i="30"/>
  <c r="AY19" i="30"/>
  <c r="CN19" i="30"/>
  <c r="CN24" i="30"/>
  <c r="AY24" i="30"/>
  <c r="CG14" i="26"/>
  <c r="CF14" i="26"/>
  <c r="CC14" i="26"/>
  <c r="CS21" i="32"/>
  <c r="AY21" i="32"/>
  <c r="DB109" i="32"/>
  <c r="CZ109" i="32"/>
  <c r="DA109" i="32"/>
  <c r="CV109" i="32" s="1"/>
  <c r="CT102" i="32"/>
  <c r="CR15" i="30"/>
  <c r="CT15" i="30"/>
  <c r="AY7" i="30"/>
  <c r="CN7" i="30"/>
  <c r="AY15" i="30"/>
  <c r="CN15" i="30"/>
  <c r="CT100" i="32"/>
  <c r="AE17" i="32"/>
  <c r="AW17" i="32" s="1"/>
  <c r="AG17" i="32"/>
  <c r="AX17" i="32" s="1"/>
  <c r="CT17" i="32" s="1"/>
  <c r="BV17" i="31"/>
  <c r="BY91" i="31" s="1"/>
  <c r="R17" i="31"/>
  <c r="AH17" i="31" s="1"/>
  <c r="BX17" i="31"/>
  <c r="CD17" i="31"/>
  <c r="CA17" i="31"/>
  <c r="CC17" i="31"/>
  <c r="B17" i="31"/>
  <c r="K8" i="33"/>
  <c r="BX8" i="33"/>
  <c r="Z8" i="33" s="1"/>
  <c r="AB8" i="33" s="1"/>
  <c r="CH10" i="32"/>
  <c r="CY48" i="32" s="1"/>
  <c r="DB101" i="32"/>
  <c r="CZ101" i="32"/>
  <c r="DA101" i="32"/>
  <c r="CV101" i="32" s="1"/>
  <c r="CT54" i="32"/>
  <c r="CX110" i="32"/>
  <c r="CY110" i="32"/>
  <c r="CW73" i="32"/>
  <c r="CN110" i="32"/>
  <c r="CN73" i="32"/>
  <c r="CU110" i="32"/>
  <c r="CB35" i="32"/>
  <c r="CC35" i="32"/>
  <c r="CW110" i="32"/>
  <c r="CY73" i="32"/>
  <c r="CU73" i="32"/>
  <c r="CX73" i="32"/>
  <c r="DA107" i="32"/>
  <c r="CV107" i="32" s="1"/>
  <c r="DB107" i="32"/>
  <c r="CX87" i="32"/>
  <c r="CX50" i="32"/>
  <c r="DA66" i="32"/>
  <c r="CV66" i="32" s="1"/>
  <c r="DB66" i="32"/>
  <c r="CZ66" i="32"/>
  <c r="CX83" i="32"/>
  <c r="CX46" i="32"/>
  <c r="AE11" i="32"/>
  <c r="AW11" i="32" s="1"/>
  <c r="AG11" i="32"/>
  <c r="AX11" i="32" s="1"/>
  <c r="CT11" i="32" s="1"/>
  <c r="CA53" i="31"/>
  <c r="DB71" i="32"/>
  <c r="DA71" i="32"/>
  <c r="CV71" i="32" s="1"/>
  <c r="CZ71" i="32"/>
  <c r="BY17" i="33"/>
  <c r="AA17" i="33" s="1"/>
  <c r="AB17" i="33" s="1"/>
  <c r="M17" i="33"/>
  <c r="BX11" i="33"/>
  <c r="Z11" i="33" s="1"/>
  <c r="AB11" i="33" s="1"/>
  <c r="K11" i="33"/>
  <c r="AY34" i="30"/>
  <c r="CN34" i="30"/>
  <c r="CX70" i="32"/>
  <c r="CW70" i="32"/>
  <c r="CW107" i="32"/>
  <c r="CX107" i="32"/>
  <c r="CN107" i="32"/>
  <c r="CB32" i="32"/>
  <c r="CC32" i="32"/>
  <c r="CY70" i="32"/>
  <c r="CY107" i="32"/>
  <c r="CN70" i="32"/>
  <c r="CN10" i="30"/>
  <c r="AY10" i="30"/>
  <c r="CJ91" i="32"/>
  <c r="CX11" i="32"/>
  <c r="CH18" i="32"/>
  <c r="CN93" i="32" s="1"/>
  <c r="CW64" i="32"/>
  <c r="CN64" i="32"/>
  <c r="CW101" i="32"/>
  <c r="CN101" i="32"/>
  <c r="CB26" i="32"/>
  <c r="CC26" i="32"/>
  <c r="CX64" i="32"/>
  <c r="CX101" i="32"/>
  <c r="CY101" i="32"/>
  <c r="CY64" i="32"/>
  <c r="CW68" i="32"/>
  <c r="CU68" i="32"/>
  <c r="CU105" i="32"/>
  <c r="CN105" i="32"/>
  <c r="CW105" i="32"/>
  <c r="CB30" i="32"/>
  <c r="CC30" i="32"/>
  <c r="CN68" i="32"/>
  <c r="CY105" i="32"/>
  <c r="CX105" i="32"/>
  <c r="CX68" i="32"/>
  <c r="CY68" i="32"/>
  <c r="CO9" i="32"/>
  <c r="CP9" i="32"/>
  <c r="DS13" i="30"/>
  <c r="CH13" i="32"/>
  <c r="AY27" i="32"/>
  <c r="CS27" i="32"/>
  <c r="CS102" i="32" s="1"/>
  <c r="CU58" i="32"/>
  <c r="CP50" i="32"/>
  <c r="CR50" i="32" s="1"/>
  <c r="CY87" i="32"/>
  <c r="DG8" i="26"/>
  <c r="CL12" i="26" s="1"/>
  <c r="CN111" i="32"/>
  <c r="CP111" i="32"/>
  <c r="CR111" i="32" s="1"/>
  <c r="CP95" i="32"/>
  <c r="CR95" i="32" s="1"/>
  <c r="CW74" i="32"/>
  <c r="CU111" i="32"/>
  <c r="B7" i="33"/>
  <c r="B13" i="33"/>
  <c r="B8" i="33"/>
  <c r="BV5" i="26"/>
  <c r="B13" i="26" s="1"/>
  <c r="BY85" i="31"/>
  <c r="CC15" i="32" l="1"/>
  <c r="BX48" i="31"/>
  <c r="CP90" i="32"/>
  <c r="CR90" i="32" s="1"/>
  <c r="CN20" i="30"/>
  <c r="AJ10" i="31"/>
  <c r="CX90" i="32"/>
  <c r="CN53" i="32"/>
  <c r="CT53" i="32" s="1"/>
  <c r="CB106" i="31"/>
  <c r="CA106" i="31"/>
  <c r="CA69" i="31"/>
  <c r="CB69" i="31"/>
  <c r="CS37" i="30"/>
  <c r="CM46" i="30" s="1"/>
  <c r="CP53" i="32"/>
  <c r="CR53" i="32" s="1"/>
  <c r="CX53" i="32"/>
  <c r="T31" i="26"/>
  <c r="T24" i="26"/>
  <c r="CE39" i="26"/>
  <c r="CE56" i="26" s="1"/>
  <c r="T18" i="26"/>
  <c r="T30" i="26"/>
  <c r="AY14" i="30"/>
  <c r="CS71" i="32"/>
  <c r="T20" i="26"/>
  <c r="T21" i="26"/>
  <c r="T23" i="26"/>
  <c r="CD53" i="31"/>
  <c r="CU53" i="32"/>
  <c r="AY25" i="30"/>
  <c r="CD83" i="31"/>
  <c r="CD46" i="31"/>
  <c r="BY83" i="31"/>
  <c r="BY46" i="31"/>
  <c r="BX83" i="31"/>
  <c r="CX85" i="32"/>
  <c r="CU89" i="32"/>
  <c r="CP85" i="32"/>
  <c r="CR85" i="32" s="1"/>
  <c r="AJ9" i="31"/>
  <c r="CT112" i="32"/>
  <c r="CT7" i="30"/>
  <c r="CR7" i="30"/>
  <c r="CY15" i="32"/>
  <c r="CW15" i="32"/>
  <c r="CU52" i="32"/>
  <c r="CX48" i="32"/>
  <c r="CX38" i="32"/>
  <c r="CF12" i="32" s="1"/>
  <c r="CX52" i="32"/>
  <c r="CB14" i="32"/>
  <c r="CN90" i="32"/>
  <c r="CT90" i="32" s="1"/>
  <c r="CA49" i="31"/>
  <c r="CC90" i="31"/>
  <c r="BQ9" i="31"/>
  <c r="CC83" i="31"/>
  <c r="BR9" i="31"/>
  <c r="CY14" i="32"/>
  <c r="CW14" i="32"/>
  <c r="CA90" i="31"/>
  <c r="CB90" i="31"/>
  <c r="CS62" i="32"/>
  <c r="CX55" i="32"/>
  <c r="CS18" i="32"/>
  <c r="CS93" i="32" s="1"/>
  <c r="CZ53" i="32"/>
  <c r="AY13" i="30"/>
  <c r="CN13" i="30"/>
  <c r="CG37" i="26"/>
  <c r="CT75" i="32"/>
  <c r="CS75" i="32"/>
  <c r="CB96" i="31"/>
  <c r="CA96" i="31"/>
  <c r="CT12" i="30"/>
  <c r="CR12" i="30"/>
  <c r="CP48" i="32"/>
  <c r="CR48" i="32" s="1"/>
  <c r="T14" i="26"/>
  <c r="CB40" i="26"/>
  <c r="CF37" i="26"/>
  <c r="CE42" i="26" s="1"/>
  <c r="CS72" i="32"/>
  <c r="T16" i="26"/>
  <c r="T11" i="26"/>
  <c r="T32" i="26"/>
  <c r="CS103" i="32"/>
  <c r="CB59" i="31"/>
  <c r="CA59" i="31"/>
  <c r="CB87" i="31"/>
  <c r="CA87" i="31"/>
  <c r="CW85" i="32"/>
  <c r="T33" i="26"/>
  <c r="T27" i="26"/>
  <c r="T17" i="26"/>
  <c r="T22" i="26"/>
  <c r="T34" i="26"/>
  <c r="DB112" i="32"/>
  <c r="CZ112" i="32"/>
  <c r="DA112" i="32"/>
  <c r="CV112" i="32" s="1"/>
  <c r="CJ112" i="32" s="1"/>
  <c r="B22" i="33"/>
  <c r="B18" i="33"/>
  <c r="B21" i="33"/>
  <c r="CW48" i="32"/>
  <c r="AB13" i="33"/>
  <c r="T15" i="26"/>
  <c r="CA50" i="31"/>
  <c r="CB50" i="31"/>
  <c r="AY23" i="30"/>
  <c r="CN23" i="30"/>
  <c r="CN32" i="30"/>
  <c r="AY32" i="30"/>
  <c r="CS54" i="32"/>
  <c r="CA47" i="31"/>
  <c r="CB47" i="31"/>
  <c r="CC53" i="33"/>
  <c r="CC41" i="33"/>
  <c r="CC55" i="33"/>
  <c r="CC57" i="33" s="1"/>
  <c r="CT87" i="32"/>
  <c r="CS87" i="32"/>
  <c r="DS9" i="30"/>
  <c r="CT93" i="32"/>
  <c r="CH11" i="32"/>
  <c r="CP49" i="32" s="1"/>
  <c r="CR49" i="32" s="1"/>
  <c r="CT95" i="32"/>
  <c r="CS95" i="32"/>
  <c r="C8" i="33"/>
  <c r="D8" i="33"/>
  <c r="CB13" i="32"/>
  <c r="CC13" i="32"/>
  <c r="CU88" i="32"/>
  <c r="CU51" i="32"/>
  <c r="CU93" i="32"/>
  <c r="CB18" i="32"/>
  <c r="CC18" i="32"/>
  <c r="CX93" i="32"/>
  <c r="CX56" i="32"/>
  <c r="CU56" i="32"/>
  <c r="CJ71" i="32"/>
  <c r="CJ107" i="32"/>
  <c r="CT73" i="32"/>
  <c r="CS73" i="32"/>
  <c r="BZ91" i="31"/>
  <c r="BQ17" i="31"/>
  <c r="BZ54" i="31"/>
  <c r="BR17" i="31"/>
  <c r="CT89" i="32"/>
  <c r="CB48" i="31"/>
  <c r="CA48" i="31"/>
  <c r="C20" i="33"/>
  <c r="D20" i="33"/>
  <c r="DB83" i="32"/>
  <c r="DA83" i="32"/>
  <c r="CZ83" i="32"/>
  <c r="CT55" i="32"/>
  <c r="C9" i="33"/>
  <c r="D9" i="33"/>
  <c r="C15" i="33"/>
  <c r="D15" i="33"/>
  <c r="DN6" i="31"/>
  <c r="DN9" i="31"/>
  <c r="DN5" i="31"/>
  <c r="DN8" i="31"/>
  <c r="DN7" i="31"/>
  <c r="CC52" i="31"/>
  <c r="CC89" i="31"/>
  <c r="CD52" i="31"/>
  <c r="CD89" i="31"/>
  <c r="BZ89" i="31"/>
  <c r="BQ15" i="31"/>
  <c r="BZ52" i="31"/>
  <c r="BR15" i="31"/>
  <c r="C36" i="33"/>
  <c r="D36" i="33"/>
  <c r="C28" i="33"/>
  <c r="D28" i="33"/>
  <c r="C35" i="33"/>
  <c r="D35" i="33"/>
  <c r="CB17" i="32"/>
  <c r="CC17" i="32"/>
  <c r="CU92" i="32"/>
  <c r="CU55" i="32"/>
  <c r="CS50" i="32"/>
  <c r="CT50" i="32"/>
  <c r="DA74" i="32"/>
  <c r="CV74" i="32" s="1"/>
  <c r="DB74" i="32"/>
  <c r="CZ74" i="32"/>
  <c r="CD51" i="31"/>
  <c r="CD88" i="31"/>
  <c r="CB88" i="31"/>
  <c r="CA88" i="31"/>
  <c r="CW56" i="32"/>
  <c r="CW93" i="32"/>
  <c r="CY11" i="32"/>
  <c r="CW11" i="32"/>
  <c r="CN49" i="32"/>
  <c r="DA61" i="32"/>
  <c r="CV61" i="32" s="1"/>
  <c r="DB61" i="32"/>
  <c r="CZ61" i="32"/>
  <c r="CJ64" i="32"/>
  <c r="DA111" i="32"/>
  <c r="CV111" i="32" s="1"/>
  <c r="DB111" i="32"/>
  <c r="CZ111" i="32"/>
  <c r="DA52" i="32"/>
  <c r="CV52" i="32" s="1"/>
  <c r="DB52" i="32"/>
  <c r="CZ52" i="32"/>
  <c r="CS68" i="32"/>
  <c r="CT68" i="32"/>
  <c r="DA68" i="32"/>
  <c r="CV68" i="32" s="1"/>
  <c r="CZ68" i="32"/>
  <c r="DB68" i="32"/>
  <c r="CT64" i="32"/>
  <c r="CS64" i="32"/>
  <c r="CJ66" i="32"/>
  <c r="CZ110" i="32"/>
  <c r="DA110" i="32"/>
  <c r="CV110" i="32" s="1"/>
  <c r="DB110" i="32"/>
  <c r="BX91" i="31"/>
  <c r="BX54" i="31"/>
  <c r="CS17" i="32"/>
  <c r="CS55" i="32" s="1"/>
  <c r="AY17" i="32"/>
  <c r="CJ109" i="32"/>
  <c r="CS59" i="32"/>
  <c r="CS96" i="32"/>
  <c r="CS8" i="32"/>
  <c r="CS46" i="32" s="1"/>
  <c r="AY8" i="32"/>
  <c r="C11" i="33"/>
  <c r="D11" i="33"/>
  <c r="C16" i="33"/>
  <c r="D16" i="33"/>
  <c r="CW92" i="32"/>
  <c r="CW55" i="32"/>
  <c r="CS67" i="32"/>
  <c r="CS104" i="32"/>
  <c r="CJ100" i="32"/>
  <c r="C12" i="33"/>
  <c r="D12" i="33"/>
  <c r="CN8" i="30"/>
  <c r="AY8" i="30"/>
  <c r="CJ103" i="32"/>
  <c r="CT57" i="32"/>
  <c r="CS57" i="32"/>
  <c r="C32" i="33"/>
  <c r="D32" i="33"/>
  <c r="C27" i="33"/>
  <c r="D27" i="33"/>
  <c r="CC56" i="33"/>
  <c r="BX51" i="31"/>
  <c r="BX88" i="31"/>
  <c r="CC88" i="31"/>
  <c r="CC51" i="31"/>
  <c r="BQ14" i="31"/>
  <c r="BR14" i="31"/>
  <c r="BZ88" i="31"/>
  <c r="BZ51" i="31"/>
  <c r="CT61" i="32"/>
  <c r="CS61" i="32"/>
  <c r="CJ108" i="32"/>
  <c r="BW14" i="31"/>
  <c r="CE37" i="26"/>
  <c r="DE13" i="33"/>
  <c r="CJ17" i="33" s="1"/>
  <c r="DE14" i="33"/>
  <c r="CJ18" i="33" s="1"/>
  <c r="DE18" i="33"/>
  <c r="CJ22" i="33" s="1"/>
  <c r="DG12" i="26"/>
  <c r="CL16" i="26" s="1"/>
  <c r="CN51" i="32"/>
  <c r="BZ86" i="31"/>
  <c r="T13" i="26"/>
  <c r="CK5" i="30"/>
  <c r="R9" i="30" s="1"/>
  <c r="T12" i="26"/>
  <c r="CP51" i="32"/>
  <c r="CR51" i="32" s="1"/>
  <c r="CP56" i="32"/>
  <c r="CR56" i="32" s="1"/>
  <c r="CX92" i="32"/>
  <c r="AJ17" i="31"/>
  <c r="BY54" i="31"/>
  <c r="CS100" i="32"/>
  <c r="T9" i="26"/>
  <c r="B14" i="26"/>
  <c r="DG11" i="26"/>
  <c r="CL15" i="26" s="1"/>
  <c r="DE7" i="33"/>
  <c r="CJ11" i="33" s="1"/>
  <c r="DE15" i="33"/>
  <c r="CJ19" i="33" s="1"/>
  <c r="CN88" i="32"/>
  <c r="CX51" i="32"/>
  <c r="BW10" i="31"/>
  <c r="AJ15" i="31"/>
  <c r="BW15" i="31"/>
  <c r="DE33" i="33"/>
  <c r="CJ37" i="33" s="1"/>
  <c r="CS106" i="32"/>
  <c r="CP92" i="32"/>
  <c r="CR92" i="32" s="1"/>
  <c r="DE9" i="33"/>
  <c r="CJ13" i="33" s="1"/>
  <c r="CV2" i="30"/>
  <c r="CN56" i="32"/>
  <c r="T10" i="26"/>
  <c r="T8" i="26"/>
  <c r="CA85" i="31"/>
  <c r="CB85" i="31"/>
  <c r="C13" i="33"/>
  <c r="D13" i="33"/>
  <c r="CT111" i="32"/>
  <c r="CS111" i="32"/>
  <c r="CH9" i="32"/>
  <c r="CP84" i="32" s="1"/>
  <c r="DB3" i="32"/>
  <c r="CP6" i="32"/>
  <c r="R11" i="32" s="1"/>
  <c r="CT105" i="32"/>
  <c r="CS105" i="32"/>
  <c r="CT101" i="32"/>
  <c r="CS101" i="32"/>
  <c r="CS70" i="32"/>
  <c r="CT70" i="32"/>
  <c r="CT110" i="32"/>
  <c r="CS110" i="32"/>
  <c r="C17" i="31"/>
  <c r="D17" i="31" s="1"/>
  <c r="CB91" i="31"/>
  <c r="CA91" i="31"/>
  <c r="CS14" i="32"/>
  <c r="CS89" i="32" s="1"/>
  <c r="AY14" i="32"/>
  <c r="CT46" i="32"/>
  <c r="CR46" i="32"/>
  <c r="CT65" i="32"/>
  <c r="CS65" i="32"/>
  <c r="DA65" i="32"/>
  <c r="CV65" i="32" s="1"/>
  <c r="DB65" i="32"/>
  <c r="CZ65" i="32"/>
  <c r="C13" i="26"/>
  <c r="D13" i="26"/>
  <c r="CW88" i="32"/>
  <c r="CW51" i="32"/>
  <c r="CY55" i="32"/>
  <c r="CY92" i="32"/>
  <c r="DA57" i="32"/>
  <c r="CV57" i="32" s="1"/>
  <c r="DB57" i="32"/>
  <c r="CZ57" i="32"/>
  <c r="DA94" i="32"/>
  <c r="CV94" i="32" s="1"/>
  <c r="DB94" i="32"/>
  <c r="CZ94" i="32"/>
  <c r="AY13" i="32"/>
  <c r="CS13" i="32"/>
  <c r="CE8" i="31"/>
  <c r="CE11" i="31"/>
  <c r="CE14" i="31"/>
  <c r="CE19" i="31"/>
  <c r="CE22" i="31"/>
  <c r="CE27" i="31"/>
  <c r="CE30" i="31"/>
  <c r="CE35" i="31"/>
  <c r="CE13" i="31"/>
  <c r="CE16" i="31"/>
  <c r="CE21" i="31"/>
  <c r="CE24" i="31"/>
  <c r="CE29" i="31"/>
  <c r="CE32" i="31"/>
  <c r="CE37" i="31"/>
  <c r="BW13" i="31"/>
  <c r="CE10" i="31"/>
  <c r="CE15" i="31"/>
  <c r="CE18" i="31"/>
  <c r="CE23" i="31"/>
  <c r="CE26" i="31"/>
  <c r="CE31" i="31"/>
  <c r="CE34" i="31"/>
  <c r="CE12" i="31"/>
  <c r="CE33" i="31"/>
  <c r="CE9" i="31"/>
  <c r="CE20" i="31"/>
  <c r="CE17" i="31"/>
  <c r="CE28" i="31"/>
  <c r="CE36" i="31"/>
  <c r="CE25" i="31"/>
  <c r="BW19" i="31"/>
  <c r="BW23" i="31"/>
  <c r="BW27" i="31"/>
  <c r="BW31" i="31"/>
  <c r="BW35" i="31"/>
  <c r="B35" i="31"/>
  <c r="B31" i="31"/>
  <c r="B27" i="31"/>
  <c r="B23" i="31"/>
  <c r="B19" i="31"/>
  <c r="BZ87" i="31"/>
  <c r="BZ73" i="31"/>
  <c r="BZ69" i="31"/>
  <c r="BZ65" i="31"/>
  <c r="BZ61" i="31"/>
  <c r="BZ57" i="31"/>
  <c r="BZ35" i="31"/>
  <c r="BZ31" i="31"/>
  <c r="BZ27" i="31"/>
  <c r="BZ23" i="31"/>
  <c r="BZ19" i="31"/>
  <c r="BZ15" i="31"/>
  <c r="BZ11" i="31"/>
  <c r="BW18" i="31"/>
  <c r="BW22" i="31"/>
  <c r="BW26" i="31"/>
  <c r="BW30" i="31"/>
  <c r="BW34" i="31"/>
  <c r="B36" i="31"/>
  <c r="B32" i="31"/>
  <c r="B28" i="31"/>
  <c r="B24" i="31"/>
  <c r="B20" i="31"/>
  <c r="B16" i="31"/>
  <c r="B8" i="31"/>
  <c r="BW24" i="31"/>
  <c r="BW32" i="31"/>
  <c r="B30" i="31"/>
  <c r="B22" i="31"/>
  <c r="BZ110" i="31"/>
  <c r="BZ100" i="31"/>
  <c r="BZ94" i="31"/>
  <c r="BZ71" i="31"/>
  <c r="BZ55" i="31"/>
  <c r="BZ50" i="31"/>
  <c r="BZ37" i="31"/>
  <c r="BZ32" i="31"/>
  <c r="BZ26" i="31"/>
  <c r="BZ21" i="31"/>
  <c r="BZ16" i="31"/>
  <c r="BZ10" i="31"/>
  <c r="BW20" i="31"/>
  <c r="BW28" i="31"/>
  <c r="BW36" i="31"/>
  <c r="BW25" i="31"/>
  <c r="BW33" i="31"/>
  <c r="B37" i="31"/>
  <c r="B29" i="31"/>
  <c r="B21" i="31"/>
  <c r="B13" i="31"/>
  <c r="BZ104" i="31"/>
  <c r="BZ98" i="31"/>
  <c r="BZ59" i="31"/>
  <c r="BZ36" i="31"/>
  <c r="BZ30" i="31"/>
  <c r="BZ25" i="31"/>
  <c r="BZ20" i="31"/>
  <c r="BZ14" i="31"/>
  <c r="BZ9" i="31"/>
  <c r="BW37" i="31"/>
  <c r="B34" i="31"/>
  <c r="B18" i="31"/>
  <c r="BZ108" i="31"/>
  <c r="BZ29" i="31"/>
  <c r="BZ18" i="31"/>
  <c r="BZ8" i="31"/>
  <c r="BW29" i="31"/>
  <c r="B25" i="31"/>
  <c r="B9" i="31"/>
  <c r="BZ33" i="31"/>
  <c r="BZ22" i="31"/>
  <c r="BZ12" i="31"/>
  <c r="B33" i="31"/>
  <c r="BZ106" i="31"/>
  <c r="BZ96" i="31"/>
  <c r="BZ67" i="31"/>
  <c r="BZ28" i="31"/>
  <c r="BZ17" i="31"/>
  <c r="B26" i="31"/>
  <c r="BZ34" i="31"/>
  <c r="BZ24" i="31"/>
  <c r="BZ102" i="31"/>
  <c r="BZ92" i="31"/>
  <c r="BZ13" i="31"/>
  <c r="BZ39" i="31"/>
  <c r="BW21" i="31"/>
  <c r="BZ63" i="31"/>
  <c r="BW9" i="31"/>
  <c r="BW8" i="31"/>
  <c r="BW16" i="31"/>
  <c r="B11" i="31"/>
  <c r="BZ109" i="31"/>
  <c r="BZ82" i="31"/>
  <c r="BZ58" i="31"/>
  <c r="BZ60" i="31"/>
  <c r="BZ62" i="31"/>
  <c r="BZ103" i="31"/>
  <c r="BW12" i="31"/>
  <c r="B12" i="31"/>
  <c r="BZ93" i="31"/>
  <c r="BZ111" i="31"/>
  <c r="BZ74" i="31"/>
  <c r="BZ107" i="31"/>
  <c r="BZ101" i="31"/>
  <c r="BZ105" i="31"/>
  <c r="BZ70" i="31"/>
  <c r="BZ64" i="31"/>
  <c r="BZ90" i="31"/>
  <c r="BZ45" i="31"/>
  <c r="BZ46" i="31"/>
  <c r="BZ97" i="31"/>
  <c r="BZ99" i="31"/>
  <c r="BZ66" i="31"/>
  <c r="BZ56" i="31"/>
  <c r="BZ53" i="31"/>
  <c r="BW11" i="31"/>
  <c r="BZ72" i="31"/>
  <c r="BZ83" i="31"/>
  <c r="BZ95" i="31"/>
  <c r="BZ68" i="31"/>
  <c r="BX47" i="31"/>
  <c r="BX84" i="31"/>
  <c r="CC84" i="31"/>
  <c r="CC47" i="31"/>
  <c r="BQ10" i="31"/>
  <c r="BZ84" i="31"/>
  <c r="BZ47" i="31"/>
  <c r="BR10" i="31"/>
  <c r="BX52" i="31"/>
  <c r="BX89" i="31"/>
  <c r="CA89" i="31"/>
  <c r="CB89" i="31"/>
  <c r="C34" i="33"/>
  <c r="D34" i="33"/>
  <c r="C26" i="33"/>
  <c r="D26" i="33"/>
  <c r="C33" i="33"/>
  <c r="D33" i="33"/>
  <c r="C23" i="33"/>
  <c r="D23" i="33"/>
  <c r="C29" i="33"/>
  <c r="D29" i="33"/>
  <c r="CS15" i="32"/>
  <c r="AY15" i="32"/>
  <c r="CN16" i="30"/>
  <c r="AY16" i="30"/>
  <c r="DT8" i="30"/>
  <c r="CY8" i="30" s="1"/>
  <c r="DT11" i="30"/>
  <c r="CY11" i="30" s="1"/>
  <c r="DT14" i="30"/>
  <c r="CY14" i="30" s="1"/>
  <c r="DT17" i="30"/>
  <c r="CY17" i="30" s="1"/>
  <c r="DA98" i="32"/>
  <c r="CV98" i="32" s="1"/>
  <c r="DB98" i="32"/>
  <c r="CZ98" i="32"/>
  <c r="CT107" i="32"/>
  <c r="CS107" i="32"/>
  <c r="AY11" i="32"/>
  <c r="CS11" i="32"/>
  <c r="DA73" i="32"/>
  <c r="CV73" i="32" s="1"/>
  <c r="DB73" i="32"/>
  <c r="CZ73" i="32"/>
  <c r="CC54" i="31"/>
  <c r="CC91" i="31"/>
  <c r="CJ63" i="32"/>
  <c r="C17" i="33"/>
  <c r="D17" i="33"/>
  <c r="N38" i="26"/>
  <c r="BW40" i="26" s="1"/>
  <c r="BW46" i="26" s="1"/>
  <c r="B34" i="26"/>
  <c r="B30" i="26"/>
  <c r="B26" i="26"/>
  <c r="B22" i="26"/>
  <c r="B36" i="26"/>
  <c r="B28" i="26"/>
  <c r="M38" i="26"/>
  <c r="BX37" i="26"/>
  <c r="P38" i="26" s="1"/>
  <c r="B35" i="26"/>
  <c r="B27" i="26"/>
  <c r="B19" i="26"/>
  <c r="B11" i="26"/>
  <c r="B32" i="26"/>
  <c r="B23" i="26"/>
  <c r="B7" i="26"/>
  <c r="B31" i="26"/>
  <c r="B24" i="26"/>
  <c r="DG33" i="26"/>
  <c r="CL37" i="26" s="1"/>
  <c r="BW39" i="26"/>
  <c r="B21" i="26"/>
  <c r="B25" i="26"/>
  <c r="B17" i="26"/>
  <c r="B29" i="26"/>
  <c r="B33" i="26"/>
  <c r="B12" i="26"/>
  <c r="B10" i="26"/>
  <c r="B15" i="26"/>
  <c r="B20" i="26"/>
  <c r="B8" i="26"/>
  <c r="B9" i="26"/>
  <c r="B18" i="26"/>
  <c r="B16" i="26"/>
  <c r="C7" i="33"/>
  <c r="D7" i="33"/>
  <c r="DA58" i="32"/>
  <c r="CV58" i="32" s="1"/>
  <c r="CZ58" i="32"/>
  <c r="DB58" i="32"/>
  <c r="CY9" i="32"/>
  <c r="CW9" i="32"/>
  <c r="CN47" i="32"/>
  <c r="CN84" i="32"/>
  <c r="DB105" i="32"/>
  <c r="CZ105" i="32"/>
  <c r="DA105" i="32"/>
  <c r="CV105" i="32" s="1"/>
  <c r="CX86" i="32"/>
  <c r="CJ101" i="32"/>
  <c r="CQ48" i="32"/>
  <c r="CB10" i="32"/>
  <c r="CC10" i="32"/>
  <c r="CN85" i="32"/>
  <c r="CU48" i="32"/>
  <c r="CU85" i="32"/>
  <c r="CN48" i="32"/>
  <c r="CD54" i="31"/>
  <c r="CD91" i="31"/>
  <c r="CM47" i="26"/>
  <c r="CM43" i="26"/>
  <c r="CM48" i="26"/>
  <c r="CM49" i="26"/>
  <c r="CU12" i="26" s="1"/>
  <c r="CM45" i="26"/>
  <c r="CM42" i="26"/>
  <c r="CN9" i="26" s="1"/>
  <c r="CM50" i="26"/>
  <c r="CM46" i="26"/>
  <c r="CM44" i="26"/>
  <c r="CZ12" i="26" s="1"/>
  <c r="CT83" i="32"/>
  <c r="CJ87" i="32"/>
  <c r="CT52" i="32"/>
  <c r="C19" i="33"/>
  <c r="D19" i="33"/>
  <c r="DA70" i="32"/>
  <c r="CV70" i="32" s="1"/>
  <c r="DB70" i="32"/>
  <c r="CZ70" i="32"/>
  <c r="DA95" i="32"/>
  <c r="CV95" i="32" s="1"/>
  <c r="DB95" i="32"/>
  <c r="CZ95" i="32"/>
  <c r="C10" i="33"/>
  <c r="D10" i="33"/>
  <c r="CY51" i="32"/>
  <c r="CY88" i="32"/>
  <c r="CX47" i="32"/>
  <c r="CX84" i="32"/>
  <c r="CT94" i="32"/>
  <c r="CS94" i="32"/>
  <c r="C14" i="33"/>
  <c r="D14" i="33"/>
  <c r="CN12" i="30"/>
  <c r="AY12" i="30"/>
  <c r="CD84" i="31"/>
  <c r="CD47" i="31"/>
  <c r="C24" i="33"/>
  <c r="D24" i="33"/>
  <c r="C30" i="33"/>
  <c r="D30" i="33"/>
  <c r="C25" i="33"/>
  <c r="D25" i="33"/>
  <c r="C31" i="33"/>
  <c r="D31" i="33"/>
  <c r="CB51" i="31"/>
  <c r="CA51" i="31"/>
  <c r="CR9" i="30"/>
  <c r="CT9" i="30"/>
  <c r="CT37" i="30" s="1"/>
  <c r="CY93" i="32"/>
  <c r="CY56" i="32"/>
  <c r="CT98" i="32"/>
  <c r="CS98" i="32"/>
  <c r="CS58" i="32"/>
  <c r="CT58" i="32"/>
  <c r="CJ102" i="32"/>
  <c r="DE11" i="33"/>
  <c r="CJ15" i="33" s="1"/>
  <c r="DE10" i="33"/>
  <c r="CJ14" i="33" s="1"/>
  <c r="B15" i="31"/>
  <c r="CC43" i="33"/>
  <c r="BZ85" i="31"/>
  <c r="DE17" i="33"/>
  <c r="CJ21" i="33" s="1"/>
  <c r="DE16" i="33"/>
  <c r="CJ20" i="33" s="1"/>
  <c r="DT12" i="30"/>
  <c r="CY12" i="30" s="1"/>
  <c r="DE12" i="33"/>
  <c r="CJ16" i="33" s="1"/>
  <c r="DT16" i="30"/>
  <c r="CY16" i="30" s="1"/>
  <c r="CP88" i="32"/>
  <c r="CR88" i="32" s="1"/>
  <c r="CP93" i="32"/>
  <c r="CR93" i="32" s="1"/>
  <c r="BW17" i="31"/>
  <c r="BU8" i="32"/>
  <c r="DE6" i="33"/>
  <c r="CJ10" i="33" s="1"/>
  <c r="CN92" i="32"/>
  <c r="DE8" i="33"/>
  <c r="CJ12" i="33" s="1"/>
  <c r="CX88" i="32"/>
  <c r="BZ49" i="31"/>
  <c r="B10" i="31"/>
  <c r="BY84" i="31"/>
  <c r="BY52" i="31"/>
  <c r="CY85" i="32"/>
  <c r="CP55" i="32"/>
  <c r="CR55" i="32" s="1"/>
  <c r="B14" i="31"/>
  <c r="CE39" i="31" l="1"/>
  <c r="CN86" i="32"/>
  <c r="CS53" i="32"/>
  <c r="CX49" i="32"/>
  <c r="CP86" i="32"/>
  <c r="CR86" i="32" s="1"/>
  <c r="CY52" i="32"/>
  <c r="CY89" i="32"/>
  <c r="CW53" i="32"/>
  <c r="CW90" i="32"/>
  <c r="CY53" i="32"/>
  <c r="CY90" i="32"/>
  <c r="BK8" i="31"/>
  <c r="CE40" i="26"/>
  <c r="CE53" i="26" s="1"/>
  <c r="CA46" i="31"/>
  <c r="CB46" i="31"/>
  <c r="CW52" i="32"/>
  <c r="CW89" i="32"/>
  <c r="CB83" i="31"/>
  <c r="CA83" i="31"/>
  <c r="DA53" i="32"/>
  <c r="CV53" i="32" s="1"/>
  <c r="CJ53" i="32" s="1"/>
  <c r="DB53" i="32"/>
  <c r="CQ92" i="32"/>
  <c r="CQ51" i="32"/>
  <c r="CQ85" i="32"/>
  <c r="CQ93" i="32"/>
  <c r="DC12" i="26"/>
  <c r="CR5" i="26"/>
  <c r="CP12" i="26"/>
  <c r="CZ10" i="26"/>
  <c r="D18" i="33"/>
  <c r="C18" i="33"/>
  <c r="CR37" i="30"/>
  <c r="CM44" i="30" s="1"/>
  <c r="CX76" i="32"/>
  <c r="CQ5" i="26"/>
  <c r="DC9" i="26"/>
  <c r="CQ55" i="32"/>
  <c r="CQ88" i="32"/>
  <c r="C21" i="33"/>
  <c r="D21" i="33"/>
  <c r="CP5" i="26"/>
  <c r="CP10" i="26"/>
  <c r="R9" i="32"/>
  <c r="T9" i="32" s="1"/>
  <c r="CQ56" i="32"/>
  <c r="D22" i="33"/>
  <c r="C22" i="33"/>
  <c r="CX113" i="32"/>
  <c r="CY12" i="26"/>
  <c r="CU10" i="26"/>
  <c r="DD10" i="26"/>
  <c r="CP9" i="26"/>
  <c r="CT9" i="26"/>
  <c r="CZ5" i="26"/>
  <c r="DE10" i="26"/>
  <c r="CS10" i="26"/>
  <c r="CS9" i="26"/>
  <c r="DD12" i="26"/>
  <c r="CS83" i="32"/>
  <c r="CS52" i="32"/>
  <c r="CC58" i="33"/>
  <c r="CC60" i="33" s="1"/>
  <c r="CC62" i="33" s="1"/>
  <c r="CC59" i="33"/>
  <c r="CC61" i="33" s="1"/>
  <c r="CC63" i="33" s="1"/>
  <c r="T9" i="30"/>
  <c r="S9" i="30"/>
  <c r="AI22" i="30"/>
  <c r="AI23" i="30"/>
  <c r="AI27" i="30"/>
  <c r="AI19" i="30"/>
  <c r="AI33" i="30"/>
  <c r="AI21" i="30"/>
  <c r="AI31" i="30"/>
  <c r="AI35" i="30"/>
  <c r="AI25" i="30"/>
  <c r="AI29" i="30"/>
  <c r="AI24" i="30"/>
  <c r="AI20" i="30"/>
  <c r="AI30" i="30"/>
  <c r="AI32" i="30"/>
  <c r="AI18" i="30"/>
  <c r="AI28" i="30"/>
  <c r="AI36" i="30"/>
  <c r="AI34" i="30"/>
  <c r="AI26" i="30"/>
  <c r="BX3" i="33"/>
  <c r="BS44" i="33"/>
  <c r="BS47" i="33"/>
  <c r="BS45" i="33"/>
  <c r="BR51" i="33"/>
  <c r="BR52" i="33" s="1"/>
  <c r="BR53" i="33" s="1"/>
  <c r="BR54" i="33" s="1"/>
  <c r="BR55" i="33" s="1"/>
  <c r="BR56" i="33" s="1"/>
  <c r="BR57" i="33" s="1"/>
  <c r="BR58" i="33" s="1"/>
  <c r="BR59" i="33" s="1"/>
  <c r="BR60" i="33" s="1"/>
  <c r="BR61" i="33" s="1"/>
  <c r="BR62" i="33" s="1"/>
  <c r="BR63" i="33" s="1"/>
  <c r="BR64" i="33" s="1"/>
  <c r="BR65" i="33" s="1"/>
  <c r="BR66" i="33" s="1"/>
  <c r="BR67" i="33" s="1"/>
  <c r="BR68" i="33" s="1"/>
  <c r="BR69" i="33" s="1"/>
  <c r="BR70" i="33" s="1"/>
  <c r="BR71" i="33" s="1"/>
  <c r="BR72" i="33" s="1"/>
  <c r="BR73" i="33" s="1"/>
  <c r="BR74" i="33" s="1"/>
  <c r="BR75" i="33" s="1"/>
  <c r="BR76" i="33" s="1"/>
  <c r="BR77" i="33" s="1"/>
  <c r="BR78" i="33" s="1"/>
  <c r="BR79" i="33" s="1"/>
  <c r="BR80" i="33" s="1"/>
  <c r="BR81" i="33" s="1"/>
  <c r="BR82" i="33" s="1"/>
  <c r="BR83" i="33" s="1"/>
  <c r="BR84" i="33" s="1"/>
  <c r="BR85" i="33" s="1"/>
  <c r="BR86" i="33" s="1"/>
  <c r="BR87" i="33" s="1"/>
  <c r="BR88" i="33" s="1"/>
  <c r="BR89" i="33" s="1"/>
  <c r="BR90" i="33" s="1"/>
  <c r="BR91" i="33" s="1"/>
  <c r="BR92" i="33" s="1"/>
  <c r="BR93" i="33" s="1"/>
  <c r="BR94" i="33" s="1"/>
  <c r="BR95" i="33" s="1"/>
  <c r="BR96" i="33" s="1"/>
  <c r="BR97" i="33" s="1"/>
  <c r="BR98" i="33" s="1"/>
  <c r="BR99" i="33" s="1"/>
  <c r="BR100" i="33" s="1"/>
  <c r="BR101" i="33" s="1"/>
  <c r="BR102" i="33" s="1"/>
  <c r="BR103" i="33" s="1"/>
  <c r="BR104" i="33" s="1"/>
  <c r="BR105" i="33" s="1"/>
  <c r="BR106" i="33" s="1"/>
  <c r="BR107" i="33" s="1"/>
  <c r="BR108" i="33" s="1"/>
  <c r="BR109" i="33" s="1"/>
  <c r="BR110" i="33" s="1"/>
  <c r="BR111" i="33" s="1"/>
  <c r="BR112" i="33" s="1"/>
  <c r="BR113" i="33" s="1"/>
  <c r="BR114" i="33" s="1"/>
  <c r="BR115" i="33" s="1"/>
  <c r="BR116" i="33" s="1"/>
  <c r="BR117" i="33" s="1"/>
  <c r="BR118" i="33" s="1"/>
  <c r="BR119" i="33" s="1"/>
  <c r="BR120" i="33" s="1"/>
  <c r="BR121" i="33" s="1"/>
  <c r="BR122" i="33" s="1"/>
  <c r="BR123" i="33" s="1"/>
  <c r="BR124" i="33" s="1"/>
  <c r="BR125" i="33" s="1"/>
  <c r="BR126" i="33" s="1"/>
  <c r="BR127" i="33" s="1"/>
  <c r="BR128" i="33" s="1"/>
  <c r="BR129" i="33" s="1"/>
  <c r="BR130" i="33" s="1"/>
  <c r="BR131" i="33" s="1"/>
  <c r="BR132" i="33" s="1"/>
  <c r="BR133" i="33" s="1"/>
  <c r="BR134" i="33" s="1"/>
  <c r="BR135" i="33" s="1"/>
  <c r="BR136" i="33" s="1"/>
  <c r="BR137" i="33" s="1"/>
  <c r="BR138" i="33" s="1"/>
  <c r="BR139" i="33" s="1"/>
  <c r="BR140" i="33" s="1"/>
  <c r="BR141" i="33" s="1"/>
  <c r="BR142" i="33" s="1"/>
  <c r="BR143" i="33" s="1"/>
  <c r="BR144" i="33" s="1"/>
  <c r="BR145" i="33" s="1"/>
  <c r="BR146" i="33" s="1"/>
  <c r="BR147" i="33" s="1"/>
  <c r="BR148" i="33" s="1"/>
  <c r="BR149" i="33" s="1"/>
  <c r="BR150" i="33" s="1"/>
  <c r="BR151" i="33" s="1"/>
  <c r="BR152" i="33" s="1"/>
  <c r="BR153" i="33" s="1"/>
  <c r="BR154" i="33" s="1"/>
  <c r="BR155" i="33" s="1"/>
  <c r="BR156" i="33" s="1"/>
  <c r="BR157" i="33" s="1"/>
  <c r="BR158" i="33" s="1"/>
  <c r="BR159" i="33" s="1"/>
  <c r="BR160" i="33" s="1"/>
  <c r="BR161" i="33" s="1"/>
  <c r="BR162" i="33" s="1"/>
  <c r="BR163" i="33" s="1"/>
  <c r="BR164" i="33" s="1"/>
  <c r="BR165" i="33" s="1"/>
  <c r="BR166" i="33" s="1"/>
  <c r="BR167" i="33" s="1"/>
  <c r="BR168" i="33" s="1"/>
  <c r="BR169" i="33" s="1"/>
  <c r="BR170" i="33" s="1"/>
  <c r="BR171" i="33" s="1"/>
  <c r="BR172" i="33" s="1"/>
  <c r="BR173" i="33" s="1"/>
  <c r="BR174" i="33" s="1"/>
  <c r="BR175" i="33" s="1"/>
  <c r="BR176" i="33" s="1"/>
  <c r="BR177" i="33" s="1"/>
  <c r="BR178" i="33" s="1"/>
  <c r="BR179" i="33" s="1"/>
  <c r="BR180" i="33" s="1"/>
  <c r="BR181" i="33" s="1"/>
  <c r="BR182" i="33" s="1"/>
  <c r="BR183" i="33" s="1"/>
  <c r="BR184" i="33" s="1"/>
  <c r="BR185" i="33" s="1"/>
  <c r="BR186" i="33" s="1"/>
  <c r="BR187" i="33" s="1"/>
  <c r="BR188" i="33" s="1"/>
  <c r="BR189" i="33" s="1"/>
  <c r="BR190" i="33" s="1"/>
  <c r="BR191" i="33" s="1"/>
  <c r="BR192" i="33" s="1"/>
  <c r="BR193" i="33" s="1"/>
  <c r="BR194" i="33" s="1"/>
  <c r="BR195" i="33" s="1"/>
  <c r="BR196" i="33" s="1"/>
  <c r="BR197" i="33" s="1"/>
  <c r="BR198" i="33" s="1"/>
  <c r="BR199" i="33" s="1"/>
  <c r="BR200" i="33" s="1"/>
  <c r="BR201" i="33" s="1"/>
  <c r="BR202" i="33" s="1"/>
  <c r="BR203" i="33" s="1"/>
  <c r="BR204" i="33" s="1"/>
  <c r="BR205" i="33" s="1"/>
  <c r="BR206" i="33" s="1"/>
  <c r="BR207" i="33" s="1"/>
  <c r="BR208" i="33" s="1"/>
  <c r="BR209" i="33" s="1"/>
  <c r="BR210" i="33" s="1"/>
  <c r="BR211" i="33" s="1"/>
  <c r="BR212" i="33" s="1"/>
  <c r="BR213" i="33" s="1"/>
  <c r="BR214" i="33" s="1"/>
  <c r="BR215" i="33" s="1"/>
  <c r="BR216" i="33" s="1"/>
  <c r="BR217" i="33" s="1"/>
  <c r="BR218" i="33" s="1"/>
  <c r="BR219" i="33" s="1"/>
  <c r="BR220" i="33" s="1"/>
  <c r="BR221" i="33" s="1"/>
  <c r="BR222" i="33" s="1"/>
  <c r="BR223" i="33" s="1"/>
  <c r="BR224" i="33" s="1"/>
  <c r="BR225" i="33" s="1"/>
  <c r="BR226" i="33" s="1"/>
  <c r="BR227" i="33" s="1"/>
  <c r="BR228" i="33" s="1"/>
  <c r="BR229" i="33" s="1"/>
  <c r="BR230" i="33" s="1"/>
  <c r="BR231" i="33" s="1"/>
  <c r="BR232" i="33" s="1"/>
  <c r="BR233" i="33" s="1"/>
  <c r="BR234" i="33" s="1"/>
  <c r="BR235" i="33" s="1"/>
  <c r="BR236" i="33" s="1"/>
  <c r="BR237" i="33" s="1"/>
  <c r="BR238" i="33" s="1"/>
  <c r="BR239" i="33" s="1"/>
  <c r="BR240" i="33" s="1"/>
  <c r="BR241" i="33" s="1"/>
  <c r="BR242" i="33" s="1"/>
  <c r="BR243" i="33" s="1"/>
  <c r="BR244" i="33" s="1"/>
  <c r="BR245" i="33" s="1"/>
  <c r="BR246" i="33" s="1"/>
  <c r="BR247" i="33" s="1"/>
  <c r="BR248" i="33" s="1"/>
  <c r="BR249" i="33" s="1"/>
  <c r="BR250" i="33" s="1"/>
  <c r="BR251" i="33" s="1"/>
  <c r="BS48" i="33"/>
  <c r="BS46" i="33"/>
  <c r="CJ52" i="32"/>
  <c r="CY86" i="32"/>
  <c r="CY49" i="32"/>
  <c r="T11" i="32"/>
  <c r="S11" i="32"/>
  <c r="CM9" i="26"/>
  <c r="CO12" i="26"/>
  <c r="CW12" i="26"/>
  <c r="CX12" i="26"/>
  <c r="CM43" i="30"/>
  <c r="BW48" i="31"/>
  <c r="BW85" i="31"/>
  <c r="BW46" i="31"/>
  <c r="BW83" i="31"/>
  <c r="C25" i="31"/>
  <c r="D25" i="31"/>
  <c r="BW74" i="31"/>
  <c r="BW111" i="31"/>
  <c r="D29" i="31"/>
  <c r="C29" i="31"/>
  <c r="BW62" i="31"/>
  <c r="BW99" i="31"/>
  <c r="BW94" i="31"/>
  <c r="BW57" i="31"/>
  <c r="BW61" i="31"/>
  <c r="BW98" i="31"/>
  <c r="C24" i="31"/>
  <c r="D24" i="31"/>
  <c r="BW100" i="31"/>
  <c r="BW63" i="31"/>
  <c r="C19" i="31"/>
  <c r="D19" i="31"/>
  <c r="C35" i="31"/>
  <c r="D35" i="31"/>
  <c r="BW64" i="31"/>
  <c r="BW101" i="31"/>
  <c r="CE94" i="31"/>
  <c r="CH20" i="31"/>
  <c r="CG20" i="31"/>
  <c r="CE57" i="31"/>
  <c r="CI20" i="31"/>
  <c r="CL20" i="31"/>
  <c r="CK20" i="31"/>
  <c r="CF20" i="31" s="1"/>
  <c r="CJ20" i="31"/>
  <c r="CE60" i="31"/>
  <c r="CH23" i="31"/>
  <c r="CI23" i="31"/>
  <c r="CE97" i="31"/>
  <c r="CG23" i="31"/>
  <c r="CK23" i="31"/>
  <c r="CF23" i="31" s="1"/>
  <c r="CJ23" i="31"/>
  <c r="CL23" i="31"/>
  <c r="BW50" i="31"/>
  <c r="BW87" i="31"/>
  <c r="CE98" i="31"/>
  <c r="CE61" i="31"/>
  <c r="CG24" i="31"/>
  <c r="CI24" i="31"/>
  <c r="CH24" i="31"/>
  <c r="CL24" i="31"/>
  <c r="CK24" i="31"/>
  <c r="CF24" i="31" s="1"/>
  <c r="CJ24" i="31"/>
  <c r="CE72" i="31"/>
  <c r="CH35" i="31"/>
  <c r="CE109" i="31"/>
  <c r="CI35" i="31"/>
  <c r="CG35" i="31"/>
  <c r="CK35" i="31"/>
  <c r="CF35" i="31" s="1"/>
  <c r="CJ35" i="31"/>
  <c r="CL35" i="31"/>
  <c r="CE56" i="31"/>
  <c r="CH19" i="31"/>
  <c r="CE93" i="31"/>
  <c r="CI19" i="31"/>
  <c r="CG19" i="31"/>
  <c r="CK19" i="31"/>
  <c r="CF19" i="31" s="1"/>
  <c r="CJ19" i="31"/>
  <c r="CL19" i="31"/>
  <c r="CJ94" i="32"/>
  <c r="CT56" i="32"/>
  <c r="CS56" i="32"/>
  <c r="BW47" i="31"/>
  <c r="BW84" i="31"/>
  <c r="CJ110" i="32"/>
  <c r="CJ68" i="32"/>
  <c r="CJ111" i="32"/>
  <c r="CW86" i="32"/>
  <c r="CW49" i="32"/>
  <c r="DB88" i="32"/>
  <c r="DA88" i="32"/>
  <c r="CV88" i="32" s="1"/>
  <c r="CZ88" i="32"/>
  <c r="CS90" i="32"/>
  <c r="CY10" i="26"/>
  <c r="CO10" i="26"/>
  <c r="DE9" i="26"/>
  <c r="CX9" i="26"/>
  <c r="DE12" i="26"/>
  <c r="C10" i="31"/>
  <c r="D10" i="31" s="1"/>
  <c r="CT92" i="32"/>
  <c r="CS92" i="32"/>
  <c r="BW54" i="31"/>
  <c r="BW91" i="31"/>
  <c r="CJ70" i="32"/>
  <c r="CX30" i="26"/>
  <c r="CX28" i="26"/>
  <c r="CX26" i="26"/>
  <c r="CX24" i="26"/>
  <c r="CX22" i="26"/>
  <c r="CX20" i="26"/>
  <c r="CX18" i="26"/>
  <c r="CX8" i="26"/>
  <c r="CX4" i="26"/>
  <c r="CM28" i="26"/>
  <c r="CM24" i="26"/>
  <c r="CM20" i="26"/>
  <c r="CM8" i="26"/>
  <c r="CM4" i="26"/>
  <c r="CW30" i="26"/>
  <c r="CW28" i="26"/>
  <c r="CW26" i="26"/>
  <c r="CW24" i="26"/>
  <c r="CW22" i="26"/>
  <c r="CW20" i="26"/>
  <c r="CW18" i="26"/>
  <c r="CW8" i="26"/>
  <c r="CN28" i="26"/>
  <c r="CN22" i="26"/>
  <c r="CM18" i="26"/>
  <c r="CM15" i="26"/>
  <c r="CX13" i="26"/>
  <c r="CW11" i="26"/>
  <c r="CN26" i="26"/>
  <c r="CM25" i="26"/>
  <c r="CM19" i="26"/>
  <c r="CN13" i="26"/>
  <c r="CM3" i="26"/>
  <c r="CW15" i="26"/>
  <c r="CW4" i="26"/>
  <c r="CW3" i="26"/>
  <c r="CM30" i="26"/>
  <c r="CN24" i="26"/>
  <c r="CN18" i="26"/>
  <c r="CN8" i="26"/>
  <c r="CN32" i="26"/>
  <c r="CM22" i="26"/>
  <c r="CX15" i="26"/>
  <c r="CW13" i="26"/>
  <c r="CX3" i="26"/>
  <c r="CN30" i="26"/>
  <c r="CM26" i="26"/>
  <c r="CN20" i="26"/>
  <c r="CM13" i="26"/>
  <c r="CN4" i="26"/>
  <c r="CM17" i="26"/>
  <c r="CX19" i="26"/>
  <c r="CX11" i="26"/>
  <c r="CW17" i="26"/>
  <c r="CW25" i="26"/>
  <c r="CN17" i="26"/>
  <c r="CX32" i="26"/>
  <c r="CX7" i="26"/>
  <c r="CX17" i="26"/>
  <c r="CN3" i="26"/>
  <c r="CN15" i="26"/>
  <c r="CM32" i="26"/>
  <c r="CM11" i="26"/>
  <c r="CX25" i="26"/>
  <c r="CN25" i="26"/>
  <c r="CW7" i="26"/>
  <c r="CW19" i="26"/>
  <c r="CW32" i="26"/>
  <c r="CN11" i="26"/>
  <c r="CM7" i="26"/>
  <c r="CN7" i="26"/>
  <c r="CN19" i="26"/>
  <c r="CX6" i="26"/>
  <c r="CN23" i="26"/>
  <c r="CX23" i="26"/>
  <c r="CW21" i="26"/>
  <c r="CN21" i="26"/>
  <c r="CM27" i="26"/>
  <c r="CX31" i="26"/>
  <c r="CW6" i="26"/>
  <c r="CM14" i="26"/>
  <c r="CW14" i="26"/>
  <c r="CW27" i="26"/>
  <c r="CW31" i="26"/>
  <c r="CM6" i="26"/>
  <c r="CX29" i="26"/>
  <c r="CW16" i="26"/>
  <c r="CN16" i="26"/>
  <c r="CX14" i="26"/>
  <c r="CN14" i="26"/>
  <c r="CN27" i="26"/>
  <c r="CN31" i="26"/>
  <c r="CM31" i="26"/>
  <c r="CW23" i="26"/>
  <c r="CM23" i="26"/>
  <c r="CW29" i="26"/>
  <c r="CM29" i="26"/>
  <c r="CM21" i="26"/>
  <c r="CX21" i="26"/>
  <c r="CX16" i="26"/>
  <c r="CX27" i="26"/>
  <c r="CN6" i="26"/>
  <c r="CN29" i="26"/>
  <c r="CM16" i="26"/>
  <c r="CO30" i="26"/>
  <c r="CO26" i="26"/>
  <c r="CO22" i="26"/>
  <c r="CO18" i="26"/>
  <c r="CO13" i="26"/>
  <c r="CO3" i="26"/>
  <c r="CY3" i="26"/>
  <c r="CO20" i="26"/>
  <c r="CO7" i="26"/>
  <c r="CY30" i="26"/>
  <c r="CY28" i="26"/>
  <c r="CY26" i="26"/>
  <c r="CY24" i="26"/>
  <c r="CY22" i="26"/>
  <c r="CY20" i="26"/>
  <c r="CY18" i="26"/>
  <c r="CY8" i="26"/>
  <c r="CO28" i="26"/>
  <c r="CO15" i="26"/>
  <c r="CY32" i="26"/>
  <c r="CY15" i="26"/>
  <c r="CO17" i="26"/>
  <c r="CO4" i="26"/>
  <c r="CY4" i="26"/>
  <c r="CO24" i="26"/>
  <c r="CO11" i="26"/>
  <c r="CO8" i="26"/>
  <c r="CY7" i="26"/>
  <c r="CY25" i="26"/>
  <c r="CO25" i="26"/>
  <c r="CO19" i="26"/>
  <c r="CO32" i="26"/>
  <c r="CY19" i="26"/>
  <c r="CY13" i="26"/>
  <c r="CY17" i="26"/>
  <c r="CY11" i="26"/>
  <c r="CY23" i="26"/>
  <c r="CO29" i="26"/>
  <c r="CY29" i="26"/>
  <c r="CO21" i="26"/>
  <c r="CO16" i="26"/>
  <c r="CO31" i="26"/>
  <c r="CY16" i="26"/>
  <c r="CO14" i="26"/>
  <c r="CY14" i="26"/>
  <c r="CO27" i="26"/>
  <c r="CY6" i="26"/>
  <c r="CY27" i="26"/>
  <c r="CY31" i="26"/>
  <c r="CO6" i="26"/>
  <c r="CO23" i="26"/>
  <c r="CY21" i="26"/>
  <c r="CT48" i="32"/>
  <c r="CS48" i="32"/>
  <c r="CJ105" i="32"/>
  <c r="CT47" i="32"/>
  <c r="CS47" i="32"/>
  <c r="C16" i="26"/>
  <c r="D16" i="26"/>
  <c r="C20" i="26"/>
  <c r="D20" i="26"/>
  <c r="C33" i="26"/>
  <c r="D33" i="26"/>
  <c r="C21" i="26"/>
  <c r="D21" i="26"/>
  <c r="C31" i="26"/>
  <c r="D31" i="26"/>
  <c r="C11" i="26"/>
  <c r="D11" i="26"/>
  <c r="C22" i="26"/>
  <c r="D22" i="26"/>
  <c r="CJ73" i="32"/>
  <c r="C12" i="31"/>
  <c r="D12" i="31" s="1"/>
  <c r="C11" i="31"/>
  <c r="D11" i="31" s="1"/>
  <c r="C26" i="31"/>
  <c r="D26" i="31"/>
  <c r="BW103" i="31"/>
  <c r="BW66" i="31"/>
  <c r="D37" i="31"/>
  <c r="C37" i="31"/>
  <c r="C22" i="31"/>
  <c r="D22" i="31"/>
  <c r="C8" i="31"/>
  <c r="D8" i="31" s="1"/>
  <c r="C28" i="31"/>
  <c r="D28" i="31"/>
  <c r="BW96" i="31"/>
  <c r="BW59" i="31"/>
  <c r="D23" i="31"/>
  <c r="C23" i="31"/>
  <c r="BW97" i="31"/>
  <c r="BW60" i="31"/>
  <c r="CE110" i="31"/>
  <c r="CH36" i="31"/>
  <c r="CG36" i="31"/>
  <c r="CE73" i="31"/>
  <c r="CI36" i="31"/>
  <c r="CL36" i="31"/>
  <c r="CK36" i="31"/>
  <c r="CF36" i="31" s="1"/>
  <c r="CJ36" i="31"/>
  <c r="CE46" i="31"/>
  <c r="CH9" i="31"/>
  <c r="CE83" i="31"/>
  <c r="CI9" i="31"/>
  <c r="CG9" i="31"/>
  <c r="CH34" i="31"/>
  <c r="CE71" i="31"/>
  <c r="CE108" i="31"/>
  <c r="CG34" i="31"/>
  <c r="CI34" i="31"/>
  <c r="CJ34" i="31"/>
  <c r="CK34" i="31"/>
  <c r="CF34" i="31" s="1"/>
  <c r="CL34" i="31"/>
  <c r="CH18" i="31"/>
  <c r="CE55" i="31"/>
  <c r="CE92" i="31"/>
  <c r="CG18" i="31"/>
  <c r="CI18" i="31"/>
  <c r="CJ18" i="31"/>
  <c r="CK18" i="31"/>
  <c r="CF18" i="31" s="1"/>
  <c r="CL18" i="31"/>
  <c r="CE74" i="31"/>
  <c r="CH37" i="31"/>
  <c r="CI37" i="31"/>
  <c r="CG37" i="31"/>
  <c r="CE111" i="31"/>
  <c r="CL37" i="31"/>
  <c r="CJ37" i="31"/>
  <c r="CK37" i="31"/>
  <c r="CF37" i="31" s="1"/>
  <c r="CE58" i="31"/>
  <c r="CH21" i="31"/>
  <c r="CI21" i="31"/>
  <c r="CE95" i="31"/>
  <c r="CG21" i="31"/>
  <c r="CL21" i="31"/>
  <c r="CJ21" i="31"/>
  <c r="CK21" i="31"/>
  <c r="CF21" i="31" s="1"/>
  <c r="CE104" i="31"/>
  <c r="CG30" i="31"/>
  <c r="CH30" i="31"/>
  <c r="CI30" i="31"/>
  <c r="CE67" i="31"/>
  <c r="CJ30" i="31"/>
  <c r="CL30" i="31"/>
  <c r="CK30" i="31"/>
  <c r="CF30" i="31" s="1"/>
  <c r="CE88" i="31"/>
  <c r="CI14" i="31"/>
  <c r="CG14" i="31"/>
  <c r="CH14" i="31"/>
  <c r="CE51" i="31"/>
  <c r="CR84" i="32"/>
  <c r="CP81" i="32"/>
  <c r="BW51" i="31"/>
  <c r="BW88" i="31"/>
  <c r="CJ61" i="32"/>
  <c r="C14" i="31"/>
  <c r="D14" i="31" s="1"/>
  <c r="CB84" i="31"/>
  <c r="CA84" i="31"/>
  <c r="CJ2" i="31"/>
  <c r="BY80" i="31"/>
  <c r="C15" i="31"/>
  <c r="D15" i="31" s="1"/>
  <c r="CT22" i="26"/>
  <c r="CT3" i="26"/>
  <c r="DD32" i="26"/>
  <c r="CT4" i="26"/>
  <c r="DD30" i="26"/>
  <c r="DD28" i="26"/>
  <c r="DD26" i="26"/>
  <c r="DD24" i="26"/>
  <c r="DD22" i="26"/>
  <c r="DD20" i="26"/>
  <c r="DD18" i="26"/>
  <c r="DD8" i="26"/>
  <c r="CT28" i="26"/>
  <c r="CT18" i="26"/>
  <c r="CT15" i="26"/>
  <c r="CT26" i="26"/>
  <c r="CT20" i="26"/>
  <c r="CT7" i="26"/>
  <c r="DD4" i="26"/>
  <c r="CT30" i="26"/>
  <c r="CT24" i="26"/>
  <c r="CT11" i="26"/>
  <c r="CT8" i="26"/>
  <c r="DD3" i="26"/>
  <c r="DD15" i="26"/>
  <c r="CT13" i="26"/>
  <c r="CT17" i="26"/>
  <c r="CT25" i="26"/>
  <c r="DD11" i="26"/>
  <c r="DD7" i="26"/>
  <c r="DD19" i="26"/>
  <c r="DD13" i="26"/>
  <c r="DD17" i="26"/>
  <c r="DD25" i="26"/>
  <c r="CT19" i="26"/>
  <c r="CT32" i="26"/>
  <c r="CT6" i="26"/>
  <c r="DD16" i="26"/>
  <c r="DD27" i="26"/>
  <c r="CT27" i="26"/>
  <c r="DD31" i="26"/>
  <c r="DD29" i="26"/>
  <c r="CT29" i="26"/>
  <c r="DD21" i="26"/>
  <c r="CT16" i="26"/>
  <c r="CT31" i="26"/>
  <c r="DD6" i="26"/>
  <c r="CT23" i="26"/>
  <c r="DD14" i="26"/>
  <c r="CT14" i="26"/>
  <c r="DD23" i="26"/>
  <c r="CT21" i="26"/>
  <c r="CS85" i="32"/>
  <c r="CT85" i="32"/>
  <c r="CT84" i="32"/>
  <c r="CS84" i="32"/>
  <c r="D8" i="26"/>
  <c r="C8" i="26"/>
  <c r="C12" i="26"/>
  <c r="D12" i="26"/>
  <c r="C25" i="26"/>
  <c r="D25" i="26"/>
  <c r="C24" i="26"/>
  <c r="D24" i="26"/>
  <c r="C32" i="26"/>
  <c r="D32" i="26"/>
  <c r="C35" i="26"/>
  <c r="D35" i="26"/>
  <c r="C36" i="26"/>
  <c r="D36" i="26"/>
  <c r="C34" i="26"/>
  <c r="D34" i="26"/>
  <c r="CJ98" i="32"/>
  <c r="CB52" i="31"/>
  <c r="CA52" i="31"/>
  <c r="CF16" i="33"/>
  <c r="CG16" i="33" s="1"/>
  <c r="CF20" i="33"/>
  <c r="CG20" i="33" s="1"/>
  <c r="CC44" i="33"/>
  <c r="CF8" i="33"/>
  <c r="CG8" i="33" s="1"/>
  <c r="CF22" i="33"/>
  <c r="CG22" i="33" s="1"/>
  <c r="CF9" i="33"/>
  <c r="CG9" i="33" s="1"/>
  <c r="CF13" i="33"/>
  <c r="CG13" i="33" s="1"/>
  <c r="CF15" i="33"/>
  <c r="CG15" i="33" s="1"/>
  <c r="CF21" i="33"/>
  <c r="CG21" i="33" s="1"/>
  <c r="CF7" i="33"/>
  <c r="CF14" i="33"/>
  <c r="CG14" i="33" s="1"/>
  <c r="CF12" i="33"/>
  <c r="CG12" i="33" s="1"/>
  <c r="CF18" i="33"/>
  <c r="CG18" i="33" s="1"/>
  <c r="CF11" i="33"/>
  <c r="CG11" i="33" s="1"/>
  <c r="CF10" i="33"/>
  <c r="CG10" i="33" s="1"/>
  <c r="CF19" i="33"/>
  <c r="CG19" i="33" s="1"/>
  <c r="CF17" i="33"/>
  <c r="CG17" i="33" s="1"/>
  <c r="DB30" i="26"/>
  <c r="DB28" i="26"/>
  <c r="DB26" i="26"/>
  <c r="DB24" i="26"/>
  <c r="DB22" i="26"/>
  <c r="DB20" i="26"/>
  <c r="DB18" i="26"/>
  <c r="DB8" i="26"/>
  <c r="DB4" i="26"/>
  <c r="CR24" i="26"/>
  <c r="CR18" i="26"/>
  <c r="CR8" i="26"/>
  <c r="CR22" i="26"/>
  <c r="DB15" i="26"/>
  <c r="DB3" i="26"/>
  <c r="CR30" i="26"/>
  <c r="CR20" i="26"/>
  <c r="CR4" i="26"/>
  <c r="DB11" i="26"/>
  <c r="CR28" i="26"/>
  <c r="CR25" i="26"/>
  <c r="DB13" i="26"/>
  <c r="CR26" i="26"/>
  <c r="CR13" i="26"/>
  <c r="CR11" i="26"/>
  <c r="CR7" i="26"/>
  <c r="CR19" i="26"/>
  <c r="CR32" i="26"/>
  <c r="DB7" i="26"/>
  <c r="DB19" i="26"/>
  <c r="DB32" i="26"/>
  <c r="CR3" i="26"/>
  <c r="CR15" i="26"/>
  <c r="CR17" i="26"/>
  <c r="DB17" i="26"/>
  <c r="DB25" i="26"/>
  <c r="CR14" i="26"/>
  <c r="DB27" i="26"/>
  <c r="DB31" i="26"/>
  <c r="CR31" i="26"/>
  <c r="DB16" i="26"/>
  <c r="DB6" i="26"/>
  <c r="CR23" i="26"/>
  <c r="DB21" i="26"/>
  <c r="CR16" i="26"/>
  <c r="DB14" i="26"/>
  <c r="CR27" i="26"/>
  <c r="CR6" i="26"/>
  <c r="DB23" i="26"/>
  <c r="DB29" i="26"/>
  <c r="CR29" i="26"/>
  <c r="CR21" i="26"/>
  <c r="CU28" i="26"/>
  <c r="CU24" i="26"/>
  <c r="CU20" i="26"/>
  <c r="CU8" i="26"/>
  <c r="CU4" i="26"/>
  <c r="CU26" i="26"/>
  <c r="CU13" i="26"/>
  <c r="DE15" i="26"/>
  <c r="DE4" i="26"/>
  <c r="CU17" i="26"/>
  <c r="CU11" i="26"/>
  <c r="CU22" i="26"/>
  <c r="CU3" i="26"/>
  <c r="DE3" i="26"/>
  <c r="CU30" i="26"/>
  <c r="DE30" i="26"/>
  <c r="DE28" i="26"/>
  <c r="DE26" i="26"/>
  <c r="DE24" i="26"/>
  <c r="DE22" i="26"/>
  <c r="DE20" i="26"/>
  <c r="DE18" i="26"/>
  <c r="DE8" i="26"/>
  <c r="CU18" i="26"/>
  <c r="CU15" i="26"/>
  <c r="DE7" i="26"/>
  <c r="CU32" i="26"/>
  <c r="CU19" i="26"/>
  <c r="DE13" i="26"/>
  <c r="DE19" i="26"/>
  <c r="DE17" i="26"/>
  <c r="DE11" i="26"/>
  <c r="DE32" i="26"/>
  <c r="DE25" i="26"/>
  <c r="CU25" i="26"/>
  <c r="CU7" i="26"/>
  <c r="CU31" i="26"/>
  <c r="CU23" i="26"/>
  <c r="DE23" i="26"/>
  <c r="CU29" i="26"/>
  <c r="DE29" i="26"/>
  <c r="CU21" i="26"/>
  <c r="CU16" i="26"/>
  <c r="CU14" i="26"/>
  <c r="CU27" i="26"/>
  <c r="DE6" i="26"/>
  <c r="CU6" i="26"/>
  <c r="DE14" i="26"/>
  <c r="DE27" i="26"/>
  <c r="DE31" i="26"/>
  <c r="DE21" i="26"/>
  <c r="DE16" i="26"/>
  <c r="CY47" i="32"/>
  <c r="CY84" i="32"/>
  <c r="CY38" i="32"/>
  <c r="C9" i="26"/>
  <c r="D9" i="26"/>
  <c r="C10" i="26"/>
  <c r="D10" i="26"/>
  <c r="C17" i="26"/>
  <c r="D17" i="26"/>
  <c r="BZ3" i="26"/>
  <c r="BY44" i="26"/>
  <c r="BY45" i="26"/>
  <c r="BX51" i="26"/>
  <c r="BX52" i="26" s="1"/>
  <c r="BX53" i="26" s="1"/>
  <c r="BX54" i="26" s="1"/>
  <c r="BX55" i="26" s="1"/>
  <c r="BX56" i="26" s="1"/>
  <c r="BX57" i="26" s="1"/>
  <c r="BX58" i="26" s="1"/>
  <c r="BX59" i="26" s="1"/>
  <c r="BX60" i="26" s="1"/>
  <c r="BX61" i="26" s="1"/>
  <c r="BX62" i="26" s="1"/>
  <c r="BX63" i="26" s="1"/>
  <c r="BX64" i="26" s="1"/>
  <c r="BX65" i="26" s="1"/>
  <c r="BX66" i="26" s="1"/>
  <c r="BX67" i="26" s="1"/>
  <c r="BX68" i="26" s="1"/>
  <c r="BX69" i="26" s="1"/>
  <c r="BX70" i="26" s="1"/>
  <c r="BX71" i="26" s="1"/>
  <c r="BX72" i="26" s="1"/>
  <c r="BX73" i="26" s="1"/>
  <c r="BX74" i="26" s="1"/>
  <c r="BX75" i="26" s="1"/>
  <c r="BX76" i="26" s="1"/>
  <c r="BX77" i="26" s="1"/>
  <c r="BX78" i="26" s="1"/>
  <c r="BX79" i="26" s="1"/>
  <c r="BX80" i="26" s="1"/>
  <c r="BX81" i="26" s="1"/>
  <c r="BX82" i="26" s="1"/>
  <c r="BX83" i="26" s="1"/>
  <c r="BX84" i="26" s="1"/>
  <c r="BX85" i="26" s="1"/>
  <c r="BX86" i="26" s="1"/>
  <c r="BX87" i="26" s="1"/>
  <c r="BX88" i="26" s="1"/>
  <c r="BX89" i="26" s="1"/>
  <c r="BX90" i="26" s="1"/>
  <c r="BX91" i="26" s="1"/>
  <c r="BX92" i="26" s="1"/>
  <c r="BX93" i="26" s="1"/>
  <c r="BX94" i="26" s="1"/>
  <c r="BX95" i="26" s="1"/>
  <c r="BX96" i="26" s="1"/>
  <c r="BX97" i="26" s="1"/>
  <c r="BX98" i="26" s="1"/>
  <c r="BX99" i="26" s="1"/>
  <c r="BX100" i="26" s="1"/>
  <c r="BX101" i="26" s="1"/>
  <c r="BX102" i="26" s="1"/>
  <c r="BX103" i="26" s="1"/>
  <c r="BX104" i="26" s="1"/>
  <c r="BX105" i="26" s="1"/>
  <c r="BX106" i="26" s="1"/>
  <c r="BX107" i="26" s="1"/>
  <c r="BX108" i="26" s="1"/>
  <c r="BX109" i="26" s="1"/>
  <c r="BX110" i="26" s="1"/>
  <c r="BX111" i="26" s="1"/>
  <c r="BX112" i="26" s="1"/>
  <c r="BX113" i="26" s="1"/>
  <c r="BX114" i="26" s="1"/>
  <c r="BX115" i="26" s="1"/>
  <c r="BX116" i="26" s="1"/>
  <c r="BX117" i="26" s="1"/>
  <c r="BX118" i="26" s="1"/>
  <c r="BX119" i="26" s="1"/>
  <c r="BX120" i="26" s="1"/>
  <c r="BX121" i="26" s="1"/>
  <c r="BX122" i="26" s="1"/>
  <c r="BX123" i="26" s="1"/>
  <c r="BX124" i="26" s="1"/>
  <c r="BX125" i="26" s="1"/>
  <c r="BX126" i="26" s="1"/>
  <c r="BX127" i="26" s="1"/>
  <c r="BX128" i="26" s="1"/>
  <c r="BX129" i="26" s="1"/>
  <c r="BX130" i="26" s="1"/>
  <c r="BX131" i="26" s="1"/>
  <c r="BX132" i="26" s="1"/>
  <c r="BX133" i="26" s="1"/>
  <c r="BX134" i="26" s="1"/>
  <c r="BX135" i="26" s="1"/>
  <c r="BX136" i="26" s="1"/>
  <c r="BX137" i="26" s="1"/>
  <c r="BX138" i="26" s="1"/>
  <c r="BX139" i="26" s="1"/>
  <c r="BX140" i="26" s="1"/>
  <c r="BX141" i="26" s="1"/>
  <c r="BX142" i="26" s="1"/>
  <c r="BX143" i="26" s="1"/>
  <c r="BX144" i="26" s="1"/>
  <c r="BX145" i="26" s="1"/>
  <c r="BX146" i="26" s="1"/>
  <c r="BX147" i="26" s="1"/>
  <c r="BX148" i="26" s="1"/>
  <c r="BX149" i="26" s="1"/>
  <c r="BX150" i="26" s="1"/>
  <c r="BX151" i="26" s="1"/>
  <c r="BX152" i="26" s="1"/>
  <c r="BX153" i="26" s="1"/>
  <c r="BX154" i="26" s="1"/>
  <c r="BX155" i="26" s="1"/>
  <c r="BX156" i="26" s="1"/>
  <c r="BX157" i="26" s="1"/>
  <c r="BX158" i="26" s="1"/>
  <c r="BX159" i="26" s="1"/>
  <c r="BX160" i="26" s="1"/>
  <c r="BX161" i="26" s="1"/>
  <c r="BX162" i="26" s="1"/>
  <c r="BX163" i="26" s="1"/>
  <c r="BX164" i="26" s="1"/>
  <c r="BX165" i="26" s="1"/>
  <c r="BX166" i="26" s="1"/>
  <c r="BX167" i="26" s="1"/>
  <c r="BX168" i="26" s="1"/>
  <c r="BX169" i="26" s="1"/>
  <c r="BX170" i="26" s="1"/>
  <c r="BX171" i="26" s="1"/>
  <c r="BX172" i="26" s="1"/>
  <c r="BX173" i="26" s="1"/>
  <c r="BX174" i="26" s="1"/>
  <c r="BX175" i="26" s="1"/>
  <c r="BX176" i="26" s="1"/>
  <c r="BX177" i="26" s="1"/>
  <c r="BX178" i="26" s="1"/>
  <c r="BX179" i="26" s="1"/>
  <c r="BX180" i="26" s="1"/>
  <c r="BX181" i="26" s="1"/>
  <c r="BX182" i="26" s="1"/>
  <c r="BX183" i="26" s="1"/>
  <c r="BX184" i="26" s="1"/>
  <c r="BX185" i="26" s="1"/>
  <c r="BX186" i="26" s="1"/>
  <c r="BX187" i="26" s="1"/>
  <c r="BX188" i="26" s="1"/>
  <c r="BX189" i="26" s="1"/>
  <c r="BX190" i="26" s="1"/>
  <c r="BX191" i="26" s="1"/>
  <c r="BX192" i="26" s="1"/>
  <c r="BX193" i="26" s="1"/>
  <c r="BX194" i="26" s="1"/>
  <c r="BX195" i="26" s="1"/>
  <c r="BX196" i="26" s="1"/>
  <c r="BX197" i="26" s="1"/>
  <c r="BX198" i="26" s="1"/>
  <c r="BX199" i="26" s="1"/>
  <c r="BX200" i="26" s="1"/>
  <c r="BX201" i="26" s="1"/>
  <c r="BX202" i="26" s="1"/>
  <c r="BX203" i="26" s="1"/>
  <c r="BX204" i="26" s="1"/>
  <c r="BX205" i="26" s="1"/>
  <c r="BX206" i="26" s="1"/>
  <c r="BX207" i="26" s="1"/>
  <c r="BX208" i="26" s="1"/>
  <c r="BX209" i="26" s="1"/>
  <c r="BX210" i="26" s="1"/>
  <c r="BX211" i="26" s="1"/>
  <c r="BX212" i="26" s="1"/>
  <c r="BX213" i="26" s="1"/>
  <c r="BX214" i="26" s="1"/>
  <c r="BX215" i="26" s="1"/>
  <c r="BX216" i="26" s="1"/>
  <c r="BX217" i="26" s="1"/>
  <c r="BX218" i="26" s="1"/>
  <c r="BX219" i="26" s="1"/>
  <c r="BX220" i="26" s="1"/>
  <c r="BX221" i="26" s="1"/>
  <c r="BX222" i="26" s="1"/>
  <c r="BX223" i="26" s="1"/>
  <c r="BX224" i="26" s="1"/>
  <c r="BX225" i="26" s="1"/>
  <c r="BX226" i="26" s="1"/>
  <c r="BX227" i="26" s="1"/>
  <c r="BX228" i="26" s="1"/>
  <c r="BX229" i="26" s="1"/>
  <c r="BX230" i="26" s="1"/>
  <c r="BX231" i="26" s="1"/>
  <c r="BX232" i="26" s="1"/>
  <c r="BX233" i="26" s="1"/>
  <c r="BX234" i="26" s="1"/>
  <c r="BX235" i="26" s="1"/>
  <c r="BX236" i="26" s="1"/>
  <c r="BX237" i="26" s="1"/>
  <c r="BX238" i="26" s="1"/>
  <c r="BX239" i="26" s="1"/>
  <c r="BX240" i="26" s="1"/>
  <c r="BX241" i="26" s="1"/>
  <c r="BX242" i="26" s="1"/>
  <c r="BX243" i="26" s="1"/>
  <c r="BX244" i="26" s="1"/>
  <c r="BX245" i="26" s="1"/>
  <c r="BX246" i="26" s="1"/>
  <c r="BX247" i="26" s="1"/>
  <c r="BX248" i="26" s="1"/>
  <c r="BX249" i="26" s="1"/>
  <c r="BX250" i="26" s="1"/>
  <c r="BX251" i="26" s="1"/>
  <c r="BY48" i="26"/>
  <c r="BY46" i="26"/>
  <c r="BY47" i="26"/>
  <c r="C23" i="26"/>
  <c r="D23" i="26"/>
  <c r="C27" i="26"/>
  <c r="D27" i="26"/>
  <c r="C28" i="26"/>
  <c r="D28" i="26"/>
  <c r="C30" i="26"/>
  <c r="D30" i="26"/>
  <c r="BW45" i="31"/>
  <c r="BW82" i="31"/>
  <c r="C33" i="31"/>
  <c r="D33" i="31"/>
  <c r="C9" i="31"/>
  <c r="D9" i="31" s="1"/>
  <c r="C34" i="31"/>
  <c r="D34" i="31"/>
  <c r="D21" i="31"/>
  <c r="C21" i="31"/>
  <c r="BW107" i="31"/>
  <c r="BW70" i="31"/>
  <c r="BW102" i="31"/>
  <c r="BW65" i="31"/>
  <c r="BW106" i="31"/>
  <c r="BW69" i="31"/>
  <c r="C20" i="31"/>
  <c r="D20" i="31"/>
  <c r="C36" i="31"/>
  <c r="D36" i="31"/>
  <c r="BW104" i="31"/>
  <c r="BW67" i="31"/>
  <c r="D31" i="31"/>
  <c r="C31" i="31"/>
  <c r="BW68" i="31"/>
  <c r="BW105" i="31"/>
  <c r="CE62" i="31"/>
  <c r="CH25" i="31"/>
  <c r="CE99" i="31"/>
  <c r="CI25" i="31"/>
  <c r="CG25" i="31"/>
  <c r="CL25" i="31"/>
  <c r="CK25" i="31"/>
  <c r="CF25" i="31" s="1"/>
  <c r="CJ25" i="31"/>
  <c r="CE54" i="31"/>
  <c r="CH17" i="31"/>
  <c r="CI17" i="31"/>
  <c r="CE91" i="31"/>
  <c r="CG17" i="31"/>
  <c r="CE86" i="31"/>
  <c r="CH12" i="31"/>
  <c r="CG12" i="31"/>
  <c r="CE49" i="31"/>
  <c r="CI12" i="31"/>
  <c r="CH26" i="31"/>
  <c r="CE63" i="31"/>
  <c r="CG26" i="31"/>
  <c r="CI26" i="31"/>
  <c r="CE100" i="31"/>
  <c r="CJ26" i="31"/>
  <c r="CK26" i="31"/>
  <c r="CF26" i="31" s="1"/>
  <c r="CL26" i="31"/>
  <c r="CH10" i="31"/>
  <c r="CE47" i="31"/>
  <c r="CI10" i="31"/>
  <c r="CG10" i="31"/>
  <c r="CE84" i="31"/>
  <c r="CE66" i="31"/>
  <c r="CH29" i="31"/>
  <c r="CI29" i="31"/>
  <c r="CE103" i="31"/>
  <c r="CG29" i="31"/>
  <c r="CL29" i="31"/>
  <c r="CJ29" i="31"/>
  <c r="CK29" i="31"/>
  <c r="CF29" i="31" s="1"/>
  <c r="CE50" i="31"/>
  <c r="CH13" i="31"/>
  <c r="CI13" i="31"/>
  <c r="CE87" i="31"/>
  <c r="CG13" i="31"/>
  <c r="CG22" i="31"/>
  <c r="CH22" i="31"/>
  <c r="CE96" i="31"/>
  <c r="CI22" i="31"/>
  <c r="CE59" i="31"/>
  <c r="CJ22" i="31"/>
  <c r="CK22" i="31"/>
  <c r="CF22" i="31" s="1"/>
  <c r="CL22" i="31"/>
  <c r="CE45" i="31"/>
  <c r="CE82" i="31"/>
  <c r="CG8" i="31"/>
  <c r="CI8" i="31"/>
  <c r="CH8" i="31"/>
  <c r="CE38" i="31"/>
  <c r="CJ57" i="32"/>
  <c r="CJ65" i="32"/>
  <c r="CQ47" i="32"/>
  <c r="CQ84" i="32"/>
  <c r="CB9" i="32"/>
  <c r="CC9" i="32"/>
  <c r="CU47" i="32"/>
  <c r="CU84" i="32"/>
  <c r="CT88" i="32"/>
  <c r="CS88" i="32"/>
  <c r="C14" i="26"/>
  <c r="D14" i="26"/>
  <c r="CN37" i="30"/>
  <c r="V38" i="30"/>
  <c r="R23" i="30"/>
  <c r="CM39" i="30"/>
  <c r="R31" i="30"/>
  <c r="R35" i="30"/>
  <c r="R19" i="30"/>
  <c r="R11" i="30"/>
  <c r="R27" i="30"/>
  <c r="DT37" i="30"/>
  <c r="CY37" i="30" s="1"/>
  <c r="R21" i="30"/>
  <c r="R7" i="30"/>
  <c r="R25" i="30"/>
  <c r="R29" i="30"/>
  <c r="R33" i="30"/>
  <c r="R10" i="30"/>
  <c r="R14" i="30"/>
  <c r="R17" i="30"/>
  <c r="R32" i="30"/>
  <c r="R20" i="30"/>
  <c r="R22" i="30"/>
  <c r="R15" i="30"/>
  <c r="R28" i="30"/>
  <c r="R16" i="30"/>
  <c r="R18" i="30"/>
  <c r="R36" i="30"/>
  <c r="R24" i="30"/>
  <c r="R34" i="30"/>
  <c r="R12" i="30"/>
  <c r="R26" i="30"/>
  <c r="R30" i="30"/>
  <c r="R8" i="30"/>
  <c r="R13" i="30"/>
  <c r="CT49" i="32"/>
  <c r="CS49" i="32"/>
  <c r="DB55" i="32"/>
  <c r="DA55" i="32"/>
  <c r="CV55" i="32" s="1"/>
  <c r="CZ55" i="32"/>
  <c r="DA56" i="32"/>
  <c r="CV56" i="32" s="1"/>
  <c r="DB56" i="32"/>
  <c r="CZ56" i="32"/>
  <c r="DT9" i="30"/>
  <c r="CY9" i="30" s="1"/>
  <c r="DT15" i="30"/>
  <c r="CY15" i="30" s="1"/>
  <c r="CJ95" i="32"/>
  <c r="CP26" i="26"/>
  <c r="CP20" i="26"/>
  <c r="CP4" i="26"/>
  <c r="CP30" i="26"/>
  <c r="CP8" i="26"/>
  <c r="CP22" i="26"/>
  <c r="CP3" i="26"/>
  <c r="CZ4" i="26"/>
  <c r="CP24" i="26"/>
  <c r="CP11" i="26"/>
  <c r="CZ30" i="26"/>
  <c r="CZ28" i="26"/>
  <c r="CZ26" i="26"/>
  <c r="CZ24" i="26"/>
  <c r="CZ22" i="26"/>
  <c r="CZ20" i="26"/>
  <c r="CZ18" i="26"/>
  <c r="CZ8" i="26"/>
  <c r="CP28" i="26"/>
  <c r="CP18" i="26"/>
  <c r="CP15" i="26"/>
  <c r="CP13" i="26"/>
  <c r="CP17" i="26"/>
  <c r="CP25" i="26"/>
  <c r="CP7" i="26"/>
  <c r="CZ11" i="26"/>
  <c r="CZ7" i="26"/>
  <c r="CZ19" i="26"/>
  <c r="CZ32" i="26"/>
  <c r="CZ13" i="26"/>
  <c r="CP19" i="26"/>
  <c r="CP32" i="26"/>
  <c r="CZ17" i="26"/>
  <c r="CZ25" i="26"/>
  <c r="CZ3" i="26"/>
  <c r="CZ15" i="26"/>
  <c r="CZ6" i="26"/>
  <c r="CP23" i="26"/>
  <c r="CP29" i="26"/>
  <c r="CZ21" i="26"/>
  <c r="CP16" i="26"/>
  <c r="CP27" i="26"/>
  <c r="CZ27" i="26"/>
  <c r="CZ31" i="26"/>
  <c r="CP31" i="26"/>
  <c r="CP6" i="26"/>
  <c r="CZ14" i="26"/>
  <c r="CZ23" i="26"/>
  <c r="CZ29" i="26"/>
  <c r="CP21" i="26"/>
  <c r="CZ16" i="26"/>
  <c r="CP14" i="26"/>
  <c r="CQ28" i="26"/>
  <c r="CQ24" i="26"/>
  <c r="CQ20" i="26"/>
  <c r="CQ8" i="26"/>
  <c r="CQ4" i="26"/>
  <c r="DA15" i="26"/>
  <c r="DA4" i="26"/>
  <c r="DA3" i="26"/>
  <c r="CQ30" i="26"/>
  <c r="DA22" i="26"/>
  <c r="DA20" i="26"/>
  <c r="DA18" i="26"/>
  <c r="DA8" i="26"/>
  <c r="CQ15" i="26"/>
  <c r="DA13" i="26"/>
  <c r="CQ26" i="26"/>
  <c r="CQ13" i="26"/>
  <c r="DA30" i="26"/>
  <c r="DA28" i="26"/>
  <c r="DA26" i="26"/>
  <c r="DA24" i="26"/>
  <c r="CQ18" i="26"/>
  <c r="DA11" i="26"/>
  <c r="CQ22" i="26"/>
  <c r="CQ3" i="26"/>
  <c r="DA25" i="26"/>
  <c r="DA17" i="26"/>
  <c r="DA19" i="26"/>
  <c r="CQ17" i="26"/>
  <c r="DA32" i="26"/>
  <c r="CQ25" i="26"/>
  <c r="DA7" i="26"/>
  <c r="CQ11" i="26"/>
  <c r="CQ19" i="26"/>
  <c r="CQ32" i="26"/>
  <c r="CQ7" i="26"/>
  <c r="CQ6" i="26"/>
  <c r="CQ29" i="26"/>
  <c r="CQ21" i="26"/>
  <c r="CQ16" i="26"/>
  <c r="CQ14" i="26"/>
  <c r="CQ31" i="26"/>
  <c r="DA23" i="26"/>
  <c r="DA29" i="26"/>
  <c r="DA27" i="26"/>
  <c r="DA31" i="26"/>
  <c r="DA6" i="26"/>
  <c r="DA21" i="26"/>
  <c r="DA14" i="26"/>
  <c r="DA16" i="26"/>
  <c r="CQ27" i="26"/>
  <c r="CQ23" i="26"/>
  <c r="CS30" i="26"/>
  <c r="CS26" i="26"/>
  <c r="CS22" i="26"/>
  <c r="CS18" i="26"/>
  <c r="DC30" i="26"/>
  <c r="DC28" i="26"/>
  <c r="DC26" i="26"/>
  <c r="DC24" i="26"/>
  <c r="DC22" i="26"/>
  <c r="DC20" i="26"/>
  <c r="DC18" i="26"/>
  <c r="DC8" i="26"/>
  <c r="CS28" i="26"/>
  <c r="CS15" i="26"/>
  <c r="CS32" i="26"/>
  <c r="DC4" i="26"/>
  <c r="CS24" i="26"/>
  <c r="CS8" i="26"/>
  <c r="DC13" i="26"/>
  <c r="CS19" i="26"/>
  <c r="CS13" i="26"/>
  <c r="CS3" i="26"/>
  <c r="DC15" i="26"/>
  <c r="DC3" i="26"/>
  <c r="CS20" i="26"/>
  <c r="CS4" i="26"/>
  <c r="CS17" i="26"/>
  <c r="DC7" i="26"/>
  <c r="DC32" i="26"/>
  <c r="DC25" i="26"/>
  <c r="CS11" i="26"/>
  <c r="CS25" i="26"/>
  <c r="CS7" i="26"/>
  <c r="DC17" i="26"/>
  <c r="DC19" i="26"/>
  <c r="DC11" i="26"/>
  <c r="DC6" i="26"/>
  <c r="CS14" i="26"/>
  <c r="DC14" i="26"/>
  <c r="CS16" i="26"/>
  <c r="DC27" i="26"/>
  <c r="DC31" i="26"/>
  <c r="DC23" i="26"/>
  <c r="CS21" i="26"/>
  <c r="CS27" i="26"/>
  <c r="DC29" i="26"/>
  <c r="CS29" i="26"/>
  <c r="DC16" i="26"/>
  <c r="CS31" i="26"/>
  <c r="CS6" i="26"/>
  <c r="CS23" i="26"/>
  <c r="DC21" i="26"/>
  <c r="DA85" i="32"/>
  <c r="CV85" i="32" s="1"/>
  <c r="CZ85" i="32"/>
  <c r="DB85" i="32"/>
  <c r="CW84" i="32"/>
  <c r="CW47" i="32"/>
  <c r="CF9" i="32"/>
  <c r="CW38" i="32"/>
  <c r="CJ58" i="32"/>
  <c r="C18" i="26"/>
  <c r="D18" i="26"/>
  <c r="C15" i="26"/>
  <c r="D15" i="26"/>
  <c r="C29" i="26"/>
  <c r="D29" i="26"/>
  <c r="C7" i="26"/>
  <c r="D7" i="26"/>
  <c r="C19" i="26"/>
  <c r="D19" i="26"/>
  <c r="C26" i="26"/>
  <c r="D26" i="26"/>
  <c r="BW48" i="26"/>
  <c r="BW49" i="31"/>
  <c r="BW86" i="31"/>
  <c r="BW53" i="31"/>
  <c r="BW90" i="31"/>
  <c r="BW95" i="31"/>
  <c r="BW58" i="31"/>
  <c r="C18" i="31"/>
  <c r="D18" i="31"/>
  <c r="C13" i="31"/>
  <c r="D13" i="31" s="1"/>
  <c r="BW73" i="31"/>
  <c r="BW110" i="31"/>
  <c r="C30" i="31"/>
  <c r="D30" i="31"/>
  <c r="C16" i="31"/>
  <c r="D16" i="31" s="1"/>
  <c r="C32" i="31"/>
  <c r="D32" i="31"/>
  <c r="BW108" i="31"/>
  <c r="BW71" i="31"/>
  <c r="BW55" i="31"/>
  <c r="BW92" i="31"/>
  <c r="C27" i="31"/>
  <c r="D27" i="31"/>
  <c r="BW109" i="31"/>
  <c r="BW72" i="31"/>
  <c r="BW56" i="31"/>
  <c r="BW93" i="31"/>
  <c r="CE102" i="31"/>
  <c r="CH28" i="31"/>
  <c r="CG28" i="31"/>
  <c r="CE65" i="31"/>
  <c r="CI28" i="31"/>
  <c r="CL28" i="31"/>
  <c r="CK28" i="31"/>
  <c r="CF28" i="31" s="1"/>
  <c r="CJ28" i="31"/>
  <c r="CE70" i="31"/>
  <c r="CH33" i="31"/>
  <c r="CI33" i="31"/>
  <c r="CE107" i="31"/>
  <c r="CG33" i="31"/>
  <c r="CL33" i="31"/>
  <c r="CJ33" i="31"/>
  <c r="CK33" i="31"/>
  <c r="CF33" i="31" s="1"/>
  <c r="CE68" i="31"/>
  <c r="CH31" i="31"/>
  <c r="CI31" i="31"/>
  <c r="CE105" i="31"/>
  <c r="CG31" i="31"/>
  <c r="CK31" i="31"/>
  <c r="CF31" i="31" s="1"/>
  <c r="CJ31" i="31"/>
  <c r="CL31" i="31"/>
  <c r="CE52" i="31"/>
  <c r="CH15" i="31"/>
  <c r="CI15" i="31"/>
  <c r="CE89" i="31"/>
  <c r="CG15" i="31"/>
  <c r="CE106" i="31"/>
  <c r="CE69" i="31"/>
  <c r="CG32" i="31"/>
  <c r="CI32" i="31"/>
  <c r="CH32" i="31"/>
  <c r="CL32" i="31"/>
  <c r="CK32" i="31"/>
  <c r="CF32" i="31" s="1"/>
  <c r="CJ32" i="31"/>
  <c r="CE90" i="31"/>
  <c r="CE53" i="31"/>
  <c r="CG16" i="31"/>
  <c r="CI16" i="31"/>
  <c r="CH16" i="31"/>
  <c r="CE64" i="31"/>
  <c r="CH27" i="31"/>
  <c r="CI27" i="31"/>
  <c r="CE101" i="31"/>
  <c r="CG27" i="31"/>
  <c r="CK27" i="31"/>
  <c r="CF27" i="31" s="1"/>
  <c r="CJ27" i="31"/>
  <c r="CL27" i="31"/>
  <c r="CE48" i="31"/>
  <c r="CH11" i="31"/>
  <c r="CE85" i="31"/>
  <c r="CI11" i="31"/>
  <c r="CG11" i="31"/>
  <c r="DX8" i="32"/>
  <c r="CS38" i="32"/>
  <c r="DX5" i="32"/>
  <c r="DX7" i="32"/>
  <c r="DX9" i="32"/>
  <c r="AI37" i="32"/>
  <c r="AI33" i="32"/>
  <c r="AI29" i="32"/>
  <c r="AI25" i="32"/>
  <c r="CQ103" i="32"/>
  <c r="CQ99" i="32"/>
  <c r="CQ60" i="32"/>
  <c r="AI36" i="32"/>
  <c r="AI28" i="32"/>
  <c r="AI26" i="32"/>
  <c r="AI23" i="32"/>
  <c r="AI20" i="32"/>
  <c r="CQ97" i="32"/>
  <c r="AI27" i="32"/>
  <c r="AI22" i="32"/>
  <c r="AI16" i="32"/>
  <c r="CQ66" i="32"/>
  <c r="AI34" i="32"/>
  <c r="AI31" i="32"/>
  <c r="AI24" i="32"/>
  <c r="AI21" i="32"/>
  <c r="CQ112" i="32"/>
  <c r="CQ96" i="32"/>
  <c r="CQ67" i="32"/>
  <c r="CQ62" i="32"/>
  <c r="CQ59" i="32"/>
  <c r="R21" i="32"/>
  <c r="R25" i="32"/>
  <c r="R29" i="32"/>
  <c r="R33" i="32"/>
  <c r="R37" i="32"/>
  <c r="CR40" i="32"/>
  <c r="DX6" i="32"/>
  <c r="AI35" i="32"/>
  <c r="AI30" i="32"/>
  <c r="R22" i="32"/>
  <c r="R34" i="32"/>
  <c r="R31" i="32"/>
  <c r="V39" i="32"/>
  <c r="AI32" i="32"/>
  <c r="CQ75" i="32"/>
  <c r="R28" i="32"/>
  <c r="CQ104" i="32"/>
  <c r="R24" i="32"/>
  <c r="AI19" i="32"/>
  <c r="R16" i="32"/>
  <c r="CQ106" i="32"/>
  <c r="R23" i="32"/>
  <c r="R27" i="32"/>
  <c r="R15" i="32"/>
  <c r="R14" i="32"/>
  <c r="CQ72" i="32"/>
  <c r="CQ100" i="32"/>
  <c r="R12" i="32"/>
  <c r="CQ54" i="32"/>
  <c r="CQ63" i="32"/>
  <c r="R30" i="32"/>
  <c r="R26" i="32"/>
  <c r="CQ69" i="32"/>
  <c r="CQ71" i="32"/>
  <c r="R35" i="32"/>
  <c r="CQ109" i="32"/>
  <c r="CQ108" i="32"/>
  <c r="R20" i="32"/>
  <c r="R36" i="32"/>
  <c r="R32" i="32"/>
  <c r="R8" i="32"/>
  <c r="R19" i="32"/>
  <c r="CQ91" i="32"/>
  <c r="CQ98" i="32"/>
  <c r="CQ50" i="32"/>
  <c r="CQ90" i="32"/>
  <c r="CQ57" i="32"/>
  <c r="CQ110" i="32"/>
  <c r="CQ70" i="32"/>
  <c r="CQ105" i="32"/>
  <c r="CQ89" i="32"/>
  <c r="CQ46" i="32"/>
  <c r="CQ111" i="32"/>
  <c r="R17" i="32"/>
  <c r="CQ52" i="32"/>
  <c r="CQ83" i="32"/>
  <c r="CQ73" i="32"/>
  <c r="R18" i="32"/>
  <c r="R13" i="32"/>
  <c r="CQ65" i="32"/>
  <c r="CQ58" i="32"/>
  <c r="CQ87" i="32"/>
  <c r="CQ53" i="32"/>
  <c r="CQ94" i="32"/>
  <c r="R10" i="32"/>
  <c r="CQ107" i="32"/>
  <c r="CQ101" i="32"/>
  <c r="CQ68" i="32"/>
  <c r="CQ74" i="32"/>
  <c r="CQ95" i="32"/>
  <c r="CQ64" i="32"/>
  <c r="CQ102" i="32"/>
  <c r="CQ61" i="32"/>
  <c r="BW89" i="31"/>
  <c r="BW52" i="31"/>
  <c r="CA54" i="31"/>
  <c r="CB54" i="31"/>
  <c r="CT51" i="32"/>
  <c r="CS51" i="32"/>
  <c r="CT86" i="32"/>
  <c r="CS86" i="32"/>
  <c r="CJ74" i="32"/>
  <c r="CV83" i="32"/>
  <c r="CQ86" i="32"/>
  <c r="CB11" i="32"/>
  <c r="CC11" i="32"/>
  <c r="CQ49" i="32"/>
  <c r="CU49" i="32"/>
  <c r="CU86" i="32"/>
  <c r="BV39" i="26"/>
  <c r="CO5" i="26"/>
  <c r="CW5" i="26"/>
  <c r="DC5" i="26"/>
  <c r="CS5" i="26"/>
  <c r="CM5" i="26"/>
  <c r="CT5" i="26"/>
  <c r="CX5" i="26"/>
  <c r="CN5" i="26"/>
  <c r="DE5" i="26"/>
  <c r="CR10" i="26"/>
  <c r="CQ10" i="26"/>
  <c r="DA10" i="26"/>
  <c r="DC10" i="26"/>
  <c r="DB10" i="26"/>
  <c r="CY9" i="26"/>
  <c r="CU9" i="26"/>
  <c r="DA9" i="26"/>
  <c r="DB9" i="26"/>
  <c r="DD9" i="26"/>
  <c r="CR12" i="26"/>
  <c r="CS12" i="26"/>
  <c r="CQ12" i="26"/>
  <c r="BY43" i="31"/>
  <c r="CU5" i="26"/>
  <c r="CY5" i="26"/>
  <c r="DB5" i="26"/>
  <c r="DA5" i="26"/>
  <c r="DD5" i="26"/>
  <c r="DT10" i="30"/>
  <c r="CY10" i="30" s="1"/>
  <c r="CM10" i="26"/>
  <c r="CN10" i="26"/>
  <c r="CT10" i="26"/>
  <c r="CW10" i="26"/>
  <c r="CX10" i="26"/>
  <c r="CP47" i="32"/>
  <c r="DT13" i="30"/>
  <c r="CY13" i="30" s="1"/>
  <c r="BW44" i="26"/>
  <c r="CQ9" i="26"/>
  <c r="CO9" i="26"/>
  <c r="CR9" i="26"/>
  <c r="CW9" i="26"/>
  <c r="CZ9" i="26"/>
  <c r="DA12" i="26"/>
  <c r="CT12" i="26"/>
  <c r="CN12" i="26"/>
  <c r="CM12" i="26"/>
  <c r="DB12" i="26"/>
  <c r="CE55" i="26" l="1"/>
  <c r="CE57" i="26" s="1"/>
  <c r="CE59" i="26" s="1"/>
  <c r="CE61" i="26" s="1"/>
  <c r="CE63" i="26" s="1"/>
  <c r="CE43" i="26"/>
  <c r="CE44" i="26" s="1"/>
  <c r="CE41" i="26"/>
  <c r="CU77" i="32"/>
  <c r="CY113" i="32"/>
  <c r="S9" i="32"/>
  <c r="DA86" i="32"/>
  <c r="CV86" i="32" s="1"/>
  <c r="DB86" i="32"/>
  <c r="CZ86" i="32"/>
  <c r="T35" i="32"/>
  <c r="S35" i="32"/>
  <c r="T27" i="32"/>
  <c r="S27" i="32"/>
  <c r="T33" i="32"/>
  <c r="S33" i="32"/>
  <c r="CG85" i="31"/>
  <c r="CG48" i="31"/>
  <c r="CG101" i="31"/>
  <c r="CG64" i="31"/>
  <c r="CH90" i="31"/>
  <c r="CH53" i="31"/>
  <c r="CL106" i="31"/>
  <c r="CJ106" i="31"/>
  <c r="CK106" i="31"/>
  <c r="CF106" i="31" s="1"/>
  <c r="CG105" i="31"/>
  <c r="CG68" i="31"/>
  <c r="CG70" i="31"/>
  <c r="CG107" i="31"/>
  <c r="CL102" i="31"/>
  <c r="CK102" i="31"/>
  <c r="CF102" i="31" s="1"/>
  <c r="CJ102" i="31"/>
  <c r="CJ56" i="32"/>
  <c r="S30" i="30"/>
  <c r="T30" i="30"/>
  <c r="S24" i="30"/>
  <c r="T24" i="30"/>
  <c r="S28" i="30"/>
  <c r="T28" i="30"/>
  <c r="S32" i="30"/>
  <c r="T32" i="30"/>
  <c r="T33" i="30"/>
  <c r="S33" i="30"/>
  <c r="T21" i="30"/>
  <c r="S21" i="30"/>
  <c r="S11" i="30"/>
  <c r="T11" i="30"/>
  <c r="CE112" i="31"/>
  <c r="CK82" i="31"/>
  <c r="CL82" i="31"/>
  <c r="CJ82" i="31"/>
  <c r="CE113" i="31"/>
  <c r="CH59" i="31"/>
  <c r="CH96" i="31"/>
  <c r="CH87" i="31"/>
  <c r="CH50" i="31"/>
  <c r="CH103" i="31"/>
  <c r="CH66" i="31"/>
  <c r="CK63" i="31"/>
  <c r="CF63" i="31" s="1"/>
  <c r="CL63" i="31"/>
  <c r="CJ63" i="31"/>
  <c r="CH49" i="31"/>
  <c r="CH86" i="31"/>
  <c r="CH91" i="31"/>
  <c r="CH54" i="31"/>
  <c r="CH99" i="31"/>
  <c r="CH62" i="31"/>
  <c r="CA19" i="33"/>
  <c r="CH19" i="33"/>
  <c r="CA12" i="33"/>
  <c r="CH12" i="33"/>
  <c r="CA15" i="33"/>
  <c r="CH15" i="33"/>
  <c r="CA8" i="33"/>
  <c r="CH8" i="33"/>
  <c r="CG51" i="31"/>
  <c r="CG88" i="31"/>
  <c r="CH67" i="31"/>
  <c r="CH104" i="31"/>
  <c r="CI95" i="31"/>
  <c r="CI58" i="31"/>
  <c r="CI111" i="31"/>
  <c r="CI74" i="31"/>
  <c r="BS18" i="31"/>
  <c r="T18" i="31" s="1"/>
  <c r="CJ92" i="31"/>
  <c r="CL92" i="31"/>
  <c r="CK92" i="31"/>
  <c r="CF92" i="31" s="1"/>
  <c r="BS34" i="31"/>
  <c r="T34" i="31" s="1"/>
  <c r="CL108" i="31"/>
  <c r="CK108" i="31"/>
  <c r="CF108" i="31" s="1"/>
  <c r="CJ108" i="31"/>
  <c r="BS36" i="31"/>
  <c r="T36" i="31" s="1"/>
  <c r="CG73" i="31"/>
  <c r="CG110" i="31"/>
  <c r="CJ93" i="31"/>
  <c r="CL93" i="31"/>
  <c r="CK93" i="31"/>
  <c r="CF93" i="31" s="1"/>
  <c r="CK109" i="31"/>
  <c r="CF109" i="31" s="1"/>
  <c r="CL109" i="31"/>
  <c r="CJ109" i="31"/>
  <c r="BS24" i="31"/>
  <c r="T24" i="31" s="1"/>
  <c r="CG61" i="31"/>
  <c r="CG98" i="31"/>
  <c r="CG97" i="31"/>
  <c r="CG60" i="31"/>
  <c r="CK60" i="31"/>
  <c r="CF60" i="31" s="1"/>
  <c r="CL60" i="31"/>
  <c r="CJ60" i="31"/>
  <c r="CI57" i="31"/>
  <c r="CI94" i="31"/>
  <c r="CL94" i="31"/>
  <c r="CK94" i="31"/>
  <c r="CF94" i="31" s="1"/>
  <c r="CJ94" i="31"/>
  <c r="CM45" i="30"/>
  <c r="CM59" i="30"/>
  <c r="CM57" i="30"/>
  <c r="CM47" i="30"/>
  <c r="CR47" i="32"/>
  <c r="CP44" i="32"/>
  <c r="B38" i="26"/>
  <c r="BY39" i="26"/>
  <c r="R38" i="26" s="1"/>
  <c r="AG38" i="26" s="1"/>
  <c r="CA39" i="26"/>
  <c r="CL38" i="26"/>
  <c r="BU39" i="26"/>
  <c r="BT39" i="26"/>
  <c r="BX39" i="26"/>
  <c r="T32" i="32"/>
  <c r="S32" i="32"/>
  <c r="S26" i="32"/>
  <c r="T26" i="32"/>
  <c r="T12" i="32"/>
  <c r="S12" i="32"/>
  <c r="T15" i="32"/>
  <c r="S15" i="32"/>
  <c r="T16" i="32"/>
  <c r="S16" i="32"/>
  <c r="T28" i="32"/>
  <c r="S28" i="32"/>
  <c r="T37" i="32"/>
  <c r="S37" i="32"/>
  <c r="T21" i="32"/>
  <c r="S21" i="32"/>
  <c r="CH48" i="31"/>
  <c r="CH85" i="31"/>
  <c r="BS27" i="31"/>
  <c r="T27" i="31" s="1"/>
  <c r="CH64" i="31"/>
  <c r="CH101" i="31"/>
  <c r="CL53" i="31"/>
  <c r="CK53" i="31"/>
  <c r="CF53" i="31" s="1"/>
  <c r="CJ53" i="31"/>
  <c r="CL69" i="31"/>
  <c r="CK69" i="31"/>
  <c r="CF69" i="31" s="1"/>
  <c r="CJ69" i="31"/>
  <c r="CH52" i="31"/>
  <c r="CH89" i="31"/>
  <c r="BS31" i="31"/>
  <c r="T31" i="31" s="1"/>
  <c r="CH68" i="31"/>
  <c r="CH105" i="31"/>
  <c r="CH107" i="31"/>
  <c r="CH70" i="31"/>
  <c r="CH65" i="31"/>
  <c r="CH102" i="31"/>
  <c r="CE90" i="32"/>
  <c r="CW113" i="32"/>
  <c r="S8" i="30"/>
  <c r="T8" i="30"/>
  <c r="S34" i="30"/>
  <c r="T34" i="30"/>
  <c r="S16" i="30"/>
  <c r="T16" i="30"/>
  <c r="S20" i="30"/>
  <c r="T20" i="30"/>
  <c r="T10" i="30"/>
  <c r="S10" i="30"/>
  <c r="S7" i="30"/>
  <c r="T7" i="30"/>
  <c r="T31" i="30"/>
  <c r="S31" i="30"/>
  <c r="CG45" i="31"/>
  <c r="CG82" i="31"/>
  <c r="BP15" i="31"/>
  <c r="CG38" i="31"/>
  <c r="BS22" i="31"/>
  <c r="T22" i="31" s="1"/>
  <c r="CL96" i="31"/>
  <c r="CK96" i="31"/>
  <c r="CF96" i="31" s="1"/>
  <c r="CJ96" i="31"/>
  <c r="CI87" i="31"/>
  <c r="CI50" i="31"/>
  <c r="CI103" i="31"/>
  <c r="CI66" i="31"/>
  <c r="CI47" i="31"/>
  <c r="CI84" i="31"/>
  <c r="BS26" i="31"/>
  <c r="T26" i="31" s="1"/>
  <c r="CG63" i="31"/>
  <c r="CG100" i="31"/>
  <c r="CG49" i="31"/>
  <c r="CG86" i="31"/>
  <c r="CI91" i="31"/>
  <c r="CI54" i="31"/>
  <c r="BS25" i="31"/>
  <c r="T25" i="31" s="1"/>
  <c r="CK99" i="31"/>
  <c r="CF99" i="31" s="1"/>
  <c r="CJ99" i="31"/>
  <c r="CL99" i="31"/>
  <c r="CA17" i="33"/>
  <c r="CH17" i="33"/>
  <c r="CA18" i="33"/>
  <c r="CH18" i="33"/>
  <c r="CA21" i="33"/>
  <c r="CH21" i="33"/>
  <c r="CA22" i="33"/>
  <c r="CH22" i="33"/>
  <c r="CA16" i="33"/>
  <c r="CH16" i="33"/>
  <c r="CV111" i="31"/>
  <c r="CV107" i="31"/>
  <c r="CV103" i="31"/>
  <c r="CV99" i="31"/>
  <c r="CV95" i="31"/>
  <c r="CV91" i="31"/>
  <c r="CV87" i="31"/>
  <c r="CV83" i="31"/>
  <c r="BN36" i="31"/>
  <c r="BN32" i="31"/>
  <c r="BN28" i="31"/>
  <c r="BN24" i="31"/>
  <c r="BN20" i="31"/>
  <c r="BN16" i="31"/>
  <c r="CV71" i="31"/>
  <c r="CV67" i="31"/>
  <c r="CV63" i="31"/>
  <c r="CV59" i="31"/>
  <c r="CV55" i="31"/>
  <c r="CV51" i="31"/>
  <c r="CV47" i="31"/>
  <c r="CV110" i="31"/>
  <c r="CV105" i="31"/>
  <c r="CV100" i="31"/>
  <c r="CV94" i="31"/>
  <c r="CV89" i="31"/>
  <c r="CV84" i="31"/>
  <c r="BN33" i="31"/>
  <c r="BN27" i="31"/>
  <c r="BN22" i="31"/>
  <c r="BN17" i="31"/>
  <c r="CV70" i="31"/>
  <c r="CV65" i="31"/>
  <c r="CV60" i="31"/>
  <c r="CV54" i="31"/>
  <c r="CV49" i="31"/>
  <c r="CV109" i="31"/>
  <c r="CV98" i="31"/>
  <c r="CV88" i="31"/>
  <c r="BN31" i="31"/>
  <c r="BN21" i="31"/>
  <c r="CV69" i="31"/>
  <c r="CV58" i="31"/>
  <c r="CV48" i="31"/>
  <c r="CV106" i="31"/>
  <c r="CV101" i="31"/>
  <c r="CV96" i="31"/>
  <c r="CV90" i="31"/>
  <c r="CV85" i="31"/>
  <c r="BN34" i="31"/>
  <c r="BN29" i="31"/>
  <c r="BN23" i="31"/>
  <c r="BN18" i="31"/>
  <c r="CV72" i="31"/>
  <c r="CV66" i="31"/>
  <c r="CV61" i="31"/>
  <c r="CV56" i="31"/>
  <c r="CV50" i="31"/>
  <c r="CV45" i="31"/>
  <c r="CV104" i="31"/>
  <c r="CV93" i="31"/>
  <c r="CV82" i="31"/>
  <c r="BN26" i="31"/>
  <c r="CV74" i="31"/>
  <c r="CV64" i="31"/>
  <c r="CV53" i="31"/>
  <c r="CV108" i="31"/>
  <c r="CV102" i="31"/>
  <c r="CV97" i="31"/>
  <c r="CV92" i="31"/>
  <c r="CV86" i="31"/>
  <c r="BN35" i="31"/>
  <c r="BN30" i="31"/>
  <c r="BN25" i="31"/>
  <c r="BN19" i="31"/>
  <c r="CV73" i="31"/>
  <c r="CV68" i="31"/>
  <c r="CV62" i="31"/>
  <c r="CV57" i="31"/>
  <c r="CV52" i="31"/>
  <c r="CV46" i="31"/>
  <c r="BZ40" i="31"/>
  <c r="BZ113" i="31"/>
  <c r="BZ76" i="31"/>
  <c r="CH51" i="31"/>
  <c r="CH88" i="31"/>
  <c r="BS30" i="31"/>
  <c r="T30" i="31" s="1"/>
  <c r="CI67" i="31"/>
  <c r="CI104" i="31"/>
  <c r="BS21" i="31"/>
  <c r="T21" i="31" s="1"/>
  <c r="CL95" i="31"/>
  <c r="CJ95" i="31"/>
  <c r="CK95" i="31"/>
  <c r="CF95" i="31" s="1"/>
  <c r="BS37" i="31"/>
  <c r="T37" i="31" s="1"/>
  <c r="CG74" i="31"/>
  <c r="CG111" i="31"/>
  <c r="CG55" i="31"/>
  <c r="CG92" i="31"/>
  <c r="CG71" i="31"/>
  <c r="CG108" i="31"/>
  <c r="CI83" i="31"/>
  <c r="CI46" i="31"/>
  <c r="CL73" i="31"/>
  <c r="CK73" i="31"/>
  <c r="CF73" i="31" s="1"/>
  <c r="CJ73" i="31"/>
  <c r="CI93" i="31"/>
  <c r="CI56" i="31"/>
  <c r="CI109" i="31"/>
  <c r="CI72" i="31"/>
  <c r="CI61" i="31"/>
  <c r="CI98" i="31"/>
  <c r="BS23" i="31"/>
  <c r="T23" i="31" s="1"/>
  <c r="CH60" i="31"/>
  <c r="CH97" i="31"/>
  <c r="CH57" i="31"/>
  <c r="CH94" i="31"/>
  <c r="CM60" i="30"/>
  <c r="CY76" i="32"/>
  <c r="T13" i="32"/>
  <c r="S13" i="32"/>
  <c r="T36" i="32"/>
  <c r="S36" i="32"/>
  <c r="T31" i="32"/>
  <c r="S31" i="32"/>
  <c r="CK52" i="31"/>
  <c r="CF52" i="31" s="1"/>
  <c r="CL52" i="31"/>
  <c r="CJ52" i="31"/>
  <c r="CK70" i="31"/>
  <c r="CF70" i="31" s="1"/>
  <c r="CL70" i="31"/>
  <c r="CJ70" i="31"/>
  <c r="S10" i="32"/>
  <c r="T10" i="32"/>
  <c r="T8" i="32"/>
  <c r="S8" i="32"/>
  <c r="S14" i="32"/>
  <c r="T14" i="32"/>
  <c r="S22" i="32"/>
  <c r="T22" i="32"/>
  <c r="T25" i="32"/>
  <c r="S25" i="32"/>
  <c r="CJ85" i="31"/>
  <c r="CL85" i="31"/>
  <c r="CK85" i="31"/>
  <c r="CF85" i="31" s="1"/>
  <c r="CI101" i="31"/>
  <c r="CI64" i="31"/>
  <c r="CG53" i="31"/>
  <c r="CG90" i="31"/>
  <c r="BS32" i="31"/>
  <c r="T32" i="31" s="1"/>
  <c r="CG69" i="31"/>
  <c r="CG106" i="31"/>
  <c r="CI89" i="31"/>
  <c r="CI52" i="31"/>
  <c r="CI105" i="31"/>
  <c r="CI68" i="31"/>
  <c r="CI107" i="31"/>
  <c r="CI70" i="31"/>
  <c r="BS28" i="31"/>
  <c r="T28" i="31" s="1"/>
  <c r="CG65" i="31"/>
  <c r="CG102" i="31"/>
  <c r="CW76" i="32"/>
  <c r="CE53" i="32"/>
  <c r="CJ85" i="32"/>
  <c r="CJ55" i="32"/>
  <c r="S13" i="30"/>
  <c r="T13" i="30"/>
  <c r="S12" i="30"/>
  <c r="T12" i="30"/>
  <c r="S18" i="30"/>
  <c r="T18" i="30"/>
  <c r="S22" i="30"/>
  <c r="T22" i="30"/>
  <c r="T14" i="30"/>
  <c r="S14" i="30"/>
  <c r="T25" i="30"/>
  <c r="S25" i="30"/>
  <c r="S27" i="30"/>
  <c r="T27" i="30"/>
  <c r="T35" i="30"/>
  <c r="S35" i="30"/>
  <c r="CU76" i="32"/>
  <c r="CI45" i="31"/>
  <c r="CI82" i="31"/>
  <c r="CI38" i="31"/>
  <c r="BP16" i="31" s="1"/>
  <c r="CI59" i="31"/>
  <c r="CI96" i="31"/>
  <c r="CJ87" i="31"/>
  <c r="CL87" i="31"/>
  <c r="CK87" i="31"/>
  <c r="CF87" i="31" s="1"/>
  <c r="BS29" i="31"/>
  <c r="T29" i="31" s="1"/>
  <c r="CL103" i="31"/>
  <c r="CJ103" i="31"/>
  <c r="CK103" i="31"/>
  <c r="CF103" i="31" s="1"/>
  <c r="CG47" i="31"/>
  <c r="CG84" i="31"/>
  <c r="CI63" i="31"/>
  <c r="CI100" i="31"/>
  <c r="CI99" i="31"/>
  <c r="CI62" i="31"/>
  <c r="CA11" i="33"/>
  <c r="CH11" i="33"/>
  <c r="CF37" i="33"/>
  <c r="CG7" i="33"/>
  <c r="CA9" i="33"/>
  <c r="CH9" i="33"/>
  <c r="CA20" i="33"/>
  <c r="CH20" i="33"/>
  <c r="CJ88" i="31"/>
  <c r="CL88" i="31"/>
  <c r="CK88" i="31"/>
  <c r="CF88" i="31" s="1"/>
  <c r="CK67" i="31"/>
  <c r="CF67" i="31" s="1"/>
  <c r="CL67" i="31"/>
  <c r="CJ67" i="31"/>
  <c r="CL104" i="31"/>
  <c r="CJ104" i="31"/>
  <c r="CK104" i="31"/>
  <c r="CF104" i="31" s="1"/>
  <c r="CG58" i="31"/>
  <c r="CG95" i="31"/>
  <c r="CK58" i="31"/>
  <c r="CF58" i="31" s="1"/>
  <c r="CL58" i="31"/>
  <c r="CJ58" i="31"/>
  <c r="CK111" i="31"/>
  <c r="CF111" i="31" s="1"/>
  <c r="CJ111" i="31"/>
  <c r="CL111" i="31"/>
  <c r="CK74" i="31"/>
  <c r="CF74" i="31" s="1"/>
  <c r="CL74" i="31"/>
  <c r="CJ74" i="31"/>
  <c r="CI55" i="31"/>
  <c r="CI92" i="31"/>
  <c r="CH55" i="31"/>
  <c r="CH92" i="31"/>
  <c r="CI71" i="31"/>
  <c r="CI108" i="31"/>
  <c r="CH71" i="31"/>
  <c r="CH108" i="31"/>
  <c r="CG46" i="31"/>
  <c r="CG83" i="31"/>
  <c r="CK46" i="31"/>
  <c r="CF46" i="31" s="1"/>
  <c r="CL46" i="31"/>
  <c r="CJ46" i="31"/>
  <c r="CI73" i="31"/>
  <c r="CI110" i="31"/>
  <c r="CK110" i="31"/>
  <c r="CF110" i="31" s="1"/>
  <c r="CJ110" i="31"/>
  <c r="CL110" i="31"/>
  <c r="CJ88" i="32"/>
  <c r="CG93" i="31"/>
  <c r="CG56" i="31"/>
  <c r="CK56" i="31"/>
  <c r="CF56" i="31" s="1"/>
  <c r="CL56" i="31"/>
  <c r="CJ56" i="31"/>
  <c r="CG109" i="31"/>
  <c r="CG72" i="31"/>
  <c r="CK72" i="31"/>
  <c r="CF72" i="31" s="1"/>
  <c r="CL72" i="31"/>
  <c r="CJ72" i="31"/>
  <c r="CH98" i="31"/>
  <c r="CH61" i="31"/>
  <c r="CK98" i="31"/>
  <c r="CF98" i="31" s="1"/>
  <c r="CJ98" i="31"/>
  <c r="CL98" i="31"/>
  <c r="CI97" i="31"/>
  <c r="CI60" i="31"/>
  <c r="BS20" i="31"/>
  <c r="T20" i="31" s="1"/>
  <c r="CG57" i="31"/>
  <c r="CG94" i="31"/>
  <c r="S30" i="32"/>
  <c r="T30" i="32"/>
  <c r="CK64" i="31"/>
  <c r="CF64" i="31" s="1"/>
  <c r="CL64" i="31"/>
  <c r="CJ64" i="31"/>
  <c r="CH106" i="31"/>
  <c r="CH69" i="31"/>
  <c r="CG89" i="31"/>
  <c r="CG52" i="31"/>
  <c r="CK68" i="31"/>
  <c r="CF68" i="31" s="1"/>
  <c r="CL68" i="31"/>
  <c r="CJ68" i="31"/>
  <c r="CI65" i="31"/>
  <c r="CI102" i="31"/>
  <c r="CJ83" i="32"/>
  <c r="S18" i="32"/>
  <c r="T18" i="32"/>
  <c r="T17" i="32"/>
  <c r="S17" i="32"/>
  <c r="T19" i="32"/>
  <c r="S19" i="32"/>
  <c r="T20" i="32"/>
  <c r="S20" i="32"/>
  <c r="T23" i="32"/>
  <c r="S23" i="32"/>
  <c r="T24" i="32"/>
  <c r="S24" i="32"/>
  <c r="S34" i="32"/>
  <c r="T34" i="32"/>
  <c r="T29" i="32"/>
  <c r="S29" i="32"/>
  <c r="CI85" i="31"/>
  <c r="CI48" i="31"/>
  <c r="CK101" i="31"/>
  <c r="CF101" i="31" s="1"/>
  <c r="CL101" i="31"/>
  <c r="CJ101" i="31"/>
  <c r="CI53" i="31"/>
  <c r="CI90" i="31"/>
  <c r="CI69" i="31"/>
  <c r="CI106" i="31"/>
  <c r="CL105" i="31"/>
  <c r="CJ105" i="31"/>
  <c r="CK105" i="31"/>
  <c r="CF105" i="31" s="1"/>
  <c r="BS33" i="31"/>
  <c r="T33" i="31" s="1"/>
  <c r="CL107" i="31"/>
  <c r="CJ107" i="31"/>
  <c r="CK107" i="31"/>
  <c r="CF107" i="31" s="1"/>
  <c r="CL65" i="31"/>
  <c r="CK65" i="31"/>
  <c r="CF65" i="31" s="1"/>
  <c r="CJ65" i="31"/>
  <c r="CF26" i="32"/>
  <c r="S26" i="30"/>
  <c r="T26" i="30"/>
  <c r="S36" i="30"/>
  <c r="T36" i="30"/>
  <c r="S15" i="30"/>
  <c r="T15" i="30"/>
  <c r="T17" i="30"/>
  <c r="S17" i="30"/>
  <c r="S29" i="30"/>
  <c r="T29" i="30"/>
  <c r="CJ48" i="30"/>
  <c r="CJ49" i="30" s="1"/>
  <c r="CJ50" i="30" s="1"/>
  <c r="CJ51" i="30" s="1"/>
  <c r="CJ52" i="30" s="1"/>
  <c r="CJ53" i="30" s="1"/>
  <c r="CJ54" i="30" s="1"/>
  <c r="CJ55" i="30" s="1"/>
  <c r="CJ56" i="30" s="1"/>
  <c r="CJ57" i="30" s="1"/>
  <c r="CJ58" i="30" s="1"/>
  <c r="CJ59" i="30" s="1"/>
  <c r="CJ60" i="30" s="1"/>
  <c r="CJ61" i="30" s="1"/>
  <c r="CJ62" i="30" s="1"/>
  <c r="CJ63" i="30" s="1"/>
  <c r="CJ64" i="30" s="1"/>
  <c r="CJ65" i="30" s="1"/>
  <c r="CJ66" i="30" s="1"/>
  <c r="CJ67" i="30" s="1"/>
  <c r="CJ68" i="30" s="1"/>
  <c r="CJ69" i="30" s="1"/>
  <c r="CJ70" i="30" s="1"/>
  <c r="CJ71" i="30" s="1"/>
  <c r="CJ72" i="30" s="1"/>
  <c r="CJ73" i="30" s="1"/>
  <c r="CJ74" i="30" s="1"/>
  <c r="CJ75" i="30" s="1"/>
  <c r="CJ76" i="30" s="1"/>
  <c r="CJ77" i="30" s="1"/>
  <c r="CJ78" i="30" s="1"/>
  <c r="CJ79" i="30" s="1"/>
  <c r="CJ80" i="30" s="1"/>
  <c r="CJ81" i="30" s="1"/>
  <c r="CJ82" i="30" s="1"/>
  <c r="CJ83" i="30" s="1"/>
  <c r="CJ84" i="30" s="1"/>
  <c r="CJ85" i="30" s="1"/>
  <c r="CJ86" i="30" s="1"/>
  <c r="CJ87" i="30" s="1"/>
  <c r="CJ88" i="30" s="1"/>
  <c r="CJ89" i="30" s="1"/>
  <c r="CJ90" i="30" s="1"/>
  <c r="CJ91" i="30" s="1"/>
  <c r="CJ92" i="30" s="1"/>
  <c r="CJ93" i="30" s="1"/>
  <c r="CJ94" i="30" s="1"/>
  <c r="CJ95" i="30" s="1"/>
  <c r="CJ96" i="30" s="1"/>
  <c r="CJ97" i="30" s="1"/>
  <c r="CJ98" i="30" s="1"/>
  <c r="CJ99" i="30" s="1"/>
  <c r="CJ100" i="30" s="1"/>
  <c r="CJ101" i="30" s="1"/>
  <c r="CJ102" i="30" s="1"/>
  <c r="CJ103" i="30" s="1"/>
  <c r="CJ104" i="30" s="1"/>
  <c r="CJ105" i="30" s="1"/>
  <c r="CJ106" i="30" s="1"/>
  <c r="CJ107" i="30" s="1"/>
  <c r="CJ108" i="30" s="1"/>
  <c r="CJ109" i="30" s="1"/>
  <c r="CJ110" i="30" s="1"/>
  <c r="CJ111" i="30" s="1"/>
  <c r="CJ112" i="30" s="1"/>
  <c r="CJ113" i="30" s="1"/>
  <c r="CJ114" i="30" s="1"/>
  <c r="CJ115" i="30" s="1"/>
  <c r="CJ116" i="30" s="1"/>
  <c r="CJ117" i="30" s="1"/>
  <c r="CJ118" i="30" s="1"/>
  <c r="CJ119" i="30" s="1"/>
  <c r="CJ120" i="30" s="1"/>
  <c r="CJ121" i="30" s="1"/>
  <c r="CJ122" i="30" s="1"/>
  <c r="CJ123" i="30" s="1"/>
  <c r="CJ124" i="30" s="1"/>
  <c r="CJ125" i="30" s="1"/>
  <c r="CJ126" i="30" s="1"/>
  <c r="CJ127" i="30" s="1"/>
  <c r="CJ128" i="30" s="1"/>
  <c r="CJ129" i="30" s="1"/>
  <c r="CJ130" i="30" s="1"/>
  <c r="CJ131" i="30" s="1"/>
  <c r="CJ132" i="30" s="1"/>
  <c r="CJ133" i="30" s="1"/>
  <c r="CJ134" i="30" s="1"/>
  <c r="CJ135" i="30" s="1"/>
  <c r="CJ136" i="30" s="1"/>
  <c r="CJ137" i="30" s="1"/>
  <c r="CJ138" i="30" s="1"/>
  <c r="CJ139" i="30" s="1"/>
  <c r="CJ140" i="30" s="1"/>
  <c r="CJ141" i="30" s="1"/>
  <c r="CJ142" i="30" s="1"/>
  <c r="CJ143" i="30" s="1"/>
  <c r="CJ144" i="30" s="1"/>
  <c r="CJ145" i="30" s="1"/>
  <c r="CJ146" i="30" s="1"/>
  <c r="CJ147" i="30" s="1"/>
  <c r="CJ148" i="30" s="1"/>
  <c r="CJ149" i="30" s="1"/>
  <c r="CJ150" i="30" s="1"/>
  <c r="CJ151" i="30" s="1"/>
  <c r="CJ152" i="30" s="1"/>
  <c r="CJ153" i="30" s="1"/>
  <c r="CJ154" i="30" s="1"/>
  <c r="CJ155" i="30" s="1"/>
  <c r="CJ156" i="30" s="1"/>
  <c r="CJ157" i="30" s="1"/>
  <c r="CJ158" i="30" s="1"/>
  <c r="CJ159" i="30" s="1"/>
  <c r="CJ160" i="30" s="1"/>
  <c r="CJ161" i="30" s="1"/>
  <c r="CJ162" i="30" s="1"/>
  <c r="CJ163" i="30" s="1"/>
  <c r="CJ164" i="30" s="1"/>
  <c r="CJ165" i="30" s="1"/>
  <c r="CJ166" i="30" s="1"/>
  <c r="CJ167" i="30" s="1"/>
  <c r="CJ168" i="30" s="1"/>
  <c r="CJ169" i="30" s="1"/>
  <c r="CJ170" i="30" s="1"/>
  <c r="CJ171" i="30" s="1"/>
  <c r="CJ172" i="30" s="1"/>
  <c r="CJ173" i="30" s="1"/>
  <c r="CJ174" i="30" s="1"/>
  <c r="CJ175" i="30" s="1"/>
  <c r="CJ176" i="30" s="1"/>
  <c r="CJ177" i="30" s="1"/>
  <c r="CJ178" i="30" s="1"/>
  <c r="CJ179" i="30" s="1"/>
  <c r="CJ180" i="30" s="1"/>
  <c r="CJ181" i="30" s="1"/>
  <c r="CJ182" i="30" s="1"/>
  <c r="CJ183" i="30" s="1"/>
  <c r="CJ184" i="30" s="1"/>
  <c r="CJ185" i="30" s="1"/>
  <c r="CJ186" i="30" s="1"/>
  <c r="CJ187" i="30" s="1"/>
  <c r="CJ188" i="30" s="1"/>
  <c r="CJ189" i="30" s="1"/>
  <c r="CJ190" i="30" s="1"/>
  <c r="CJ191" i="30" s="1"/>
  <c r="CJ192" i="30" s="1"/>
  <c r="CJ193" i="30" s="1"/>
  <c r="CJ194" i="30" s="1"/>
  <c r="CJ195" i="30" s="1"/>
  <c r="CJ196" i="30" s="1"/>
  <c r="CJ197" i="30" s="1"/>
  <c r="CJ198" i="30" s="1"/>
  <c r="CJ199" i="30" s="1"/>
  <c r="CJ200" i="30" s="1"/>
  <c r="CJ201" i="30" s="1"/>
  <c r="CJ202" i="30" s="1"/>
  <c r="CJ203" i="30" s="1"/>
  <c r="CJ204" i="30" s="1"/>
  <c r="CJ205" i="30" s="1"/>
  <c r="CJ206" i="30" s="1"/>
  <c r="CJ207" i="30" s="1"/>
  <c r="CJ208" i="30" s="1"/>
  <c r="CJ209" i="30" s="1"/>
  <c r="CJ210" i="30" s="1"/>
  <c r="CJ211" i="30" s="1"/>
  <c r="CJ212" i="30" s="1"/>
  <c r="CJ213" i="30" s="1"/>
  <c r="CJ214" i="30" s="1"/>
  <c r="CJ215" i="30" s="1"/>
  <c r="CJ216" i="30" s="1"/>
  <c r="CJ217" i="30" s="1"/>
  <c r="CJ218" i="30" s="1"/>
  <c r="CJ219" i="30" s="1"/>
  <c r="CJ220" i="30" s="1"/>
  <c r="CJ221" i="30" s="1"/>
  <c r="CJ222" i="30" s="1"/>
  <c r="CJ223" i="30" s="1"/>
  <c r="CJ224" i="30" s="1"/>
  <c r="CJ225" i="30" s="1"/>
  <c r="CJ226" i="30" s="1"/>
  <c r="CJ227" i="30" s="1"/>
  <c r="CJ228" i="30" s="1"/>
  <c r="CJ229" i="30" s="1"/>
  <c r="CJ230" i="30" s="1"/>
  <c r="CJ231" i="30" s="1"/>
  <c r="CJ232" i="30" s="1"/>
  <c r="CJ233" i="30" s="1"/>
  <c r="CJ234" i="30" s="1"/>
  <c r="CJ235" i="30" s="1"/>
  <c r="CJ236" i="30" s="1"/>
  <c r="CJ237" i="30" s="1"/>
  <c r="CJ238" i="30" s="1"/>
  <c r="CJ239" i="30" s="1"/>
  <c r="CJ240" i="30" s="1"/>
  <c r="CJ241" i="30" s="1"/>
  <c r="CJ242" i="30" s="1"/>
  <c r="CJ243" i="30" s="1"/>
  <c r="CJ244" i="30" s="1"/>
  <c r="CJ245" i="30" s="1"/>
  <c r="CJ246" i="30" s="1"/>
  <c r="CJ247" i="30" s="1"/>
  <c r="CJ248" i="30" s="1"/>
  <c r="CP3" i="30"/>
  <c r="CI43" i="30"/>
  <c r="CI41" i="30"/>
  <c r="CI42" i="30"/>
  <c r="CI44" i="30"/>
  <c r="CI40" i="30"/>
  <c r="S19" i="30"/>
  <c r="T19" i="30"/>
  <c r="S23" i="30"/>
  <c r="T23" i="30"/>
  <c r="DB84" i="32"/>
  <c r="DA84" i="32"/>
  <c r="CZ84" i="32"/>
  <c r="CU113" i="32"/>
  <c r="CH82" i="31"/>
  <c r="CH45" i="31"/>
  <c r="CH38" i="31"/>
  <c r="BP18" i="31" s="1"/>
  <c r="CE75" i="31"/>
  <c r="CE76" i="31"/>
  <c r="CK59" i="31"/>
  <c r="CF59" i="31" s="1"/>
  <c r="CL59" i="31"/>
  <c r="CJ59" i="31"/>
  <c r="CG59" i="31"/>
  <c r="CG96" i="31"/>
  <c r="CG50" i="31"/>
  <c r="CG87" i="31"/>
  <c r="CG66" i="31"/>
  <c r="CG103" i="31"/>
  <c r="CK66" i="31"/>
  <c r="CF66" i="31" s="1"/>
  <c r="CL66" i="31"/>
  <c r="CJ66" i="31"/>
  <c r="CJ84" i="31"/>
  <c r="CL84" i="31"/>
  <c r="CK84" i="31"/>
  <c r="CF84" i="31" s="1"/>
  <c r="CH84" i="31"/>
  <c r="CH47" i="31"/>
  <c r="CK100" i="31"/>
  <c r="CF100" i="31" s="1"/>
  <c r="CJ100" i="31"/>
  <c r="CL100" i="31"/>
  <c r="CH100" i="31"/>
  <c r="CH63" i="31"/>
  <c r="CI49" i="31"/>
  <c r="CI86" i="31"/>
  <c r="CJ86" i="31"/>
  <c r="CL86" i="31"/>
  <c r="CK86" i="31"/>
  <c r="CF86" i="31" s="1"/>
  <c r="CG54" i="31"/>
  <c r="CG91" i="31"/>
  <c r="CK54" i="31"/>
  <c r="CF54" i="31" s="1"/>
  <c r="CL54" i="31"/>
  <c r="CJ54" i="31"/>
  <c r="CG62" i="31"/>
  <c r="CG99" i="31"/>
  <c r="CK62" i="31"/>
  <c r="CF62" i="31" s="1"/>
  <c r="CL62" i="31"/>
  <c r="CJ62" i="31"/>
  <c r="CA10" i="33"/>
  <c r="CH10" i="33"/>
  <c r="CA14" i="33"/>
  <c r="CH14" i="33"/>
  <c r="CA13" i="33"/>
  <c r="CH13" i="33"/>
  <c r="CI51" i="31"/>
  <c r="CI88" i="31"/>
  <c r="CG67" i="31"/>
  <c r="CG104" i="31"/>
  <c r="CH95" i="31"/>
  <c r="CH58" i="31"/>
  <c r="CH111" i="31"/>
  <c r="CH74" i="31"/>
  <c r="CK55" i="31"/>
  <c r="CF55" i="31" s="1"/>
  <c r="CL55" i="31"/>
  <c r="CJ55" i="31"/>
  <c r="CK71" i="31"/>
  <c r="CF71" i="31" s="1"/>
  <c r="CL71" i="31"/>
  <c r="CJ71" i="31"/>
  <c r="CH83" i="31"/>
  <c r="CH46" i="31"/>
  <c r="CH73" i="31"/>
  <c r="CH110" i="31"/>
  <c r="BS19" i="31"/>
  <c r="T19" i="31" s="1"/>
  <c r="CH56" i="31"/>
  <c r="CH93" i="31"/>
  <c r="BS35" i="31"/>
  <c r="T35" i="31" s="1"/>
  <c r="CH72" i="31"/>
  <c r="CH109" i="31"/>
  <c r="CL61" i="31"/>
  <c r="CK61" i="31"/>
  <c r="CF61" i="31" s="1"/>
  <c r="CJ61" i="31"/>
  <c r="CK97" i="31"/>
  <c r="CF97" i="31" s="1"/>
  <c r="CL97" i="31"/>
  <c r="CJ97" i="31"/>
  <c r="CL57" i="31"/>
  <c r="CK57" i="31"/>
  <c r="CF57" i="31" s="1"/>
  <c r="CJ57" i="31"/>
  <c r="CU114" i="32"/>
  <c r="CF10" i="32"/>
  <c r="CZ2" i="32"/>
  <c r="CH16" i="26" l="1"/>
  <c r="CI16" i="26" s="1"/>
  <c r="CJ16" i="26" s="1"/>
  <c r="CH15" i="26"/>
  <c r="CI15" i="26" s="1"/>
  <c r="CJ15" i="26" s="1"/>
  <c r="CH14" i="26"/>
  <c r="CI14" i="26" s="1"/>
  <c r="CJ14" i="26" s="1"/>
  <c r="CH8" i="26"/>
  <c r="CI8" i="26" s="1"/>
  <c r="CJ8" i="26" s="1"/>
  <c r="CE58" i="26"/>
  <c r="CE60" i="26" s="1"/>
  <c r="CE62" i="26" s="1"/>
  <c r="CH13" i="26"/>
  <c r="CI13" i="26" s="1"/>
  <c r="CJ13" i="26" s="1"/>
  <c r="CH10" i="26"/>
  <c r="CI10" i="26" s="1"/>
  <c r="CJ10" i="26" s="1"/>
  <c r="CH11" i="26"/>
  <c r="CI11" i="26" s="1"/>
  <c r="CJ11" i="26" s="1"/>
  <c r="CH7" i="26"/>
  <c r="CH9" i="26"/>
  <c r="CI9" i="26" s="1"/>
  <c r="CJ9" i="26" s="1"/>
  <c r="CH12" i="26"/>
  <c r="CI12" i="26" s="1"/>
  <c r="CJ12" i="26" s="1"/>
  <c r="CM61" i="30"/>
  <c r="CM63" i="30" s="1"/>
  <c r="CM65" i="30" s="1"/>
  <c r="CM67" i="30" s="1"/>
  <c r="BP31" i="31"/>
  <c r="BP33" i="31" s="1"/>
  <c r="BP34" i="31" s="1"/>
  <c r="BP36" i="31" s="1"/>
  <c r="BP38" i="31" s="1"/>
  <c r="BP17" i="31"/>
  <c r="BP29" i="31"/>
  <c r="BP19" i="31"/>
  <c r="BS62" i="31"/>
  <c r="BS74" i="31"/>
  <c r="BS103" i="31"/>
  <c r="DL112" i="32"/>
  <c r="DL108" i="32"/>
  <c r="DL104" i="32"/>
  <c r="DL100" i="32"/>
  <c r="DL96" i="32"/>
  <c r="DL92" i="32"/>
  <c r="DL88" i="32"/>
  <c r="DL84" i="32"/>
  <c r="DL73" i="32"/>
  <c r="DL69" i="32"/>
  <c r="DL65" i="32"/>
  <c r="DL61" i="32"/>
  <c r="DL57" i="32"/>
  <c r="DL53" i="32"/>
  <c r="DL49" i="32"/>
  <c r="DL109" i="32"/>
  <c r="DL105" i="32"/>
  <c r="DL101" i="32"/>
  <c r="DL97" i="32"/>
  <c r="DL93" i="32"/>
  <c r="DL89" i="32"/>
  <c r="DL85" i="32"/>
  <c r="DL74" i="32"/>
  <c r="DL70" i="32"/>
  <c r="DL66" i="32"/>
  <c r="DL62" i="32"/>
  <c r="DL58" i="32"/>
  <c r="DL54" i="32"/>
  <c r="DL50" i="32"/>
  <c r="DL46" i="32"/>
  <c r="DL110" i="32"/>
  <c r="DL106" i="32"/>
  <c r="DL102" i="32"/>
  <c r="DL98" i="32"/>
  <c r="DL94" i="32"/>
  <c r="DL90" i="32"/>
  <c r="DL86" i="32"/>
  <c r="DL75" i="32"/>
  <c r="DL71" i="32"/>
  <c r="DL67" i="32"/>
  <c r="DL63" i="32"/>
  <c r="DL59" i="32"/>
  <c r="DL55" i="32"/>
  <c r="DL51" i="32"/>
  <c r="DL47" i="32"/>
  <c r="DL103" i="32"/>
  <c r="DL87" i="32"/>
  <c r="DL64" i="32"/>
  <c r="DL48" i="32"/>
  <c r="DL107" i="32"/>
  <c r="DL91" i="32"/>
  <c r="DL68" i="32"/>
  <c r="DL52" i="32"/>
  <c r="DL99" i="32"/>
  <c r="DL83" i="32"/>
  <c r="DL60" i="32"/>
  <c r="DL56" i="32"/>
  <c r="DL72" i="32"/>
  <c r="DL111" i="32"/>
  <c r="DL95" i="32"/>
  <c r="BX34" i="32"/>
  <c r="BX30" i="32"/>
  <c r="BX26" i="32"/>
  <c r="BX22" i="32"/>
  <c r="BX18" i="32"/>
  <c r="BX33" i="32"/>
  <c r="BX28" i="32"/>
  <c r="BX23" i="32"/>
  <c r="BX17" i="32"/>
  <c r="BX36" i="32"/>
  <c r="BX31" i="32"/>
  <c r="BX25" i="32"/>
  <c r="BX20" i="32"/>
  <c r="BX32" i="32"/>
  <c r="BX27" i="32"/>
  <c r="BX21" i="32"/>
  <c r="BX16" i="32"/>
  <c r="BX19" i="32"/>
  <c r="BX24" i="32"/>
  <c r="BX29" i="32"/>
  <c r="BX35" i="32"/>
  <c r="BS65" i="31"/>
  <c r="BS111" i="31"/>
  <c r="CA7" i="33"/>
  <c r="CG37" i="33"/>
  <c r="CA38" i="33"/>
  <c r="CH7" i="33"/>
  <c r="CH37" i="33" s="1"/>
  <c r="CC45" i="33" s="1"/>
  <c r="P7" i="33"/>
  <c r="CF53" i="32"/>
  <c r="CE70" i="32"/>
  <c r="BS96" i="31"/>
  <c r="CM48" i="30"/>
  <c r="CU11" i="30"/>
  <c r="CV11" i="30" s="1"/>
  <c r="CU7" i="30"/>
  <c r="CU17" i="30"/>
  <c r="CV17" i="30" s="1"/>
  <c r="CU10" i="30"/>
  <c r="CV10" i="30" s="1"/>
  <c r="CU15" i="30"/>
  <c r="CV15" i="30" s="1"/>
  <c r="CU13" i="30"/>
  <c r="CV13" i="30" s="1"/>
  <c r="CU16" i="30"/>
  <c r="CV16" i="30" s="1"/>
  <c r="CU12" i="30"/>
  <c r="CV12" i="30" s="1"/>
  <c r="CU14" i="30"/>
  <c r="CV14" i="30" s="1"/>
  <c r="CU8" i="30"/>
  <c r="CV8" i="30" s="1"/>
  <c r="CU9" i="30"/>
  <c r="CV9" i="30" s="1"/>
  <c r="BS94" i="31"/>
  <c r="BS93" i="31"/>
  <c r="BS63" i="31"/>
  <c r="BS102" i="31"/>
  <c r="CH75" i="31"/>
  <c r="BO55" i="31" s="1"/>
  <c r="CI112" i="31"/>
  <c r="CF23" i="32"/>
  <c r="CF11" i="32"/>
  <c r="CF25" i="32"/>
  <c r="CF27" i="32" s="1"/>
  <c r="CF13" i="32"/>
  <c r="BS55" i="31"/>
  <c r="BS86" i="31"/>
  <c r="BS84" i="31"/>
  <c r="CV84" i="32"/>
  <c r="BP32" i="31"/>
  <c r="D38" i="26"/>
  <c r="C38" i="26"/>
  <c r="CF82" i="31"/>
  <c r="BS97" i="31"/>
  <c r="BS68" i="31"/>
  <c r="BS56" i="31"/>
  <c r="BS88" i="31"/>
  <c r="CE56" i="32"/>
  <c r="CE54" i="32"/>
  <c r="CE93" i="32"/>
  <c r="CE91" i="32"/>
  <c r="BS110" i="31"/>
  <c r="BS58" i="31"/>
  <c r="BS67" i="31"/>
  <c r="BS70" i="31"/>
  <c r="BS73" i="31"/>
  <c r="BS95" i="31"/>
  <c r="CG75" i="31"/>
  <c r="BO52" i="31"/>
  <c r="CE107" i="32"/>
  <c r="BS69" i="31"/>
  <c r="BS109" i="31"/>
  <c r="BS108" i="31"/>
  <c r="BS92" i="31"/>
  <c r="CJ86" i="32"/>
  <c r="AE38" i="26"/>
  <c r="BS57" i="31"/>
  <c r="BS46" i="31"/>
  <c r="BS85" i="31"/>
  <c r="BS105" i="31"/>
  <c r="BS101" i="31"/>
  <c r="BS64" i="31"/>
  <c r="BS72" i="31"/>
  <c r="BS61" i="31"/>
  <c r="BS71" i="31"/>
  <c r="BS54" i="31"/>
  <c r="BS100" i="31"/>
  <c r="BS66" i="31"/>
  <c r="BS59" i="31"/>
  <c r="BS107" i="31"/>
  <c r="BS98" i="31"/>
  <c r="BS104" i="31"/>
  <c r="BS87" i="31"/>
  <c r="BS52" i="31"/>
  <c r="BS99" i="31"/>
  <c r="CG112" i="31"/>
  <c r="BO89" i="31"/>
  <c r="BS53" i="31"/>
  <c r="BW45" i="26"/>
  <c r="BT43" i="26"/>
  <c r="BU51" i="26" s="1"/>
  <c r="BT44" i="26"/>
  <c r="BW47" i="26"/>
  <c r="BS60" i="31"/>
  <c r="BS106" i="31"/>
  <c r="CI75" i="31"/>
  <c r="CH112" i="31"/>
  <c r="BO92" i="31" s="1"/>
  <c r="BO53" i="31" l="1"/>
  <c r="BO90" i="31"/>
  <c r="CH37" i="26"/>
  <c r="CI7" i="26"/>
  <c r="CJ7" i="26" s="1"/>
  <c r="CJ37" i="26" s="1"/>
  <c r="CE94" i="32"/>
  <c r="CE95" i="32" s="1"/>
  <c r="CZ14" i="32"/>
  <c r="DA14" i="32" s="1"/>
  <c r="CZ15" i="32"/>
  <c r="DA15" i="32" s="1"/>
  <c r="CM62" i="30"/>
  <c r="CM64" i="30" s="1"/>
  <c r="CM66" i="30" s="1"/>
  <c r="BO93" i="31"/>
  <c r="BO94" i="31" s="1"/>
  <c r="BP53" i="31"/>
  <c r="BO68" i="31"/>
  <c r="BO66" i="31"/>
  <c r="BO54" i="31"/>
  <c r="CF28" i="32"/>
  <c r="CF30" i="32" s="1"/>
  <c r="CF32" i="32" s="1"/>
  <c r="CF29" i="32"/>
  <c r="CF31" i="32" s="1"/>
  <c r="CF33" i="32" s="1"/>
  <c r="BP55" i="31"/>
  <c r="BO56" i="31"/>
  <c r="BO57" i="31" s="1"/>
  <c r="CQ11" i="30"/>
  <c r="CW11" i="30"/>
  <c r="CJ84" i="32"/>
  <c r="CQ13" i="30"/>
  <c r="CW13" i="30"/>
  <c r="CF54" i="32"/>
  <c r="CE69" i="32"/>
  <c r="CE71" i="32"/>
  <c r="CE73" i="32" s="1"/>
  <c r="CE75" i="32" s="1"/>
  <c r="CE77" i="32" s="1"/>
  <c r="CE67" i="32"/>
  <c r="CE55" i="32"/>
  <c r="BS82" i="31"/>
  <c r="CQ12" i="30"/>
  <c r="CW12" i="30"/>
  <c r="CQ10" i="30"/>
  <c r="CW10" i="30"/>
  <c r="CG70" i="32"/>
  <c r="CC46" i="33"/>
  <c r="CC47" i="33" s="1"/>
  <c r="CC48" i="33" s="1"/>
  <c r="CC50" i="33" s="1"/>
  <c r="P18" i="33"/>
  <c r="P20" i="33"/>
  <c r="P13" i="33"/>
  <c r="P9" i="33"/>
  <c r="P12" i="33"/>
  <c r="P15" i="33"/>
  <c r="P21" i="33"/>
  <c r="P11" i="33"/>
  <c r="P19" i="33"/>
  <c r="P17" i="33"/>
  <c r="P16" i="33"/>
  <c r="P10" i="33"/>
  <c r="P14" i="33"/>
  <c r="P8" i="33"/>
  <c r="P22" i="33"/>
  <c r="BP20" i="31"/>
  <c r="CJ14" i="31"/>
  <c r="CK14" i="31" s="1"/>
  <c r="CJ8" i="31"/>
  <c r="CJ16" i="31"/>
  <c r="CK16" i="31" s="1"/>
  <c r="CJ12" i="31"/>
  <c r="CK12" i="31" s="1"/>
  <c r="CJ15" i="31"/>
  <c r="CK15" i="31" s="1"/>
  <c r="CJ11" i="31"/>
  <c r="CK11" i="31" s="1"/>
  <c r="CJ9" i="31"/>
  <c r="CK9" i="31" s="1"/>
  <c r="CJ17" i="31"/>
  <c r="CK17" i="31" s="1"/>
  <c r="CJ13" i="31"/>
  <c r="CK13" i="31" s="1"/>
  <c r="CJ10" i="31"/>
  <c r="CK10" i="31" s="1"/>
  <c r="BT46" i="26"/>
  <c r="BU52" i="26" s="1"/>
  <c r="CQ14" i="30"/>
  <c r="CW14" i="30"/>
  <c r="CK49" i="33"/>
  <c r="DC3" i="33" s="1"/>
  <c r="CK45" i="33"/>
  <c r="CK48" i="33"/>
  <c r="CK44" i="33"/>
  <c r="CK47" i="33"/>
  <c r="CK43" i="33"/>
  <c r="CK42" i="33"/>
  <c r="CK50" i="33"/>
  <c r="CK46" i="33"/>
  <c r="CZ3" i="33" s="1"/>
  <c r="BX44" i="33"/>
  <c r="CC51" i="33"/>
  <c r="CC52" i="33" s="1"/>
  <c r="CC49" i="33"/>
  <c r="BU41" i="33"/>
  <c r="BP35" i="31"/>
  <c r="BP37" i="31" s="1"/>
  <c r="BP39" i="31" s="1"/>
  <c r="CQ15" i="30"/>
  <c r="CW15" i="30"/>
  <c r="BO105" i="31"/>
  <c r="BO103" i="31"/>
  <c r="BO91" i="31"/>
  <c r="BP52" i="31"/>
  <c r="BO69" i="31"/>
  <c r="BO70" i="31" s="1"/>
  <c r="CE108" i="32"/>
  <c r="CE109" i="32" s="1"/>
  <c r="CE111" i="32" s="1"/>
  <c r="CE113" i="32" s="1"/>
  <c r="CE106" i="32"/>
  <c r="CE104" i="32"/>
  <c r="CE92" i="32"/>
  <c r="CQ8" i="30"/>
  <c r="CW8" i="30"/>
  <c r="CU37" i="30"/>
  <c r="CV7" i="30"/>
  <c r="BT51" i="26"/>
  <c r="BW51" i="26" s="1"/>
  <c r="BO106" i="31"/>
  <c r="BO107" i="31" s="1"/>
  <c r="CF56" i="32"/>
  <c r="CE57" i="32"/>
  <c r="CE58" i="32" s="1"/>
  <c r="CZ18" i="32"/>
  <c r="DA18" i="32" s="1"/>
  <c r="CF14" i="32"/>
  <c r="CZ10" i="32"/>
  <c r="DA10" i="32" s="1"/>
  <c r="CZ17" i="32"/>
  <c r="DA17" i="32" s="1"/>
  <c r="CZ8" i="32"/>
  <c r="CZ12" i="32"/>
  <c r="DA12" i="32" s="1"/>
  <c r="CZ13" i="32"/>
  <c r="DA13" i="32" s="1"/>
  <c r="CZ9" i="32"/>
  <c r="DA9" i="32" s="1"/>
  <c r="CZ11" i="32"/>
  <c r="DA11" i="32" s="1"/>
  <c r="CQ9" i="30"/>
  <c r="CW9" i="30"/>
  <c r="CQ16" i="30"/>
  <c r="CW16" i="30"/>
  <c r="CQ17" i="30"/>
  <c r="CW17" i="30"/>
  <c r="CI37" i="26" l="1"/>
  <c r="CE46" i="26" s="1"/>
  <c r="CE47" i="26" s="1"/>
  <c r="CE48" i="26" s="1"/>
  <c r="BS40" i="26" s="1"/>
  <c r="R40" i="26" s="1"/>
  <c r="CV15" i="32"/>
  <c r="DB15" i="32"/>
  <c r="CV14" i="32"/>
  <c r="DB14" i="32"/>
  <c r="CM3" i="33"/>
  <c r="CQ3" i="33"/>
  <c r="CO3" i="33"/>
  <c r="CY3" i="33"/>
  <c r="CN3" i="33"/>
  <c r="CW3" i="33"/>
  <c r="CG57" i="32"/>
  <c r="CG58" i="32" s="1"/>
  <c r="DB3" i="33"/>
  <c r="BO72" i="31"/>
  <c r="BO74" i="31" s="1"/>
  <c r="BO76" i="31" s="1"/>
  <c r="BO71" i="31"/>
  <c r="BO73" i="31" s="1"/>
  <c r="BO75" i="31" s="1"/>
  <c r="BO108" i="31"/>
  <c r="BO110" i="31" s="1"/>
  <c r="BO112" i="31" s="1"/>
  <c r="BO109" i="31"/>
  <c r="BO111" i="31" s="1"/>
  <c r="BO113" i="31" s="1"/>
  <c r="BU53" i="26"/>
  <c r="BT52" i="26"/>
  <c r="BW52" i="26" s="1"/>
  <c r="CV13" i="32"/>
  <c r="DB13" i="32"/>
  <c r="BQ69" i="31"/>
  <c r="BQ70" i="31" s="1"/>
  <c r="BQ72" i="31" s="1"/>
  <c r="BQ74" i="31" s="1"/>
  <c r="BQ76" i="31" s="1"/>
  <c r="CX32" i="33"/>
  <c r="CN31" i="33"/>
  <c r="CN27" i="33"/>
  <c r="CN23" i="33"/>
  <c r="CN19" i="33"/>
  <c r="CX31" i="33"/>
  <c r="CX27" i="33"/>
  <c r="CX23" i="33"/>
  <c r="CX19" i="33"/>
  <c r="CN32" i="33"/>
  <c r="CN29" i="33"/>
  <c r="CN28" i="33"/>
  <c r="CN25" i="33"/>
  <c r="CN20" i="33"/>
  <c r="CN21" i="33"/>
  <c r="CN24" i="33"/>
  <c r="CX29" i="33"/>
  <c r="CX21" i="33"/>
  <c r="CX25" i="33"/>
  <c r="CX28" i="33"/>
  <c r="CX24" i="33"/>
  <c r="CX20" i="33"/>
  <c r="CX26" i="33"/>
  <c r="CN30" i="33"/>
  <c r="CX22" i="33"/>
  <c r="CN22" i="33"/>
  <c r="CN26" i="33"/>
  <c r="CX30" i="33"/>
  <c r="CX11" i="33"/>
  <c r="CX9" i="33"/>
  <c r="CN9" i="33"/>
  <c r="CX18" i="33"/>
  <c r="CN18" i="33"/>
  <c r="CN14" i="33"/>
  <c r="CX12" i="33"/>
  <c r="CX15" i="33"/>
  <c r="CN17" i="33"/>
  <c r="CN10" i="33"/>
  <c r="CN6" i="33"/>
  <c r="CN5" i="33"/>
  <c r="CN12" i="33"/>
  <c r="CX17" i="33"/>
  <c r="CX6" i="33"/>
  <c r="CX4" i="33"/>
  <c r="CN11" i="33"/>
  <c r="CX8" i="33"/>
  <c r="CN8" i="33"/>
  <c r="CX7" i="33"/>
  <c r="CX5" i="33"/>
  <c r="CN13" i="33"/>
  <c r="CN7" i="33"/>
  <c r="CX14" i="33"/>
  <c r="CX13" i="33"/>
  <c r="CN15" i="33"/>
  <c r="CX16" i="33"/>
  <c r="CN16" i="33"/>
  <c r="CX10" i="33"/>
  <c r="CN4" i="33"/>
  <c r="CF10" i="31"/>
  <c r="CL10" i="31"/>
  <c r="CF11" i="31"/>
  <c r="CL11" i="31"/>
  <c r="CJ38" i="31"/>
  <c r="CK8" i="31"/>
  <c r="CE72" i="32"/>
  <c r="CE74" i="32" s="1"/>
  <c r="CE76" i="32" s="1"/>
  <c r="BQ56" i="31"/>
  <c r="CV31" i="33"/>
  <c r="CV27" i="33"/>
  <c r="CV23" i="33"/>
  <c r="CV19" i="33"/>
  <c r="CU32" i="33"/>
  <c r="CV32" i="33"/>
  <c r="CV28" i="33"/>
  <c r="CV24" i="33"/>
  <c r="CV20" i="33"/>
  <c r="CU29" i="33"/>
  <c r="CU25" i="33"/>
  <c r="CU21" i="33"/>
  <c r="CL31" i="33"/>
  <c r="CL28" i="33"/>
  <c r="CK27" i="33"/>
  <c r="CK24" i="33"/>
  <c r="CK21" i="33"/>
  <c r="CU31" i="33"/>
  <c r="CU27" i="33"/>
  <c r="CU23" i="33"/>
  <c r="CU19" i="33"/>
  <c r="CL27" i="33"/>
  <c r="CL24" i="33"/>
  <c r="CK23" i="33"/>
  <c r="CK20" i="33"/>
  <c r="CL32" i="33"/>
  <c r="CK31" i="33"/>
  <c r="CK28" i="33"/>
  <c r="CK25" i="33"/>
  <c r="CL19" i="33"/>
  <c r="CL23" i="33"/>
  <c r="CK19" i="33"/>
  <c r="CK32" i="33"/>
  <c r="CL20" i="33"/>
  <c r="CK29" i="33"/>
  <c r="CL29" i="33"/>
  <c r="CL21" i="33"/>
  <c r="CL25" i="33"/>
  <c r="CV29" i="33"/>
  <c r="CV21" i="33"/>
  <c r="CU20" i="33"/>
  <c r="CV25" i="33"/>
  <c r="CU24" i="33"/>
  <c r="CU28" i="33"/>
  <c r="CU22" i="33"/>
  <c r="CV26" i="33"/>
  <c r="CU30" i="33"/>
  <c r="CK26" i="33"/>
  <c r="CL26" i="33"/>
  <c r="CV22" i="33"/>
  <c r="CU26" i="33"/>
  <c r="CV30" i="33"/>
  <c r="CL30" i="33"/>
  <c r="CK22" i="33"/>
  <c r="CL22" i="33"/>
  <c r="CK30" i="33"/>
  <c r="CK11" i="33"/>
  <c r="CU14" i="33"/>
  <c r="CK7" i="33"/>
  <c r="CU12" i="33"/>
  <c r="CK13" i="33"/>
  <c r="CV15" i="33"/>
  <c r="CL17" i="33"/>
  <c r="CU17" i="33"/>
  <c r="CK17" i="33"/>
  <c r="CK16" i="33"/>
  <c r="CL10" i="33"/>
  <c r="CV6" i="33"/>
  <c r="CV14" i="33"/>
  <c r="CV7" i="33"/>
  <c r="CL7" i="33"/>
  <c r="CV5" i="33"/>
  <c r="CK5" i="33"/>
  <c r="CV12" i="33"/>
  <c r="CU13" i="33"/>
  <c r="CL6" i="33"/>
  <c r="CK18" i="33"/>
  <c r="CK4" i="33"/>
  <c r="CK8" i="33"/>
  <c r="CU15" i="33"/>
  <c r="CV9" i="33"/>
  <c r="CK9" i="33"/>
  <c r="CU10" i="33"/>
  <c r="CU18" i="33"/>
  <c r="CL11" i="33"/>
  <c r="CU8" i="33"/>
  <c r="CV11" i="33"/>
  <c r="CU11" i="33"/>
  <c r="CK14" i="33"/>
  <c r="CL14" i="33"/>
  <c r="CL8" i="33"/>
  <c r="CU5" i="33"/>
  <c r="CK12" i="33"/>
  <c r="CV13" i="33"/>
  <c r="CK15" i="33"/>
  <c r="CV16" i="33"/>
  <c r="CK10" i="33"/>
  <c r="CU6" i="33"/>
  <c r="CL18" i="33"/>
  <c r="CL4" i="33"/>
  <c r="CU4" i="33"/>
  <c r="CV4" i="33"/>
  <c r="CV8" i="33"/>
  <c r="CL5" i="33"/>
  <c r="CL12" i="33"/>
  <c r="CL13" i="33"/>
  <c r="CL15" i="33"/>
  <c r="CU9" i="33"/>
  <c r="CU16" i="33"/>
  <c r="CL16" i="33"/>
  <c r="CK6" i="33"/>
  <c r="CU7" i="33"/>
  <c r="CV17" i="33"/>
  <c r="CL9" i="33"/>
  <c r="CV10" i="33"/>
  <c r="CV18" i="33"/>
  <c r="DB32" i="33"/>
  <c r="CR31" i="33"/>
  <c r="CR27" i="33"/>
  <c r="CR23" i="33"/>
  <c r="CR19" i="33"/>
  <c r="DB31" i="33"/>
  <c r="DB27" i="33"/>
  <c r="DB23" i="33"/>
  <c r="DB19" i="33"/>
  <c r="CR28" i="33"/>
  <c r="CR25" i="33"/>
  <c r="CR24" i="33"/>
  <c r="CR21" i="33"/>
  <c r="CR32" i="33"/>
  <c r="CR29" i="33"/>
  <c r="CR20" i="33"/>
  <c r="DB24" i="33"/>
  <c r="DB29" i="33"/>
  <c r="DB21" i="33"/>
  <c r="DB28" i="33"/>
  <c r="DB25" i="33"/>
  <c r="DB20" i="33"/>
  <c r="CR22" i="33"/>
  <c r="DB26" i="33"/>
  <c r="CR30" i="33"/>
  <c r="DB22" i="33"/>
  <c r="CR26" i="33"/>
  <c r="DB30" i="33"/>
  <c r="CR8" i="33"/>
  <c r="DB7" i="33"/>
  <c r="DB5" i="33"/>
  <c r="CR5" i="33"/>
  <c r="DB13" i="33"/>
  <c r="DB15" i="33"/>
  <c r="DB18" i="33"/>
  <c r="CR18" i="33"/>
  <c r="CR11" i="33"/>
  <c r="CR14" i="33"/>
  <c r="DB9" i="33"/>
  <c r="CR16" i="33"/>
  <c r="CR10" i="33"/>
  <c r="CR6" i="33"/>
  <c r="DB11" i="33"/>
  <c r="DB14" i="33"/>
  <c r="DB8" i="33"/>
  <c r="CR13" i="33"/>
  <c r="CR15" i="33"/>
  <c r="DB17" i="33"/>
  <c r="CR17" i="33"/>
  <c r="DB16" i="33"/>
  <c r="DB10" i="33"/>
  <c r="DB6" i="33"/>
  <c r="DB4" i="33"/>
  <c r="CR4" i="33"/>
  <c r="CR7" i="33"/>
  <c r="DB12" i="33"/>
  <c r="CR12" i="33"/>
  <c r="CR9" i="33"/>
  <c r="CF13" i="31"/>
  <c r="CL13" i="31"/>
  <c r="CF15" i="31"/>
  <c r="CL15" i="31"/>
  <c r="CF14" i="31"/>
  <c r="CL14" i="31"/>
  <c r="CG69" i="32"/>
  <c r="CG71" i="32"/>
  <c r="CG73" i="32" s="1"/>
  <c r="CG75" i="32" s="1"/>
  <c r="CG77" i="32" s="1"/>
  <c r="DB18" i="32"/>
  <c r="CV18" i="32"/>
  <c r="CF9" i="31"/>
  <c r="CL9" i="31"/>
  <c r="CU3" i="33"/>
  <c r="CV10" i="32"/>
  <c r="DB10" i="32"/>
  <c r="BQ68" i="31"/>
  <c r="CV9" i="32"/>
  <c r="DB9" i="32"/>
  <c r="CV17" i="32"/>
  <c r="DB17" i="32"/>
  <c r="CV11" i="32"/>
  <c r="DB11" i="32"/>
  <c r="CZ38" i="32"/>
  <c r="DA8" i="32"/>
  <c r="CV37" i="30"/>
  <c r="CS38" i="30"/>
  <c r="CQ7" i="30"/>
  <c r="CW7" i="30"/>
  <c r="CW37" i="30" s="1"/>
  <c r="AI7" i="30"/>
  <c r="CZ31" i="33"/>
  <c r="CZ27" i="33"/>
  <c r="CZ23" i="33"/>
  <c r="CZ19" i="33"/>
  <c r="CZ32" i="33"/>
  <c r="CZ28" i="33"/>
  <c r="CZ24" i="33"/>
  <c r="CZ20" i="33"/>
  <c r="CP27" i="33"/>
  <c r="CP24" i="33"/>
  <c r="CP23" i="33"/>
  <c r="CP20" i="33"/>
  <c r="CP31" i="33"/>
  <c r="CP28" i="33"/>
  <c r="CP32" i="33"/>
  <c r="CP19" i="33"/>
  <c r="CP29" i="33"/>
  <c r="CP21" i="33"/>
  <c r="CP25" i="33"/>
  <c r="CZ29" i="33"/>
  <c r="CZ21" i="33"/>
  <c r="CZ25" i="33"/>
  <c r="CP30" i="33"/>
  <c r="CZ26" i="33"/>
  <c r="CP26" i="33"/>
  <c r="CP22" i="33"/>
  <c r="CZ22" i="33"/>
  <c r="CZ30" i="33"/>
  <c r="CZ11" i="33"/>
  <c r="CP8" i="33"/>
  <c r="CZ12" i="33"/>
  <c r="CP12" i="33"/>
  <c r="CZ13" i="33"/>
  <c r="CP15" i="33"/>
  <c r="CZ6" i="33"/>
  <c r="CP4" i="33"/>
  <c r="CZ8" i="33"/>
  <c r="CZ16" i="33"/>
  <c r="CP10" i="33"/>
  <c r="CZ14" i="33"/>
  <c r="CZ7" i="33"/>
  <c r="CZ5" i="33"/>
  <c r="CP5" i="33"/>
  <c r="CP13" i="33"/>
  <c r="CP6" i="33"/>
  <c r="CP18" i="33"/>
  <c r="CP11" i="33"/>
  <c r="CP7" i="33"/>
  <c r="CZ17" i="33"/>
  <c r="CZ9" i="33"/>
  <c r="CP9" i="33"/>
  <c r="CP16" i="33"/>
  <c r="CZ10" i="33"/>
  <c r="CZ18" i="33"/>
  <c r="CZ15" i="33"/>
  <c r="CP17" i="33"/>
  <c r="CZ4" i="33"/>
  <c r="CP14" i="33"/>
  <c r="CQ32" i="33"/>
  <c r="CQ28" i="33"/>
  <c r="CQ24" i="33"/>
  <c r="DA32" i="33"/>
  <c r="DA31" i="33"/>
  <c r="DA27" i="33"/>
  <c r="DA23" i="33"/>
  <c r="DA19" i="33"/>
  <c r="CQ31" i="33"/>
  <c r="CQ21" i="33"/>
  <c r="CQ27" i="33"/>
  <c r="CQ25" i="33"/>
  <c r="CQ19" i="33"/>
  <c r="DA24" i="33"/>
  <c r="DA28" i="33"/>
  <c r="CQ23" i="33"/>
  <c r="DA20" i="33"/>
  <c r="CQ29" i="33"/>
  <c r="DA21" i="33"/>
  <c r="DA29" i="33"/>
  <c r="DA25" i="33"/>
  <c r="CQ20" i="33"/>
  <c r="CQ22" i="33"/>
  <c r="CQ26" i="33"/>
  <c r="DA22" i="33"/>
  <c r="DA30" i="33"/>
  <c r="DA26" i="33"/>
  <c r="CQ30" i="33"/>
  <c r="DA11" i="33"/>
  <c r="CQ14" i="33"/>
  <c r="DA5" i="33"/>
  <c r="CQ12" i="33"/>
  <c r="DA13" i="33"/>
  <c r="CQ9" i="33"/>
  <c r="CQ10" i="33"/>
  <c r="CQ18" i="33"/>
  <c r="DA15" i="33"/>
  <c r="CQ17" i="33"/>
  <c r="CQ16" i="33"/>
  <c r="DA10" i="33"/>
  <c r="DA6" i="33"/>
  <c r="DA4" i="33"/>
  <c r="DA8" i="33"/>
  <c r="CQ15" i="33"/>
  <c r="DA14" i="33"/>
  <c r="CQ8" i="33"/>
  <c r="DA7" i="33"/>
  <c r="DA17" i="33"/>
  <c r="DA9" i="33"/>
  <c r="CQ4" i="33"/>
  <c r="CQ7" i="33"/>
  <c r="CQ13" i="33"/>
  <c r="DA18" i="33"/>
  <c r="CQ11" i="33"/>
  <c r="CQ5" i="33"/>
  <c r="DA12" i="33"/>
  <c r="DA16" i="33"/>
  <c r="CQ6" i="33"/>
  <c r="CS32" i="33"/>
  <c r="CS29" i="33"/>
  <c r="CS19" i="33"/>
  <c r="CS31" i="33"/>
  <c r="CS28" i="33"/>
  <c r="CS25" i="33"/>
  <c r="DC32" i="33"/>
  <c r="DC31" i="33"/>
  <c r="DC27" i="33"/>
  <c r="DC23" i="33"/>
  <c r="DC19" i="33"/>
  <c r="CS23" i="33"/>
  <c r="CS20" i="33"/>
  <c r="CS27" i="33"/>
  <c r="DC21" i="33"/>
  <c r="DC29" i="33"/>
  <c r="CS24" i="33"/>
  <c r="DC25" i="33"/>
  <c r="CS21" i="33"/>
  <c r="DC24" i="33"/>
  <c r="DC28" i="33"/>
  <c r="DC20" i="33"/>
  <c r="DC26" i="33"/>
  <c r="CS22" i="33"/>
  <c r="CS30" i="33"/>
  <c r="DC22" i="33"/>
  <c r="DC30" i="33"/>
  <c r="CS26" i="33"/>
  <c r="CS11" i="33"/>
  <c r="CS8" i="33"/>
  <c r="DC7" i="33"/>
  <c r="CS13" i="33"/>
  <c r="CS9" i="33"/>
  <c r="DC10" i="33"/>
  <c r="DC6" i="33"/>
  <c r="DC18" i="33"/>
  <c r="DC8" i="33"/>
  <c r="CS10" i="33"/>
  <c r="DC11" i="33"/>
  <c r="DC14" i="33"/>
  <c r="CS7" i="33"/>
  <c r="DC12" i="33"/>
  <c r="DC13" i="33"/>
  <c r="DC4" i="33"/>
  <c r="CS4" i="33"/>
  <c r="CS5" i="33"/>
  <c r="CS12" i="33"/>
  <c r="CS15" i="33"/>
  <c r="DC16" i="33"/>
  <c r="CS16" i="33"/>
  <c r="CS6" i="33"/>
  <c r="CS18" i="33"/>
  <c r="CS14" i="33"/>
  <c r="DC5" i="33"/>
  <c r="DC15" i="33"/>
  <c r="DC17" i="33"/>
  <c r="DC9" i="33"/>
  <c r="CS17" i="33"/>
  <c r="CF16" i="31"/>
  <c r="CL16" i="31"/>
  <c r="CV12" i="32"/>
  <c r="DB12" i="32"/>
  <c r="BX45" i="33"/>
  <c r="BV41" i="33"/>
  <c r="BP39" i="33" s="1"/>
  <c r="CM32" i="33"/>
  <c r="CM28" i="33"/>
  <c r="CM24" i="33"/>
  <c r="CW32" i="33"/>
  <c r="CW31" i="33"/>
  <c r="CW27" i="33"/>
  <c r="CW23" i="33"/>
  <c r="CW19" i="33"/>
  <c r="CM25" i="33"/>
  <c r="CM19" i="33"/>
  <c r="CW28" i="33"/>
  <c r="CW24" i="33"/>
  <c r="CW20" i="33"/>
  <c r="CM31" i="33"/>
  <c r="CM21" i="33"/>
  <c r="CM29" i="33"/>
  <c r="CM23" i="33"/>
  <c r="CM27" i="33"/>
  <c r="CM20" i="33"/>
  <c r="CW29" i="33"/>
  <c r="CW21" i="33"/>
  <c r="CW25" i="33"/>
  <c r="CW26" i="33"/>
  <c r="CW22" i="33"/>
  <c r="CW30" i="33"/>
  <c r="CM26" i="33"/>
  <c r="CM22" i="33"/>
  <c r="CM30" i="33"/>
  <c r="CM14" i="33"/>
  <c r="CW8" i="33"/>
  <c r="CM7" i="33"/>
  <c r="CW15" i="33"/>
  <c r="CM16" i="33"/>
  <c r="CW16" i="33"/>
  <c r="CM6" i="33"/>
  <c r="CM18" i="33"/>
  <c r="CM5" i="33"/>
  <c r="CW9" i="33"/>
  <c r="CW18" i="33"/>
  <c r="CM13" i="33"/>
  <c r="CM17" i="33"/>
  <c r="CW10" i="33"/>
  <c r="CM4" i="33"/>
  <c r="CM11" i="33"/>
  <c r="CW11" i="33"/>
  <c r="CW14" i="33"/>
  <c r="CW7" i="33"/>
  <c r="CW5" i="33"/>
  <c r="CM12" i="33"/>
  <c r="CW12" i="33"/>
  <c r="CW13" i="33"/>
  <c r="CM9" i="33"/>
  <c r="CM10" i="33"/>
  <c r="CW6" i="33"/>
  <c r="CW4" i="33"/>
  <c r="CM8" i="33"/>
  <c r="CM15" i="33"/>
  <c r="CW17" i="33"/>
  <c r="CO23" i="33"/>
  <c r="CO20" i="33"/>
  <c r="CY32" i="33"/>
  <c r="CY29" i="33"/>
  <c r="CY25" i="33"/>
  <c r="CY21" i="33"/>
  <c r="CO32" i="33"/>
  <c r="CO29" i="33"/>
  <c r="CO19" i="33"/>
  <c r="CO27" i="33"/>
  <c r="CO24" i="33"/>
  <c r="CO21" i="33"/>
  <c r="CY31" i="33"/>
  <c r="CO25" i="33"/>
  <c r="CY19" i="33"/>
  <c r="CO28" i="33"/>
  <c r="CY27" i="33"/>
  <c r="CY23" i="33"/>
  <c r="CO31" i="33"/>
  <c r="CY20" i="33"/>
  <c r="CY24" i="33"/>
  <c r="CY28" i="33"/>
  <c r="CO22" i="33"/>
  <c r="CO30" i="33"/>
  <c r="CY22" i="33"/>
  <c r="CY30" i="33"/>
  <c r="CO26" i="33"/>
  <c r="CY26" i="33"/>
  <c r="CO14" i="33"/>
  <c r="CY5" i="33"/>
  <c r="CO15" i="33"/>
  <c r="CY17" i="33"/>
  <c r="CO16" i="33"/>
  <c r="CO10" i="33"/>
  <c r="CY14" i="33"/>
  <c r="CO7" i="33"/>
  <c r="CY12" i="33"/>
  <c r="CO12" i="33"/>
  <c r="CO13" i="33"/>
  <c r="CY9" i="33"/>
  <c r="CY11" i="33"/>
  <c r="CY7" i="33"/>
  <c r="CO5" i="33"/>
  <c r="CY16" i="33"/>
  <c r="CO6" i="33"/>
  <c r="CY8" i="33"/>
  <c r="CO11" i="33"/>
  <c r="CO8" i="33"/>
  <c r="CY13" i="33"/>
  <c r="CY15" i="33"/>
  <c r="CO17" i="33"/>
  <c r="CO9" i="33"/>
  <c r="CY10" i="33"/>
  <c r="CY6" i="33"/>
  <c r="CY18" i="33"/>
  <c r="CO4" i="33"/>
  <c r="CY4" i="33"/>
  <c r="CO18" i="33"/>
  <c r="CF17" i="31"/>
  <c r="CL17" i="31"/>
  <c r="CF12" i="31"/>
  <c r="CL12" i="31"/>
  <c r="CL3" i="33"/>
  <c r="CK3" i="33"/>
  <c r="DA3" i="33"/>
  <c r="CV3" i="33"/>
  <c r="CE110" i="32"/>
  <c r="CE112" i="32" s="1"/>
  <c r="CE114" i="32" s="1"/>
  <c r="CE45" i="26"/>
  <c r="CP3" i="33"/>
  <c r="CX3" i="33"/>
  <c r="CS3" i="33"/>
  <c r="CR3" i="33"/>
  <c r="CH94" i="32" l="1"/>
  <c r="CZ90" i="32" s="1"/>
  <c r="DA90" i="32" s="1"/>
  <c r="CH57" i="32"/>
  <c r="CZ46" i="32" s="1"/>
  <c r="CG72" i="32"/>
  <c r="CG74" i="32" s="1"/>
  <c r="CG76" i="32" s="1"/>
  <c r="BU54" i="26"/>
  <c r="BT53" i="26"/>
  <c r="BW53" i="26" s="1"/>
  <c r="DA44" i="30"/>
  <c r="DA40" i="30"/>
  <c r="CZ7" i="30" s="1"/>
  <c r="DA48" i="30"/>
  <c r="DA45" i="30"/>
  <c r="DA47" i="30"/>
  <c r="DA42" i="30"/>
  <c r="DA46" i="30"/>
  <c r="DA43" i="30"/>
  <c r="DA41" i="30"/>
  <c r="CZ50" i="32"/>
  <c r="DA50" i="32" s="1"/>
  <c r="BR56" i="31"/>
  <c r="BR93" i="31"/>
  <c r="BQ57" i="31"/>
  <c r="BQ71" i="31"/>
  <c r="BQ73" i="31" s="1"/>
  <c r="BQ75" i="31" s="1"/>
  <c r="BX46" i="33"/>
  <c r="BX47" i="33" s="1"/>
  <c r="BT39" i="33"/>
  <c r="BS39" i="33" s="1"/>
  <c r="Z38" i="33" s="1"/>
  <c r="BV46" i="33"/>
  <c r="BV47" i="33" s="1"/>
  <c r="CJ38" i="33"/>
  <c r="B38" i="33"/>
  <c r="BY39" i="33"/>
  <c r="CM50" i="30"/>
  <c r="AI13" i="30"/>
  <c r="AI10" i="30"/>
  <c r="AI17" i="30"/>
  <c r="AI15" i="30"/>
  <c r="AI9" i="30"/>
  <c r="AI16" i="30"/>
  <c r="AI12" i="30"/>
  <c r="AI11" i="30"/>
  <c r="AI14" i="30"/>
  <c r="AI8" i="30"/>
  <c r="CH95" i="32"/>
  <c r="CZ93" i="32"/>
  <c r="DA93" i="32" s="1"/>
  <c r="CZ92" i="32"/>
  <c r="CF8" i="31"/>
  <c r="CF39" i="31"/>
  <c r="CK38" i="31"/>
  <c r="BP22" i="31" s="1"/>
  <c r="CL8" i="31"/>
  <c r="CL38" i="31" s="1"/>
  <c r="CE51" i="26"/>
  <c r="CE52" i="26" s="1"/>
  <c r="CE50" i="26"/>
  <c r="CE49" i="26"/>
  <c r="H38" i="33"/>
  <c r="BN39" i="33" s="1"/>
  <c r="BW41" i="33"/>
  <c r="DA38" i="32"/>
  <c r="CF16" i="32" s="1"/>
  <c r="CV8" i="32"/>
  <c r="CX39" i="32"/>
  <c r="DB8" i="32"/>
  <c r="DB38" i="32" s="1"/>
  <c r="CM49" i="30"/>
  <c r="CZ47" i="32" l="1"/>
  <c r="DA47" i="32" s="1"/>
  <c r="CZ48" i="32"/>
  <c r="DA48" i="32" s="1"/>
  <c r="CH58" i="32"/>
  <c r="CZ51" i="32"/>
  <c r="DA51" i="32" s="1"/>
  <c r="CV51" i="32" s="1"/>
  <c r="CZ89" i="32"/>
  <c r="DA89" i="32" s="1"/>
  <c r="CV89" i="32" s="1"/>
  <c r="DJ7" i="30"/>
  <c r="BP21" i="31"/>
  <c r="J39" i="31" s="1"/>
  <c r="CZ49" i="32"/>
  <c r="DA49" i="32" s="1"/>
  <c r="CV49" i="32" s="1"/>
  <c r="DM7" i="30"/>
  <c r="CV90" i="32"/>
  <c r="DB90" i="32"/>
  <c r="DB89" i="32"/>
  <c r="DF7" i="30"/>
  <c r="DB7" i="30"/>
  <c r="CF15" i="32"/>
  <c r="W39" i="32" s="1"/>
  <c r="BM40" i="33"/>
  <c r="P40" i="33" s="1"/>
  <c r="DC7" i="30"/>
  <c r="DQ7" i="30"/>
  <c r="DP7" i="30"/>
  <c r="CF38" i="31"/>
  <c r="BS8" i="31" s="1"/>
  <c r="DB31" i="30"/>
  <c r="DL29" i="30"/>
  <c r="DL21" i="30"/>
  <c r="DB23" i="30"/>
  <c r="DL23" i="30"/>
  <c r="DB27" i="30"/>
  <c r="DL31" i="30"/>
  <c r="DL25" i="30"/>
  <c r="DL27" i="30"/>
  <c r="DB29" i="30"/>
  <c r="DB19" i="30"/>
  <c r="DB25" i="30"/>
  <c r="DL33" i="30"/>
  <c r="DB21" i="30"/>
  <c r="DB33" i="30"/>
  <c r="DL19" i="30"/>
  <c r="DB22" i="30"/>
  <c r="DL35" i="30"/>
  <c r="DL24" i="30"/>
  <c r="DB30" i="30"/>
  <c r="DL22" i="30"/>
  <c r="DB24" i="30"/>
  <c r="DB35" i="30"/>
  <c r="DL20" i="30"/>
  <c r="DB20" i="30"/>
  <c r="DL30" i="30"/>
  <c r="DL32" i="30"/>
  <c r="DB28" i="30"/>
  <c r="DB26" i="30"/>
  <c r="DB34" i="30"/>
  <c r="DB36" i="30"/>
  <c r="DB18" i="30"/>
  <c r="DL36" i="30"/>
  <c r="DL28" i="30"/>
  <c r="DL26" i="30"/>
  <c r="DL18" i="30"/>
  <c r="DB32" i="30"/>
  <c r="DL34" i="30"/>
  <c r="DL16" i="30"/>
  <c r="DL9" i="30"/>
  <c r="DB14" i="30"/>
  <c r="DL11" i="30"/>
  <c r="DL15" i="30"/>
  <c r="DB12" i="30"/>
  <c r="DL14" i="30"/>
  <c r="DB17" i="30"/>
  <c r="DB10" i="30"/>
  <c r="DB13" i="30"/>
  <c r="DL8" i="30"/>
  <c r="DB8" i="30"/>
  <c r="DL12" i="30"/>
  <c r="DL17" i="30"/>
  <c r="DB16" i="30"/>
  <c r="DB9" i="30"/>
  <c r="DB15" i="30"/>
  <c r="DL10" i="30"/>
  <c r="DL13" i="30"/>
  <c r="DB11" i="30"/>
  <c r="DH29" i="30"/>
  <c r="DH21" i="30"/>
  <c r="DH23" i="30"/>
  <c r="DH19" i="30"/>
  <c r="DR31" i="30"/>
  <c r="DR27" i="30"/>
  <c r="DR29" i="30"/>
  <c r="DR25" i="30"/>
  <c r="DH33" i="30"/>
  <c r="DH31" i="30"/>
  <c r="DH27" i="30"/>
  <c r="DR21" i="30"/>
  <c r="DH25" i="30"/>
  <c r="DR33" i="30"/>
  <c r="DR23" i="30"/>
  <c r="DR19" i="30"/>
  <c r="DR35" i="30"/>
  <c r="DR20" i="30"/>
  <c r="DH20" i="30"/>
  <c r="DH30" i="30"/>
  <c r="DR22" i="30"/>
  <c r="DH35" i="30"/>
  <c r="DH24" i="30"/>
  <c r="DH22" i="30"/>
  <c r="DR30" i="30"/>
  <c r="DR24" i="30"/>
  <c r="DR32" i="30"/>
  <c r="DR36" i="30"/>
  <c r="DH36" i="30"/>
  <c r="DH26" i="30"/>
  <c r="DH34" i="30"/>
  <c r="DR34" i="30"/>
  <c r="DH18" i="30"/>
  <c r="DH28" i="30"/>
  <c r="DR28" i="30"/>
  <c r="DR26" i="30"/>
  <c r="DR18" i="30"/>
  <c r="DH32" i="30"/>
  <c r="DR10" i="30"/>
  <c r="DH13" i="30"/>
  <c r="DR14" i="30"/>
  <c r="DR11" i="30"/>
  <c r="DR16" i="30"/>
  <c r="DH11" i="30"/>
  <c r="DR12" i="30"/>
  <c r="DR17" i="30"/>
  <c r="DH16" i="30"/>
  <c r="DH9" i="30"/>
  <c r="DR8" i="30"/>
  <c r="DH8" i="30"/>
  <c r="DH15" i="30"/>
  <c r="DH10" i="30"/>
  <c r="DR13" i="30"/>
  <c r="DH12" i="30"/>
  <c r="DH17" i="30"/>
  <c r="DR9" i="30"/>
  <c r="DR15" i="30"/>
  <c r="DH14" i="30"/>
  <c r="DE21" i="30"/>
  <c r="DO29" i="30"/>
  <c r="DO21" i="30"/>
  <c r="DE23" i="30"/>
  <c r="DE31" i="30"/>
  <c r="DO19" i="30"/>
  <c r="DE19" i="30"/>
  <c r="DO27" i="30"/>
  <c r="DE29" i="30"/>
  <c r="DE25" i="30"/>
  <c r="DO25" i="30"/>
  <c r="DE33" i="30"/>
  <c r="DO23" i="30"/>
  <c r="DE27" i="30"/>
  <c r="DO31" i="30"/>
  <c r="DO33" i="30"/>
  <c r="DO35" i="30"/>
  <c r="DE20" i="30"/>
  <c r="DE24" i="30"/>
  <c r="DE22" i="30"/>
  <c r="DO22" i="30"/>
  <c r="DO20" i="30"/>
  <c r="DO24" i="30"/>
  <c r="DE30" i="30"/>
  <c r="DO30" i="30"/>
  <c r="DE35" i="30"/>
  <c r="DE36" i="30"/>
  <c r="DE26" i="30"/>
  <c r="DE18" i="30"/>
  <c r="DO18" i="30"/>
  <c r="DO26" i="30"/>
  <c r="DO34" i="30"/>
  <c r="DO32" i="30"/>
  <c r="DE28" i="30"/>
  <c r="DO28" i="30"/>
  <c r="DE34" i="30"/>
  <c r="DO36" i="30"/>
  <c r="DE32" i="30"/>
  <c r="DE9" i="30"/>
  <c r="DO15" i="30"/>
  <c r="DE15" i="30"/>
  <c r="DE14" i="30"/>
  <c r="DO14" i="30"/>
  <c r="DE11" i="30"/>
  <c r="DO11" i="30"/>
  <c r="DE17" i="30"/>
  <c r="DO16" i="30"/>
  <c r="DO8" i="30"/>
  <c r="DO10" i="30"/>
  <c r="DE13" i="30"/>
  <c r="DE8" i="30"/>
  <c r="DO9" i="30"/>
  <c r="DO12" i="30"/>
  <c r="DO17" i="30"/>
  <c r="DE16" i="30"/>
  <c r="DE10" i="30"/>
  <c r="DO13" i="30"/>
  <c r="DE12" i="30"/>
  <c r="BU55" i="26"/>
  <c r="BT54" i="26"/>
  <c r="BW54" i="26" s="1"/>
  <c r="BR94" i="31"/>
  <c r="CJ89" i="31"/>
  <c r="CK89" i="31" s="1"/>
  <c r="CJ91" i="31"/>
  <c r="CK91" i="31" s="1"/>
  <c r="CJ83" i="31"/>
  <c r="CJ90" i="31"/>
  <c r="CK90" i="31" s="1"/>
  <c r="CV48" i="32"/>
  <c r="DB48" i="32"/>
  <c r="DM29" i="30"/>
  <c r="DM21" i="30"/>
  <c r="DC29" i="30"/>
  <c r="DM27" i="30"/>
  <c r="DM19" i="30"/>
  <c r="DC19" i="30"/>
  <c r="DM31" i="30"/>
  <c r="DM23" i="30"/>
  <c r="DC21" i="30"/>
  <c r="DC31" i="30"/>
  <c r="DC27" i="30"/>
  <c r="DM25" i="30"/>
  <c r="DC33" i="30"/>
  <c r="DC25" i="30"/>
  <c r="DM33" i="30"/>
  <c r="DC23" i="30"/>
  <c r="DM24" i="30"/>
  <c r="DC22" i="30"/>
  <c r="DM22" i="30"/>
  <c r="DC35" i="30"/>
  <c r="DC20" i="30"/>
  <c r="DM30" i="30"/>
  <c r="DM35" i="30"/>
  <c r="DM20" i="30"/>
  <c r="DC24" i="30"/>
  <c r="DC30" i="30"/>
  <c r="DM36" i="30"/>
  <c r="DC28" i="30"/>
  <c r="DC26" i="30"/>
  <c r="DC34" i="30"/>
  <c r="DC36" i="30"/>
  <c r="DM28" i="30"/>
  <c r="DM26" i="30"/>
  <c r="DM18" i="30"/>
  <c r="DC32" i="30"/>
  <c r="DM32" i="30"/>
  <c r="DM34" i="30"/>
  <c r="DC18" i="30"/>
  <c r="DC8" i="30"/>
  <c r="DM8" i="30"/>
  <c r="DC12" i="30"/>
  <c r="DM17" i="30"/>
  <c r="DM16" i="30"/>
  <c r="DC17" i="30"/>
  <c r="DM9" i="30"/>
  <c r="DM15" i="30"/>
  <c r="DC14" i="30"/>
  <c r="DM14" i="30"/>
  <c r="DC10" i="30"/>
  <c r="DM13" i="30"/>
  <c r="DC15" i="30"/>
  <c r="DM12" i="30"/>
  <c r="DC16" i="30"/>
  <c r="DC9" i="30"/>
  <c r="DC11" i="30"/>
  <c r="DM10" i="30"/>
  <c r="DC13" i="30"/>
  <c r="DM11" i="30"/>
  <c r="CZ21" i="30"/>
  <c r="DK31" i="30"/>
  <c r="DK23" i="30"/>
  <c r="DA27" i="30"/>
  <c r="DA21" i="30"/>
  <c r="DA29" i="30"/>
  <c r="DK21" i="30"/>
  <c r="DA23" i="30"/>
  <c r="CZ29" i="30"/>
  <c r="DK29" i="30"/>
  <c r="DJ25" i="30"/>
  <c r="DK25" i="30"/>
  <c r="CZ33" i="30"/>
  <c r="DA33" i="30"/>
  <c r="CZ31" i="30"/>
  <c r="CZ27" i="30"/>
  <c r="DJ21" i="30"/>
  <c r="DJ33" i="30"/>
  <c r="DK33" i="30"/>
  <c r="DJ23" i="30"/>
  <c r="DJ19" i="30"/>
  <c r="DA31" i="30"/>
  <c r="DA25" i="30"/>
  <c r="CZ23" i="30"/>
  <c r="DA19" i="30"/>
  <c r="DK27" i="30"/>
  <c r="CZ19" i="30"/>
  <c r="CZ25" i="30"/>
  <c r="DJ31" i="30"/>
  <c r="DK19" i="30"/>
  <c r="DJ27" i="30"/>
  <c r="DJ29" i="30"/>
  <c r="DA20" i="30"/>
  <c r="DK30" i="30"/>
  <c r="CZ22" i="30"/>
  <c r="DJ22" i="30"/>
  <c r="DK22" i="30"/>
  <c r="DA22" i="30"/>
  <c r="DA35" i="30"/>
  <c r="DK20" i="30"/>
  <c r="DJ20" i="30"/>
  <c r="DJ24" i="30"/>
  <c r="DK24" i="30"/>
  <c r="DA30" i="30"/>
  <c r="DJ30" i="30"/>
  <c r="DJ35" i="30"/>
  <c r="CZ35" i="30"/>
  <c r="DK35" i="30"/>
  <c r="CZ20" i="30"/>
  <c r="CZ24" i="30"/>
  <c r="DA24" i="30"/>
  <c r="CZ30" i="30"/>
  <c r="DJ32" i="30"/>
  <c r="DK32" i="30"/>
  <c r="DA32" i="30"/>
  <c r="DA36" i="30"/>
  <c r="CZ28" i="30"/>
  <c r="DA34" i="30"/>
  <c r="CZ34" i="30"/>
  <c r="CZ36" i="30"/>
  <c r="DA28" i="30"/>
  <c r="DJ28" i="30"/>
  <c r="DA26" i="30"/>
  <c r="DA18" i="30"/>
  <c r="CZ18" i="30"/>
  <c r="CZ32" i="30"/>
  <c r="DK36" i="30"/>
  <c r="DJ36" i="30"/>
  <c r="DK26" i="30"/>
  <c r="DK18" i="30"/>
  <c r="DJ18" i="30"/>
  <c r="DK28" i="30"/>
  <c r="DJ26" i="30"/>
  <c r="CZ26" i="30"/>
  <c r="DK34" i="30"/>
  <c r="DJ34" i="30"/>
  <c r="DJ10" i="30"/>
  <c r="DJ13" i="30"/>
  <c r="DK13" i="30"/>
  <c r="CZ8" i="30"/>
  <c r="DA8" i="30"/>
  <c r="DA12" i="30"/>
  <c r="CZ17" i="30"/>
  <c r="DJ16" i="30"/>
  <c r="DK16" i="30"/>
  <c r="DA16" i="30"/>
  <c r="DJ9" i="30"/>
  <c r="DK9" i="30"/>
  <c r="DJ15" i="30"/>
  <c r="DK15" i="30"/>
  <c r="DJ17" i="30"/>
  <c r="DK17" i="30"/>
  <c r="CZ15" i="30"/>
  <c r="DK12" i="30"/>
  <c r="DA17" i="30"/>
  <c r="CZ11" i="30"/>
  <c r="DK11" i="30"/>
  <c r="DA10" i="30"/>
  <c r="CZ10" i="30"/>
  <c r="DA13" i="30"/>
  <c r="CZ12" i="30"/>
  <c r="CZ14" i="30"/>
  <c r="DA11" i="30"/>
  <c r="CZ9" i="30"/>
  <c r="DA14" i="30"/>
  <c r="CZ13" i="30"/>
  <c r="DJ8" i="30"/>
  <c r="DK8" i="30"/>
  <c r="DJ12" i="30"/>
  <c r="CZ16" i="30"/>
  <c r="DA9" i="30"/>
  <c r="DA15" i="30"/>
  <c r="DK14" i="30"/>
  <c r="DJ11" i="30"/>
  <c r="DK10" i="30"/>
  <c r="DJ14" i="30"/>
  <c r="DO7" i="30"/>
  <c r="BR57" i="31"/>
  <c r="CJ47" i="31"/>
  <c r="CK47" i="31" s="1"/>
  <c r="CJ50" i="31"/>
  <c r="CK50" i="31" s="1"/>
  <c r="CJ51" i="31"/>
  <c r="CK51" i="31" s="1"/>
  <c r="CJ48" i="31"/>
  <c r="CK48" i="31" s="1"/>
  <c r="CJ49" i="31"/>
  <c r="CK49" i="31" s="1"/>
  <c r="CJ45" i="31"/>
  <c r="CF17" i="32"/>
  <c r="CF18" i="32" s="1"/>
  <c r="AC39" i="32"/>
  <c r="EC7" i="31"/>
  <c r="EC4" i="31"/>
  <c r="CM8" i="31" s="1"/>
  <c r="EC9" i="31"/>
  <c r="EC6" i="31"/>
  <c r="EC8" i="31"/>
  <c r="EC10" i="31"/>
  <c r="EC5" i="31"/>
  <c r="EC11" i="31"/>
  <c r="EC12" i="31"/>
  <c r="CV38" i="32"/>
  <c r="BP23" i="31"/>
  <c r="BP24" i="31" s="1"/>
  <c r="BP25" i="31" s="1"/>
  <c r="P39" i="31"/>
  <c r="CV93" i="32"/>
  <c r="DB93" i="32"/>
  <c r="CM51" i="30"/>
  <c r="CM52" i="30" s="1"/>
  <c r="CM53" i="30" s="1"/>
  <c r="AC38" i="30"/>
  <c r="CV47" i="32"/>
  <c r="DB47" i="32"/>
  <c r="CV50" i="32"/>
  <c r="DB50" i="32"/>
  <c r="DG31" i="30"/>
  <c r="DG21" i="30"/>
  <c r="DQ29" i="30"/>
  <c r="DQ21" i="30"/>
  <c r="DG29" i="30"/>
  <c r="DG23" i="30"/>
  <c r="DQ31" i="30"/>
  <c r="DG33" i="30"/>
  <c r="DQ23" i="30"/>
  <c r="DG27" i="30"/>
  <c r="DG19" i="30"/>
  <c r="DQ25" i="30"/>
  <c r="DQ19" i="30"/>
  <c r="DG25" i="30"/>
  <c r="DQ33" i="30"/>
  <c r="DQ27" i="30"/>
  <c r="DG35" i="30"/>
  <c r="DG24" i="30"/>
  <c r="DQ22" i="30"/>
  <c r="DG22" i="30"/>
  <c r="DQ35" i="30"/>
  <c r="DG20" i="30"/>
  <c r="DQ20" i="30"/>
  <c r="DQ24" i="30"/>
  <c r="DG30" i="30"/>
  <c r="DQ30" i="30"/>
  <c r="DG28" i="30"/>
  <c r="DG18" i="30"/>
  <c r="DQ18" i="30"/>
  <c r="DQ28" i="30"/>
  <c r="DQ34" i="30"/>
  <c r="DQ32" i="30"/>
  <c r="DG26" i="30"/>
  <c r="DG34" i="30"/>
  <c r="DG36" i="30"/>
  <c r="DQ36" i="30"/>
  <c r="DQ26" i="30"/>
  <c r="DG32" i="30"/>
  <c r="DQ10" i="30"/>
  <c r="DQ13" i="30"/>
  <c r="DQ12" i="30"/>
  <c r="DQ16" i="30"/>
  <c r="DQ9" i="30"/>
  <c r="DG11" i="30"/>
  <c r="DQ17" i="30"/>
  <c r="DG16" i="30"/>
  <c r="DG9" i="30"/>
  <c r="DG8" i="30"/>
  <c r="DG12" i="30"/>
  <c r="DQ14" i="30"/>
  <c r="DQ8" i="30"/>
  <c r="DG15" i="30"/>
  <c r="DG13" i="30"/>
  <c r="DG17" i="30"/>
  <c r="DQ15" i="30"/>
  <c r="DQ11" i="30"/>
  <c r="DG10" i="30"/>
  <c r="DG14" i="30"/>
  <c r="DN7" i="30"/>
  <c r="DE7" i="30"/>
  <c r="DA7" i="30"/>
  <c r="DD7" i="30"/>
  <c r="DH7" i="30"/>
  <c r="DK7" i="30"/>
  <c r="AA38" i="33"/>
  <c r="W38" i="30"/>
  <c r="DN12" i="32"/>
  <c r="DK8" i="32" s="1"/>
  <c r="DN10" i="32"/>
  <c r="DN8" i="32"/>
  <c r="DN6" i="32"/>
  <c r="DN11" i="32"/>
  <c r="DN13" i="32"/>
  <c r="DN9" i="32"/>
  <c r="DN7" i="32"/>
  <c r="DN5" i="32"/>
  <c r="DC8" i="32" s="1"/>
  <c r="BQ40" i="33"/>
  <c r="K38" i="33"/>
  <c r="M38" i="33"/>
  <c r="BP26" i="31"/>
  <c r="DA92" i="32"/>
  <c r="CZ113" i="32"/>
  <c r="D38" i="33"/>
  <c r="C38" i="33"/>
  <c r="DB49" i="32"/>
  <c r="DA46" i="32"/>
  <c r="DD29" i="30"/>
  <c r="DD21" i="30"/>
  <c r="DD25" i="30"/>
  <c r="DD33" i="30"/>
  <c r="DN31" i="30"/>
  <c r="DN27" i="30"/>
  <c r="DN29" i="30"/>
  <c r="DN25" i="30"/>
  <c r="DD31" i="30"/>
  <c r="DD27" i="30"/>
  <c r="DN21" i="30"/>
  <c r="DN33" i="30"/>
  <c r="DN23" i="30"/>
  <c r="DN19" i="30"/>
  <c r="DD23" i="30"/>
  <c r="DD19" i="30"/>
  <c r="DD35" i="30"/>
  <c r="DN30" i="30"/>
  <c r="DN22" i="30"/>
  <c r="DN20" i="30"/>
  <c r="DD24" i="30"/>
  <c r="DD22" i="30"/>
  <c r="DD20" i="30"/>
  <c r="DN24" i="30"/>
  <c r="DN35" i="30"/>
  <c r="DD30" i="30"/>
  <c r="DD26" i="30"/>
  <c r="DN34" i="30"/>
  <c r="DD18" i="30"/>
  <c r="DD32" i="30"/>
  <c r="DN36" i="30"/>
  <c r="DD36" i="30"/>
  <c r="DN26" i="30"/>
  <c r="DD34" i="30"/>
  <c r="DN18" i="30"/>
  <c r="DN32" i="30"/>
  <c r="DN28" i="30"/>
  <c r="DD28" i="30"/>
  <c r="DN10" i="30"/>
  <c r="DD12" i="30"/>
  <c r="DD17" i="30"/>
  <c r="DD11" i="30"/>
  <c r="DN8" i="30"/>
  <c r="DD16" i="30"/>
  <c r="DN13" i="30"/>
  <c r="DD13" i="30"/>
  <c r="DN9" i="30"/>
  <c r="DN15" i="30"/>
  <c r="DD14" i="30"/>
  <c r="DN12" i="30"/>
  <c r="DD10" i="30"/>
  <c r="DD8" i="30"/>
  <c r="DN17" i="30"/>
  <c r="DN16" i="30"/>
  <c r="DD9" i="30"/>
  <c r="DD15" i="30"/>
  <c r="DN14" i="30"/>
  <c r="DN11" i="30"/>
  <c r="DP31" i="30"/>
  <c r="DP23" i="30"/>
  <c r="DF27" i="30"/>
  <c r="DF23" i="30"/>
  <c r="DP21" i="30"/>
  <c r="DP29" i="30"/>
  <c r="DP27" i="30"/>
  <c r="DF33" i="30"/>
  <c r="DF31" i="30"/>
  <c r="DP25" i="30"/>
  <c r="DF19" i="30"/>
  <c r="DP33" i="30"/>
  <c r="DP19" i="30"/>
  <c r="DF29" i="30"/>
  <c r="DF25" i="30"/>
  <c r="DF21" i="30"/>
  <c r="DP35" i="30"/>
  <c r="DP20" i="30"/>
  <c r="DF24" i="30"/>
  <c r="DP30" i="30"/>
  <c r="DF30" i="30"/>
  <c r="DP22" i="30"/>
  <c r="DF22" i="30"/>
  <c r="DF35" i="30"/>
  <c r="DP24" i="30"/>
  <c r="DF20" i="30"/>
  <c r="DF28" i="30"/>
  <c r="DF18" i="30"/>
  <c r="DF36" i="30"/>
  <c r="DP34" i="30"/>
  <c r="DP32" i="30"/>
  <c r="DF32" i="30"/>
  <c r="DF26" i="30"/>
  <c r="DF34" i="30"/>
  <c r="DP36" i="30"/>
  <c r="DP28" i="30"/>
  <c r="DP26" i="30"/>
  <c r="DP18" i="30"/>
  <c r="DP10" i="30"/>
  <c r="DF17" i="30"/>
  <c r="DP11" i="30"/>
  <c r="DP16" i="30"/>
  <c r="DF16" i="30"/>
  <c r="DP9" i="30"/>
  <c r="DP12" i="30"/>
  <c r="DF9" i="30"/>
  <c r="DF15" i="30"/>
  <c r="DF8" i="30"/>
  <c r="DF12" i="30"/>
  <c r="DP15" i="30"/>
  <c r="DP8" i="30"/>
  <c r="DP17" i="30"/>
  <c r="DP14" i="30"/>
  <c r="DF14" i="30"/>
  <c r="DF11" i="30"/>
  <c r="DF10" i="30"/>
  <c r="DF13" i="30"/>
  <c r="DP13" i="30"/>
  <c r="DG7" i="30"/>
  <c r="DL7" i="30"/>
  <c r="DR7" i="30"/>
  <c r="CZ76" i="32" l="1"/>
  <c r="CF19" i="32"/>
  <c r="DB51" i="32"/>
  <c r="CD8" i="32"/>
  <c r="CD14" i="32"/>
  <c r="CD15" i="32"/>
  <c r="DI8" i="32"/>
  <c r="DG8" i="32"/>
  <c r="CF21" i="32"/>
  <c r="CF22" i="32" s="1"/>
  <c r="CO8" i="31"/>
  <c r="DD8" i="32"/>
  <c r="CR34" i="31"/>
  <c r="CR36" i="31"/>
  <c r="CR25" i="31"/>
  <c r="CR21" i="31"/>
  <c r="CR37" i="31"/>
  <c r="CR19" i="31"/>
  <c r="CR33" i="31"/>
  <c r="CR18" i="31"/>
  <c r="CR27" i="31"/>
  <c r="CR31" i="31"/>
  <c r="CR22" i="31"/>
  <c r="CR30" i="31"/>
  <c r="CR32" i="31"/>
  <c r="CR29" i="31"/>
  <c r="CR35" i="31"/>
  <c r="CR23" i="31"/>
  <c r="CR28" i="31"/>
  <c r="CR24" i="31"/>
  <c r="CR26" i="31"/>
  <c r="CR20" i="31"/>
  <c r="CR10" i="31"/>
  <c r="CR14" i="31"/>
  <c r="CR17" i="31"/>
  <c r="CR16" i="31"/>
  <c r="CR12" i="31"/>
  <c r="CR9" i="31"/>
  <c r="CR15" i="31"/>
  <c r="CR13" i="31"/>
  <c r="CR11" i="31"/>
  <c r="CQ34" i="31"/>
  <c r="CQ24" i="31"/>
  <c r="CQ29" i="31"/>
  <c r="CQ33" i="31"/>
  <c r="CQ19" i="31"/>
  <c r="CQ35" i="31"/>
  <c r="CQ20" i="31"/>
  <c r="CQ18" i="31"/>
  <c r="CQ22" i="31"/>
  <c r="CQ21" i="31"/>
  <c r="CQ28" i="31"/>
  <c r="CQ27" i="31"/>
  <c r="CQ31" i="31"/>
  <c r="CQ23" i="31"/>
  <c r="CQ26" i="31"/>
  <c r="CQ25" i="31"/>
  <c r="CQ30" i="31"/>
  <c r="CQ37" i="31"/>
  <c r="CQ36" i="31"/>
  <c r="CQ32" i="31"/>
  <c r="CQ10" i="31"/>
  <c r="CQ14" i="31"/>
  <c r="CQ11" i="31"/>
  <c r="CQ12" i="31"/>
  <c r="CQ17" i="31"/>
  <c r="CQ16" i="31"/>
  <c r="CQ9" i="31"/>
  <c r="CQ15" i="31"/>
  <c r="CQ13" i="31"/>
  <c r="CF49" i="31"/>
  <c r="CL49" i="31"/>
  <c r="CF47" i="31"/>
  <c r="CL47" i="31"/>
  <c r="CK83" i="31"/>
  <c r="CJ112" i="31"/>
  <c r="DH37" i="32"/>
  <c r="DH35" i="32"/>
  <c r="DH25" i="32"/>
  <c r="DH22" i="32"/>
  <c r="DH19" i="32"/>
  <c r="DH34" i="32"/>
  <c r="DH31" i="32"/>
  <c r="DH21" i="32"/>
  <c r="DH33" i="32"/>
  <c r="DH30" i="32"/>
  <c r="DH23" i="32"/>
  <c r="DH29" i="32"/>
  <c r="DH24" i="32"/>
  <c r="DH16" i="32"/>
  <c r="DH27" i="32"/>
  <c r="DH36" i="32"/>
  <c r="DH14" i="32"/>
  <c r="DH32" i="32"/>
  <c r="DH28" i="32"/>
  <c r="DH15" i="32"/>
  <c r="DH26" i="32"/>
  <c r="DH20" i="32"/>
  <c r="DH9" i="32"/>
  <c r="DH18" i="32"/>
  <c r="DH10" i="32"/>
  <c r="DH12" i="32"/>
  <c r="DH13" i="32"/>
  <c r="DH17" i="32"/>
  <c r="DH11" i="32"/>
  <c r="DG33" i="32"/>
  <c r="DG34" i="32"/>
  <c r="DG31" i="32"/>
  <c r="DG30" i="32"/>
  <c r="DG24" i="32"/>
  <c r="DG23" i="32"/>
  <c r="DG37" i="32"/>
  <c r="DG35" i="32"/>
  <c r="DG22" i="32"/>
  <c r="DG19" i="32"/>
  <c r="DG29" i="32"/>
  <c r="DG21" i="32"/>
  <c r="DG25" i="32"/>
  <c r="DG16" i="32"/>
  <c r="DG20" i="32"/>
  <c r="DG32" i="32"/>
  <c r="DG15" i="32"/>
  <c r="DG27" i="32"/>
  <c r="DG26" i="32"/>
  <c r="DG36" i="32"/>
  <c r="DG14" i="32"/>
  <c r="DG28" i="32"/>
  <c r="DG11" i="32"/>
  <c r="DG10" i="32"/>
  <c r="DG17" i="32"/>
  <c r="DG18" i="32"/>
  <c r="DG9" i="32"/>
  <c r="DG13" i="32"/>
  <c r="DG12" i="32"/>
  <c r="CT26" i="31"/>
  <c r="CT37" i="31"/>
  <c r="CT32" i="31"/>
  <c r="CT33" i="31"/>
  <c r="CT19" i="31"/>
  <c r="CT35" i="31"/>
  <c r="CT18" i="31"/>
  <c r="CT34" i="31"/>
  <c r="CT27" i="31"/>
  <c r="CT31" i="31"/>
  <c r="CT22" i="31"/>
  <c r="CT30" i="31"/>
  <c r="CT21" i="31"/>
  <c r="CT23" i="31"/>
  <c r="CT28" i="31"/>
  <c r="CT20" i="31"/>
  <c r="CT36" i="31"/>
  <c r="CT24" i="31"/>
  <c r="CT25" i="31"/>
  <c r="CT29" i="31"/>
  <c r="CT14" i="31"/>
  <c r="CT11" i="31"/>
  <c r="CT10" i="31"/>
  <c r="CT15" i="31"/>
  <c r="CT12" i="31"/>
  <c r="CT17" i="31"/>
  <c r="CT9" i="31"/>
  <c r="CT13" i="31"/>
  <c r="CT16" i="31"/>
  <c r="CN18" i="31"/>
  <c r="CM27" i="31"/>
  <c r="CN31" i="31"/>
  <c r="CN22" i="31"/>
  <c r="CN30" i="31"/>
  <c r="CN21" i="31"/>
  <c r="CN23" i="31"/>
  <c r="CN32" i="31"/>
  <c r="CM19" i="31"/>
  <c r="CM35" i="31"/>
  <c r="CM37" i="31"/>
  <c r="CM23" i="31"/>
  <c r="CM22" i="31"/>
  <c r="CM25" i="31"/>
  <c r="CN25" i="31"/>
  <c r="CN37" i="31"/>
  <c r="CM29" i="31"/>
  <c r="CM34" i="31"/>
  <c r="CN24" i="31"/>
  <c r="CN26" i="31"/>
  <c r="CM30" i="31"/>
  <c r="CM33" i="31"/>
  <c r="CN29" i="31"/>
  <c r="CN33" i="31"/>
  <c r="CM24" i="31"/>
  <c r="CM26" i="31"/>
  <c r="CM18" i="31"/>
  <c r="CN27" i="31"/>
  <c r="CM31" i="31"/>
  <c r="CN28" i="31"/>
  <c r="CM28" i="31"/>
  <c r="CN20" i="31"/>
  <c r="CM20" i="31"/>
  <c r="CN19" i="31"/>
  <c r="CN35" i="31"/>
  <c r="CN34" i="31"/>
  <c r="CN36" i="31"/>
  <c r="CM36" i="31"/>
  <c r="CM21" i="31"/>
  <c r="CM32" i="31"/>
  <c r="CN12" i="31"/>
  <c r="CM12" i="31"/>
  <c r="CM9" i="31"/>
  <c r="CN15" i="31"/>
  <c r="CN10" i="31"/>
  <c r="CN11" i="31"/>
  <c r="CM10" i="31"/>
  <c r="CM16" i="31"/>
  <c r="CM11" i="31"/>
  <c r="CM15" i="31"/>
  <c r="CN13" i="31"/>
  <c r="CM13" i="31"/>
  <c r="CN14" i="31"/>
  <c r="CM14" i="31"/>
  <c r="CN9" i="31"/>
  <c r="CM17" i="31"/>
  <c r="CN17" i="31"/>
  <c r="CN16" i="31"/>
  <c r="CJ75" i="31"/>
  <c r="CK45" i="31"/>
  <c r="CF50" i="31"/>
  <c r="CL50" i="31"/>
  <c r="CF90" i="31"/>
  <c r="CL90" i="31"/>
  <c r="BS13" i="31"/>
  <c r="BS17" i="31"/>
  <c r="BS14" i="31"/>
  <c r="BS9" i="31"/>
  <c r="BS12" i="31"/>
  <c r="BS10" i="31"/>
  <c r="BS16" i="31"/>
  <c r="BS15" i="31"/>
  <c r="BS11" i="31"/>
  <c r="CM54" i="30"/>
  <c r="CP8" i="31"/>
  <c r="CR8" i="31"/>
  <c r="CN8" i="31"/>
  <c r="CF20" i="32"/>
  <c r="BN43" i="33"/>
  <c r="BO51" i="33" s="1"/>
  <c r="BN44" i="33"/>
  <c r="BQ46" i="33"/>
  <c r="BQ44" i="33"/>
  <c r="BQ48" i="33"/>
  <c r="BQ45" i="33"/>
  <c r="BQ47" i="33"/>
  <c r="DI35" i="32"/>
  <c r="DI31" i="32"/>
  <c r="DI23" i="32"/>
  <c r="DI19" i="32"/>
  <c r="DI29" i="32"/>
  <c r="DI25" i="32"/>
  <c r="DI22" i="32"/>
  <c r="DI37" i="32"/>
  <c r="DI34" i="32"/>
  <c r="DI24" i="32"/>
  <c r="DI21" i="32"/>
  <c r="DI30" i="32"/>
  <c r="DI33" i="32"/>
  <c r="DI16" i="32"/>
  <c r="DI36" i="32"/>
  <c r="DI28" i="32"/>
  <c r="DI27" i="32"/>
  <c r="DI26" i="32"/>
  <c r="DI32" i="32"/>
  <c r="DI15" i="32"/>
  <c r="DI14" i="32"/>
  <c r="DI20" i="32"/>
  <c r="DI11" i="32"/>
  <c r="DI13" i="32"/>
  <c r="DI10" i="32"/>
  <c r="DI12" i="32"/>
  <c r="DI17" i="32"/>
  <c r="DI18" i="32"/>
  <c r="DI9" i="32"/>
  <c r="DF24" i="32"/>
  <c r="DF21" i="32"/>
  <c r="DF37" i="32"/>
  <c r="DF33" i="32"/>
  <c r="DF23" i="32"/>
  <c r="DF35" i="32"/>
  <c r="DF29" i="32"/>
  <c r="DF19" i="32"/>
  <c r="DF25" i="32"/>
  <c r="DF31" i="32"/>
  <c r="DF22" i="32"/>
  <c r="DF34" i="32"/>
  <c r="DF30" i="32"/>
  <c r="DF16" i="32"/>
  <c r="DF32" i="32"/>
  <c r="DF20" i="32"/>
  <c r="DF28" i="32"/>
  <c r="DF15" i="32"/>
  <c r="DF14" i="32"/>
  <c r="DF27" i="32"/>
  <c r="DF26" i="32"/>
  <c r="DF36" i="32"/>
  <c r="DF17" i="32"/>
  <c r="DF18" i="32"/>
  <c r="DF11" i="32"/>
  <c r="DF12" i="32"/>
  <c r="DF10" i="32"/>
  <c r="DF13" i="32"/>
  <c r="DF9" i="32"/>
  <c r="DE35" i="32"/>
  <c r="DE31" i="32"/>
  <c r="DE23" i="32"/>
  <c r="DE19" i="32"/>
  <c r="DE37" i="32"/>
  <c r="DE33" i="32"/>
  <c r="DE30" i="32"/>
  <c r="DE29" i="32"/>
  <c r="DE25" i="32"/>
  <c r="DE21" i="32"/>
  <c r="DE34" i="32"/>
  <c r="DE24" i="32"/>
  <c r="DE22" i="32"/>
  <c r="DE16" i="32"/>
  <c r="DE27" i="32"/>
  <c r="DE36" i="32"/>
  <c r="DE15" i="32"/>
  <c r="DE28" i="32"/>
  <c r="DE26" i="32"/>
  <c r="DE32" i="32"/>
  <c r="DE14" i="32"/>
  <c r="DE20" i="32"/>
  <c r="DE13" i="32"/>
  <c r="DE9" i="32"/>
  <c r="DE10" i="32"/>
  <c r="DE18" i="32"/>
  <c r="DE17" i="32"/>
  <c r="DE11" i="32"/>
  <c r="DE12" i="32"/>
  <c r="CD13" i="32"/>
  <c r="CD9" i="32"/>
  <c r="CD10" i="32"/>
  <c r="CD18" i="32"/>
  <c r="CD11" i="32"/>
  <c r="CD12" i="32"/>
  <c r="CD17" i="32"/>
  <c r="CO27" i="31"/>
  <c r="CO22" i="31"/>
  <c r="CO30" i="31"/>
  <c r="CO28" i="31"/>
  <c r="CO29" i="31"/>
  <c r="CO20" i="31"/>
  <c r="CO33" i="31"/>
  <c r="CO21" i="31"/>
  <c r="CO19" i="31"/>
  <c r="CO26" i="31"/>
  <c r="CO36" i="31"/>
  <c r="CO24" i="31"/>
  <c r="CO31" i="31"/>
  <c r="CO25" i="31"/>
  <c r="CO37" i="31"/>
  <c r="CO23" i="31"/>
  <c r="CO32" i="31"/>
  <c r="CO18" i="31"/>
  <c r="CO34" i="31"/>
  <c r="CO35" i="31"/>
  <c r="CO10" i="31"/>
  <c r="CO13" i="31"/>
  <c r="CO15" i="31"/>
  <c r="CO17" i="31"/>
  <c r="CO11" i="31"/>
  <c r="CO9" i="31"/>
  <c r="CO12" i="31"/>
  <c r="CO14" i="31"/>
  <c r="CO16" i="31"/>
  <c r="CS36" i="31"/>
  <c r="CS24" i="31"/>
  <c r="CS31" i="31"/>
  <c r="CS22" i="31"/>
  <c r="CS26" i="31"/>
  <c r="CS25" i="31"/>
  <c r="CS30" i="31"/>
  <c r="CS21" i="31"/>
  <c r="CS23" i="31"/>
  <c r="CS33" i="31"/>
  <c r="CS27" i="31"/>
  <c r="CS37" i="31"/>
  <c r="CS28" i="31"/>
  <c r="CS20" i="31"/>
  <c r="CS19" i="31"/>
  <c r="CS35" i="31"/>
  <c r="CS34" i="31"/>
  <c r="CS32" i="31"/>
  <c r="CS18" i="31"/>
  <c r="CS29" i="31"/>
  <c r="CS9" i="31"/>
  <c r="CS15" i="31"/>
  <c r="CS16" i="31"/>
  <c r="CS11" i="31"/>
  <c r="CS17" i="31"/>
  <c r="CS13" i="31"/>
  <c r="CS12" i="31"/>
  <c r="CS10" i="31"/>
  <c r="CS14" i="31"/>
  <c r="CF51" i="31"/>
  <c r="CL51" i="31"/>
  <c r="CF89" i="31"/>
  <c r="CL89" i="31"/>
  <c r="DE8" i="32"/>
  <c r="DF8" i="32"/>
  <c r="CT8" i="31"/>
  <c r="CQ8" i="31"/>
  <c r="DA76" i="32"/>
  <c r="CE60" i="32" s="1"/>
  <c r="CV46" i="32"/>
  <c r="CV77" i="32"/>
  <c r="DB46" i="32"/>
  <c r="DB76" i="32" s="1"/>
  <c r="BY39" i="31"/>
  <c r="M39" i="31"/>
  <c r="BZ38" i="31"/>
  <c r="CM40" i="30"/>
  <c r="CL39" i="30"/>
  <c r="CV92" i="32"/>
  <c r="DB92" i="32"/>
  <c r="DB113" i="32" s="1"/>
  <c r="CV114" i="32"/>
  <c r="DA113" i="32"/>
  <c r="CE97" i="32" s="1"/>
  <c r="DC37" i="32"/>
  <c r="DC33" i="32"/>
  <c r="DC35" i="32"/>
  <c r="DD29" i="32"/>
  <c r="DD23" i="32"/>
  <c r="DC22" i="32"/>
  <c r="DC19" i="32"/>
  <c r="DD35" i="32"/>
  <c r="DC34" i="32"/>
  <c r="DC31" i="32"/>
  <c r="DD25" i="32"/>
  <c r="DD22" i="32"/>
  <c r="DD19" i="32"/>
  <c r="DD37" i="32"/>
  <c r="DD34" i="32"/>
  <c r="DD31" i="32"/>
  <c r="DC30" i="32"/>
  <c r="DC24" i="32"/>
  <c r="DD21" i="32"/>
  <c r="DD33" i="32"/>
  <c r="DD30" i="32"/>
  <c r="DC23" i="32"/>
  <c r="DC25" i="32"/>
  <c r="DD24" i="32"/>
  <c r="DC29" i="32"/>
  <c r="DC21" i="32"/>
  <c r="DD16" i="32"/>
  <c r="DC16" i="32"/>
  <c r="DD28" i="32"/>
  <c r="DC28" i="32"/>
  <c r="DD26" i="32"/>
  <c r="DC32" i="32"/>
  <c r="DC15" i="32"/>
  <c r="DC26" i="32"/>
  <c r="DD36" i="32"/>
  <c r="DC36" i="32"/>
  <c r="DC14" i="32"/>
  <c r="DD20" i="32"/>
  <c r="DD27" i="32"/>
  <c r="DD32" i="32"/>
  <c r="DD15" i="32"/>
  <c r="DD14" i="32"/>
  <c r="DC20" i="32"/>
  <c r="DC27" i="32"/>
  <c r="DC17" i="32"/>
  <c r="DD11" i="32"/>
  <c r="DD12" i="32"/>
  <c r="DD9" i="32"/>
  <c r="DC18" i="32"/>
  <c r="DD17" i="32"/>
  <c r="DC13" i="32"/>
  <c r="DC9" i="32"/>
  <c r="DC12" i="32"/>
  <c r="DC10" i="32"/>
  <c r="DD18" i="32"/>
  <c r="DD13" i="32"/>
  <c r="DC11" i="32"/>
  <c r="DD10" i="32"/>
  <c r="DJ33" i="32"/>
  <c r="DJ23" i="32"/>
  <c r="DJ35" i="32"/>
  <c r="DJ29" i="32"/>
  <c r="DJ19" i="32"/>
  <c r="DJ31" i="32"/>
  <c r="DJ25" i="32"/>
  <c r="DJ24" i="32"/>
  <c r="DJ21" i="32"/>
  <c r="DJ37" i="32"/>
  <c r="DJ30" i="32"/>
  <c r="DJ34" i="32"/>
  <c r="DJ22" i="32"/>
  <c r="DJ16" i="32"/>
  <c r="DJ20" i="32"/>
  <c r="DJ26" i="32"/>
  <c r="DJ32" i="32"/>
  <c r="DJ15" i="32"/>
  <c r="DJ27" i="32"/>
  <c r="DJ36" i="32"/>
  <c r="DJ14" i="32"/>
  <c r="DJ28" i="32"/>
  <c r="DJ12" i="32"/>
  <c r="DJ10" i="32"/>
  <c r="DJ18" i="32"/>
  <c r="DJ13" i="32"/>
  <c r="DJ11" i="32"/>
  <c r="DJ9" i="32"/>
  <c r="DJ17" i="32"/>
  <c r="DK33" i="32"/>
  <c r="DK30" i="32"/>
  <c r="DK24" i="32"/>
  <c r="DK37" i="32"/>
  <c r="DK23" i="32"/>
  <c r="DK35" i="32"/>
  <c r="DK19" i="32"/>
  <c r="DK31" i="32"/>
  <c r="DK34" i="32"/>
  <c r="DK25" i="32"/>
  <c r="DK29" i="32"/>
  <c r="DK22" i="32"/>
  <c r="DK21" i="32"/>
  <c r="DK16" i="32"/>
  <c r="DK28" i="32"/>
  <c r="DK15" i="32"/>
  <c r="DK36" i="32"/>
  <c r="DK14" i="32"/>
  <c r="DK32" i="32"/>
  <c r="DK20" i="32"/>
  <c r="DK27" i="32"/>
  <c r="DK26" i="32"/>
  <c r="DK18" i="32"/>
  <c r="DK11" i="32"/>
  <c r="DK12" i="32"/>
  <c r="DK10" i="32"/>
  <c r="DK17" i="32"/>
  <c r="DK13" i="32"/>
  <c r="DK9" i="32"/>
  <c r="CU18" i="31"/>
  <c r="CU36" i="31"/>
  <c r="CU37" i="31"/>
  <c r="CU28" i="31"/>
  <c r="CU19" i="31"/>
  <c r="CU30" i="31"/>
  <c r="CU27" i="31"/>
  <c r="CU26" i="31"/>
  <c r="CU29" i="31"/>
  <c r="CU22" i="31"/>
  <c r="CU21" i="31"/>
  <c r="CU31" i="31"/>
  <c r="CU25" i="31"/>
  <c r="CU23" i="31"/>
  <c r="CU32" i="31"/>
  <c r="CU35" i="31"/>
  <c r="CU34" i="31"/>
  <c r="CU24" i="31"/>
  <c r="CU20" i="31"/>
  <c r="CU33" i="31"/>
  <c r="CU11" i="31"/>
  <c r="CU10" i="31"/>
  <c r="CU12" i="31"/>
  <c r="CU13" i="31"/>
  <c r="CU17" i="31"/>
  <c r="CU16" i="31"/>
  <c r="CU15" i="31"/>
  <c r="CU14" i="31"/>
  <c r="CU9" i="31"/>
  <c r="CP18" i="31"/>
  <c r="CP34" i="31"/>
  <c r="CP27" i="31"/>
  <c r="CP31" i="31"/>
  <c r="CP21" i="31"/>
  <c r="CP23" i="31"/>
  <c r="CP20" i="31"/>
  <c r="CP19" i="31"/>
  <c r="CP35" i="31"/>
  <c r="CP29" i="31"/>
  <c r="CP36" i="31"/>
  <c r="CP26" i="31"/>
  <c r="CP25" i="31"/>
  <c r="CP32" i="31"/>
  <c r="CP37" i="31"/>
  <c r="CP28" i="31"/>
  <c r="CP33" i="31"/>
  <c r="CP24" i="31"/>
  <c r="CP22" i="31"/>
  <c r="CP30" i="31"/>
  <c r="CP12" i="31"/>
  <c r="CP15" i="31"/>
  <c r="CP16" i="31"/>
  <c r="CP14" i="31"/>
  <c r="CP17" i="31"/>
  <c r="CP11" i="31"/>
  <c r="CP10" i="31"/>
  <c r="CP9" i="31"/>
  <c r="CP13" i="31"/>
  <c r="CF48" i="31"/>
  <c r="CL48" i="31"/>
  <c r="CF91" i="31"/>
  <c r="CL91" i="31"/>
  <c r="BU56" i="26"/>
  <c r="BT55" i="26"/>
  <c r="BW55" i="26" s="1"/>
  <c r="CR41" i="32"/>
  <c r="CQ40" i="32"/>
  <c r="BP27" i="31"/>
  <c r="BP28" i="31" s="1"/>
  <c r="CM55" i="30"/>
  <c r="CM56" i="30" s="1"/>
  <c r="DJ8" i="32"/>
  <c r="DH8" i="32"/>
  <c r="CS8" i="31"/>
  <c r="CU8" i="31"/>
  <c r="CE59" i="32" l="1"/>
  <c r="Z40" i="32" s="1"/>
  <c r="CE96" i="32"/>
  <c r="CD38" i="32"/>
  <c r="BN46" i="33"/>
  <c r="BO52" i="33" s="1"/>
  <c r="CV113" i="32"/>
  <c r="CK75" i="31"/>
  <c r="BO59" i="31" s="1"/>
  <c r="CF76" i="31"/>
  <c r="CF45" i="31"/>
  <c r="CL45" i="31"/>
  <c r="CL75" i="31" s="1"/>
  <c r="CF83" i="31"/>
  <c r="CL83" i="31"/>
  <c r="CL112" i="31" s="1"/>
  <c r="CF113" i="31"/>
  <c r="CK112" i="31"/>
  <c r="BO96" i="31" s="1"/>
  <c r="Z41" i="32"/>
  <c r="CE38" i="30"/>
  <c r="AG40" i="30" s="1"/>
  <c r="R38" i="30"/>
  <c r="CO39" i="30"/>
  <c r="AX38" i="30" s="1"/>
  <c r="CN39" i="30"/>
  <c r="CY38" i="30"/>
  <c r="B39" i="31"/>
  <c r="CB41" i="31"/>
  <c r="N46" i="31" s="1"/>
  <c r="CB39" i="31"/>
  <c r="DM8" i="31" s="1"/>
  <c r="BX39" i="31"/>
  <c r="BW39" i="31"/>
  <c r="CA39" i="31"/>
  <c r="CE61" i="32"/>
  <c r="CE62" i="32" s="1"/>
  <c r="AC40" i="32"/>
  <c r="BU57" i="26"/>
  <c r="BT56" i="26"/>
  <c r="BW56" i="26" s="1"/>
  <c r="CG40" i="30"/>
  <c r="CG42" i="30"/>
  <c r="CG44" i="30"/>
  <c r="DW9" i="32"/>
  <c r="DW5" i="32"/>
  <c r="DW7" i="32"/>
  <c r="DR11" i="32"/>
  <c r="DR7" i="32"/>
  <c r="DR12" i="32"/>
  <c r="DR8" i="32"/>
  <c r="DR10" i="32"/>
  <c r="DI92" i="32" s="1"/>
  <c r="DR5" i="32"/>
  <c r="DC92" i="32" s="1"/>
  <c r="DR6" i="32"/>
  <c r="DR13" i="32"/>
  <c r="DR9" i="32"/>
  <c r="DH92" i="32" s="1"/>
  <c r="CV76" i="32"/>
  <c r="CJ46" i="32" s="1"/>
  <c r="CT40" i="32"/>
  <c r="DV6" i="32" s="1"/>
  <c r="CJ38" i="32"/>
  <c r="AG47" i="32" s="1"/>
  <c r="R39" i="32"/>
  <c r="CS40" i="32"/>
  <c r="CE98" i="32"/>
  <c r="CE99" i="32" s="1"/>
  <c r="AC41" i="32"/>
  <c r="DL6" i="31"/>
  <c r="DM9" i="31"/>
  <c r="DM5" i="31"/>
  <c r="DM7" i="31"/>
  <c r="DQ12" i="32"/>
  <c r="DK46" i="32" s="1"/>
  <c r="DQ10" i="32"/>
  <c r="DQ8" i="32"/>
  <c r="DQ6" i="32"/>
  <c r="DQ9" i="32"/>
  <c r="DQ5" i="32"/>
  <c r="DQ11" i="32"/>
  <c r="DQ7" i="32"/>
  <c r="DQ13" i="32"/>
  <c r="BS38" i="31"/>
  <c r="BN51" i="33"/>
  <c r="BQ51" i="33" s="1"/>
  <c r="BO58" i="31" l="1"/>
  <c r="CJ93" i="32"/>
  <c r="AI18" i="32" s="1"/>
  <c r="CJ90" i="32"/>
  <c r="AI15" i="32" s="1"/>
  <c r="CJ89" i="32"/>
  <c r="AI14" i="32" s="1"/>
  <c r="CE64" i="32"/>
  <c r="CE101" i="32"/>
  <c r="CE63" i="32"/>
  <c r="AW39" i="32"/>
  <c r="AG39" i="32" s="1"/>
  <c r="DF46" i="32"/>
  <c r="AX39" i="32"/>
  <c r="DJ92" i="32"/>
  <c r="DV5" i="32"/>
  <c r="DV8" i="32" s="1"/>
  <c r="DH46" i="32"/>
  <c r="DE92" i="32"/>
  <c r="R39" i="31"/>
  <c r="DM6" i="31"/>
  <c r="DL5" i="31"/>
  <c r="DK11" i="31" s="1"/>
  <c r="DW6" i="32"/>
  <c r="DE46" i="32"/>
  <c r="DF92" i="32"/>
  <c r="AW38" i="30"/>
  <c r="AG38" i="30" s="1"/>
  <c r="CG43" i="30"/>
  <c r="CF40" i="30"/>
  <c r="CG41" i="30"/>
  <c r="CF39" i="30"/>
  <c r="CG48" i="30" s="1"/>
  <c r="CF48" i="30" s="1"/>
  <c r="CI48" i="30" s="1"/>
  <c r="DJ75" i="32"/>
  <c r="DJ59" i="32"/>
  <c r="DJ67" i="32"/>
  <c r="DJ60" i="32"/>
  <c r="DJ62" i="32"/>
  <c r="DJ69" i="32"/>
  <c r="DJ54" i="32"/>
  <c r="DJ72" i="32"/>
  <c r="DJ71" i="32"/>
  <c r="DJ64" i="32"/>
  <c r="DJ53" i="32"/>
  <c r="DJ66" i="32"/>
  <c r="DJ63" i="32"/>
  <c r="DJ70" i="32"/>
  <c r="DJ73" i="32"/>
  <c r="DJ58" i="32"/>
  <c r="DJ74" i="32"/>
  <c r="DJ52" i="32"/>
  <c r="DJ68" i="32"/>
  <c r="DJ61" i="32"/>
  <c r="DJ57" i="32"/>
  <c r="DJ65" i="32"/>
  <c r="DJ56" i="32"/>
  <c r="DJ55" i="32"/>
  <c r="DJ50" i="32"/>
  <c r="DJ48" i="32"/>
  <c r="DJ49" i="32"/>
  <c r="DJ47" i="32"/>
  <c r="DJ51" i="32"/>
  <c r="DG67" i="32"/>
  <c r="DG75" i="32"/>
  <c r="DG60" i="32"/>
  <c r="DG59" i="32"/>
  <c r="DG62" i="32"/>
  <c r="DG69" i="32"/>
  <c r="DG54" i="32"/>
  <c r="DG72" i="32"/>
  <c r="DG53" i="32"/>
  <c r="DG63" i="32"/>
  <c r="DG64" i="32"/>
  <c r="DG66" i="32"/>
  <c r="DG71" i="32"/>
  <c r="DG58" i="32"/>
  <c r="DG52" i="32"/>
  <c r="DG73" i="32"/>
  <c r="DG68" i="32"/>
  <c r="DG70" i="32"/>
  <c r="DG61" i="32"/>
  <c r="DG57" i="32"/>
  <c r="DG65" i="32"/>
  <c r="DG74" i="32"/>
  <c r="DG55" i="32"/>
  <c r="DG56" i="32"/>
  <c r="DG50" i="32"/>
  <c r="DG49" i="32"/>
  <c r="DG51" i="32"/>
  <c r="DG47" i="32"/>
  <c r="DG48" i="32"/>
  <c r="J40" i="31"/>
  <c r="DK97" i="32"/>
  <c r="DK99" i="32"/>
  <c r="DK112" i="32"/>
  <c r="DK106" i="32"/>
  <c r="DK96" i="32"/>
  <c r="DK91" i="32"/>
  <c r="DK104" i="32"/>
  <c r="DK87" i="32"/>
  <c r="DK108" i="32"/>
  <c r="DK101" i="32"/>
  <c r="DK90" i="32"/>
  <c r="DK102" i="32"/>
  <c r="DK107" i="32"/>
  <c r="DK109" i="32"/>
  <c r="DK100" i="32"/>
  <c r="DK103" i="32"/>
  <c r="DK105" i="32"/>
  <c r="DK98" i="32"/>
  <c r="DK94" i="32"/>
  <c r="DK111" i="32"/>
  <c r="DK95" i="32"/>
  <c r="DK110" i="32"/>
  <c r="DK89" i="32"/>
  <c r="DK83" i="32"/>
  <c r="DK88" i="32"/>
  <c r="DK85" i="32"/>
  <c r="DK86" i="32"/>
  <c r="DK84" i="32"/>
  <c r="DK93" i="32"/>
  <c r="CF112" i="31"/>
  <c r="BS83" i="31" s="1"/>
  <c r="BO60" i="31"/>
  <c r="BO61" i="31" s="1"/>
  <c r="BO62" i="31" s="1"/>
  <c r="P40" i="31"/>
  <c r="DJ46" i="32"/>
  <c r="CE102" i="32"/>
  <c r="CE103" i="32" s="1"/>
  <c r="AI8" i="32"/>
  <c r="DC97" i="32"/>
  <c r="DD97" i="32"/>
  <c r="DC99" i="32"/>
  <c r="DD99" i="32"/>
  <c r="DD96" i="32"/>
  <c r="DD91" i="32"/>
  <c r="DC104" i="32"/>
  <c r="DC106" i="32"/>
  <c r="DC112" i="32"/>
  <c r="DC91" i="32"/>
  <c r="DD104" i="32"/>
  <c r="DD106" i="32"/>
  <c r="DC96" i="32"/>
  <c r="DD112" i="32"/>
  <c r="DD109" i="32"/>
  <c r="DC100" i="32"/>
  <c r="DD100" i="32"/>
  <c r="DD108" i="32"/>
  <c r="DD101" i="32"/>
  <c r="DC87" i="32"/>
  <c r="DC107" i="32"/>
  <c r="DD103" i="32"/>
  <c r="DC90" i="32"/>
  <c r="DC102" i="32"/>
  <c r="DD102" i="32"/>
  <c r="DC101" i="32"/>
  <c r="DD87" i="32"/>
  <c r="DC108" i="32"/>
  <c r="DC109" i="32"/>
  <c r="DD90" i="32"/>
  <c r="DD107" i="32"/>
  <c r="DC103" i="32"/>
  <c r="DC110" i="32"/>
  <c r="DC111" i="32"/>
  <c r="DC89" i="32"/>
  <c r="DC98" i="32"/>
  <c r="DD89" i="32"/>
  <c r="DC95" i="32"/>
  <c r="DD111" i="32"/>
  <c r="DC105" i="32"/>
  <c r="DD98" i="32"/>
  <c r="DC94" i="32"/>
  <c r="DD94" i="32"/>
  <c r="DD110" i="32"/>
  <c r="DD105" i="32"/>
  <c r="DD95" i="32"/>
  <c r="DC85" i="32"/>
  <c r="DC88" i="32"/>
  <c r="DD88" i="32"/>
  <c r="DC83" i="32"/>
  <c r="DD83" i="32"/>
  <c r="DD85" i="32"/>
  <c r="DD86" i="32"/>
  <c r="DC86" i="32"/>
  <c r="DD84" i="32"/>
  <c r="DC84" i="32"/>
  <c r="DC93" i="32"/>
  <c r="DD93" i="32"/>
  <c r="BO97" i="31"/>
  <c r="BO98" i="31" s="1"/>
  <c r="P41" i="31"/>
  <c r="DE97" i="32"/>
  <c r="DE99" i="32"/>
  <c r="DE106" i="32"/>
  <c r="DE112" i="32"/>
  <c r="DE96" i="32"/>
  <c r="DE91" i="32"/>
  <c r="DE104" i="32"/>
  <c r="DE109" i="32"/>
  <c r="DE103" i="32"/>
  <c r="DE90" i="32"/>
  <c r="DE101" i="32"/>
  <c r="DE107" i="32"/>
  <c r="DE87" i="32"/>
  <c r="DE102" i="32"/>
  <c r="DE100" i="32"/>
  <c r="DE108" i="32"/>
  <c r="DE105" i="32"/>
  <c r="DE95" i="32"/>
  <c r="DE94" i="32"/>
  <c r="DE110" i="32"/>
  <c r="DE89" i="32"/>
  <c r="DE111" i="32"/>
  <c r="DE98" i="32"/>
  <c r="DE83" i="32"/>
  <c r="DE88" i="32"/>
  <c r="DE85" i="32"/>
  <c r="DE86" i="32"/>
  <c r="DE84" i="32"/>
  <c r="DE93" i="32"/>
  <c r="BO53" i="33"/>
  <c r="BN52" i="33"/>
  <c r="BQ52" i="33" s="1"/>
  <c r="DH75" i="32"/>
  <c r="DH67" i="32"/>
  <c r="DH59" i="32"/>
  <c r="DH60" i="32"/>
  <c r="DH62" i="32"/>
  <c r="DH72" i="32"/>
  <c r="DH54" i="32"/>
  <c r="DH69" i="32"/>
  <c r="DH64" i="32"/>
  <c r="DH66" i="32"/>
  <c r="DH63" i="32"/>
  <c r="DH71" i="32"/>
  <c r="DH53" i="32"/>
  <c r="DH52" i="32"/>
  <c r="DH68" i="32"/>
  <c r="DH74" i="32"/>
  <c r="DH70" i="32"/>
  <c r="DH73" i="32"/>
  <c r="DH61" i="32"/>
  <c r="DH57" i="32"/>
  <c r="DH65" i="32"/>
  <c r="DH58" i="32"/>
  <c r="DH56" i="32"/>
  <c r="DH55" i="32"/>
  <c r="DH47" i="32"/>
  <c r="DH48" i="32"/>
  <c r="DH50" i="32"/>
  <c r="DH49" i="32"/>
  <c r="DH51" i="32"/>
  <c r="DK75" i="32"/>
  <c r="DK67" i="32"/>
  <c r="DK60" i="32"/>
  <c r="DK59" i="32"/>
  <c r="DK72" i="32"/>
  <c r="DK54" i="32"/>
  <c r="DK62" i="32"/>
  <c r="DK69" i="32"/>
  <c r="DK64" i="32"/>
  <c r="DK66" i="32"/>
  <c r="DK63" i="32"/>
  <c r="DK71" i="32"/>
  <c r="DK53" i="32"/>
  <c r="DK68" i="32"/>
  <c r="DK57" i="32"/>
  <c r="DK74" i="32"/>
  <c r="DK65" i="32"/>
  <c r="DK73" i="32"/>
  <c r="DK58" i="32"/>
  <c r="DK52" i="32"/>
  <c r="DK70" i="32"/>
  <c r="DK61" i="32"/>
  <c r="DK56" i="32"/>
  <c r="DK55" i="32"/>
  <c r="DK51" i="32"/>
  <c r="DK47" i="32"/>
  <c r="DK48" i="32"/>
  <c r="DK50" i="32"/>
  <c r="DK49" i="32"/>
  <c r="DM11" i="31"/>
  <c r="CJ47" i="32"/>
  <c r="AI9" i="32" s="1"/>
  <c r="CJ50" i="32"/>
  <c r="AI12" i="32" s="1"/>
  <c r="CJ49" i="32"/>
  <c r="AI11" i="32" s="1"/>
  <c r="CJ51" i="32"/>
  <c r="AI13" i="32" s="1"/>
  <c r="CJ48" i="32"/>
  <c r="AI10" i="32" s="1"/>
  <c r="DG97" i="32"/>
  <c r="DG99" i="32"/>
  <c r="DG91" i="32"/>
  <c r="DG96" i="32"/>
  <c r="DG112" i="32"/>
  <c r="DG104" i="32"/>
  <c r="DG106" i="32"/>
  <c r="DG103" i="32"/>
  <c r="DG108" i="32"/>
  <c r="DG100" i="32"/>
  <c r="DG87" i="32"/>
  <c r="DG102" i="32"/>
  <c r="DG101" i="32"/>
  <c r="DG107" i="32"/>
  <c r="DG90" i="32"/>
  <c r="DG109" i="32"/>
  <c r="DG94" i="32"/>
  <c r="DG110" i="32"/>
  <c r="DG111" i="32"/>
  <c r="DG89" i="32"/>
  <c r="DG98" i="32"/>
  <c r="DG95" i="32"/>
  <c r="DG105" i="32"/>
  <c r="DG88" i="32"/>
  <c r="DG85" i="32"/>
  <c r="DG83" i="32"/>
  <c r="DG86" i="32"/>
  <c r="DG84" i="32"/>
  <c r="DG93" i="32"/>
  <c r="R40" i="32"/>
  <c r="BW8" i="32"/>
  <c r="BV13" i="32"/>
  <c r="CP77" i="32"/>
  <c r="BV12" i="32"/>
  <c r="T38" i="30"/>
  <c r="S38" i="30"/>
  <c r="ED11" i="31"/>
  <c r="ED9" i="31"/>
  <c r="ED7" i="31"/>
  <c r="ED5" i="31"/>
  <c r="ED8" i="31"/>
  <c r="ED10" i="31"/>
  <c r="ED4" i="31"/>
  <c r="ED12" i="31"/>
  <c r="ED6" i="31"/>
  <c r="DG46" i="32"/>
  <c r="BX12" i="32"/>
  <c r="BX10" i="32" s="1"/>
  <c r="CE100" i="32"/>
  <c r="BO95" i="31"/>
  <c r="DK92" i="32"/>
  <c r="DF97" i="32"/>
  <c r="DF99" i="32"/>
  <c r="DF104" i="32"/>
  <c r="DF106" i="32"/>
  <c r="DF96" i="32"/>
  <c r="DF112" i="32"/>
  <c r="DF91" i="32"/>
  <c r="DF103" i="32"/>
  <c r="DF90" i="32"/>
  <c r="DF102" i="32"/>
  <c r="DF107" i="32"/>
  <c r="DF87" i="32"/>
  <c r="DF100" i="32"/>
  <c r="DF101" i="32"/>
  <c r="DF108" i="32"/>
  <c r="DF109" i="32"/>
  <c r="DF98" i="32"/>
  <c r="DF94" i="32"/>
  <c r="DF111" i="32"/>
  <c r="DF110" i="32"/>
  <c r="DF105" i="32"/>
  <c r="DF95" i="32"/>
  <c r="DF89" i="32"/>
  <c r="DF83" i="32"/>
  <c r="DF85" i="32"/>
  <c r="DF88" i="32"/>
  <c r="DF86" i="32"/>
  <c r="DF84" i="32"/>
  <c r="DF93" i="32"/>
  <c r="R41" i="32"/>
  <c r="BW7" i="32"/>
  <c r="BV11" i="32"/>
  <c r="CP114" i="32"/>
  <c r="BV10" i="32"/>
  <c r="Z45" i="32"/>
  <c r="DF75" i="32"/>
  <c r="DF67" i="32"/>
  <c r="DF59" i="32"/>
  <c r="DF60" i="32"/>
  <c r="DF62" i="32"/>
  <c r="DF69" i="32"/>
  <c r="DF54" i="32"/>
  <c r="DF72" i="32"/>
  <c r="DF66" i="32"/>
  <c r="DF63" i="32"/>
  <c r="DF53" i="32"/>
  <c r="DF71" i="32"/>
  <c r="DF64" i="32"/>
  <c r="DF73" i="32"/>
  <c r="DF61" i="32"/>
  <c r="DF65" i="32"/>
  <c r="DF52" i="32"/>
  <c r="DF68" i="32"/>
  <c r="DF58" i="32"/>
  <c r="DF70" i="32"/>
  <c r="DF74" i="32"/>
  <c r="DF57" i="32"/>
  <c r="DF55" i="32"/>
  <c r="DF56" i="32"/>
  <c r="DF49" i="32"/>
  <c r="DF51" i="32"/>
  <c r="DF50" i="32"/>
  <c r="DF47" i="32"/>
  <c r="DF48" i="32"/>
  <c r="DE59" i="32"/>
  <c r="DE67" i="32"/>
  <c r="DE75" i="32"/>
  <c r="DE60" i="32"/>
  <c r="DE72" i="32"/>
  <c r="DE69" i="32"/>
  <c r="DE54" i="32"/>
  <c r="DE62" i="32"/>
  <c r="DE71" i="32"/>
  <c r="DE63" i="32"/>
  <c r="DE66" i="32"/>
  <c r="DE53" i="32"/>
  <c r="DE64" i="32"/>
  <c r="DE74" i="32"/>
  <c r="DE73" i="32"/>
  <c r="DE58" i="32"/>
  <c r="DE52" i="32"/>
  <c r="DE70" i="32"/>
  <c r="DE57" i="32"/>
  <c r="DE65" i="32"/>
  <c r="DE68" i="32"/>
  <c r="DE61" i="32"/>
  <c r="DE55" i="32"/>
  <c r="DE56" i="32"/>
  <c r="DE48" i="32"/>
  <c r="DE51" i="32"/>
  <c r="DE49" i="32"/>
  <c r="DE47" i="32"/>
  <c r="DE50" i="32"/>
  <c r="DC67" i="32"/>
  <c r="DD75" i="32"/>
  <c r="DD59" i="32"/>
  <c r="DC75" i="32"/>
  <c r="DD67" i="32"/>
  <c r="DD60" i="32"/>
  <c r="DC59" i="32"/>
  <c r="DC60" i="32"/>
  <c r="DD69" i="32"/>
  <c r="DD54" i="32"/>
  <c r="DC62" i="32"/>
  <c r="DC72" i="32"/>
  <c r="DC69" i="32"/>
  <c r="DC54" i="32"/>
  <c r="DD62" i="32"/>
  <c r="DD72" i="32"/>
  <c r="DD71" i="32"/>
  <c r="DC64" i="32"/>
  <c r="DD66" i="32"/>
  <c r="DD53" i="32"/>
  <c r="DC63" i="32"/>
  <c r="DC71" i="32"/>
  <c r="DC66" i="32"/>
  <c r="DD63" i="32"/>
  <c r="DD64" i="32"/>
  <c r="DC53" i="32"/>
  <c r="DD70" i="32"/>
  <c r="DD73" i="32"/>
  <c r="DC61" i="32"/>
  <c r="DC57" i="32"/>
  <c r="DC65" i="32"/>
  <c r="DD52" i="32"/>
  <c r="DD68" i="32"/>
  <c r="DD58" i="32"/>
  <c r="DC58" i="32"/>
  <c r="DC73" i="32"/>
  <c r="DD61" i="32"/>
  <c r="DD57" i="32"/>
  <c r="DD65" i="32"/>
  <c r="DC74" i="32"/>
  <c r="DC52" i="32"/>
  <c r="DC68" i="32"/>
  <c r="DC70" i="32"/>
  <c r="DD74" i="32"/>
  <c r="DD56" i="32"/>
  <c r="DC55" i="32"/>
  <c r="DD55" i="32"/>
  <c r="DC56" i="32"/>
  <c r="DC48" i="32"/>
  <c r="DC51" i="32"/>
  <c r="DD51" i="32"/>
  <c r="DD48" i="32"/>
  <c r="DC49" i="32"/>
  <c r="DD47" i="32"/>
  <c r="DD49" i="32"/>
  <c r="DC47" i="32"/>
  <c r="DD50" i="32"/>
  <c r="DC50" i="32"/>
  <c r="DI59" i="32"/>
  <c r="DI75" i="32"/>
  <c r="DI67" i="32"/>
  <c r="DI60" i="32"/>
  <c r="DI54" i="32"/>
  <c r="DI72" i="32"/>
  <c r="DI62" i="32"/>
  <c r="DI69" i="32"/>
  <c r="DI66" i="32"/>
  <c r="DI63" i="32"/>
  <c r="DI53" i="32"/>
  <c r="DI71" i="32"/>
  <c r="DI64" i="32"/>
  <c r="DI61" i="32"/>
  <c r="DI74" i="32"/>
  <c r="DI70" i="32"/>
  <c r="DI52" i="32"/>
  <c r="DI68" i="32"/>
  <c r="DI58" i="32"/>
  <c r="DI73" i="32"/>
  <c r="DI57" i="32"/>
  <c r="DI65" i="32"/>
  <c r="DI55" i="32"/>
  <c r="DI56" i="32"/>
  <c r="DI49" i="32"/>
  <c r="DI51" i="32"/>
  <c r="DI50" i="32"/>
  <c r="DI47" i="32"/>
  <c r="DI48" i="32"/>
  <c r="S39" i="32"/>
  <c r="T39" i="32"/>
  <c r="DH97" i="32"/>
  <c r="DH99" i="32"/>
  <c r="DH96" i="32"/>
  <c r="DH112" i="32"/>
  <c r="DH91" i="32"/>
  <c r="DH104" i="32"/>
  <c r="DH106" i="32"/>
  <c r="DH107" i="32"/>
  <c r="DH109" i="32"/>
  <c r="DH100" i="32"/>
  <c r="DH108" i="32"/>
  <c r="DH102" i="32"/>
  <c r="DH101" i="32"/>
  <c r="DH87" i="32"/>
  <c r="DH103" i="32"/>
  <c r="DH90" i="32"/>
  <c r="DH94" i="32"/>
  <c r="DH110" i="32"/>
  <c r="DH111" i="32"/>
  <c r="DH105" i="32"/>
  <c r="DH98" i="32"/>
  <c r="DH95" i="32"/>
  <c r="DH89" i="32"/>
  <c r="DH85" i="32"/>
  <c r="DH88" i="32"/>
  <c r="DH83" i="32"/>
  <c r="DH86" i="32"/>
  <c r="DH84" i="32"/>
  <c r="DH93" i="32"/>
  <c r="DI97" i="32"/>
  <c r="DI99" i="32"/>
  <c r="DI96" i="32"/>
  <c r="DI91" i="32"/>
  <c r="DI104" i="32"/>
  <c r="DI106" i="32"/>
  <c r="DI112" i="32"/>
  <c r="DI107" i="32"/>
  <c r="DI109" i="32"/>
  <c r="DI100" i="32"/>
  <c r="DI108" i="32"/>
  <c r="DI101" i="32"/>
  <c r="DI102" i="32"/>
  <c r="DI90" i="32"/>
  <c r="DI87" i="32"/>
  <c r="DI103" i="32"/>
  <c r="DI94" i="32"/>
  <c r="DI110" i="32"/>
  <c r="DI105" i="32"/>
  <c r="DI95" i="32"/>
  <c r="DI89" i="32"/>
  <c r="DI111" i="32"/>
  <c r="DI98" i="32"/>
  <c r="DI88" i="32"/>
  <c r="DI83" i="32"/>
  <c r="DI85" i="32"/>
  <c r="DI86" i="32"/>
  <c r="DI84" i="32"/>
  <c r="DI93" i="32"/>
  <c r="DJ97" i="32"/>
  <c r="DJ99" i="32"/>
  <c r="DJ104" i="32"/>
  <c r="DJ112" i="32"/>
  <c r="DJ91" i="32"/>
  <c r="DJ106" i="32"/>
  <c r="DJ96" i="32"/>
  <c r="DJ87" i="32"/>
  <c r="DJ90" i="32"/>
  <c r="DJ103" i="32"/>
  <c r="DJ101" i="32"/>
  <c r="DJ102" i="32"/>
  <c r="DJ107" i="32"/>
  <c r="DJ109" i="32"/>
  <c r="DJ100" i="32"/>
  <c r="DJ108" i="32"/>
  <c r="DJ98" i="32"/>
  <c r="DJ89" i="32"/>
  <c r="DJ111" i="32"/>
  <c r="DJ94" i="32"/>
  <c r="DJ110" i="32"/>
  <c r="DJ105" i="32"/>
  <c r="DJ95" i="32"/>
  <c r="DJ85" i="32"/>
  <c r="DJ88" i="32"/>
  <c r="DJ83" i="32"/>
  <c r="DJ86" i="32"/>
  <c r="DJ84" i="32"/>
  <c r="DJ93" i="32"/>
  <c r="BU58" i="26"/>
  <c r="BT57" i="26"/>
  <c r="BW57" i="26" s="1"/>
  <c r="C39" i="31"/>
  <c r="D39" i="31" s="1"/>
  <c r="EE9" i="31"/>
  <c r="EE5" i="31"/>
  <c r="EE8" i="31"/>
  <c r="EE4" i="31"/>
  <c r="EE11" i="31"/>
  <c r="CU83" i="31" s="1"/>
  <c r="EE7" i="31"/>
  <c r="EE6" i="31"/>
  <c r="EE10" i="31"/>
  <c r="EE12" i="31"/>
  <c r="CM45" i="31"/>
  <c r="CQ45" i="31"/>
  <c r="CF75" i="31"/>
  <c r="BS45" i="31" s="1"/>
  <c r="DD46" i="32"/>
  <c r="DL8" i="31"/>
  <c r="DC46" i="32"/>
  <c r="DI46" i="32"/>
  <c r="DW8" i="32"/>
  <c r="CE65" i="32"/>
  <c r="CE66" i="32" s="1"/>
  <c r="CJ92" i="32"/>
  <c r="DD92" i="32"/>
  <c r="DG92" i="32"/>
  <c r="CT45" i="31" l="1"/>
  <c r="CS45" i="31"/>
  <c r="DU11" i="32"/>
  <c r="CO83" i="31"/>
  <c r="CN45" i="31"/>
  <c r="AE39" i="32"/>
  <c r="DW11" i="32"/>
  <c r="DU12" i="32" s="1"/>
  <c r="CT83" i="31"/>
  <c r="AH39" i="31"/>
  <c r="AJ39" i="31"/>
  <c r="CP83" i="31"/>
  <c r="CR83" i="31"/>
  <c r="AE38" i="30"/>
  <c r="CF42" i="30"/>
  <c r="CG49" i="30" s="1"/>
  <c r="CF49" i="30" s="1"/>
  <c r="CI49" i="30" s="1"/>
  <c r="T9" i="31"/>
  <c r="CS114" i="32"/>
  <c r="AX41" i="32" s="1"/>
  <c r="CS115" i="32"/>
  <c r="AG49" i="32" s="1"/>
  <c r="CN114" i="32"/>
  <c r="CO114" i="32"/>
  <c r="BS50" i="31"/>
  <c r="T13" i="31" s="1"/>
  <c r="BS49" i="31"/>
  <c r="T12" i="31" s="1"/>
  <c r="BS51" i="31"/>
  <c r="T14" i="31" s="1"/>
  <c r="BS47" i="31"/>
  <c r="T10" i="31" s="1"/>
  <c r="BS48" i="31"/>
  <c r="T11" i="31" s="1"/>
  <c r="CU111" i="31"/>
  <c r="CU94" i="31"/>
  <c r="CU102" i="31"/>
  <c r="CU97" i="31"/>
  <c r="CU85" i="31"/>
  <c r="CU101" i="31"/>
  <c r="CU98" i="31"/>
  <c r="CU87" i="31"/>
  <c r="CU99" i="31"/>
  <c r="CU105" i="31"/>
  <c r="CU86" i="31"/>
  <c r="CU84" i="31"/>
  <c r="CU88" i="31"/>
  <c r="CU110" i="31"/>
  <c r="CU100" i="31"/>
  <c r="CU103" i="31"/>
  <c r="CU96" i="31"/>
  <c r="CU109" i="31"/>
  <c r="CU108" i="31"/>
  <c r="CU92" i="31"/>
  <c r="CU104" i="31"/>
  <c r="CU93" i="31"/>
  <c r="CU95" i="31"/>
  <c r="CU107" i="31"/>
  <c r="CU106" i="31"/>
  <c r="CU82" i="31"/>
  <c r="CU91" i="31"/>
  <c r="CU90" i="31"/>
  <c r="CU89" i="31"/>
  <c r="CS103" i="31"/>
  <c r="CS84" i="31"/>
  <c r="CS97" i="31"/>
  <c r="CS88" i="31"/>
  <c r="CS95" i="31"/>
  <c r="CS108" i="31"/>
  <c r="CS100" i="31"/>
  <c r="CS104" i="31"/>
  <c r="CS110" i="31"/>
  <c r="CS109" i="31"/>
  <c r="CS92" i="31"/>
  <c r="CS105" i="31"/>
  <c r="CS94" i="31"/>
  <c r="CS102" i="31"/>
  <c r="CS111" i="31"/>
  <c r="CS93" i="31"/>
  <c r="CS86" i="31"/>
  <c r="CS85" i="31"/>
  <c r="CS101" i="31"/>
  <c r="CS107" i="31"/>
  <c r="CS87" i="31"/>
  <c r="CS99" i="31"/>
  <c r="CS106" i="31"/>
  <c r="CS96" i="31"/>
  <c r="CS98" i="31"/>
  <c r="CS82" i="31"/>
  <c r="CS90" i="31"/>
  <c r="CS89" i="31"/>
  <c r="CS91" i="31"/>
  <c r="BU59" i="26"/>
  <c r="BT58" i="26"/>
  <c r="BW58" i="26" s="1"/>
  <c r="BO101" i="31"/>
  <c r="BO102" i="31" s="1"/>
  <c r="BO100" i="31"/>
  <c r="BO99" i="31"/>
  <c r="J41" i="31"/>
  <c r="CT66" i="31"/>
  <c r="CT63" i="31"/>
  <c r="CT68" i="31"/>
  <c r="CT70" i="31"/>
  <c r="CT57" i="31"/>
  <c r="CT71" i="31"/>
  <c r="CT59" i="31"/>
  <c r="CT53" i="31"/>
  <c r="CT46" i="31"/>
  <c r="CT54" i="31"/>
  <c r="CT60" i="31"/>
  <c r="CT62" i="31"/>
  <c r="CT74" i="31"/>
  <c r="CT65" i="31"/>
  <c r="CT55" i="31"/>
  <c r="CT69" i="31"/>
  <c r="CT64" i="31"/>
  <c r="CT58" i="31"/>
  <c r="CT67" i="31"/>
  <c r="CT73" i="31"/>
  <c r="CT72" i="31"/>
  <c r="CT61" i="31"/>
  <c r="CT56" i="31"/>
  <c r="CT52" i="31"/>
  <c r="CT51" i="31"/>
  <c r="CT50" i="31"/>
  <c r="CT49" i="31"/>
  <c r="CT48" i="31"/>
  <c r="CT47" i="31"/>
  <c r="CS65" i="31"/>
  <c r="CS58" i="31"/>
  <c r="CS67" i="31"/>
  <c r="CS46" i="31"/>
  <c r="CS72" i="31"/>
  <c r="CS54" i="31"/>
  <c r="CS68" i="31"/>
  <c r="CS66" i="31"/>
  <c r="CS56" i="31"/>
  <c r="CS73" i="31"/>
  <c r="CS52" i="31"/>
  <c r="CS60" i="31"/>
  <c r="CS62" i="31"/>
  <c r="CS74" i="31"/>
  <c r="CS63" i="31"/>
  <c r="CS55" i="31"/>
  <c r="CS70" i="31"/>
  <c r="CS61" i="31"/>
  <c r="CS59" i="31"/>
  <c r="CS53" i="31"/>
  <c r="CS69" i="31"/>
  <c r="CS57" i="31"/>
  <c r="CS64" i="31"/>
  <c r="CS71" i="31"/>
  <c r="CS49" i="31"/>
  <c r="CS48" i="31"/>
  <c r="CS50" i="31"/>
  <c r="CS51" i="31"/>
  <c r="CS47" i="31"/>
  <c r="BY76" i="31"/>
  <c r="K40" i="31"/>
  <c r="BZ75" i="31"/>
  <c r="M40" i="31"/>
  <c r="BL12" i="31"/>
  <c r="BM8" i="31"/>
  <c r="BL13" i="31"/>
  <c r="CJ76" i="32"/>
  <c r="CS83" i="31"/>
  <c r="BO63" i="31"/>
  <c r="BN12" i="31"/>
  <c r="BN10" i="31" s="1"/>
  <c r="CM103" i="31"/>
  <c r="CM111" i="31"/>
  <c r="CN96" i="31"/>
  <c r="CN94" i="31"/>
  <c r="CN93" i="31"/>
  <c r="CN102" i="31"/>
  <c r="CM86" i="31"/>
  <c r="CM84" i="31"/>
  <c r="CM110" i="31"/>
  <c r="CM92" i="31"/>
  <c r="CN92" i="31"/>
  <c r="CN85" i="31"/>
  <c r="CN101" i="31"/>
  <c r="CM100" i="31"/>
  <c r="CN107" i="31"/>
  <c r="CM107" i="31"/>
  <c r="CN104" i="31"/>
  <c r="CM99" i="31"/>
  <c r="CM96" i="31"/>
  <c r="CN84" i="31"/>
  <c r="CN97" i="31"/>
  <c r="CM97" i="31"/>
  <c r="CN100" i="31"/>
  <c r="CM104" i="31"/>
  <c r="CN106" i="31"/>
  <c r="CN110" i="31"/>
  <c r="CN109" i="31"/>
  <c r="CN108" i="31"/>
  <c r="CM85" i="31"/>
  <c r="CM105" i="31"/>
  <c r="CN98" i="31"/>
  <c r="CN87" i="31"/>
  <c r="CM87" i="31"/>
  <c r="CN103" i="31"/>
  <c r="CN111" i="31"/>
  <c r="CN88" i="31"/>
  <c r="CN95" i="31"/>
  <c r="CM95" i="31"/>
  <c r="CM106" i="31"/>
  <c r="CM109" i="31"/>
  <c r="CM108" i="31"/>
  <c r="CM98" i="31"/>
  <c r="CM94" i="31"/>
  <c r="CM93" i="31"/>
  <c r="CM102" i="31"/>
  <c r="CN86" i="31"/>
  <c r="CM88" i="31"/>
  <c r="CN105" i="31"/>
  <c r="CM101" i="31"/>
  <c r="CN99" i="31"/>
  <c r="CM82" i="31"/>
  <c r="CN82" i="31"/>
  <c r="CM91" i="31"/>
  <c r="CN89" i="31"/>
  <c r="CM90" i="31"/>
  <c r="CN91" i="31"/>
  <c r="CM89" i="31"/>
  <c r="CN90" i="31"/>
  <c r="T41" i="32"/>
  <c r="S41" i="32"/>
  <c r="CP65" i="31"/>
  <c r="CP55" i="31"/>
  <c r="CP68" i="31"/>
  <c r="CP67" i="31"/>
  <c r="CP70" i="31"/>
  <c r="CP64" i="31"/>
  <c r="CP57" i="31"/>
  <c r="CP46" i="31"/>
  <c r="CP53" i="31"/>
  <c r="CP62" i="31"/>
  <c r="CP74" i="31"/>
  <c r="CP58" i="31"/>
  <c r="CP61" i="31"/>
  <c r="CP71" i="31"/>
  <c r="CP54" i="31"/>
  <c r="CP59" i="31"/>
  <c r="CP56" i="31"/>
  <c r="CP69" i="31"/>
  <c r="CP60" i="31"/>
  <c r="CP66" i="31"/>
  <c r="CP52" i="31"/>
  <c r="CP63" i="31"/>
  <c r="CP73" i="31"/>
  <c r="CP72" i="31"/>
  <c r="CP50" i="31"/>
  <c r="CP49" i="31"/>
  <c r="CP47" i="31"/>
  <c r="CP48" i="31"/>
  <c r="CP51" i="31"/>
  <c r="CR73" i="31"/>
  <c r="CR64" i="31"/>
  <c r="CR71" i="31"/>
  <c r="CR54" i="31"/>
  <c r="CR52" i="31"/>
  <c r="CR65" i="31"/>
  <c r="CR55" i="31"/>
  <c r="CR67" i="31"/>
  <c r="CR46" i="31"/>
  <c r="CR72" i="31"/>
  <c r="CR74" i="31"/>
  <c r="CR62" i="31"/>
  <c r="CR63" i="31"/>
  <c r="CR68" i="31"/>
  <c r="CR56" i="31"/>
  <c r="CR58" i="31"/>
  <c r="CR70" i="31"/>
  <c r="CR57" i="31"/>
  <c r="CR61" i="31"/>
  <c r="CR53" i="31"/>
  <c r="CR60" i="31"/>
  <c r="CR69" i="31"/>
  <c r="CR59" i="31"/>
  <c r="CR66" i="31"/>
  <c r="CR51" i="31"/>
  <c r="CR47" i="31"/>
  <c r="CR50" i="31"/>
  <c r="CR49" i="31"/>
  <c r="CR48" i="31"/>
  <c r="CU68" i="31"/>
  <c r="CU70" i="31"/>
  <c r="CU53" i="31"/>
  <c r="CU55" i="31"/>
  <c r="CU46" i="31"/>
  <c r="CU72" i="31"/>
  <c r="CU66" i="31"/>
  <c r="CU52" i="31"/>
  <c r="CU62" i="31"/>
  <c r="CU56" i="31"/>
  <c r="CU58" i="31"/>
  <c r="CU69" i="31"/>
  <c r="CU57" i="31"/>
  <c r="CU65" i="31"/>
  <c r="CU74" i="31"/>
  <c r="CU63" i="31"/>
  <c r="CU67" i="31"/>
  <c r="CU73" i="31"/>
  <c r="CU64" i="31"/>
  <c r="CU61" i="31"/>
  <c r="CU71" i="31"/>
  <c r="CU54" i="31"/>
  <c r="CU60" i="31"/>
  <c r="CU59" i="31"/>
  <c r="CU50" i="31"/>
  <c r="CU47" i="31"/>
  <c r="CU51" i="31"/>
  <c r="CU49" i="31"/>
  <c r="CU48" i="31"/>
  <c r="CQ94" i="31"/>
  <c r="CQ93" i="31"/>
  <c r="CQ85" i="31"/>
  <c r="CQ101" i="31"/>
  <c r="CQ98" i="31"/>
  <c r="CQ103" i="31"/>
  <c r="CQ96" i="31"/>
  <c r="CQ102" i="31"/>
  <c r="CQ95" i="31"/>
  <c r="CQ107" i="31"/>
  <c r="CQ104" i="31"/>
  <c r="CQ111" i="31"/>
  <c r="CQ84" i="31"/>
  <c r="CQ97" i="31"/>
  <c r="CQ109" i="31"/>
  <c r="CQ92" i="31"/>
  <c r="CQ105" i="31"/>
  <c r="CQ100" i="31"/>
  <c r="CQ106" i="31"/>
  <c r="CQ86" i="31"/>
  <c r="CQ88" i="31"/>
  <c r="CQ110" i="31"/>
  <c r="CQ99" i="31"/>
  <c r="CQ108" i="31"/>
  <c r="CQ87" i="31"/>
  <c r="CQ82" i="31"/>
  <c r="CQ91" i="31"/>
  <c r="CQ89" i="31"/>
  <c r="CQ90" i="31"/>
  <c r="CO109" i="31"/>
  <c r="CO108" i="31"/>
  <c r="CO105" i="31"/>
  <c r="CO87" i="31"/>
  <c r="CO102" i="31"/>
  <c r="CO97" i="31"/>
  <c r="CO95" i="31"/>
  <c r="CO103" i="31"/>
  <c r="CO111" i="31"/>
  <c r="CO93" i="31"/>
  <c r="CO100" i="31"/>
  <c r="CO107" i="31"/>
  <c r="CO99" i="31"/>
  <c r="CO106" i="31"/>
  <c r="CO94" i="31"/>
  <c r="CO86" i="31"/>
  <c r="CO110" i="31"/>
  <c r="CO85" i="31"/>
  <c r="CO101" i="31"/>
  <c r="CO98" i="31"/>
  <c r="CO88" i="31"/>
  <c r="CO96" i="31"/>
  <c r="CO84" i="31"/>
  <c r="CO92" i="31"/>
  <c r="CO104" i="31"/>
  <c r="CO82" i="31"/>
  <c r="CO90" i="31"/>
  <c r="CO89" i="31"/>
  <c r="CO91" i="31"/>
  <c r="AX45" i="32"/>
  <c r="R45" i="32"/>
  <c r="AW45" i="32"/>
  <c r="AG45" i="32" s="1"/>
  <c r="CM62" i="31"/>
  <c r="CN62" i="31"/>
  <c r="CM74" i="31"/>
  <c r="CN74" i="31"/>
  <c r="CN63" i="31"/>
  <c r="CM63" i="31"/>
  <c r="CN68" i="31"/>
  <c r="CM56" i="31"/>
  <c r="CN56" i="31"/>
  <c r="CM58" i="31"/>
  <c r="CM69" i="31"/>
  <c r="CN57" i="31"/>
  <c r="CN61" i="31"/>
  <c r="CN71" i="31"/>
  <c r="CM59" i="31"/>
  <c r="CN59" i="31"/>
  <c r="CN53" i="31"/>
  <c r="CM67" i="31"/>
  <c r="CN73" i="31"/>
  <c r="CN52" i="31"/>
  <c r="CN60" i="31"/>
  <c r="CN55" i="31"/>
  <c r="CM68" i="31"/>
  <c r="CN70" i="31"/>
  <c r="CN69" i="31"/>
  <c r="CN64" i="31"/>
  <c r="CN66" i="31"/>
  <c r="CM53" i="31"/>
  <c r="CM65" i="31"/>
  <c r="CN65" i="31"/>
  <c r="CN58" i="31"/>
  <c r="CM73" i="31"/>
  <c r="CM46" i="31"/>
  <c r="CN46" i="31"/>
  <c r="CM72" i="31"/>
  <c r="CN72" i="31"/>
  <c r="CM71" i="31"/>
  <c r="CM54" i="31"/>
  <c r="CN54" i="31"/>
  <c r="CM66" i="31"/>
  <c r="CM52" i="31"/>
  <c r="CM60" i="31"/>
  <c r="CM55" i="31"/>
  <c r="CM64" i="31"/>
  <c r="CN67" i="31"/>
  <c r="CM70" i="31"/>
  <c r="CM57" i="31"/>
  <c r="CM61" i="31"/>
  <c r="CN51" i="31"/>
  <c r="CN49" i="31"/>
  <c r="CM48" i="31"/>
  <c r="CN47" i="31"/>
  <c r="CN48" i="31"/>
  <c r="CM51" i="31"/>
  <c r="CM50" i="31"/>
  <c r="CN50" i="31"/>
  <c r="CM47" i="31"/>
  <c r="CM49" i="31"/>
  <c r="CQ55" i="31"/>
  <c r="CQ67" i="31"/>
  <c r="CQ73" i="31"/>
  <c r="CQ46" i="31"/>
  <c r="CQ72" i="31"/>
  <c r="CQ54" i="31"/>
  <c r="CQ66" i="31"/>
  <c r="CQ52" i="31"/>
  <c r="CQ61" i="31"/>
  <c r="CQ65" i="31"/>
  <c r="CQ64" i="31"/>
  <c r="CQ62" i="31"/>
  <c r="CQ74" i="31"/>
  <c r="CQ68" i="31"/>
  <c r="CQ70" i="31"/>
  <c r="CQ57" i="31"/>
  <c r="CQ59" i="31"/>
  <c r="CQ53" i="31"/>
  <c r="CQ60" i="31"/>
  <c r="CQ63" i="31"/>
  <c r="CQ56" i="31"/>
  <c r="CQ58" i="31"/>
  <c r="CQ69" i="31"/>
  <c r="CQ71" i="31"/>
  <c r="CQ47" i="31"/>
  <c r="CQ48" i="31"/>
  <c r="CQ49" i="31"/>
  <c r="CQ50" i="31"/>
  <c r="CQ51" i="31"/>
  <c r="CU45" i="31"/>
  <c r="CR45" i="31"/>
  <c r="CN83" i="31"/>
  <c r="BO64" i="31"/>
  <c r="BO65" i="31" s="1"/>
  <c r="CJ113" i="32"/>
  <c r="AI17" i="32"/>
  <c r="T8" i="31"/>
  <c r="CT88" i="31"/>
  <c r="CT110" i="31"/>
  <c r="CT109" i="31"/>
  <c r="CT105" i="31"/>
  <c r="CT96" i="31"/>
  <c r="CT86" i="31"/>
  <c r="CT108" i="31"/>
  <c r="CT104" i="31"/>
  <c r="CT87" i="31"/>
  <c r="CT111" i="31"/>
  <c r="CT97" i="31"/>
  <c r="CT85" i="31"/>
  <c r="CT101" i="31"/>
  <c r="CT99" i="31"/>
  <c r="CT103" i="31"/>
  <c r="CT94" i="31"/>
  <c r="CT93" i="31"/>
  <c r="CT102" i="31"/>
  <c r="CT84" i="31"/>
  <c r="CT92" i="31"/>
  <c r="CT100" i="31"/>
  <c r="CT107" i="31"/>
  <c r="CT98" i="31"/>
  <c r="CT106" i="31"/>
  <c r="CT95" i="31"/>
  <c r="CT82" i="31"/>
  <c r="CT89" i="31"/>
  <c r="CT90" i="31"/>
  <c r="CT91" i="31"/>
  <c r="CS77" i="32"/>
  <c r="AX40" i="32" s="1"/>
  <c r="CR78" i="32"/>
  <c r="AG48" i="32" s="1"/>
  <c r="CN77" i="32"/>
  <c r="CO77" i="32"/>
  <c r="CP96" i="31"/>
  <c r="CP93" i="31"/>
  <c r="CP86" i="31"/>
  <c r="CP95" i="31"/>
  <c r="CP108" i="31"/>
  <c r="CP85" i="31"/>
  <c r="CP101" i="31"/>
  <c r="CP104" i="31"/>
  <c r="CP111" i="31"/>
  <c r="CP107" i="31"/>
  <c r="CP87" i="31"/>
  <c r="CP94" i="31"/>
  <c r="CP92" i="31"/>
  <c r="CP105" i="31"/>
  <c r="CP98" i="31"/>
  <c r="CP102" i="31"/>
  <c r="CP103" i="31"/>
  <c r="CP97" i="31"/>
  <c r="CP88" i="31"/>
  <c r="CP110" i="31"/>
  <c r="CP99" i="31"/>
  <c r="CP84" i="31"/>
  <c r="CP109" i="31"/>
  <c r="CP100" i="31"/>
  <c r="CP106" i="31"/>
  <c r="CP82" i="31"/>
  <c r="CP89" i="31"/>
  <c r="CP91" i="31"/>
  <c r="CP90" i="31"/>
  <c r="CR110" i="31"/>
  <c r="CR95" i="31"/>
  <c r="CR98" i="31"/>
  <c r="CR86" i="31"/>
  <c r="CR84" i="31"/>
  <c r="CR85" i="31"/>
  <c r="CR107" i="31"/>
  <c r="CR103" i="31"/>
  <c r="CR111" i="31"/>
  <c r="CR96" i="31"/>
  <c r="CR94" i="31"/>
  <c r="CR102" i="31"/>
  <c r="CR88" i="31"/>
  <c r="CR109" i="31"/>
  <c r="CR108" i="31"/>
  <c r="CR105" i="31"/>
  <c r="CR104" i="31"/>
  <c r="CR87" i="31"/>
  <c r="CR99" i="31"/>
  <c r="CR106" i="31"/>
  <c r="CR93" i="31"/>
  <c r="CR92" i="31"/>
  <c r="CR101" i="31"/>
  <c r="CR100" i="31"/>
  <c r="CR97" i="31"/>
  <c r="CR82" i="31"/>
  <c r="CR89" i="31"/>
  <c r="CR90" i="31"/>
  <c r="CR91" i="31"/>
  <c r="CO74" i="31"/>
  <c r="CO63" i="31"/>
  <c r="CO70" i="31"/>
  <c r="CO69" i="31"/>
  <c r="CO57" i="31"/>
  <c r="CO72" i="31"/>
  <c r="CO71" i="31"/>
  <c r="CO66" i="31"/>
  <c r="CO56" i="31"/>
  <c r="CO58" i="31"/>
  <c r="CO54" i="31"/>
  <c r="CO60" i="31"/>
  <c r="CO62" i="31"/>
  <c r="CO55" i="31"/>
  <c r="CO68" i="31"/>
  <c r="CO61" i="31"/>
  <c r="CO65" i="31"/>
  <c r="CO67" i="31"/>
  <c r="CO52" i="31"/>
  <c r="CO73" i="31"/>
  <c r="CO46" i="31"/>
  <c r="CO64" i="31"/>
  <c r="CO59" i="31"/>
  <c r="CO53" i="31"/>
  <c r="CO49" i="31"/>
  <c r="CO51" i="31"/>
  <c r="CO47" i="31"/>
  <c r="CO48" i="31"/>
  <c r="CO50" i="31"/>
  <c r="T40" i="32"/>
  <c r="S40" i="32"/>
  <c r="DM12" i="31"/>
  <c r="DK12" i="31"/>
  <c r="DJ11" i="31"/>
  <c r="DO11" i="31" s="1"/>
  <c r="BO54" i="33"/>
  <c r="BN53" i="33"/>
  <c r="BQ53" i="33" s="1"/>
  <c r="BS89" i="31"/>
  <c r="T15" i="31" s="1"/>
  <c r="BS91" i="31"/>
  <c r="T17" i="31" s="1"/>
  <c r="BS90" i="31"/>
  <c r="T16" i="31" s="1"/>
  <c r="CP45" i="31"/>
  <c r="CO45" i="31"/>
  <c r="CM83" i="31"/>
  <c r="CQ83" i="31"/>
  <c r="AW40" i="32" l="1"/>
  <c r="AG40" i="32" s="1"/>
  <c r="DT11" i="32"/>
  <c r="DY11" i="32" s="1"/>
  <c r="DW12" i="32"/>
  <c r="DU13" i="32" s="1"/>
  <c r="AE45" i="32"/>
  <c r="CG50" i="30"/>
  <c r="CF50" i="30" s="1"/>
  <c r="CI50" i="30" s="1"/>
  <c r="BU60" i="26"/>
  <c r="BT59" i="26"/>
  <c r="BW59" i="26" s="1"/>
  <c r="BO55" i="33"/>
  <c r="BN54" i="33"/>
  <c r="BQ54" i="33" s="1"/>
  <c r="BY113" i="31"/>
  <c r="K41" i="31"/>
  <c r="M41" i="31"/>
  <c r="BZ112" i="31"/>
  <c r="BL10" i="31"/>
  <c r="BM7" i="31"/>
  <c r="BL11" i="31"/>
  <c r="J45" i="31"/>
  <c r="AW41" i="32"/>
  <c r="B40" i="31"/>
  <c r="CB76" i="31"/>
  <c r="R40" i="31" s="1"/>
  <c r="AJ40" i="31" s="1"/>
  <c r="BX76" i="31"/>
  <c r="BW76" i="31"/>
  <c r="CB77" i="31"/>
  <c r="N47" i="31" s="1"/>
  <c r="DQ5" i="31"/>
  <c r="DR5" i="31"/>
  <c r="DR9" i="31"/>
  <c r="DR7" i="31"/>
  <c r="BS75" i="31"/>
  <c r="BS112" i="31"/>
  <c r="T45" i="32"/>
  <c r="S45" i="32"/>
  <c r="DM13" i="31"/>
  <c r="DK13" i="31"/>
  <c r="DJ12" i="31"/>
  <c r="DO12" i="31" s="1"/>
  <c r="EA6" i="32"/>
  <c r="EA5" i="32"/>
  <c r="EB8" i="32"/>
  <c r="EB5" i="32"/>
  <c r="EB6" i="32"/>
  <c r="EB7" i="32"/>
  <c r="EB9" i="32"/>
  <c r="EF6" i="32"/>
  <c r="EF5" i="32"/>
  <c r="EG9" i="32"/>
  <c r="EG7" i="32"/>
  <c r="EG6" i="32"/>
  <c r="EG8" i="32"/>
  <c r="EG5" i="32"/>
  <c r="AE40" i="32" l="1"/>
  <c r="DT12" i="32"/>
  <c r="DY12" i="32" s="1"/>
  <c r="DW13" i="32"/>
  <c r="DT13" i="32" s="1"/>
  <c r="DY13" i="32" s="1"/>
  <c r="AH40" i="31"/>
  <c r="DR8" i="31"/>
  <c r="DQ6" i="31"/>
  <c r="DR6" i="31"/>
  <c r="EF8" i="32"/>
  <c r="CG51" i="30"/>
  <c r="CF51" i="30" s="1"/>
  <c r="CI51" i="30" s="1"/>
  <c r="C40" i="31"/>
  <c r="D40" i="31" s="1"/>
  <c r="B41" i="31"/>
  <c r="BW113" i="31"/>
  <c r="CB114" i="31"/>
  <c r="N48" i="31" s="1"/>
  <c r="CB113" i="31"/>
  <c r="R41" i="31" s="1"/>
  <c r="AJ41" i="31" s="1"/>
  <c r="BX113" i="31"/>
  <c r="BU61" i="26"/>
  <c r="BT60" i="26"/>
  <c r="BW60" i="26" s="1"/>
  <c r="DM14" i="31"/>
  <c r="DK14" i="31"/>
  <c r="DJ13" i="31"/>
  <c r="DO13" i="31" s="1"/>
  <c r="K45" i="31"/>
  <c r="AJ45" i="31"/>
  <c r="B45" i="31"/>
  <c r="P45" i="31"/>
  <c r="AH45" i="31"/>
  <c r="R45" i="31"/>
  <c r="DW9" i="31"/>
  <c r="DW7" i="31"/>
  <c r="DW5" i="31"/>
  <c r="DQ8" i="31"/>
  <c r="EB11" i="32"/>
  <c r="EA11" i="32"/>
  <c r="DR11" i="31"/>
  <c r="DQ11" i="31"/>
  <c r="DW14" i="32"/>
  <c r="BO56" i="33"/>
  <c r="BN55" i="33"/>
  <c r="BQ55" i="33" s="1"/>
  <c r="EG11" i="32"/>
  <c r="EF11" i="32"/>
  <c r="AE41" i="32"/>
  <c r="AG41" i="32"/>
  <c r="EA8" i="32"/>
  <c r="BU7" i="32" l="1"/>
  <c r="BU4" i="32" s="1"/>
  <c r="DU14" i="32"/>
  <c r="DW6" i="31"/>
  <c r="DV6" i="31"/>
  <c r="AH41" i="31"/>
  <c r="BK7" i="31" s="1"/>
  <c r="CG52" i="30"/>
  <c r="CG53" i="30" s="1"/>
  <c r="DQ12" i="31"/>
  <c r="DR12" i="31"/>
  <c r="DP11" i="31"/>
  <c r="DT11" i="31" s="1"/>
  <c r="DM15" i="31"/>
  <c r="DK15" i="31"/>
  <c r="DJ14" i="31"/>
  <c r="DO14" i="31" s="1"/>
  <c r="BO57" i="33"/>
  <c r="BN56" i="33"/>
  <c r="BQ56" i="33" s="1"/>
  <c r="DW15" i="32"/>
  <c r="DU15" i="32"/>
  <c r="DT14" i="32"/>
  <c r="DY14" i="32" s="1"/>
  <c r="EA12" i="32"/>
  <c r="EB12" i="32"/>
  <c r="DZ11" i="32"/>
  <c r="ED11" i="32" s="1"/>
  <c r="BU62" i="26"/>
  <c r="BT61" i="26"/>
  <c r="BW61" i="26" s="1"/>
  <c r="C41" i="31"/>
  <c r="D41" i="31" s="1"/>
  <c r="EG12" i="32"/>
  <c r="EF12" i="32"/>
  <c r="EE11" i="32"/>
  <c r="EI11" i="32" s="1"/>
  <c r="DW8" i="31"/>
  <c r="DV5" i="31"/>
  <c r="C45" i="31"/>
  <c r="D45" i="31" s="1"/>
  <c r="BU9" i="32" l="1"/>
  <c r="BU10" i="32" s="1"/>
  <c r="BU11" i="32" s="1"/>
  <c r="BU12" i="32" s="1"/>
  <c r="BU5" i="32"/>
  <c r="BU2" i="32"/>
  <c r="BU3" i="32"/>
  <c r="CF52" i="30"/>
  <c r="CI52" i="30" s="1"/>
  <c r="DV8" i="31"/>
  <c r="BK9" i="31"/>
  <c r="BK3" i="31"/>
  <c r="BK5" i="31"/>
  <c r="BK4" i="31"/>
  <c r="BK2" i="31"/>
  <c r="DW11" i="31"/>
  <c r="DV11" i="31"/>
  <c r="EG13" i="32"/>
  <c r="EF13" i="32"/>
  <c r="EE12" i="32"/>
  <c r="EI12" i="32" s="1"/>
  <c r="EB13" i="32"/>
  <c r="EA13" i="32"/>
  <c r="DZ12" i="32"/>
  <c r="ED12" i="32" s="1"/>
  <c r="DW16" i="32"/>
  <c r="DU16" i="32"/>
  <c r="DT15" i="32"/>
  <c r="DY15" i="32" s="1"/>
  <c r="DQ13" i="31"/>
  <c r="DR13" i="31"/>
  <c r="DP12" i="31"/>
  <c r="DT12" i="31" s="1"/>
  <c r="CG54" i="30"/>
  <c r="CF53" i="30"/>
  <c r="CI53" i="30" s="1"/>
  <c r="BU63" i="26"/>
  <c r="BT62" i="26"/>
  <c r="BW62" i="26" s="1"/>
  <c r="BO58" i="33"/>
  <c r="BN57" i="33"/>
  <c r="BQ57" i="33" s="1"/>
  <c r="DM16" i="31"/>
  <c r="DK16" i="31"/>
  <c r="DJ15" i="31"/>
  <c r="DO15" i="31" s="1"/>
  <c r="DM17" i="31" l="1"/>
  <c r="DK17" i="31"/>
  <c r="DJ16" i="31"/>
  <c r="DO16" i="31" s="1"/>
  <c r="BK10" i="31"/>
  <c r="BK11" i="31" s="1"/>
  <c r="BK12" i="31" s="1"/>
  <c r="BO59" i="33"/>
  <c r="BN58" i="33"/>
  <c r="BQ58" i="33" s="1"/>
  <c r="CG55" i="30"/>
  <c r="CF54" i="30"/>
  <c r="CI54" i="30" s="1"/>
  <c r="DR14" i="31"/>
  <c r="DQ14" i="31"/>
  <c r="DP13" i="31"/>
  <c r="DT13" i="31" s="1"/>
  <c r="DW17" i="32"/>
  <c r="DU17" i="32"/>
  <c r="DT16" i="32"/>
  <c r="DY16" i="32" s="1"/>
  <c r="DV12" i="31"/>
  <c r="DW12" i="31"/>
  <c r="DU11" i="31"/>
  <c r="DY11" i="31" s="1"/>
  <c r="EB14" i="32"/>
  <c r="EA14" i="32"/>
  <c r="DZ13" i="32"/>
  <c r="ED13" i="32" s="1"/>
  <c r="BU64" i="26"/>
  <c r="BT63" i="26"/>
  <c r="BW63" i="26" s="1"/>
  <c r="EG14" i="32"/>
  <c r="EF14" i="32"/>
  <c r="EE13" i="32"/>
  <c r="EI13" i="32" s="1"/>
  <c r="BU13" i="32"/>
  <c r="DR15" i="31" l="1"/>
  <c r="DQ15" i="31"/>
  <c r="DP14" i="31"/>
  <c r="DT14" i="31" s="1"/>
  <c r="BO60" i="33"/>
  <c r="BN59" i="33"/>
  <c r="BQ59" i="33" s="1"/>
  <c r="BU65" i="26"/>
  <c r="BT64" i="26"/>
  <c r="BW64" i="26" s="1"/>
  <c r="DV13" i="31"/>
  <c r="DW13" i="31"/>
  <c r="DU12" i="31"/>
  <c r="DY12" i="31" s="1"/>
  <c r="DW18" i="32"/>
  <c r="DU18" i="32"/>
  <c r="DT17" i="32"/>
  <c r="DY17" i="32" s="1"/>
  <c r="DM18" i="31"/>
  <c r="DK18" i="31"/>
  <c r="DJ17" i="31"/>
  <c r="DO17" i="31" s="1"/>
  <c r="BU36" i="32"/>
  <c r="BU32" i="32"/>
  <c r="BU28" i="32"/>
  <c r="BU24" i="32"/>
  <c r="BU20" i="32"/>
  <c r="BU16" i="32"/>
  <c r="BU33" i="32"/>
  <c r="BU27" i="32"/>
  <c r="BU22" i="32"/>
  <c r="BU17" i="32"/>
  <c r="BU35" i="32"/>
  <c r="BU30" i="32"/>
  <c r="BU25" i="32"/>
  <c r="BU19" i="32"/>
  <c r="BU31" i="32"/>
  <c r="BU26" i="32"/>
  <c r="BU21" i="32"/>
  <c r="BU23" i="32"/>
  <c r="BU29" i="32"/>
  <c r="BU34" i="32"/>
  <c r="BU18" i="32"/>
  <c r="BV30" i="32"/>
  <c r="BW30" i="32" s="1"/>
  <c r="BV22" i="32"/>
  <c r="BW22" i="32" s="1"/>
  <c r="BV35" i="32"/>
  <c r="BW35" i="32" s="1"/>
  <c r="BV23" i="32"/>
  <c r="BW23" i="32" s="1"/>
  <c r="BV20" i="32"/>
  <c r="BW20" i="32" s="1"/>
  <c r="BV29" i="32"/>
  <c r="BW29" i="32" s="1"/>
  <c r="BV32" i="32"/>
  <c r="BW32" i="32" s="1"/>
  <c r="BV24" i="32"/>
  <c r="BW24" i="32" s="1"/>
  <c r="BV16" i="32"/>
  <c r="BW16" i="32" s="1"/>
  <c r="BV31" i="32"/>
  <c r="BW31" i="32" s="1"/>
  <c r="BV17" i="32"/>
  <c r="BW17" i="32" s="1"/>
  <c r="BV36" i="32"/>
  <c r="BW36" i="32" s="1"/>
  <c r="BV28" i="32"/>
  <c r="BW28" i="32" s="1"/>
  <c r="BV27" i="32"/>
  <c r="BW27" i="32" s="1"/>
  <c r="BV33" i="32"/>
  <c r="BW33" i="32" s="1"/>
  <c r="BV34" i="32"/>
  <c r="BW34" i="32" s="1"/>
  <c r="BV26" i="32"/>
  <c r="BW26" i="32" s="1"/>
  <c r="BV18" i="32"/>
  <c r="BW18" i="32" s="1"/>
  <c r="BV19" i="32"/>
  <c r="BW19" i="32" s="1"/>
  <c r="BV21" i="32"/>
  <c r="BW21" i="32" s="1"/>
  <c r="BV25" i="32"/>
  <c r="BW25" i="32" s="1"/>
  <c r="EB15" i="32"/>
  <c r="EA15" i="32"/>
  <c r="DZ14" i="32"/>
  <c r="ED14" i="32" s="1"/>
  <c r="EF15" i="32"/>
  <c r="EG15" i="32"/>
  <c r="EE14" i="32"/>
  <c r="EI14" i="32" s="1"/>
  <c r="CG56" i="30"/>
  <c r="CF55" i="30"/>
  <c r="CI55" i="30" s="1"/>
  <c r="BK13" i="31"/>
  <c r="CG57" i="30" l="1"/>
  <c r="CF56" i="30"/>
  <c r="CI56" i="30" s="1"/>
  <c r="DW14" i="31"/>
  <c r="DV14" i="31"/>
  <c r="DU13" i="31"/>
  <c r="DY13" i="31" s="1"/>
  <c r="DQ16" i="31"/>
  <c r="DR16" i="31"/>
  <c r="DP15" i="31"/>
  <c r="DT15" i="31" s="1"/>
  <c r="EG16" i="32"/>
  <c r="EF16" i="32"/>
  <c r="EE15" i="32"/>
  <c r="EI15" i="32" s="1"/>
  <c r="EA16" i="32"/>
  <c r="EB16" i="32"/>
  <c r="DZ15" i="32"/>
  <c r="ED15" i="32" s="1"/>
  <c r="DW19" i="32"/>
  <c r="DU19" i="32"/>
  <c r="DT18" i="32"/>
  <c r="DY18" i="32" s="1"/>
  <c r="DM19" i="31"/>
  <c r="DK19" i="31"/>
  <c r="DJ18" i="31"/>
  <c r="DO18" i="31" s="1"/>
  <c r="BU66" i="26"/>
  <c r="BT65" i="26"/>
  <c r="BW65" i="26" s="1"/>
  <c r="BK36" i="31"/>
  <c r="BK32" i="31"/>
  <c r="BK28" i="31"/>
  <c r="BK24" i="31"/>
  <c r="BK20" i="31"/>
  <c r="BK16" i="31"/>
  <c r="BK31" i="31"/>
  <c r="BK26" i="31"/>
  <c r="BK21" i="31"/>
  <c r="BK30" i="31"/>
  <c r="BK19" i="31"/>
  <c r="BK33" i="31"/>
  <c r="BK27" i="31"/>
  <c r="BK22" i="31"/>
  <c r="BK17" i="31"/>
  <c r="BK35" i="31"/>
  <c r="BK25" i="31"/>
  <c r="BK34" i="31"/>
  <c r="BK29" i="31"/>
  <c r="BK23" i="31"/>
  <c r="BK18" i="31"/>
  <c r="BL36" i="31"/>
  <c r="BM36" i="31" s="1"/>
  <c r="BL20" i="31"/>
  <c r="BM20" i="31" s="1"/>
  <c r="BL21" i="31"/>
  <c r="BM21" i="31" s="1"/>
  <c r="BL30" i="31"/>
  <c r="BM30" i="31" s="1"/>
  <c r="BL27" i="31"/>
  <c r="BM27" i="31" s="1"/>
  <c r="BL31" i="31"/>
  <c r="BM31" i="31" s="1"/>
  <c r="BL22" i="31"/>
  <c r="BM22" i="31" s="1"/>
  <c r="BL34" i="31"/>
  <c r="BM34" i="31" s="1"/>
  <c r="BL25" i="31"/>
  <c r="BM25" i="31" s="1"/>
  <c r="BL24" i="31"/>
  <c r="BM24" i="31" s="1"/>
  <c r="BL23" i="31"/>
  <c r="BM23" i="31" s="1"/>
  <c r="BL26" i="31"/>
  <c r="BM26" i="31" s="1"/>
  <c r="BL33" i="31"/>
  <c r="BM33" i="31" s="1"/>
  <c r="BL32" i="31"/>
  <c r="BM32" i="31" s="1"/>
  <c r="BL16" i="31"/>
  <c r="BM16" i="31" s="1"/>
  <c r="BL18" i="31"/>
  <c r="BM18" i="31" s="1"/>
  <c r="BL28" i="31"/>
  <c r="BM28" i="31" s="1"/>
  <c r="BL17" i="31"/>
  <c r="BM17" i="31" s="1"/>
  <c r="BL29" i="31"/>
  <c r="BM29" i="31" s="1"/>
  <c r="BL35" i="31"/>
  <c r="BM35" i="31" s="1"/>
  <c r="BL19" i="31"/>
  <c r="BM19" i="31" s="1"/>
  <c r="BO61" i="33"/>
  <c r="BN60" i="33"/>
  <c r="BQ60" i="33" s="1"/>
  <c r="BO62" i="33" l="1"/>
  <c r="BN61" i="33"/>
  <c r="BQ61" i="33" s="1"/>
  <c r="BU67" i="26"/>
  <c r="BT66" i="26"/>
  <c r="BW66" i="26" s="1"/>
  <c r="EB17" i="32"/>
  <c r="EA17" i="32"/>
  <c r="DZ16" i="32"/>
  <c r="ED16" i="32" s="1"/>
  <c r="EG17" i="32"/>
  <c r="EF17" i="32"/>
  <c r="EE16" i="32"/>
  <c r="EI16" i="32" s="1"/>
  <c r="CG58" i="30"/>
  <c r="CF57" i="30"/>
  <c r="CI57" i="30" s="1"/>
  <c r="DM20" i="31"/>
  <c r="DK20" i="31"/>
  <c r="DJ19" i="31"/>
  <c r="DO19" i="31" s="1"/>
  <c r="DW20" i="32"/>
  <c r="DU20" i="32"/>
  <c r="DT19" i="32"/>
  <c r="DY19" i="32" s="1"/>
  <c r="DR17" i="31"/>
  <c r="DQ17" i="31"/>
  <c r="DP16" i="31"/>
  <c r="DT16" i="31" s="1"/>
  <c r="DW15" i="31"/>
  <c r="DV15" i="31"/>
  <c r="DU14" i="31"/>
  <c r="DY14" i="31" s="1"/>
  <c r="DM21" i="31" l="1"/>
  <c r="DK21" i="31"/>
  <c r="DJ20" i="31"/>
  <c r="DO20" i="31" s="1"/>
  <c r="EB18" i="32"/>
  <c r="EA18" i="32"/>
  <c r="DZ17" i="32"/>
  <c r="ED17" i="32" s="1"/>
  <c r="BO63" i="33"/>
  <c r="BN62" i="33"/>
  <c r="BQ62" i="33" s="1"/>
  <c r="DW16" i="31"/>
  <c r="DV16" i="31"/>
  <c r="DU15" i="31"/>
  <c r="DY15" i="31" s="1"/>
  <c r="CG59" i="30"/>
  <c r="CF58" i="30"/>
  <c r="CI58" i="30" s="1"/>
  <c r="BU68" i="26"/>
  <c r="BT67" i="26"/>
  <c r="BW67" i="26" s="1"/>
  <c r="DQ18" i="31"/>
  <c r="DR18" i="31"/>
  <c r="DP17" i="31"/>
  <c r="DT17" i="31" s="1"/>
  <c r="DW21" i="32"/>
  <c r="DU21" i="32"/>
  <c r="DT20" i="32"/>
  <c r="DY20" i="32" s="1"/>
  <c r="EG18" i="32"/>
  <c r="EF18" i="32"/>
  <c r="EE17" i="32"/>
  <c r="EI17" i="32" s="1"/>
  <c r="DW22" i="32" l="1"/>
  <c r="DU22" i="32"/>
  <c r="DT21" i="32"/>
  <c r="DY21" i="32" s="1"/>
  <c r="BO64" i="33"/>
  <c r="BN63" i="33"/>
  <c r="BQ63" i="33" s="1"/>
  <c r="CG60" i="30"/>
  <c r="CF59" i="30"/>
  <c r="CI59" i="30" s="1"/>
  <c r="EB19" i="32"/>
  <c r="EA19" i="32"/>
  <c r="DZ18" i="32"/>
  <c r="ED18" i="32" s="1"/>
  <c r="DR19" i="31"/>
  <c r="DQ19" i="31"/>
  <c r="DP18" i="31"/>
  <c r="DT18" i="31" s="1"/>
  <c r="DV17" i="31"/>
  <c r="DW17" i="31"/>
  <c r="DU16" i="31"/>
  <c r="DY16" i="31" s="1"/>
  <c r="DM22" i="31"/>
  <c r="DK22" i="31"/>
  <c r="DJ21" i="31"/>
  <c r="DO21" i="31" s="1"/>
  <c r="EF19" i="32"/>
  <c r="EG19" i="32"/>
  <c r="EE18" i="32"/>
  <c r="EI18" i="32" s="1"/>
  <c r="BU69" i="26"/>
  <c r="BT68" i="26"/>
  <c r="BW68" i="26" s="1"/>
  <c r="BU70" i="26" l="1"/>
  <c r="BT69" i="26"/>
  <c r="BW69" i="26" s="1"/>
  <c r="DW18" i="31"/>
  <c r="DV18" i="31"/>
  <c r="DU17" i="31"/>
  <c r="DY17" i="31" s="1"/>
  <c r="DQ20" i="31"/>
  <c r="DR20" i="31"/>
  <c r="DP19" i="31"/>
  <c r="DT19" i="31" s="1"/>
  <c r="EA20" i="32"/>
  <c r="EB20" i="32"/>
  <c r="DZ19" i="32"/>
  <c r="ED19" i="32" s="1"/>
  <c r="BO65" i="33"/>
  <c r="BN64" i="33"/>
  <c r="BQ64" i="33" s="1"/>
  <c r="EG20" i="32"/>
  <c r="EF20" i="32"/>
  <c r="EE19" i="32"/>
  <c r="EI19" i="32" s="1"/>
  <c r="DM23" i="31"/>
  <c r="DK23" i="31"/>
  <c r="DJ22" i="31"/>
  <c r="DO22" i="31" s="1"/>
  <c r="DW23" i="32"/>
  <c r="DU23" i="32"/>
  <c r="DT22" i="32"/>
  <c r="DY22" i="32" s="1"/>
  <c r="CG61" i="30"/>
  <c r="CF60" i="30"/>
  <c r="CI60" i="30" s="1"/>
  <c r="CG62" i="30" l="1"/>
  <c r="CF61" i="30"/>
  <c r="CI61" i="30" s="1"/>
  <c r="DR21" i="31"/>
  <c r="DQ21" i="31"/>
  <c r="DP20" i="31"/>
  <c r="DT20" i="31" s="1"/>
  <c r="DV19" i="31"/>
  <c r="DW19" i="31"/>
  <c r="DU18" i="31"/>
  <c r="DY18" i="31" s="1"/>
  <c r="DW24" i="32"/>
  <c r="DU24" i="32"/>
  <c r="DT23" i="32"/>
  <c r="DY23" i="32" s="1"/>
  <c r="BO66" i="33"/>
  <c r="BN65" i="33"/>
  <c r="BQ65" i="33" s="1"/>
  <c r="DM24" i="31"/>
  <c r="DK24" i="31"/>
  <c r="DJ23" i="31"/>
  <c r="DO23" i="31" s="1"/>
  <c r="BU71" i="26"/>
  <c r="BT70" i="26"/>
  <c r="BW70" i="26" s="1"/>
  <c r="EG21" i="32"/>
  <c r="EF21" i="32"/>
  <c r="EE20" i="32"/>
  <c r="EI20" i="32" s="1"/>
  <c r="EB21" i="32"/>
  <c r="EA21" i="32"/>
  <c r="DZ20" i="32"/>
  <c r="ED20" i="32" s="1"/>
  <c r="DW25" i="32" l="1"/>
  <c r="DU25" i="32"/>
  <c r="DT24" i="32"/>
  <c r="DY24" i="32" s="1"/>
  <c r="CG63" i="30"/>
  <c r="CF62" i="30"/>
  <c r="CI62" i="30" s="1"/>
  <c r="EB22" i="32"/>
  <c r="EA22" i="32"/>
  <c r="DZ21" i="32"/>
  <c r="ED21" i="32" s="1"/>
  <c r="DM25" i="31"/>
  <c r="DK25" i="31"/>
  <c r="DJ24" i="31"/>
  <c r="DO24" i="31" s="1"/>
  <c r="BU72" i="26"/>
  <c r="BT71" i="26"/>
  <c r="BW71" i="26" s="1"/>
  <c r="EG22" i="32"/>
  <c r="EF22" i="32"/>
  <c r="EE21" i="32"/>
  <c r="EI21" i="32" s="1"/>
  <c r="DW20" i="31"/>
  <c r="DV20" i="31"/>
  <c r="DU19" i="31"/>
  <c r="DY19" i="31" s="1"/>
  <c r="DQ22" i="31"/>
  <c r="DR22" i="31"/>
  <c r="DP21" i="31"/>
  <c r="DT21" i="31" s="1"/>
  <c r="BO67" i="33"/>
  <c r="BN66" i="33"/>
  <c r="BQ66" i="33" s="1"/>
  <c r="DM26" i="31" l="1"/>
  <c r="DK26" i="31"/>
  <c r="DJ25" i="31"/>
  <c r="DO25" i="31" s="1"/>
  <c r="EB23" i="32"/>
  <c r="EA23" i="32"/>
  <c r="DZ22" i="32"/>
  <c r="ED22" i="32" s="1"/>
  <c r="DV21" i="31"/>
  <c r="DW21" i="31"/>
  <c r="DU20" i="31"/>
  <c r="DY20" i="31" s="1"/>
  <c r="BO68" i="33"/>
  <c r="BN67" i="33"/>
  <c r="BQ67" i="33" s="1"/>
  <c r="DR23" i="31"/>
  <c r="DQ23" i="31"/>
  <c r="DP22" i="31"/>
  <c r="DT22" i="31" s="1"/>
  <c r="DW26" i="32"/>
  <c r="DU26" i="32"/>
  <c r="DT25" i="32"/>
  <c r="DY25" i="32" s="1"/>
  <c r="EF23" i="32"/>
  <c r="EG23" i="32"/>
  <c r="EE22" i="32"/>
  <c r="EI22" i="32" s="1"/>
  <c r="BU73" i="26"/>
  <c r="BT72" i="26"/>
  <c r="BW72" i="26" s="1"/>
  <c r="CG64" i="30"/>
  <c r="CF63" i="30"/>
  <c r="CI63" i="30" s="1"/>
  <c r="BU74" i="26" l="1"/>
  <c r="BT73" i="26"/>
  <c r="BW73" i="26" s="1"/>
  <c r="DM27" i="31"/>
  <c r="DK27" i="31"/>
  <c r="DJ26" i="31"/>
  <c r="DO26" i="31" s="1"/>
  <c r="BO69" i="33"/>
  <c r="BN68" i="33"/>
  <c r="BQ68" i="33" s="1"/>
  <c r="CG65" i="30"/>
  <c r="CF64" i="30"/>
  <c r="CI64" i="30" s="1"/>
  <c r="EG24" i="32"/>
  <c r="EF24" i="32"/>
  <c r="EE23" i="32"/>
  <c r="EI23" i="32" s="1"/>
  <c r="DW27" i="32"/>
  <c r="DU27" i="32"/>
  <c r="DT26" i="32"/>
  <c r="DY26" i="32" s="1"/>
  <c r="DQ24" i="31"/>
  <c r="DR24" i="31"/>
  <c r="DP23" i="31"/>
  <c r="DT23" i="31" s="1"/>
  <c r="DW22" i="31"/>
  <c r="DV22" i="31"/>
  <c r="DU21" i="31"/>
  <c r="DY21" i="31" s="1"/>
  <c r="EA24" i="32"/>
  <c r="EB24" i="32"/>
  <c r="DZ23" i="32"/>
  <c r="ED23" i="32" s="1"/>
  <c r="DW28" i="32" l="1"/>
  <c r="DU28" i="32"/>
  <c r="DT27" i="32"/>
  <c r="DY27" i="32" s="1"/>
  <c r="EG25" i="32"/>
  <c r="EF25" i="32"/>
  <c r="EE24" i="32"/>
  <c r="EI24" i="32" s="1"/>
  <c r="BO70" i="33"/>
  <c r="BN69" i="33"/>
  <c r="BQ69" i="33" s="1"/>
  <c r="DV23" i="31"/>
  <c r="DW23" i="31"/>
  <c r="DU22" i="31"/>
  <c r="DY22" i="31" s="1"/>
  <c r="DM28" i="31"/>
  <c r="DK28" i="31"/>
  <c r="DJ27" i="31"/>
  <c r="DO27" i="31" s="1"/>
  <c r="DQ25" i="31"/>
  <c r="DR25" i="31"/>
  <c r="DP24" i="31"/>
  <c r="DT24" i="31" s="1"/>
  <c r="BU75" i="26"/>
  <c r="BT74" i="26"/>
  <c r="BW74" i="26" s="1"/>
  <c r="EB25" i="32"/>
  <c r="EA25" i="32"/>
  <c r="DZ24" i="32"/>
  <c r="ED24" i="32" s="1"/>
  <c r="CG66" i="30"/>
  <c r="CF65" i="30"/>
  <c r="CI65" i="30" s="1"/>
  <c r="DW29" i="32" l="1"/>
  <c r="DU29" i="32"/>
  <c r="DT28" i="32"/>
  <c r="DY28" i="32" s="1"/>
  <c r="BU76" i="26"/>
  <c r="BT75" i="26"/>
  <c r="BW75" i="26" s="1"/>
  <c r="DW24" i="31"/>
  <c r="DV24" i="31"/>
  <c r="DU23" i="31"/>
  <c r="DY23" i="31" s="1"/>
  <c r="BO71" i="33"/>
  <c r="BN70" i="33"/>
  <c r="BQ70" i="33" s="1"/>
  <c r="CG67" i="30"/>
  <c r="CF66" i="30"/>
  <c r="CI66" i="30" s="1"/>
  <c r="EB26" i="32"/>
  <c r="EA26" i="32"/>
  <c r="DZ25" i="32"/>
  <c r="ED25" i="32" s="1"/>
  <c r="DQ26" i="31"/>
  <c r="DR26" i="31"/>
  <c r="DP25" i="31"/>
  <c r="DT25" i="31" s="1"/>
  <c r="DM29" i="31"/>
  <c r="DK29" i="31"/>
  <c r="DJ28" i="31"/>
  <c r="DO28" i="31" s="1"/>
  <c r="EG26" i="32"/>
  <c r="EF26" i="32"/>
  <c r="EE25" i="32"/>
  <c r="EI25" i="32" s="1"/>
  <c r="DV25" i="31" l="1"/>
  <c r="DW25" i="31"/>
  <c r="DU24" i="31"/>
  <c r="DY24" i="31" s="1"/>
  <c r="EB27" i="32"/>
  <c r="EA27" i="32"/>
  <c r="DZ26" i="32"/>
  <c r="ED26" i="32" s="1"/>
  <c r="DW30" i="32"/>
  <c r="DU30" i="32"/>
  <c r="DT29" i="32"/>
  <c r="DY29" i="32" s="1"/>
  <c r="EF27" i="32"/>
  <c r="EG27" i="32"/>
  <c r="EE26" i="32"/>
  <c r="EI26" i="32" s="1"/>
  <c r="CG68" i="30"/>
  <c r="CF67" i="30"/>
  <c r="CI67" i="30" s="1"/>
  <c r="DR27" i="31"/>
  <c r="DQ27" i="31"/>
  <c r="DP26" i="31"/>
  <c r="DT26" i="31" s="1"/>
  <c r="BO72" i="33"/>
  <c r="BN71" i="33"/>
  <c r="BQ71" i="33" s="1"/>
  <c r="DM30" i="31"/>
  <c r="DK30" i="31"/>
  <c r="DJ29" i="31"/>
  <c r="DO29" i="31" s="1"/>
  <c r="BU77" i="26"/>
  <c r="BT76" i="26"/>
  <c r="BW76" i="26" s="1"/>
  <c r="CG69" i="30" l="1"/>
  <c r="CF68" i="30"/>
  <c r="CI68" i="30" s="1"/>
  <c r="BO73" i="33"/>
  <c r="BN72" i="33"/>
  <c r="BQ72" i="33" s="1"/>
  <c r="DW26" i="31"/>
  <c r="DV26" i="31"/>
  <c r="DU25" i="31"/>
  <c r="DY25" i="31" s="1"/>
  <c r="BU78" i="26"/>
  <c r="BT77" i="26"/>
  <c r="BW77" i="26" s="1"/>
  <c r="DQ28" i="31"/>
  <c r="DR28" i="31"/>
  <c r="DP27" i="31"/>
  <c r="DT27" i="31" s="1"/>
  <c r="EG28" i="32"/>
  <c r="EF28" i="32"/>
  <c r="EE27" i="32"/>
  <c r="EI27" i="32" s="1"/>
  <c r="DW31" i="32"/>
  <c r="DU31" i="32"/>
  <c r="DT30" i="32"/>
  <c r="DY30" i="32" s="1"/>
  <c r="DM31" i="31"/>
  <c r="DK31" i="31"/>
  <c r="DJ30" i="31"/>
  <c r="DO30" i="31" s="1"/>
  <c r="EA28" i="32"/>
  <c r="EB28" i="32"/>
  <c r="DZ27" i="32"/>
  <c r="ED27" i="32" s="1"/>
  <c r="CG70" i="30" l="1"/>
  <c r="CF69" i="30"/>
  <c r="CI69" i="30" s="1"/>
  <c r="DM32" i="31"/>
  <c r="DK32" i="31"/>
  <c r="DJ31" i="31"/>
  <c r="DO31" i="31" s="1"/>
  <c r="DQ29" i="31"/>
  <c r="DR29" i="31"/>
  <c r="DP28" i="31"/>
  <c r="DT28" i="31" s="1"/>
  <c r="BO74" i="33"/>
  <c r="BN73" i="33"/>
  <c r="BQ73" i="33" s="1"/>
  <c r="EG29" i="32"/>
  <c r="EF29" i="32"/>
  <c r="EE28" i="32"/>
  <c r="EI28" i="32" s="1"/>
  <c r="DW27" i="31"/>
  <c r="DV27" i="31"/>
  <c r="DU26" i="31"/>
  <c r="DY26" i="31" s="1"/>
  <c r="EB29" i="32"/>
  <c r="EA29" i="32"/>
  <c r="DZ28" i="32"/>
  <c r="ED28" i="32" s="1"/>
  <c r="DW32" i="32"/>
  <c r="DU32" i="32"/>
  <c r="DT31" i="32"/>
  <c r="DY31" i="32" s="1"/>
  <c r="BU79" i="26"/>
  <c r="BT78" i="26"/>
  <c r="BW78" i="26" s="1"/>
  <c r="EB30" i="32" l="1"/>
  <c r="EA30" i="32"/>
  <c r="DZ29" i="32"/>
  <c r="ED29" i="32" s="1"/>
  <c r="DV28" i="31"/>
  <c r="DW28" i="31"/>
  <c r="DU27" i="31"/>
  <c r="DY27" i="31" s="1"/>
  <c r="BU80" i="26"/>
  <c r="BT79" i="26"/>
  <c r="BW79" i="26" s="1"/>
  <c r="EG30" i="32"/>
  <c r="EF30" i="32"/>
  <c r="EE29" i="32"/>
  <c r="EI29" i="32" s="1"/>
  <c r="DR30" i="31"/>
  <c r="DQ30" i="31"/>
  <c r="DP29" i="31"/>
  <c r="DT29" i="31" s="1"/>
  <c r="DM33" i="31"/>
  <c r="DK33" i="31"/>
  <c r="DJ32" i="31"/>
  <c r="DO32" i="31" s="1"/>
  <c r="BO75" i="33"/>
  <c r="BN74" i="33"/>
  <c r="BQ74" i="33" s="1"/>
  <c r="CG71" i="30"/>
  <c r="CF70" i="30"/>
  <c r="CI70" i="30" s="1"/>
  <c r="DW33" i="32"/>
  <c r="DU33" i="32"/>
  <c r="DT32" i="32"/>
  <c r="DY32" i="32" s="1"/>
  <c r="EF31" i="32" l="1"/>
  <c r="EG31" i="32"/>
  <c r="EE30" i="32"/>
  <c r="EI30" i="32" s="1"/>
  <c r="BO76" i="33"/>
  <c r="BN75" i="33"/>
  <c r="BQ75" i="33" s="1"/>
  <c r="DV29" i="31"/>
  <c r="DW29" i="31"/>
  <c r="DU28" i="31"/>
  <c r="DY28" i="31" s="1"/>
  <c r="DW34" i="32"/>
  <c r="DU34" i="32"/>
  <c r="DT33" i="32"/>
  <c r="DY33" i="32" s="1"/>
  <c r="DM34" i="31"/>
  <c r="DK34" i="31"/>
  <c r="DJ33" i="31"/>
  <c r="DO33" i="31" s="1"/>
  <c r="BU81" i="26"/>
  <c r="BT80" i="26"/>
  <c r="BW80" i="26" s="1"/>
  <c r="EB31" i="32"/>
  <c r="EA31" i="32"/>
  <c r="DZ30" i="32"/>
  <c r="ED30" i="32" s="1"/>
  <c r="CG72" i="30"/>
  <c r="CF71" i="30"/>
  <c r="CI71" i="30" s="1"/>
  <c r="DR31" i="31"/>
  <c r="DQ31" i="31"/>
  <c r="DP30" i="31"/>
  <c r="DT30" i="31" s="1"/>
  <c r="EA32" i="32" l="1"/>
  <c r="EB32" i="32"/>
  <c r="DZ31" i="32"/>
  <c r="ED31" i="32" s="1"/>
  <c r="DW35" i="32"/>
  <c r="DU35" i="32"/>
  <c r="DT34" i="32"/>
  <c r="DY34" i="32" s="1"/>
  <c r="EG32" i="32"/>
  <c r="EF32" i="32"/>
  <c r="EE31" i="32"/>
  <c r="EI31" i="32" s="1"/>
  <c r="BU82" i="26"/>
  <c r="BT81" i="26"/>
  <c r="BW81" i="26" s="1"/>
  <c r="DW30" i="31"/>
  <c r="DV30" i="31"/>
  <c r="DU29" i="31"/>
  <c r="DY29" i="31" s="1"/>
  <c r="DQ32" i="31"/>
  <c r="DR32" i="31"/>
  <c r="DP31" i="31"/>
  <c r="DT31" i="31" s="1"/>
  <c r="CG73" i="30"/>
  <c r="CF72" i="30"/>
  <c r="CI72" i="30" s="1"/>
  <c r="DM35" i="31"/>
  <c r="DK35" i="31"/>
  <c r="DJ34" i="31"/>
  <c r="DO34" i="31" s="1"/>
  <c r="BO77" i="33"/>
  <c r="BN76" i="33"/>
  <c r="BQ76" i="33" s="1"/>
  <c r="CG74" i="30" l="1"/>
  <c r="CF73" i="30"/>
  <c r="CI73" i="30" s="1"/>
  <c r="BU83" i="26"/>
  <c r="BT82" i="26"/>
  <c r="BW82" i="26" s="1"/>
  <c r="EB33" i="32"/>
  <c r="EA33" i="32"/>
  <c r="DZ32" i="32"/>
  <c r="ED32" i="32" s="1"/>
  <c r="EG33" i="32"/>
  <c r="EF33" i="32"/>
  <c r="EE32" i="32"/>
  <c r="EI32" i="32" s="1"/>
  <c r="BO78" i="33"/>
  <c r="BN77" i="33"/>
  <c r="BQ77" i="33" s="1"/>
  <c r="DM36" i="31"/>
  <c r="DK36" i="31"/>
  <c r="DJ35" i="31"/>
  <c r="DO35" i="31" s="1"/>
  <c r="DQ33" i="31"/>
  <c r="DR33" i="31"/>
  <c r="DP32" i="31"/>
  <c r="DT32" i="31" s="1"/>
  <c r="DW31" i="31"/>
  <c r="DV31" i="31"/>
  <c r="DU30" i="31"/>
  <c r="DY30" i="31" s="1"/>
  <c r="DW36" i="32"/>
  <c r="DU36" i="32"/>
  <c r="DT35" i="32"/>
  <c r="DY35" i="32" s="1"/>
  <c r="EB34" i="32" l="1"/>
  <c r="EA34" i="32"/>
  <c r="DZ33" i="32"/>
  <c r="ED33" i="32" s="1"/>
  <c r="DV32" i="31"/>
  <c r="DW32" i="31"/>
  <c r="DU31" i="31"/>
  <c r="DY31" i="31" s="1"/>
  <c r="BO79" i="33"/>
  <c r="BN78" i="33"/>
  <c r="BQ78" i="33" s="1"/>
  <c r="BU84" i="26"/>
  <c r="BT83" i="26"/>
  <c r="BW83" i="26" s="1"/>
  <c r="DQ34" i="31"/>
  <c r="DR34" i="31"/>
  <c r="DP33" i="31"/>
  <c r="DT33" i="31" s="1"/>
  <c r="DM37" i="31"/>
  <c r="DK37" i="31"/>
  <c r="DJ36" i="31"/>
  <c r="DO36" i="31" s="1"/>
  <c r="CG75" i="30"/>
  <c r="CF74" i="30"/>
  <c r="CI74" i="30" s="1"/>
  <c r="DW37" i="32"/>
  <c r="DU37" i="32"/>
  <c r="DT36" i="32"/>
  <c r="DY36" i="32" s="1"/>
  <c r="EG34" i="32"/>
  <c r="EF34" i="32"/>
  <c r="EE33" i="32"/>
  <c r="EI33" i="32" s="1"/>
  <c r="CG76" i="30" l="1"/>
  <c r="CF75" i="30"/>
  <c r="CI75" i="30" s="1"/>
  <c r="DV33" i="31"/>
  <c r="DW33" i="31"/>
  <c r="DU32" i="31"/>
  <c r="DY32" i="31" s="1"/>
  <c r="DW38" i="32"/>
  <c r="DU38" i="32"/>
  <c r="DT37" i="32"/>
  <c r="DY37" i="32" s="1"/>
  <c r="BO80" i="33"/>
  <c r="BN79" i="33"/>
  <c r="BQ79" i="33" s="1"/>
  <c r="BU85" i="26"/>
  <c r="BT84" i="26"/>
  <c r="BW84" i="26" s="1"/>
  <c r="EB35" i="32"/>
  <c r="EA35" i="32"/>
  <c r="DZ34" i="32"/>
  <c r="ED34" i="32" s="1"/>
  <c r="EF35" i="32"/>
  <c r="EG35" i="32"/>
  <c r="EE34" i="32"/>
  <c r="EI34" i="32" s="1"/>
  <c r="DM38" i="31"/>
  <c r="DK38" i="31"/>
  <c r="DJ37" i="31"/>
  <c r="DO37" i="31" s="1"/>
  <c r="DR35" i="31"/>
  <c r="DQ35" i="31"/>
  <c r="DP34" i="31"/>
  <c r="DT34" i="31" s="1"/>
  <c r="BO81" i="33" l="1"/>
  <c r="BN80" i="33"/>
  <c r="BQ80" i="33" s="1"/>
  <c r="DQ36" i="31"/>
  <c r="DR36" i="31"/>
  <c r="DP35" i="31"/>
  <c r="DT35" i="31" s="1"/>
  <c r="DW39" i="32"/>
  <c r="DU39" i="32"/>
  <c r="DT38" i="32"/>
  <c r="DY38" i="32" s="1"/>
  <c r="EA36" i="32"/>
  <c r="EB36" i="32"/>
  <c r="DZ35" i="32"/>
  <c r="ED35" i="32" s="1"/>
  <c r="CG77" i="30"/>
  <c r="CF76" i="30"/>
  <c r="CI76" i="30" s="1"/>
  <c r="DM39" i="31"/>
  <c r="DK39" i="31"/>
  <c r="DJ38" i="31"/>
  <c r="DO38" i="31" s="1"/>
  <c r="BU86" i="26"/>
  <c r="BT85" i="26"/>
  <c r="BW85" i="26" s="1"/>
  <c r="EG36" i="32"/>
  <c r="EF36" i="32"/>
  <c r="EE35" i="32"/>
  <c r="EI35" i="32" s="1"/>
  <c r="DW34" i="31"/>
  <c r="DV34" i="31"/>
  <c r="DU33" i="31"/>
  <c r="DY33" i="31" s="1"/>
  <c r="BO82" i="33" l="1"/>
  <c r="BN81" i="33"/>
  <c r="BQ81" i="33" s="1"/>
  <c r="DV35" i="31"/>
  <c r="DW35" i="31"/>
  <c r="DU34" i="31"/>
  <c r="DY34" i="31" s="1"/>
  <c r="DM40" i="31"/>
  <c r="DK40" i="31"/>
  <c r="DJ39" i="31"/>
  <c r="DO39" i="31" s="1"/>
  <c r="EB37" i="32"/>
  <c r="EA37" i="32"/>
  <c r="DZ36" i="32"/>
  <c r="ED36" i="32" s="1"/>
  <c r="DW40" i="32"/>
  <c r="DU40" i="32"/>
  <c r="DT39" i="32"/>
  <c r="DY39" i="32" s="1"/>
  <c r="EG37" i="32"/>
  <c r="EF37" i="32"/>
  <c r="EE36" i="32"/>
  <c r="EI36" i="32" s="1"/>
  <c r="BU87" i="26"/>
  <c r="BT86" i="26"/>
  <c r="BW86" i="26" s="1"/>
  <c r="CG78" i="30"/>
  <c r="CF77" i="30"/>
  <c r="CI77" i="30" s="1"/>
  <c r="DR37" i="31"/>
  <c r="DQ37" i="31"/>
  <c r="DP36" i="31"/>
  <c r="DT36" i="31" s="1"/>
  <c r="BO83" i="33" l="1"/>
  <c r="BN82" i="33"/>
  <c r="BQ82" i="33" s="1"/>
  <c r="DQ38" i="31"/>
  <c r="DR38" i="31"/>
  <c r="DP37" i="31"/>
  <c r="DT37" i="31" s="1"/>
  <c r="BU88" i="26"/>
  <c r="BT87" i="26"/>
  <c r="BW87" i="26" s="1"/>
  <c r="DM41" i="31"/>
  <c r="DK41" i="31"/>
  <c r="DJ40" i="31"/>
  <c r="DO40" i="31" s="1"/>
  <c r="EB38" i="32"/>
  <c r="EA38" i="32"/>
  <c r="DZ37" i="32"/>
  <c r="ED37" i="32" s="1"/>
  <c r="EG38" i="32"/>
  <c r="EF38" i="32"/>
  <c r="EE37" i="32"/>
  <c r="EI37" i="32" s="1"/>
  <c r="CG79" i="30"/>
  <c r="CF78" i="30"/>
  <c r="CI78" i="30" s="1"/>
  <c r="DW41" i="32"/>
  <c r="DU41" i="32"/>
  <c r="DT40" i="32"/>
  <c r="DY40" i="32" s="1"/>
  <c r="DW36" i="31"/>
  <c r="DV36" i="31"/>
  <c r="DU35" i="31"/>
  <c r="DY35" i="31" s="1"/>
  <c r="BO84" i="33" l="1"/>
  <c r="BN83" i="33"/>
  <c r="BQ83" i="33" s="1"/>
  <c r="DV37" i="31"/>
  <c r="DW37" i="31"/>
  <c r="DU36" i="31"/>
  <c r="DY36" i="31" s="1"/>
  <c r="DW42" i="32"/>
  <c r="DU42" i="32"/>
  <c r="DT41" i="32"/>
  <c r="DY41" i="32" s="1"/>
  <c r="EB39" i="32"/>
  <c r="EA39" i="32"/>
  <c r="DZ38" i="32"/>
  <c r="ED38" i="32" s="1"/>
  <c r="CG80" i="30"/>
  <c r="CF79" i="30"/>
  <c r="CI79" i="30" s="1"/>
  <c r="EF39" i="32"/>
  <c r="EG39" i="32"/>
  <c r="EE38" i="32"/>
  <c r="EI38" i="32" s="1"/>
  <c r="BU89" i="26"/>
  <c r="BT88" i="26"/>
  <c r="BW88" i="26" s="1"/>
  <c r="DM42" i="31"/>
  <c r="DK42" i="31"/>
  <c r="DJ41" i="31"/>
  <c r="DO41" i="31" s="1"/>
  <c r="DR39" i="31"/>
  <c r="DQ39" i="31"/>
  <c r="DP38" i="31"/>
  <c r="DT38" i="31" s="1"/>
  <c r="BU90" i="26" l="1"/>
  <c r="BT89" i="26"/>
  <c r="BW89" i="26" s="1"/>
  <c r="EA40" i="32"/>
  <c r="EB40" i="32"/>
  <c r="DZ39" i="32"/>
  <c r="ED39" i="32" s="1"/>
  <c r="BO85" i="33"/>
  <c r="BN84" i="33"/>
  <c r="BQ84" i="33" s="1"/>
  <c r="DW43" i="32"/>
  <c r="DU43" i="32"/>
  <c r="DT42" i="32"/>
  <c r="DY42" i="32" s="1"/>
  <c r="DQ40" i="31"/>
  <c r="DR40" i="31"/>
  <c r="DP39" i="31"/>
  <c r="DT39" i="31" s="1"/>
  <c r="DM43" i="31"/>
  <c r="DK43" i="31"/>
  <c r="DJ42" i="31"/>
  <c r="DO42" i="31" s="1"/>
  <c r="EG40" i="32"/>
  <c r="EF40" i="32"/>
  <c r="EE39" i="32"/>
  <c r="EI39" i="32" s="1"/>
  <c r="CG81" i="30"/>
  <c r="CF80" i="30"/>
  <c r="CI80" i="30" s="1"/>
  <c r="DW38" i="31"/>
  <c r="DV38" i="31"/>
  <c r="DU37" i="31"/>
  <c r="DY37" i="31" s="1"/>
  <c r="DV39" i="31" l="1"/>
  <c r="DW39" i="31"/>
  <c r="DU38" i="31"/>
  <c r="DY38" i="31" s="1"/>
  <c r="BO86" i="33"/>
  <c r="BN85" i="33"/>
  <c r="BQ85" i="33" s="1"/>
  <c r="EG41" i="32"/>
  <c r="EF41" i="32"/>
  <c r="EE40" i="32"/>
  <c r="EI40" i="32" s="1"/>
  <c r="BU91" i="26"/>
  <c r="BT90" i="26"/>
  <c r="BW90" i="26" s="1"/>
  <c r="DM44" i="31"/>
  <c r="DK44" i="31"/>
  <c r="DJ43" i="31"/>
  <c r="DO43" i="31" s="1"/>
  <c r="CG82" i="30"/>
  <c r="CF81" i="30"/>
  <c r="CI81" i="30" s="1"/>
  <c r="DR41" i="31"/>
  <c r="DQ41" i="31"/>
  <c r="DP40" i="31"/>
  <c r="DT40" i="31" s="1"/>
  <c r="DW44" i="32"/>
  <c r="DU44" i="32"/>
  <c r="DT43" i="32"/>
  <c r="DY43" i="32" s="1"/>
  <c r="EB41" i="32"/>
  <c r="EA41" i="32"/>
  <c r="DZ40" i="32"/>
  <c r="ED40" i="32" s="1"/>
  <c r="CG83" i="30" l="1"/>
  <c r="CF82" i="30"/>
  <c r="CI82" i="30" s="1"/>
  <c r="EG42" i="32"/>
  <c r="EF42" i="32"/>
  <c r="EE41" i="32"/>
  <c r="EI41" i="32" s="1"/>
  <c r="DV40" i="31"/>
  <c r="DW40" i="31"/>
  <c r="DU39" i="31"/>
  <c r="DY39" i="31" s="1"/>
  <c r="DM45" i="31"/>
  <c r="DK45" i="31"/>
  <c r="DJ44" i="31"/>
  <c r="DO44" i="31" s="1"/>
  <c r="BU92" i="26"/>
  <c r="BT91" i="26"/>
  <c r="BW91" i="26" s="1"/>
  <c r="EB42" i="32"/>
  <c r="EA42" i="32"/>
  <c r="DZ41" i="32"/>
  <c r="ED41" i="32" s="1"/>
  <c r="DW45" i="32"/>
  <c r="DU45" i="32"/>
  <c r="DT44" i="32"/>
  <c r="DY44" i="32" s="1"/>
  <c r="DQ42" i="31"/>
  <c r="DR42" i="31"/>
  <c r="DP41" i="31"/>
  <c r="DT41" i="31" s="1"/>
  <c r="BO87" i="33"/>
  <c r="BN86" i="33"/>
  <c r="BQ86" i="33" s="1"/>
  <c r="DW46" i="32" l="1"/>
  <c r="DU46" i="32"/>
  <c r="DT45" i="32"/>
  <c r="DY45" i="32" s="1"/>
  <c r="EB43" i="32"/>
  <c r="EA43" i="32"/>
  <c r="DZ42" i="32"/>
  <c r="ED42" i="32" s="1"/>
  <c r="DR43" i="31"/>
  <c r="DQ43" i="31"/>
  <c r="DP42" i="31"/>
  <c r="DT42" i="31" s="1"/>
  <c r="CG84" i="30"/>
  <c r="CF83" i="30"/>
  <c r="CI83" i="30" s="1"/>
  <c r="DV41" i="31"/>
  <c r="DW41" i="31"/>
  <c r="DU40" i="31"/>
  <c r="DY40" i="31" s="1"/>
  <c r="EF43" i="32"/>
  <c r="EG43" i="32"/>
  <c r="EE42" i="32"/>
  <c r="EI42" i="32" s="1"/>
  <c r="DM46" i="31"/>
  <c r="DK46" i="31"/>
  <c r="DJ45" i="31"/>
  <c r="DO45" i="31" s="1"/>
  <c r="BO88" i="33"/>
  <c r="BN87" i="33"/>
  <c r="BQ87" i="33" s="1"/>
  <c r="BU93" i="26"/>
  <c r="BT92" i="26"/>
  <c r="BW92" i="26" s="1"/>
  <c r="DM47" i="31" l="1"/>
  <c r="DK47" i="31"/>
  <c r="DJ46" i="31"/>
  <c r="DO46" i="31" s="1"/>
  <c r="CG85" i="30"/>
  <c r="CF84" i="30"/>
  <c r="CI84" i="30" s="1"/>
  <c r="BO89" i="33"/>
  <c r="BN88" i="33"/>
  <c r="BQ88" i="33" s="1"/>
  <c r="DW47" i="32"/>
  <c r="DU47" i="32"/>
  <c r="DT46" i="32"/>
  <c r="DY46" i="32" s="1"/>
  <c r="BU94" i="26"/>
  <c r="BT93" i="26"/>
  <c r="BW93" i="26" s="1"/>
  <c r="DQ44" i="31"/>
  <c r="DR44" i="31"/>
  <c r="DP43" i="31"/>
  <c r="DT43" i="31" s="1"/>
  <c r="DW42" i="31"/>
  <c r="DV42" i="31"/>
  <c r="DU41" i="31"/>
  <c r="DY41" i="31" s="1"/>
  <c r="EG44" i="32"/>
  <c r="EF44" i="32"/>
  <c r="EE43" i="32"/>
  <c r="EI43" i="32" s="1"/>
  <c r="EA44" i="32"/>
  <c r="EB44" i="32"/>
  <c r="DZ43" i="32"/>
  <c r="ED43" i="32" s="1"/>
  <c r="DQ45" i="31" l="1"/>
  <c r="DR45" i="31"/>
  <c r="DP44" i="31"/>
  <c r="DT44" i="31" s="1"/>
  <c r="BO90" i="33"/>
  <c r="BN89" i="33"/>
  <c r="BQ89" i="33" s="1"/>
  <c r="DM48" i="31"/>
  <c r="DK48" i="31"/>
  <c r="DJ47" i="31"/>
  <c r="DO47" i="31" s="1"/>
  <c r="EG45" i="32"/>
  <c r="EF45" i="32"/>
  <c r="EE44" i="32"/>
  <c r="EI44" i="32" s="1"/>
  <c r="BU95" i="26"/>
  <c r="BT94" i="26"/>
  <c r="BW94" i="26" s="1"/>
  <c r="EB45" i="32"/>
  <c r="EA45" i="32"/>
  <c r="DZ44" i="32"/>
  <c r="ED44" i="32" s="1"/>
  <c r="DW43" i="31"/>
  <c r="DV43" i="31"/>
  <c r="DU42" i="31"/>
  <c r="DY42" i="31" s="1"/>
  <c r="DW48" i="32"/>
  <c r="DU48" i="32"/>
  <c r="DT47" i="32"/>
  <c r="DY47" i="32" s="1"/>
  <c r="CG86" i="30"/>
  <c r="CF85" i="30"/>
  <c r="CI85" i="30" s="1"/>
  <c r="DM49" i="31" l="1"/>
  <c r="DK49" i="31"/>
  <c r="DJ48" i="31"/>
  <c r="DO48" i="31" s="1"/>
  <c r="DR46" i="31"/>
  <c r="DQ46" i="31"/>
  <c r="DP45" i="31"/>
  <c r="DT45" i="31" s="1"/>
  <c r="CG87" i="30"/>
  <c r="CF86" i="30"/>
  <c r="CI86" i="30" s="1"/>
  <c r="DV44" i="31"/>
  <c r="DW44" i="31"/>
  <c r="DU43" i="31"/>
  <c r="DY43" i="31" s="1"/>
  <c r="EG46" i="32"/>
  <c r="EF46" i="32"/>
  <c r="EE45" i="32"/>
  <c r="EI45" i="32" s="1"/>
  <c r="EB46" i="32"/>
  <c r="EA46" i="32"/>
  <c r="DZ45" i="32"/>
  <c r="ED45" i="32" s="1"/>
  <c r="DW49" i="32"/>
  <c r="DU49" i="32"/>
  <c r="DT48" i="32"/>
  <c r="DY48" i="32" s="1"/>
  <c r="BU96" i="26"/>
  <c r="BT95" i="26"/>
  <c r="BW95" i="26" s="1"/>
  <c r="BO91" i="33"/>
  <c r="BN90" i="33"/>
  <c r="BQ90" i="33" s="1"/>
  <c r="DW50" i="32" l="1"/>
  <c r="DU50" i="32"/>
  <c r="DT49" i="32"/>
  <c r="DY49" i="32" s="1"/>
  <c r="DV45" i="31"/>
  <c r="DW45" i="31"/>
  <c r="DU44" i="31"/>
  <c r="DY44" i="31" s="1"/>
  <c r="DM50" i="31"/>
  <c r="DK50" i="31"/>
  <c r="DJ49" i="31"/>
  <c r="DO49" i="31" s="1"/>
  <c r="BO92" i="33"/>
  <c r="BN91" i="33"/>
  <c r="BQ91" i="33" s="1"/>
  <c r="EB47" i="32"/>
  <c r="EA47" i="32"/>
  <c r="DZ46" i="32"/>
  <c r="ED46" i="32" s="1"/>
  <c r="CG88" i="30"/>
  <c r="CF87" i="30"/>
  <c r="CI87" i="30" s="1"/>
  <c r="BU97" i="26"/>
  <c r="BT96" i="26"/>
  <c r="BW96" i="26" s="1"/>
  <c r="EF47" i="32"/>
  <c r="EG47" i="32"/>
  <c r="EE46" i="32"/>
  <c r="EI46" i="32" s="1"/>
  <c r="DR47" i="31"/>
  <c r="DQ47" i="31"/>
  <c r="DP46" i="31"/>
  <c r="DT46" i="31" s="1"/>
  <c r="DW46" i="31" l="1"/>
  <c r="DV46" i="31"/>
  <c r="DU45" i="31"/>
  <c r="DY45" i="31" s="1"/>
  <c r="DQ48" i="31"/>
  <c r="DR48" i="31"/>
  <c r="DP47" i="31"/>
  <c r="DT47" i="31" s="1"/>
  <c r="BU98" i="26"/>
  <c r="BT97" i="26"/>
  <c r="BW97" i="26" s="1"/>
  <c r="BO93" i="33"/>
  <c r="BN92" i="33"/>
  <c r="BQ92" i="33" s="1"/>
  <c r="CG89" i="30"/>
  <c r="CF88" i="30"/>
  <c r="CI88" i="30" s="1"/>
  <c r="DM51" i="31"/>
  <c r="DK51" i="31"/>
  <c r="DJ50" i="31"/>
  <c r="DO50" i="31" s="1"/>
  <c r="DW51" i="32"/>
  <c r="DU51" i="32"/>
  <c r="DT50" i="32"/>
  <c r="DY50" i="32" s="1"/>
  <c r="EG48" i="32"/>
  <c r="EF48" i="32"/>
  <c r="EE47" i="32"/>
  <c r="EI47" i="32" s="1"/>
  <c r="EA48" i="32"/>
  <c r="EB48" i="32"/>
  <c r="DZ47" i="32"/>
  <c r="ED47" i="32" s="1"/>
  <c r="BO94" i="33" l="1"/>
  <c r="BN93" i="33"/>
  <c r="BQ93" i="33" s="1"/>
  <c r="DW47" i="31"/>
  <c r="DV47" i="31"/>
  <c r="DU46" i="31"/>
  <c r="DY46" i="31" s="1"/>
  <c r="DM52" i="31"/>
  <c r="DK52" i="31"/>
  <c r="DJ51" i="31"/>
  <c r="DO51" i="31" s="1"/>
  <c r="EB49" i="32"/>
  <c r="EA49" i="32"/>
  <c r="DZ48" i="32"/>
  <c r="ED48" i="32" s="1"/>
  <c r="EG49" i="32"/>
  <c r="EF49" i="32"/>
  <c r="EE48" i="32"/>
  <c r="EI48" i="32" s="1"/>
  <c r="CG90" i="30"/>
  <c r="CF89" i="30"/>
  <c r="CI89" i="30" s="1"/>
  <c r="BU99" i="26"/>
  <c r="BT98" i="26"/>
  <c r="BW98" i="26" s="1"/>
  <c r="DR49" i="31"/>
  <c r="DQ49" i="31"/>
  <c r="DP48" i="31"/>
  <c r="DT48" i="31" s="1"/>
  <c r="DW52" i="32"/>
  <c r="DU52" i="32"/>
  <c r="DT51" i="32"/>
  <c r="DY51" i="32" s="1"/>
  <c r="DW53" i="32" l="1"/>
  <c r="DU53" i="32"/>
  <c r="DT52" i="32"/>
  <c r="DY52" i="32" s="1"/>
  <c r="DM53" i="31"/>
  <c r="DK53" i="31"/>
  <c r="DJ52" i="31"/>
  <c r="DO52" i="31" s="1"/>
  <c r="BO95" i="33"/>
  <c r="BN94" i="33"/>
  <c r="BQ94" i="33" s="1"/>
  <c r="DQ50" i="31"/>
  <c r="DR50" i="31"/>
  <c r="DP49" i="31"/>
  <c r="DT49" i="31" s="1"/>
  <c r="CG91" i="30"/>
  <c r="CF90" i="30"/>
  <c r="CI90" i="30" s="1"/>
  <c r="DW48" i="31"/>
  <c r="DV48" i="31"/>
  <c r="DU47" i="31"/>
  <c r="DY47" i="31" s="1"/>
  <c r="BU100" i="26"/>
  <c r="BT99" i="26"/>
  <c r="BW99" i="26" s="1"/>
  <c r="EB50" i="32"/>
  <c r="EA50" i="32"/>
  <c r="DZ49" i="32"/>
  <c r="ED49" i="32" s="1"/>
  <c r="EG50" i="32"/>
  <c r="EF50" i="32"/>
  <c r="EE49" i="32"/>
  <c r="EI49" i="32" s="1"/>
  <c r="DW54" i="32" l="1"/>
  <c r="DU54" i="32"/>
  <c r="DT53" i="32"/>
  <c r="DY53" i="32" s="1"/>
  <c r="EF51" i="32"/>
  <c r="EG51" i="32"/>
  <c r="EE50" i="32"/>
  <c r="EI50" i="32" s="1"/>
  <c r="BO96" i="33"/>
  <c r="BN95" i="33"/>
  <c r="BQ95" i="33" s="1"/>
  <c r="BU101" i="26"/>
  <c r="BT100" i="26"/>
  <c r="BW100" i="26" s="1"/>
  <c r="DV49" i="31"/>
  <c r="DW49" i="31"/>
  <c r="DU48" i="31"/>
  <c r="DY48" i="31" s="1"/>
  <c r="DR51" i="31"/>
  <c r="DQ51" i="31"/>
  <c r="DP50" i="31"/>
  <c r="DT50" i="31" s="1"/>
  <c r="EB51" i="32"/>
  <c r="EA51" i="32"/>
  <c r="DZ50" i="32"/>
  <c r="ED50" i="32" s="1"/>
  <c r="CG92" i="30"/>
  <c r="CF91" i="30"/>
  <c r="CI91" i="30" s="1"/>
  <c r="DM54" i="31"/>
  <c r="DK54" i="31"/>
  <c r="DJ53" i="31"/>
  <c r="DO53" i="31" s="1"/>
  <c r="EA52" i="32" l="1"/>
  <c r="EB52" i="32"/>
  <c r="DZ51" i="32"/>
  <c r="ED51" i="32" s="1"/>
  <c r="EG52" i="32"/>
  <c r="EF52" i="32"/>
  <c r="EE51" i="32"/>
  <c r="EI51" i="32" s="1"/>
  <c r="BU102" i="26"/>
  <c r="BT101" i="26"/>
  <c r="BW101" i="26" s="1"/>
  <c r="DM55" i="31"/>
  <c r="DK55" i="31"/>
  <c r="DJ54" i="31"/>
  <c r="DO54" i="31" s="1"/>
  <c r="BO97" i="33"/>
  <c r="BN96" i="33"/>
  <c r="BQ96" i="33" s="1"/>
  <c r="DW55" i="32"/>
  <c r="DU55" i="32"/>
  <c r="DT54" i="32"/>
  <c r="DY54" i="32" s="1"/>
  <c r="DQ52" i="31"/>
  <c r="DR52" i="31"/>
  <c r="DP51" i="31"/>
  <c r="DT51" i="31" s="1"/>
  <c r="CG93" i="30"/>
  <c r="CF92" i="30"/>
  <c r="CI92" i="30" s="1"/>
  <c r="DW50" i="31"/>
  <c r="DV50" i="31"/>
  <c r="DU49" i="31"/>
  <c r="DY49" i="31" s="1"/>
  <c r="DM56" i="31" l="1"/>
  <c r="DK56" i="31"/>
  <c r="DJ55" i="31"/>
  <c r="DO55" i="31" s="1"/>
  <c r="DV51" i="31"/>
  <c r="DW51" i="31"/>
  <c r="DU50" i="31"/>
  <c r="DY50" i="31" s="1"/>
  <c r="DR53" i="31"/>
  <c r="DQ53" i="31"/>
  <c r="DP52" i="31"/>
  <c r="DT52" i="31" s="1"/>
  <c r="DW56" i="32"/>
  <c r="DU56" i="32"/>
  <c r="DT55" i="32"/>
  <c r="DY55" i="32" s="1"/>
  <c r="EB53" i="32"/>
  <c r="EA53" i="32"/>
  <c r="DZ52" i="32"/>
  <c r="ED52" i="32" s="1"/>
  <c r="BU103" i="26"/>
  <c r="BT102" i="26"/>
  <c r="BW102" i="26" s="1"/>
  <c r="CG94" i="30"/>
  <c r="CF93" i="30"/>
  <c r="CI93" i="30" s="1"/>
  <c r="BO98" i="33"/>
  <c r="BN97" i="33"/>
  <c r="BQ97" i="33" s="1"/>
  <c r="EG53" i="32"/>
  <c r="EF53" i="32"/>
  <c r="EE52" i="32"/>
  <c r="EI52" i="32" s="1"/>
  <c r="DW52" i="31" l="1"/>
  <c r="DV52" i="31"/>
  <c r="DU51" i="31"/>
  <c r="DY51" i="31" s="1"/>
  <c r="DM57" i="31"/>
  <c r="DK57" i="31"/>
  <c r="DJ56" i="31"/>
  <c r="DO56" i="31" s="1"/>
  <c r="EG54" i="32"/>
  <c r="EF54" i="32"/>
  <c r="EE53" i="32"/>
  <c r="EI53" i="32" s="1"/>
  <c r="CG95" i="30"/>
  <c r="CF94" i="30"/>
  <c r="CI94" i="30" s="1"/>
  <c r="DW57" i="32"/>
  <c r="DU57" i="32"/>
  <c r="DT56" i="32"/>
  <c r="DY56" i="32" s="1"/>
  <c r="EB54" i="32"/>
  <c r="EA54" i="32"/>
  <c r="DZ53" i="32"/>
  <c r="ED53" i="32" s="1"/>
  <c r="DQ54" i="31"/>
  <c r="DR54" i="31"/>
  <c r="DP53" i="31"/>
  <c r="DT53" i="31" s="1"/>
  <c r="BO99" i="33"/>
  <c r="BN98" i="33"/>
  <c r="BQ98" i="33" s="1"/>
  <c r="BU104" i="26"/>
  <c r="BT103" i="26"/>
  <c r="BW103" i="26" s="1"/>
  <c r="CG96" i="30" l="1"/>
  <c r="CF95" i="30"/>
  <c r="CI95" i="30" s="1"/>
  <c r="DV53" i="31"/>
  <c r="DW53" i="31"/>
  <c r="DU52" i="31"/>
  <c r="DY52" i="31" s="1"/>
  <c r="BU105" i="26"/>
  <c r="BT104" i="26"/>
  <c r="BW104" i="26" s="1"/>
  <c r="DR55" i="31"/>
  <c r="DQ55" i="31"/>
  <c r="DP54" i="31"/>
  <c r="DT54" i="31" s="1"/>
  <c r="EB55" i="32"/>
  <c r="EA55" i="32"/>
  <c r="DZ54" i="32"/>
  <c r="ED54" i="32" s="1"/>
  <c r="EF55" i="32"/>
  <c r="EG55" i="32"/>
  <c r="EE54" i="32"/>
  <c r="EI54" i="32" s="1"/>
  <c r="BO100" i="33"/>
  <c r="BN99" i="33"/>
  <c r="BQ99" i="33" s="1"/>
  <c r="DW58" i="32"/>
  <c r="DU58" i="32"/>
  <c r="DT57" i="32"/>
  <c r="DY57" i="32" s="1"/>
  <c r="DM58" i="31"/>
  <c r="DK58" i="31"/>
  <c r="DJ57" i="31"/>
  <c r="DO57" i="31" s="1"/>
  <c r="DW59" i="32" l="1"/>
  <c r="DU59" i="32"/>
  <c r="DT58" i="32"/>
  <c r="DY58" i="32" s="1"/>
  <c r="EG56" i="32"/>
  <c r="EF56" i="32"/>
  <c r="EE55" i="32"/>
  <c r="EI55" i="32" s="1"/>
  <c r="EA56" i="32"/>
  <c r="EB56" i="32"/>
  <c r="DZ55" i="32"/>
  <c r="ED55" i="32" s="1"/>
  <c r="BO101" i="33"/>
  <c r="BN100" i="33"/>
  <c r="BQ100" i="33" s="1"/>
  <c r="CG97" i="30"/>
  <c r="CF96" i="30"/>
  <c r="CI96" i="30" s="1"/>
  <c r="DM59" i="31"/>
  <c r="DK59" i="31"/>
  <c r="DJ58" i="31"/>
  <c r="DO58" i="31" s="1"/>
  <c r="BU106" i="26"/>
  <c r="BT105" i="26"/>
  <c r="BW105" i="26" s="1"/>
  <c r="DQ56" i="31"/>
  <c r="DR56" i="31"/>
  <c r="DP55" i="31"/>
  <c r="DT55" i="31" s="1"/>
  <c r="DW54" i="31"/>
  <c r="DV54" i="31"/>
  <c r="DU53" i="31"/>
  <c r="DY53" i="31" s="1"/>
  <c r="BU107" i="26" l="1"/>
  <c r="BT106" i="26"/>
  <c r="BW106" i="26" s="1"/>
  <c r="DV55" i="31"/>
  <c r="DW55" i="31"/>
  <c r="DU54" i="31"/>
  <c r="DY54" i="31" s="1"/>
  <c r="DM60" i="31"/>
  <c r="DK60" i="31"/>
  <c r="DJ59" i="31"/>
  <c r="DO59" i="31" s="1"/>
  <c r="BO102" i="33"/>
  <c r="BN101" i="33"/>
  <c r="BQ101" i="33" s="1"/>
  <c r="DW60" i="32"/>
  <c r="DU60" i="32"/>
  <c r="DT59" i="32"/>
  <c r="DY59" i="32" s="1"/>
  <c r="DQ57" i="31"/>
  <c r="DR57" i="31"/>
  <c r="DP56" i="31"/>
  <c r="DT56" i="31" s="1"/>
  <c r="CG98" i="30"/>
  <c r="CF97" i="30"/>
  <c r="CI97" i="30" s="1"/>
  <c r="EB57" i="32"/>
  <c r="EA57" i="32"/>
  <c r="DZ56" i="32"/>
  <c r="ED56" i="32" s="1"/>
  <c r="EG57" i="32"/>
  <c r="EF57" i="32"/>
  <c r="EE56" i="32"/>
  <c r="EI56" i="32" s="1"/>
  <c r="EG58" i="32" l="1"/>
  <c r="EF58" i="32"/>
  <c r="EE57" i="32"/>
  <c r="EI57" i="32" s="1"/>
  <c r="DM61" i="31"/>
  <c r="DK61" i="31"/>
  <c r="DJ60" i="31"/>
  <c r="DO60" i="31" s="1"/>
  <c r="BO103" i="33"/>
  <c r="BN102" i="33"/>
  <c r="BQ102" i="33" s="1"/>
  <c r="BU108" i="26"/>
  <c r="BT107" i="26"/>
  <c r="BW107" i="26" s="1"/>
  <c r="EB58" i="32"/>
  <c r="EA58" i="32"/>
  <c r="DZ57" i="32"/>
  <c r="ED57" i="32" s="1"/>
  <c r="DR58" i="31"/>
  <c r="DQ58" i="31"/>
  <c r="DP57" i="31"/>
  <c r="DT57" i="31" s="1"/>
  <c r="DW61" i="32"/>
  <c r="DU61" i="32"/>
  <c r="DT60" i="32"/>
  <c r="DY60" i="32" s="1"/>
  <c r="CG99" i="30"/>
  <c r="CF98" i="30"/>
  <c r="CI98" i="30" s="1"/>
  <c r="DW56" i="31"/>
  <c r="DV56" i="31"/>
  <c r="DU55" i="31"/>
  <c r="DY55" i="31" s="1"/>
  <c r="DV57" i="31" l="1"/>
  <c r="DW57" i="31"/>
  <c r="DU56" i="31"/>
  <c r="DY56" i="31" s="1"/>
  <c r="DR59" i="31"/>
  <c r="DQ59" i="31"/>
  <c r="DP58" i="31"/>
  <c r="DT58" i="31" s="1"/>
  <c r="EB59" i="32"/>
  <c r="EA59" i="32"/>
  <c r="DZ58" i="32"/>
  <c r="ED58" i="32" s="1"/>
  <c r="BO104" i="33"/>
  <c r="BN103" i="33"/>
  <c r="BQ103" i="33" s="1"/>
  <c r="DW62" i="32"/>
  <c r="DU62" i="32"/>
  <c r="DT61" i="32"/>
  <c r="DY61" i="32" s="1"/>
  <c r="BU109" i="26"/>
  <c r="BT108" i="26"/>
  <c r="BW108" i="26" s="1"/>
  <c r="EF59" i="32"/>
  <c r="EG59" i="32"/>
  <c r="EE58" i="32"/>
  <c r="EI58" i="32" s="1"/>
  <c r="CG100" i="30"/>
  <c r="CF99" i="30"/>
  <c r="CI99" i="30" s="1"/>
  <c r="DM62" i="31"/>
  <c r="DK62" i="31"/>
  <c r="DJ61" i="31"/>
  <c r="DO61" i="31" s="1"/>
  <c r="DM63" i="31" l="1"/>
  <c r="DK63" i="31"/>
  <c r="DJ62" i="31"/>
  <c r="DO62" i="31" s="1"/>
  <c r="EG60" i="32"/>
  <c r="EF60" i="32"/>
  <c r="EE59" i="32"/>
  <c r="EI59" i="32" s="1"/>
  <c r="BO105" i="33"/>
  <c r="BN104" i="33"/>
  <c r="BQ104" i="33" s="1"/>
  <c r="DW58" i="31"/>
  <c r="DV58" i="31"/>
  <c r="DU57" i="31"/>
  <c r="DY57" i="31" s="1"/>
  <c r="BU110" i="26"/>
  <c r="BT109" i="26"/>
  <c r="BW109" i="26" s="1"/>
  <c r="EA60" i="32"/>
  <c r="EB60" i="32"/>
  <c r="DZ59" i="32"/>
  <c r="ED59" i="32" s="1"/>
  <c r="CG101" i="30"/>
  <c r="CF100" i="30"/>
  <c r="CI100" i="30" s="1"/>
  <c r="DW63" i="32"/>
  <c r="DU63" i="32"/>
  <c r="DT62" i="32"/>
  <c r="DY62" i="32" s="1"/>
  <c r="DQ60" i="31"/>
  <c r="DR60" i="31"/>
  <c r="DP59" i="31"/>
  <c r="DT59" i="31" s="1"/>
  <c r="CG102" i="30" l="1"/>
  <c r="CF101" i="30"/>
  <c r="CI101" i="30" s="1"/>
  <c r="DW59" i="31"/>
  <c r="DV59" i="31"/>
  <c r="DU58" i="31"/>
  <c r="DY58" i="31" s="1"/>
  <c r="DM64" i="31"/>
  <c r="DK64" i="31"/>
  <c r="DJ63" i="31"/>
  <c r="DO63" i="31" s="1"/>
  <c r="DW64" i="32"/>
  <c r="DU64" i="32"/>
  <c r="DT63" i="32"/>
  <c r="DY63" i="32" s="1"/>
  <c r="EB61" i="32"/>
  <c r="EA61" i="32"/>
  <c r="DZ60" i="32"/>
  <c r="ED60" i="32" s="1"/>
  <c r="BO106" i="33"/>
  <c r="BN105" i="33"/>
  <c r="BQ105" i="33" s="1"/>
  <c r="DQ61" i="31"/>
  <c r="DR61" i="31"/>
  <c r="DP60" i="31"/>
  <c r="DT60" i="31" s="1"/>
  <c r="BU111" i="26"/>
  <c r="BT110" i="26"/>
  <c r="BW110" i="26" s="1"/>
  <c r="EG61" i="32"/>
  <c r="EF61" i="32"/>
  <c r="EE60" i="32"/>
  <c r="EI60" i="32" s="1"/>
  <c r="CG103" i="30" l="1"/>
  <c r="CF102" i="30"/>
  <c r="CI102" i="30" s="1"/>
  <c r="EG62" i="32"/>
  <c r="EF62" i="32"/>
  <c r="EE61" i="32"/>
  <c r="EI61" i="32" s="1"/>
  <c r="DR62" i="31"/>
  <c r="DQ62" i="31"/>
  <c r="DP61" i="31"/>
  <c r="DT61" i="31" s="1"/>
  <c r="DM65" i="31"/>
  <c r="DK65" i="31"/>
  <c r="DJ64" i="31"/>
  <c r="DO64" i="31" s="1"/>
  <c r="DW65" i="32"/>
  <c r="DU65" i="32"/>
  <c r="DT64" i="32"/>
  <c r="DY64" i="32" s="1"/>
  <c r="BO107" i="33"/>
  <c r="BN106" i="33"/>
  <c r="BQ106" i="33" s="1"/>
  <c r="DV60" i="31"/>
  <c r="DW60" i="31"/>
  <c r="DU59" i="31"/>
  <c r="DY59" i="31" s="1"/>
  <c r="BU112" i="26"/>
  <c r="BT111" i="26"/>
  <c r="BW111" i="26" s="1"/>
  <c r="EB62" i="32"/>
  <c r="EA62" i="32"/>
  <c r="DZ61" i="32"/>
  <c r="ED61" i="32" s="1"/>
  <c r="CG104" i="30" l="1"/>
  <c r="CF103" i="30"/>
  <c r="CI103" i="30" s="1"/>
  <c r="EB63" i="32"/>
  <c r="EA63" i="32"/>
  <c r="DZ62" i="32"/>
  <c r="ED62" i="32" s="1"/>
  <c r="DV61" i="31"/>
  <c r="DW61" i="31"/>
  <c r="DU60" i="31"/>
  <c r="DY60" i="31" s="1"/>
  <c r="DR63" i="31"/>
  <c r="DQ63" i="31"/>
  <c r="DP62" i="31"/>
  <c r="DT62" i="31" s="1"/>
  <c r="BO108" i="33"/>
  <c r="BN107" i="33"/>
  <c r="BQ107" i="33" s="1"/>
  <c r="EF63" i="32"/>
  <c r="EG63" i="32"/>
  <c r="EE62" i="32"/>
  <c r="EI62" i="32" s="1"/>
  <c r="DM66" i="31"/>
  <c r="DK66" i="31"/>
  <c r="DJ65" i="31"/>
  <c r="DO65" i="31" s="1"/>
  <c r="BU113" i="26"/>
  <c r="BT112" i="26"/>
  <c r="BW112" i="26" s="1"/>
  <c r="DW66" i="32"/>
  <c r="DU66" i="32"/>
  <c r="DT65" i="32"/>
  <c r="DY65" i="32" s="1"/>
  <c r="DM67" i="31" l="1"/>
  <c r="DK67" i="31"/>
  <c r="DJ66" i="31"/>
  <c r="DO66" i="31" s="1"/>
  <c r="DW67" i="32"/>
  <c r="DU67" i="32"/>
  <c r="DT66" i="32"/>
  <c r="DY66" i="32" s="1"/>
  <c r="EG64" i="32"/>
  <c r="EF64" i="32"/>
  <c r="EE63" i="32"/>
  <c r="EI63" i="32" s="1"/>
  <c r="DW62" i="31"/>
  <c r="DV62" i="31"/>
  <c r="DU61" i="31"/>
  <c r="DY61" i="31" s="1"/>
  <c r="EA64" i="32"/>
  <c r="EB64" i="32"/>
  <c r="DZ63" i="32"/>
  <c r="ED63" i="32" s="1"/>
  <c r="DQ64" i="31"/>
  <c r="DR64" i="31"/>
  <c r="DP63" i="31"/>
  <c r="DT63" i="31" s="1"/>
  <c r="CG105" i="30"/>
  <c r="CF104" i="30"/>
  <c r="CI104" i="30" s="1"/>
  <c r="BU114" i="26"/>
  <c r="BT113" i="26"/>
  <c r="BW113" i="26" s="1"/>
  <c r="BO109" i="33"/>
  <c r="BN108" i="33"/>
  <c r="BQ108" i="33" s="1"/>
  <c r="DQ65" i="31" l="1"/>
  <c r="DR65" i="31"/>
  <c r="DP64" i="31"/>
  <c r="DT64" i="31" s="1"/>
  <c r="EB65" i="32"/>
  <c r="EA65" i="32"/>
  <c r="DZ64" i="32"/>
  <c r="ED64" i="32" s="1"/>
  <c r="DW63" i="31"/>
  <c r="DV63" i="31"/>
  <c r="DU62" i="31"/>
  <c r="DY62" i="31" s="1"/>
  <c r="DM68" i="31"/>
  <c r="DK68" i="31"/>
  <c r="DJ67" i="31"/>
  <c r="DO67" i="31" s="1"/>
  <c r="BO110" i="33"/>
  <c r="BN109" i="33"/>
  <c r="BQ109" i="33" s="1"/>
  <c r="CG106" i="30"/>
  <c r="CF105" i="30"/>
  <c r="CI105" i="30" s="1"/>
  <c r="EG65" i="32"/>
  <c r="EF65" i="32"/>
  <c r="EE64" i="32"/>
  <c r="EI64" i="32" s="1"/>
  <c r="BU115" i="26"/>
  <c r="BT114" i="26"/>
  <c r="BW114" i="26" s="1"/>
  <c r="DW68" i="32"/>
  <c r="DU68" i="32"/>
  <c r="DT67" i="32"/>
  <c r="DY67" i="32" s="1"/>
  <c r="DQ66" i="31" l="1"/>
  <c r="DR66" i="31"/>
  <c r="DP65" i="31"/>
  <c r="DT65" i="31" s="1"/>
  <c r="BO111" i="33"/>
  <c r="BN110" i="33"/>
  <c r="BQ110" i="33" s="1"/>
  <c r="CG107" i="30"/>
  <c r="CF106" i="30"/>
  <c r="CI106" i="30" s="1"/>
  <c r="DV64" i="31"/>
  <c r="DW64" i="31"/>
  <c r="DU63" i="31"/>
  <c r="DY63" i="31" s="1"/>
  <c r="EG66" i="32"/>
  <c r="EF66" i="32"/>
  <c r="EE65" i="32"/>
  <c r="EI65" i="32" s="1"/>
  <c r="DW69" i="32"/>
  <c r="DU69" i="32"/>
  <c r="DT68" i="32"/>
  <c r="DY68" i="32" s="1"/>
  <c r="DM69" i="31"/>
  <c r="DK69" i="31"/>
  <c r="DJ68" i="31"/>
  <c r="DO68" i="31" s="1"/>
  <c r="BU116" i="26"/>
  <c r="BT115" i="26"/>
  <c r="BW115" i="26" s="1"/>
  <c r="EB66" i="32"/>
  <c r="EA66" i="32"/>
  <c r="DZ65" i="32"/>
  <c r="ED65" i="32" s="1"/>
  <c r="EB67" i="32" l="1"/>
  <c r="EA67" i="32"/>
  <c r="DZ66" i="32"/>
  <c r="ED66" i="32" s="1"/>
  <c r="DW70" i="32"/>
  <c r="DU70" i="32"/>
  <c r="DT69" i="32"/>
  <c r="DY69" i="32" s="1"/>
  <c r="CG108" i="30"/>
  <c r="CF107" i="30"/>
  <c r="CI107" i="30" s="1"/>
  <c r="DR67" i="31"/>
  <c r="DQ67" i="31"/>
  <c r="DP66" i="31"/>
  <c r="DT66" i="31" s="1"/>
  <c r="DM70" i="31"/>
  <c r="DK70" i="31"/>
  <c r="DJ69" i="31"/>
  <c r="DO69" i="31" s="1"/>
  <c r="DV65" i="31"/>
  <c r="DW65" i="31"/>
  <c r="DU64" i="31"/>
  <c r="DY64" i="31" s="1"/>
  <c r="EF67" i="32"/>
  <c r="EG67" i="32"/>
  <c r="EE66" i="32"/>
  <c r="EI66" i="32" s="1"/>
  <c r="BU117" i="26"/>
  <c r="BT116" i="26"/>
  <c r="BW116" i="26" s="1"/>
  <c r="BO112" i="33"/>
  <c r="BN111" i="33"/>
  <c r="BQ111" i="33" s="1"/>
  <c r="BU118" i="26" l="1"/>
  <c r="BT117" i="26"/>
  <c r="BW117" i="26" s="1"/>
  <c r="EA68" i="32"/>
  <c r="EB68" i="32"/>
  <c r="DZ67" i="32"/>
  <c r="ED67" i="32" s="1"/>
  <c r="BO113" i="33"/>
  <c r="BN112" i="33"/>
  <c r="BQ112" i="33" s="1"/>
  <c r="EG68" i="32"/>
  <c r="EF68" i="32"/>
  <c r="EE67" i="32"/>
  <c r="EI67" i="32" s="1"/>
  <c r="CG109" i="30"/>
  <c r="CF108" i="30"/>
  <c r="CI108" i="30" s="1"/>
  <c r="DQ68" i="31"/>
  <c r="DR68" i="31"/>
  <c r="DP67" i="31"/>
  <c r="DT67" i="31" s="1"/>
  <c r="DW66" i="31"/>
  <c r="DV66" i="31"/>
  <c r="DU65" i="31"/>
  <c r="DY65" i="31" s="1"/>
  <c r="DM71" i="31"/>
  <c r="DK71" i="31"/>
  <c r="DJ70" i="31"/>
  <c r="DO70" i="31" s="1"/>
  <c r="DW71" i="32"/>
  <c r="DU71" i="32"/>
  <c r="DT70" i="32"/>
  <c r="DY70" i="32" s="1"/>
  <c r="BU119" i="26" l="1"/>
  <c r="BT118" i="26"/>
  <c r="BW118" i="26" s="1"/>
  <c r="DR69" i="31"/>
  <c r="DQ69" i="31"/>
  <c r="DP68" i="31"/>
  <c r="DT68" i="31" s="1"/>
  <c r="BO114" i="33"/>
  <c r="BN113" i="33"/>
  <c r="BQ113" i="33" s="1"/>
  <c r="DW72" i="32"/>
  <c r="DU72" i="32"/>
  <c r="DT71" i="32"/>
  <c r="DY71" i="32" s="1"/>
  <c r="CG110" i="30"/>
  <c r="CF109" i="30"/>
  <c r="CI109" i="30" s="1"/>
  <c r="DM72" i="31"/>
  <c r="DK72" i="31"/>
  <c r="DJ71" i="31"/>
  <c r="DO71" i="31" s="1"/>
  <c r="DV67" i="31"/>
  <c r="DW67" i="31"/>
  <c r="DU66" i="31"/>
  <c r="DY66" i="31" s="1"/>
  <c r="EG69" i="32"/>
  <c r="EF69" i="32"/>
  <c r="EE68" i="32"/>
  <c r="EI68" i="32" s="1"/>
  <c r="EB69" i="32"/>
  <c r="EA69" i="32"/>
  <c r="DZ68" i="32"/>
  <c r="ED68" i="32" s="1"/>
  <c r="DW73" i="32" l="1"/>
  <c r="DU73" i="32"/>
  <c r="DT72" i="32"/>
  <c r="DY72" i="32" s="1"/>
  <c r="DW68" i="31"/>
  <c r="DV68" i="31"/>
  <c r="DU67" i="31"/>
  <c r="DY67" i="31" s="1"/>
  <c r="DM73" i="31"/>
  <c r="DK73" i="31"/>
  <c r="DJ72" i="31"/>
  <c r="DO72" i="31" s="1"/>
  <c r="BU120" i="26"/>
  <c r="BT119" i="26"/>
  <c r="BW119" i="26" s="1"/>
  <c r="EB70" i="32"/>
  <c r="EA70" i="32"/>
  <c r="DZ69" i="32"/>
  <c r="ED69" i="32" s="1"/>
  <c r="BO115" i="33"/>
  <c r="BN114" i="33"/>
  <c r="BQ114" i="33" s="1"/>
  <c r="EG70" i="32"/>
  <c r="EF70" i="32"/>
  <c r="EE69" i="32"/>
  <c r="EI69" i="32" s="1"/>
  <c r="CG111" i="30"/>
  <c r="CF110" i="30"/>
  <c r="CI110" i="30" s="1"/>
  <c r="DQ70" i="31"/>
  <c r="DR70" i="31"/>
  <c r="DP69" i="31"/>
  <c r="DT69" i="31" s="1"/>
  <c r="EF71" i="32" l="1"/>
  <c r="EG71" i="32"/>
  <c r="EE70" i="32"/>
  <c r="EI70" i="32" s="1"/>
  <c r="DW74" i="32"/>
  <c r="DU74" i="32"/>
  <c r="DT73" i="32"/>
  <c r="DY73" i="32" s="1"/>
  <c r="BU121" i="26"/>
  <c r="BT120" i="26"/>
  <c r="BW120" i="26" s="1"/>
  <c r="DR71" i="31"/>
  <c r="DQ71" i="31"/>
  <c r="DP70" i="31"/>
  <c r="DT70" i="31" s="1"/>
  <c r="BO116" i="33"/>
  <c r="BN115" i="33"/>
  <c r="BQ115" i="33" s="1"/>
  <c r="DM74" i="31"/>
  <c r="DK74" i="31"/>
  <c r="DJ73" i="31"/>
  <c r="DO73" i="31" s="1"/>
  <c r="CG112" i="30"/>
  <c r="CF111" i="30"/>
  <c r="CI111" i="30" s="1"/>
  <c r="EB71" i="32"/>
  <c r="EA71" i="32"/>
  <c r="DZ70" i="32"/>
  <c r="ED70" i="32" s="1"/>
  <c r="DV69" i="31"/>
  <c r="DW69" i="31"/>
  <c r="DU68" i="31"/>
  <c r="DY68" i="31" s="1"/>
  <c r="CG113" i="30" l="1"/>
  <c r="CF112" i="30"/>
  <c r="CI112" i="30" s="1"/>
  <c r="DQ72" i="31"/>
  <c r="DR72" i="31"/>
  <c r="DP71" i="31"/>
  <c r="DT71" i="31" s="1"/>
  <c r="EA72" i="32"/>
  <c r="EB72" i="32"/>
  <c r="DZ71" i="32"/>
  <c r="ED71" i="32" s="1"/>
  <c r="BU122" i="26"/>
  <c r="BT121" i="26"/>
  <c r="BW121" i="26" s="1"/>
  <c r="DM75" i="31"/>
  <c r="DK75" i="31"/>
  <c r="DJ74" i="31"/>
  <c r="DO74" i="31" s="1"/>
  <c r="EG72" i="32"/>
  <c r="EF72" i="32"/>
  <c r="EE71" i="32"/>
  <c r="EI71" i="32" s="1"/>
  <c r="DW70" i="31"/>
  <c r="DV70" i="31"/>
  <c r="DU69" i="31"/>
  <c r="DY69" i="31" s="1"/>
  <c r="BO117" i="33"/>
  <c r="BN116" i="33"/>
  <c r="BQ116" i="33" s="1"/>
  <c r="DW75" i="32"/>
  <c r="DU75" i="32"/>
  <c r="DT74" i="32"/>
  <c r="DY74" i="32" s="1"/>
  <c r="DV71" i="31" l="1"/>
  <c r="DW71" i="31"/>
  <c r="DU70" i="31"/>
  <c r="DY70" i="31" s="1"/>
  <c r="BU123" i="26"/>
  <c r="BT122" i="26"/>
  <c r="BW122" i="26" s="1"/>
  <c r="CG114" i="30"/>
  <c r="CF113" i="30"/>
  <c r="CI113" i="30" s="1"/>
  <c r="DM76" i="31"/>
  <c r="DK76" i="31"/>
  <c r="DJ75" i="31"/>
  <c r="DO75" i="31" s="1"/>
  <c r="EB73" i="32"/>
  <c r="EA73" i="32"/>
  <c r="DZ72" i="32"/>
  <c r="ED72" i="32" s="1"/>
  <c r="DW76" i="32"/>
  <c r="DU76" i="32"/>
  <c r="DT75" i="32"/>
  <c r="DY75" i="32" s="1"/>
  <c r="EG73" i="32"/>
  <c r="EF73" i="32"/>
  <c r="EE72" i="32"/>
  <c r="EI72" i="32" s="1"/>
  <c r="BO118" i="33"/>
  <c r="BN117" i="33"/>
  <c r="BQ117" i="33" s="1"/>
  <c r="DR73" i="31"/>
  <c r="DQ73" i="31"/>
  <c r="DP72" i="31"/>
  <c r="DT72" i="31" s="1"/>
  <c r="EG74" i="32" l="1"/>
  <c r="EF74" i="32"/>
  <c r="EE73" i="32"/>
  <c r="EI73" i="32" s="1"/>
  <c r="DW77" i="32"/>
  <c r="DU77" i="32"/>
  <c r="DT76" i="32"/>
  <c r="DY76" i="32" s="1"/>
  <c r="CG115" i="30"/>
  <c r="CF114" i="30"/>
  <c r="CI114" i="30" s="1"/>
  <c r="EB74" i="32"/>
  <c r="EA74" i="32"/>
  <c r="DZ73" i="32"/>
  <c r="ED73" i="32" s="1"/>
  <c r="DR74" i="31"/>
  <c r="DQ74" i="31"/>
  <c r="DP73" i="31"/>
  <c r="DT73" i="31" s="1"/>
  <c r="DV72" i="31"/>
  <c r="DW72" i="31"/>
  <c r="DU71" i="31"/>
  <c r="DY71" i="31" s="1"/>
  <c r="BO119" i="33"/>
  <c r="BN118" i="33"/>
  <c r="BQ118" i="33" s="1"/>
  <c r="DM77" i="31"/>
  <c r="DK77" i="31"/>
  <c r="DJ76" i="31"/>
  <c r="DO76" i="31" s="1"/>
  <c r="BU124" i="26"/>
  <c r="BT123" i="26"/>
  <c r="BW123" i="26" s="1"/>
  <c r="BO120" i="33" l="1"/>
  <c r="BN119" i="33"/>
  <c r="BQ119" i="33" s="1"/>
  <c r="EB75" i="32"/>
  <c r="EA75" i="32"/>
  <c r="DZ74" i="32"/>
  <c r="ED74" i="32" s="1"/>
  <c r="EF75" i="32"/>
  <c r="EG75" i="32"/>
  <c r="EE74" i="32"/>
  <c r="EI74" i="32" s="1"/>
  <c r="BU125" i="26"/>
  <c r="BT124" i="26"/>
  <c r="BW124" i="26" s="1"/>
  <c r="CG116" i="30"/>
  <c r="CF115" i="30"/>
  <c r="CI115" i="30" s="1"/>
  <c r="DM78" i="31"/>
  <c r="DK78" i="31"/>
  <c r="DJ77" i="31"/>
  <c r="DO77" i="31" s="1"/>
  <c r="DV73" i="31"/>
  <c r="DW73" i="31"/>
  <c r="DU72" i="31"/>
  <c r="DY72" i="31" s="1"/>
  <c r="DR75" i="31"/>
  <c r="DQ75" i="31"/>
  <c r="DP74" i="31"/>
  <c r="DT74" i="31" s="1"/>
  <c r="DW78" i="32"/>
  <c r="DU78" i="32"/>
  <c r="DT77" i="32"/>
  <c r="DY77" i="32" s="1"/>
  <c r="DM79" i="31" l="1"/>
  <c r="DK79" i="31"/>
  <c r="DJ78" i="31"/>
  <c r="DO78" i="31" s="1"/>
  <c r="DQ76" i="31"/>
  <c r="DR76" i="31"/>
  <c r="DP75" i="31"/>
  <c r="DT75" i="31" s="1"/>
  <c r="CG117" i="30"/>
  <c r="CF116" i="30"/>
  <c r="CI116" i="30" s="1"/>
  <c r="EG76" i="32"/>
  <c r="EF76" i="32"/>
  <c r="EE75" i="32"/>
  <c r="EI75" i="32" s="1"/>
  <c r="EA76" i="32"/>
  <c r="EB76" i="32"/>
  <c r="DZ75" i="32"/>
  <c r="ED75" i="32" s="1"/>
  <c r="DW74" i="31"/>
  <c r="DV74" i="31"/>
  <c r="DU73" i="31"/>
  <c r="DY73" i="31" s="1"/>
  <c r="BU126" i="26"/>
  <c r="BT125" i="26"/>
  <c r="BW125" i="26" s="1"/>
  <c r="BO121" i="33"/>
  <c r="BN120" i="33"/>
  <c r="BQ120" i="33" s="1"/>
  <c r="DW79" i="32"/>
  <c r="DU79" i="32"/>
  <c r="DT78" i="32"/>
  <c r="DY78" i="32" s="1"/>
  <c r="EB77" i="32" l="1"/>
  <c r="EA77" i="32"/>
  <c r="DZ76" i="32"/>
  <c r="ED76" i="32" s="1"/>
  <c r="DQ77" i="31"/>
  <c r="DR77" i="31"/>
  <c r="DP76" i="31"/>
  <c r="DT76" i="31" s="1"/>
  <c r="DM80" i="31"/>
  <c r="DK80" i="31"/>
  <c r="DJ79" i="31"/>
  <c r="DO79" i="31" s="1"/>
  <c r="DW80" i="32"/>
  <c r="DU80" i="32"/>
  <c r="DT79" i="32"/>
  <c r="DY79" i="32" s="1"/>
  <c r="BU127" i="26"/>
  <c r="BT126" i="26"/>
  <c r="BW126" i="26" s="1"/>
  <c r="DW75" i="31"/>
  <c r="DV75" i="31"/>
  <c r="DU74" i="31"/>
  <c r="DY74" i="31" s="1"/>
  <c r="CG118" i="30"/>
  <c r="CF117" i="30"/>
  <c r="CI117" i="30" s="1"/>
  <c r="EG77" i="32"/>
  <c r="EF77" i="32"/>
  <c r="EE76" i="32"/>
  <c r="EI76" i="32" s="1"/>
  <c r="BO122" i="33"/>
  <c r="BN121" i="33"/>
  <c r="BQ121" i="33" s="1"/>
  <c r="DR78" i="31" l="1"/>
  <c r="DQ78" i="31"/>
  <c r="DP77" i="31"/>
  <c r="DT77" i="31" s="1"/>
  <c r="EB78" i="32"/>
  <c r="EA78" i="32"/>
  <c r="DZ77" i="32"/>
  <c r="ED77" i="32" s="1"/>
  <c r="CG119" i="30"/>
  <c r="CF118" i="30"/>
  <c r="CI118" i="30" s="1"/>
  <c r="DW81" i="32"/>
  <c r="DU81" i="32"/>
  <c r="DT80" i="32"/>
  <c r="DY80" i="32" s="1"/>
  <c r="BO123" i="33"/>
  <c r="BN122" i="33"/>
  <c r="BQ122" i="33" s="1"/>
  <c r="DV76" i="31"/>
  <c r="DW76" i="31"/>
  <c r="DU75" i="31"/>
  <c r="DY75" i="31" s="1"/>
  <c r="DM81" i="31"/>
  <c r="DK81" i="31"/>
  <c r="DJ80" i="31"/>
  <c r="DO80" i="31" s="1"/>
  <c r="BU128" i="26"/>
  <c r="BT127" i="26"/>
  <c r="BW127" i="26" s="1"/>
  <c r="EG78" i="32"/>
  <c r="EF78" i="32"/>
  <c r="EE77" i="32"/>
  <c r="EI77" i="32" s="1"/>
  <c r="EF79" i="32" l="1"/>
  <c r="EG79" i="32"/>
  <c r="EE78" i="32"/>
  <c r="EI78" i="32" s="1"/>
  <c r="DV77" i="31"/>
  <c r="DW77" i="31"/>
  <c r="DU76" i="31"/>
  <c r="DY76" i="31" s="1"/>
  <c r="CG120" i="30"/>
  <c r="CF119" i="30"/>
  <c r="CI119" i="30" s="1"/>
  <c r="DM82" i="31"/>
  <c r="DK82" i="31"/>
  <c r="DJ81" i="31"/>
  <c r="DO81" i="31" s="1"/>
  <c r="DW82" i="32"/>
  <c r="DU82" i="32"/>
  <c r="DT81" i="32"/>
  <c r="DY81" i="32" s="1"/>
  <c r="DR79" i="31"/>
  <c r="DQ79" i="31"/>
  <c r="DP78" i="31"/>
  <c r="DT78" i="31" s="1"/>
  <c r="BU129" i="26"/>
  <c r="BT128" i="26"/>
  <c r="BW128" i="26" s="1"/>
  <c r="BO124" i="33"/>
  <c r="BN123" i="33"/>
  <c r="BQ123" i="33" s="1"/>
  <c r="EB79" i="32"/>
  <c r="EA79" i="32"/>
  <c r="DZ78" i="32"/>
  <c r="ED78" i="32" s="1"/>
  <c r="DM83" i="31" l="1"/>
  <c r="DK83" i="31"/>
  <c r="DJ82" i="31"/>
  <c r="DO82" i="31" s="1"/>
  <c r="EA80" i="32"/>
  <c r="EB80" i="32"/>
  <c r="DZ79" i="32"/>
  <c r="ED79" i="32" s="1"/>
  <c r="BU130" i="26"/>
  <c r="BT129" i="26"/>
  <c r="BW129" i="26" s="1"/>
  <c r="EG80" i="32"/>
  <c r="EF80" i="32"/>
  <c r="EE79" i="32"/>
  <c r="EI79" i="32" s="1"/>
  <c r="DQ80" i="31"/>
  <c r="DR80" i="31"/>
  <c r="DP79" i="31"/>
  <c r="DT79" i="31" s="1"/>
  <c r="CG121" i="30"/>
  <c r="CF120" i="30"/>
  <c r="CI120" i="30" s="1"/>
  <c r="DW78" i="31"/>
  <c r="DV78" i="31"/>
  <c r="DU77" i="31"/>
  <c r="DY77" i="31" s="1"/>
  <c r="BO125" i="33"/>
  <c r="BN124" i="33"/>
  <c r="BQ124" i="33" s="1"/>
  <c r="DW83" i="32"/>
  <c r="DU83" i="32"/>
  <c r="DT82" i="32"/>
  <c r="DY82" i="32" s="1"/>
  <c r="DV79" i="31" l="1"/>
  <c r="DW79" i="31"/>
  <c r="DU78" i="31"/>
  <c r="DY78" i="31" s="1"/>
  <c r="EB81" i="32"/>
  <c r="EA81" i="32"/>
  <c r="DZ80" i="32"/>
  <c r="ED80" i="32" s="1"/>
  <c r="DW84" i="32"/>
  <c r="DU84" i="32"/>
  <c r="DT83" i="32"/>
  <c r="DY83" i="32" s="1"/>
  <c r="EG81" i="32"/>
  <c r="EF81" i="32"/>
  <c r="EE80" i="32"/>
  <c r="EI80" i="32" s="1"/>
  <c r="CG122" i="30"/>
  <c r="CF121" i="30"/>
  <c r="CI121" i="30" s="1"/>
  <c r="BU131" i="26"/>
  <c r="BT130" i="26"/>
  <c r="BW130" i="26" s="1"/>
  <c r="DR81" i="31"/>
  <c r="DQ81" i="31"/>
  <c r="DP80" i="31"/>
  <c r="DT80" i="31" s="1"/>
  <c r="DM84" i="31"/>
  <c r="DK84" i="31"/>
  <c r="DJ83" i="31"/>
  <c r="DO83" i="31" s="1"/>
  <c r="BO126" i="33"/>
  <c r="BN125" i="33"/>
  <c r="BQ125" i="33" s="1"/>
  <c r="DQ82" i="31" l="1"/>
  <c r="DR82" i="31"/>
  <c r="DP81" i="31"/>
  <c r="DT81" i="31" s="1"/>
  <c r="EG82" i="32"/>
  <c r="EF82" i="32"/>
  <c r="EE81" i="32"/>
  <c r="EI81" i="32" s="1"/>
  <c r="DW80" i="31"/>
  <c r="DV80" i="31"/>
  <c r="DU79" i="31"/>
  <c r="DY79" i="31" s="1"/>
  <c r="CG123" i="30"/>
  <c r="CF122" i="30"/>
  <c r="CI122" i="30" s="1"/>
  <c r="BU132" i="26"/>
  <c r="BT131" i="26"/>
  <c r="BW131" i="26" s="1"/>
  <c r="DW85" i="32"/>
  <c r="DU85" i="32"/>
  <c r="DT84" i="32"/>
  <c r="DY84" i="32" s="1"/>
  <c r="BO127" i="33"/>
  <c r="BN126" i="33"/>
  <c r="BQ126" i="33" s="1"/>
  <c r="DM85" i="31"/>
  <c r="DK85" i="31"/>
  <c r="DJ84" i="31"/>
  <c r="DO84" i="31" s="1"/>
  <c r="EB82" i="32"/>
  <c r="EA82" i="32"/>
  <c r="DZ81" i="32"/>
  <c r="ED81" i="32" s="1"/>
  <c r="EB83" i="32" l="1"/>
  <c r="EA83" i="32"/>
  <c r="DZ82" i="32"/>
  <c r="ED82" i="32" s="1"/>
  <c r="DW86" i="32"/>
  <c r="DU86" i="32"/>
  <c r="DT85" i="32"/>
  <c r="DY85" i="32" s="1"/>
  <c r="CG124" i="30"/>
  <c r="CF123" i="30"/>
  <c r="CI123" i="30" s="1"/>
  <c r="DR83" i="31"/>
  <c r="DQ83" i="31"/>
  <c r="DP82" i="31"/>
  <c r="DT82" i="31" s="1"/>
  <c r="BO128" i="33"/>
  <c r="BN127" i="33"/>
  <c r="BQ127" i="33" s="1"/>
  <c r="DM86" i="31"/>
  <c r="DK86" i="31"/>
  <c r="DJ85" i="31"/>
  <c r="DO85" i="31" s="1"/>
  <c r="DV81" i="31"/>
  <c r="DW81" i="31"/>
  <c r="DU80" i="31"/>
  <c r="DY80" i="31" s="1"/>
  <c r="BU133" i="26"/>
  <c r="BT132" i="26"/>
  <c r="BW132" i="26" s="1"/>
  <c r="EF83" i="32"/>
  <c r="EG83" i="32"/>
  <c r="EE82" i="32"/>
  <c r="EI82" i="32" s="1"/>
  <c r="DQ84" i="31" l="1"/>
  <c r="DR84" i="31"/>
  <c r="DP83" i="31"/>
  <c r="DT83" i="31" s="1"/>
  <c r="EA84" i="32"/>
  <c r="EB84" i="32"/>
  <c r="DZ83" i="32"/>
  <c r="ED83" i="32" s="1"/>
  <c r="DW82" i="31"/>
  <c r="DV82" i="31"/>
  <c r="DU81" i="31"/>
  <c r="DY81" i="31" s="1"/>
  <c r="DM87" i="31"/>
  <c r="DK87" i="31"/>
  <c r="DJ86" i="31"/>
  <c r="DO86" i="31" s="1"/>
  <c r="EG84" i="32"/>
  <c r="EF84" i="32"/>
  <c r="EE83" i="32"/>
  <c r="EI83" i="32" s="1"/>
  <c r="CG125" i="30"/>
  <c r="CF124" i="30"/>
  <c r="CI124" i="30" s="1"/>
  <c r="BU134" i="26"/>
  <c r="BT133" i="26"/>
  <c r="BW133" i="26" s="1"/>
  <c r="BO129" i="33"/>
  <c r="BN128" i="33"/>
  <c r="BQ128" i="33" s="1"/>
  <c r="DW87" i="32"/>
  <c r="DU87" i="32"/>
  <c r="DT86" i="32"/>
  <c r="DY86" i="32" s="1"/>
  <c r="EG85" i="32" l="1"/>
  <c r="EF85" i="32"/>
  <c r="EE84" i="32"/>
  <c r="EI84" i="32" s="1"/>
  <c r="EB85" i="32"/>
  <c r="EA85" i="32"/>
  <c r="DZ84" i="32"/>
  <c r="ED84" i="32" s="1"/>
  <c r="DW88" i="32"/>
  <c r="DU88" i="32"/>
  <c r="DT87" i="32"/>
  <c r="DY87" i="32" s="1"/>
  <c r="BU135" i="26"/>
  <c r="BT134" i="26"/>
  <c r="BW134" i="26" s="1"/>
  <c r="DM88" i="31"/>
  <c r="DK88" i="31"/>
  <c r="DJ87" i="31"/>
  <c r="DO87" i="31" s="1"/>
  <c r="DR85" i="31"/>
  <c r="DQ85" i="31"/>
  <c r="DP84" i="31"/>
  <c r="DT84" i="31" s="1"/>
  <c r="DV83" i="31"/>
  <c r="DW83" i="31"/>
  <c r="DU82" i="31"/>
  <c r="DY82" i="31" s="1"/>
  <c r="BO130" i="33"/>
  <c r="BN129" i="33"/>
  <c r="BQ129" i="33" s="1"/>
  <c r="CG126" i="30"/>
  <c r="CF125" i="30"/>
  <c r="CI125" i="30" s="1"/>
  <c r="EG86" i="32" l="1"/>
  <c r="EF86" i="32"/>
  <c r="EE85" i="32"/>
  <c r="EI85" i="32" s="1"/>
  <c r="DW84" i="31"/>
  <c r="DV84" i="31"/>
  <c r="DU83" i="31"/>
  <c r="DY83" i="31" s="1"/>
  <c r="DQ86" i="31"/>
  <c r="DR86" i="31"/>
  <c r="DP85" i="31"/>
  <c r="DT85" i="31" s="1"/>
  <c r="DW89" i="32"/>
  <c r="DU89" i="32"/>
  <c r="DT88" i="32"/>
  <c r="DY88" i="32" s="1"/>
  <c r="BO131" i="33"/>
  <c r="BN130" i="33"/>
  <c r="BQ130" i="33" s="1"/>
  <c r="BU136" i="26"/>
  <c r="BT135" i="26"/>
  <c r="BW135" i="26" s="1"/>
  <c r="CG127" i="30"/>
  <c r="CF126" i="30"/>
  <c r="CI126" i="30" s="1"/>
  <c r="DM89" i="31"/>
  <c r="DK89" i="31"/>
  <c r="DJ88" i="31"/>
  <c r="DO88" i="31" s="1"/>
  <c r="EB86" i="32"/>
  <c r="EA86" i="32"/>
  <c r="DZ85" i="32"/>
  <c r="ED85" i="32" s="1"/>
  <c r="CG128" i="30" l="1"/>
  <c r="CF127" i="30"/>
  <c r="CI127" i="30" s="1"/>
  <c r="EB87" i="32"/>
  <c r="EA87" i="32"/>
  <c r="DZ86" i="32"/>
  <c r="ED86" i="32" s="1"/>
  <c r="DW90" i="32"/>
  <c r="DU90" i="32"/>
  <c r="DT89" i="32"/>
  <c r="DY89" i="32" s="1"/>
  <c r="BO132" i="33"/>
  <c r="BN131" i="33"/>
  <c r="BQ131" i="33" s="1"/>
  <c r="EF87" i="32"/>
  <c r="EG87" i="32"/>
  <c r="EE86" i="32"/>
  <c r="EI86" i="32" s="1"/>
  <c r="DM90" i="31"/>
  <c r="DK90" i="31"/>
  <c r="DJ89" i="31"/>
  <c r="DO89" i="31" s="1"/>
  <c r="BU137" i="26"/>
  <c r="BT136" i="26"/>
  <c r="BW136" i="26" s="1"/>
  <c r="DR87" i="31"/>
  <c r="DQ87" i="31"/>
  <c r="DP86" i="31"/>
  <c r="DT86" i="31" s="1"/>
  <c r="DV85" i="31"/>
  <c r="DW85" i="31"/>
  <c r="DU84" i="31"/>
  <c r="DY84" i="31" s="1"/>
  <c r="DW91" i="32" l="1"/>
  <c r="DU91" i="32"/>
  <c r="DT90" i="32"/>
  <c r="DY90" i="32" s="1"/>
  <c r="DW86" i="31"/>
  <c r="DV86" i="31"/>
  <c r="DU85" i="31"/>
  <c r="DY85" i="31" s="1"/>
  <c r="DQ88" i="31"/>
  <c r="DR88" i="31"/>
  <c r="DP87" i="31"/>
  <c r="DT87" i="31" s="1"/>
  <c r="EA88" i="32"/>
  <c r="EB88" i="32"/>
  <c r="DZ87" i="32"/>
  <c r="ED87" i="32" s="1"/>
  <c r="BU138" i="26"/>
  <c r="BT137" i="26"/>
  <c r="BW137" i="26" s="1"/>
  <c r="BO133" i="33"/>
  <c r="BN132" i="33"/>
  <c r="BQ132" i="33" s="1"/>
  <c r="CG129" i="30"/>
  <c r="CF128" i="30"/>
  <c r="CI128" i="30" s="1"/>
  <c r="DM91" i="31"/>
  <c r="DK91" i="31"/>
  <c r="DJ90" i="31"/>
  <c r="DO90" i="31" s="1"/>
  <c r="EG88" i="32"/>
  <c r="EF88" i="32"/>
  <c r="EE87" i="32"/>
  <c r="EI87" i="32" s="1"/>
  <c r="BU139" i="26" l="1"/>
  <c r="BT138" i="26"/>
  <c r="BW138" i="26" s="1"/>
  <c r="DW92" i="32"/>
  <c r="DU92" i="32"/>
  <c r="DT91" i="32"/>
  <c r="DY91" i="32" s="1"/>
  <c r="EG89" i="32"/>
  <c r="EF89" i="32"/>
  <c r="EE88" i="32"/>
  <c r="EI88" i="32" s="1"/>
  <c r="DM92" i="31"/>
  <c r="DK92" i="31"/>
  <c r="DJ91" i="31"/>
  <c r="DO91" i="31" s="1"/>
  <c r="BO134" i="33"/>
  <c r="BN133" i="33"/>
  <c r="BQ133" i="33" s="1"/>
  <c r="EB89" i="32"/>
  <c r="EA89" i="32"/>
  <c r="DZ88" i="32"/>
  <c r="ED88" i="32" s="1"/>
  <c r="CG130" i="30"/>
  <c r="CF129" i="30"/>
  <c r="CI129" i="30" s="1"/>
  <c r="DQ89" i="31"/>
  <c r="DR89" i="31"/>
  <c r="DP88" i="31"/>
  <c r="DT88" i="31" s="1"/>
  <c r="DV87" i="31"/>
  <c r="DW87" i="31"/>
  <c r="DU86" i="31"/>
  <c r="DY86" i="31" s="1"/>
  <c r="CG131" i="30" l="1"/>
  <c r="CF130" i="30"/>
  <c r="CI130" i="30" s="1"/>
  <c r="DM93" i="31"/>
  <c r="DK93" i="31"/>
  <c r="DJ92" i="31"/>
  <c r="DO92" i="31" s="1"/>
  <c r="BU140" i="26"/>
  <c r="BT139" i="26"/>
  <c r="BW139" i="26" s="1"/>
  <c r="EB90" i="32"/>
  <c r="EA90" i="32"/>
  <c r="DZ89" i="32"/>
  <c r="ED89" i="32" s="1"/>
  <c r="EG90" i="32"/>
  <c r="EF90" i="32"/>
  <c r="EE89" i="32"/>
  <c r="EI89" i="32" s="1"/>
  <c r="DW88" i="31"/>
  <c r="DV88" i="31"/>
  <c r="DU87" i="31"/>
  <c r="DY87" i="31" s="1"/>
  <c r="DW93" i="32"/>
  <c r="DU93" i="32"/>
  <c r="DT92" i="32"/>
  <c r="DY92" i="32" s="1"/>
  <c r="DR90" i="31"/>
  <c r="DQ90" i="31"/>
  <c r="DP89" i="31"/>
  <c r="DT89" i="31" s="1"/>
  <c r="BO135" i="33"/>
  <c r="BN134" i="33"/>
  <c r="BQ134" i="33" s="1"/>
  <c r="DW94" i="32" l="1"/>
  <c r="DU94" i="32"/>
  <c r="DT93" i="32"/>
  <c r="DY93" i="32" s="1"/>
  <c r="EF91" i="32"/>
  <c r="EG91" i="32"/>
  <c r="EE90" i="32"/>
  <c r="EI90" i="32" s="1"/>
  <c r="DM94" i="31"/>
  <c r="DK94" i="31"/>
  <c r="DJ93" i="31"/>
  <c r="DO93" i="31" s="1"/>
  <c r="CG132" i="30"/>
  <c r="CF131" i="30"/>
  <c r="CI131" i="30" s="1"/>
  <c r="DV89" i="31"/>
  <c r="DW89" i="31"/>
  <c r="DU88" i="31"/>
  <c r="DY88" i="31" s="1"/>
  <c r="BU141" i="26"/>
  <c r="BT140" i="26"/>
  <c r="BW140" i="26" s="1"/>
  <c r="BO136" i="33"/>
  <c r="BN135" i="33"/>
  <c r="BQ135" i="33" s="1"/>
  <c r="DR91" i="31"/>
  <c r="DQ91" i="31"/>
  <c r="DP90" i="31"/>
  <c r="DT90" i="31" s="1"/>
  <c r="EB91" i="32"/>
  <c r="EA91" i="32"/>
  <c r="DZ90" i="32"/>
  <c r="ED90" i="32" s="1"/>
  <c r="DW90" i="31" l="1"/>
  <c r="DV90" i="31"/>
  <c r="DU89" i="31"/>
  <c r="DY89" i="31" s="1"/>
  <c r="DW95" i="32"/>
  <c r="DU95" i="32"/>
  <c r="DT94" i="32"/>
  <c r="DY94" i="32" s="1"/>
  <c r="CG133" i="30"/>
  <c r="CF132" i="30"/>
  <c r="CI132" i="30" s="1"/>
  <c r="BO137" i="33"/>
  <c r="BN136" i="33"/>
  <c r="BQ136" i="33" s="1"/>
  <c r="EG92" i="32"/>
  <c r="EF92" i="32"/>
  <c r="EE91" i="32"/>
  <c r="EI91" i="32" s="1"/>
  <c r="EA92" i="32"/>
  <c r="EB92" i="32"/>
  <c r="DZ91" i="32"/>
  <c r="ED91" i="32" s="1"/>
  <c r="DQ92" i="31"/>
  <c r="DR92" i="31"/>
  <c r="DP91" i="31"/>
  <c r="DT91" i="31" s="1"/>
  <c r="BU142" i="26"/>
  <c r="BT141" i="26"/>
  <c r="BW141" i="26" s="1"/>
  <c r="DM95" i="31"/>
  <c r="DK95" i="31"/>
  <c r="DJ94" i="31"/>
  <c r="DO94" i="31" s="1"/>
  <c r="DW91" i="31" l="1"/>
  <c r="DV91" i="31"/>
  <c r="DU90" i="31"/>
  <c r="DY90" i="31" s="1"/>
  <c r="DM96" i="31"/>
  <c r="DK96" i="31"/>
  <c r="DJ95" i="31"/>
  <c r="DO95" i="31" s="1"/>
  <c r="DQ93" i="31"/>
  <c r="DR93" i="31"/>
  <c r="DP92" i="31"/>
  <c r="DT92" i="31" s="1"/>
  <c r="BO138" i="33"/>
  <c r="BN137" i="33"/>
  <c r="BQ137" i="33" s="1"/>
  <c r="EB93" i="32"/>
  <c r="EA93" i="32"/>
  <c r="DZ92" i="32"/>
  <c r="ED92" i="32" s="1"/>
  <c r="EG93" i="32"/>
  <c r="EF93" i="32"/>
  <c r="EE92" i="32"/>
  <c r="EI92" i="32" s="1"/>
  <c r="CG134" i="30"/>
  <c r="CF133" i="30"/>
  <c r="CI133" i="30" s="1"/>
  <c r="BU143" i="26"/>
  <c r="BT142" i="26"/>
  <c r="BW142" i="26" s="1"/>
  <c r="DW96" i="32"/>
  <c r="DU96" i="32"/>
  <c r="DT95" i="32"/>
  <c r="DY95" i="32" s="1"/>
  <c r="DV92" i="31" l="1"/>
  <c r="DW92" i="31"/>
  <c r="DU91" i="31"/>
  <c r="DY91" i="31" s="1"/>
  <c r="DW97" i="32"/>
  <c r="DU97" i="32"/>
  <c r="DT96" i="32"/>
  <c r="DY96" i="32" s="1"/>
  <c r="CG135" i="30"/>
  <c r="CF134" i="30"/>
  <c r="CI134" i="30" s="1"/>
  <c r="BO139" i="33"/>
  <c r="BN138" i="33"/>
  <c r="BQ138" i="33" s="1"/>
  <c r="EG94" i="32"/>
  <c r="EF94" i="32"/>
  <c r="EE93" i="32"/>
  <c r="EI93" i="32" s="1"/>
  <c r="BU144" i="26"/>
  <c r="BT143" i="26"/>
  <c r="BW143" i="26" s="1"/>
  <c r="EB94" i="32"/>
  <c r="EA94" i="32"/>
  <c r="DZ93" i="32"/>
  <c r="ED93" i="32" s="1"/>
  <c r="DR94" i="31"/>
  <c r="DQ94" i="31"/>
  <c r="DP93" i="31"/>
  <c r="DT93" i="31" s="1"/>
  <c r="DM97" i="31"/>
  <c r="DK97" i="31"/>
  <c r="DJ96" i="31"/>
  <c r="DO96" i="31" s="1"/>
  <c r="DM98" i="31" l="1"/>
  <c r="DK98" i="31"/>
  <c r="DJ97" i="31"/>
  <c r="DO97" i="31" s="1"/>
  <c r="BU145" i="26"/>
  <c r="BT144" i="26"/>
  <c r="BW144" i="26" s="1"/>
  <c r="DV93" i="31"/>
  <c r="DW93" i="31"/>
  <c r="DU92" i="31"/>
  <c r="DY92" i="31" s="1"/>
  <c r="DR95" i="31"/>
  <c r="DQ95" i="31"/>
  <c r="DP94" i="31"/>
  <c r="DT94" i="31" s="1"/>
  <c r="EF95" i="32"/>
  <c r="EG95" i="32"/>
  <c r="EE94" i="32"/>
  <c r="EI94" i="32" s="1"/>
  <c r="CG136" i="30"/>
  <c r="CF135" i="30"/>
  <c r="CI135" i="30" s="1"/>
  <c r="BO140" i="33"/>
  <c r="BN139" i="33"/>
  <c r="BQ139" i="33" s="1"/>
  <c r="EB95" i="32"/>
  <c r="EA95" i="32"/>
  <c r="DZ94" i="32"/>
  <c r="ED94" i="32" s="1"/>
  <c r="DW98" i="32"/>
  <c r="DU98" i="32"/>
  <c r="DT97" i="32"/>
  <c r="DY97" i="32" s="1"/>
  <c r="DW99" i="32" l="1"/>
  <c r="DU99" i="32"/>
  <c r="DT98" i="32"/>
  <c r="DY98" i="32" s="1"/>
  <c r="BO141" i="33"/>
  <c r="BN140" i="33"/>
  <c r="BQ140" i="33" s="1"/>
  <c r="EA96" i="32"/>
  <c r="EB96" i="32"/>
  <c r="DZ95" i="32"/>
  <c r="ED95" i="32" s="1"/>
  <c r="CG137" i="30"/>
  <c r="CF136" i="30"/>
  <c r="CI136" i="30" s="1"/>
  <c r="DW94" i="31"/>
  <c r="DV94" i="31"/>
  <c r="DU93" i="31"/>
  <c r="DY93" i="31" s="1"/>
  <c r="EG96" i="32"/>
  <c r="EF96" i="32"/>
  <c r="EE95" i="32"/>
  <c r="EI95" i="32" s="1"/>
  <c r="DQ96" i="31"/>
  <c r="DR96" i="31"/>
  <c r="DP95" i="31"/>
  <c r="DT95" i="31" s="1"/>
  <c r="DM99" i="31"/>
  <c r="DK99" i="31"/>
  <c r="DJ98" i="31"/>
  <c r="DO98" i="31" s="1"/>
  <c r="BU146" i="26"/>
  <c r="BT145" i="26"/>
  <c r="BW145" i="26" s="1"/>
  <c r="CG138" i="30" l="1"/>
  <c r="CF137" i="30"/>
  <c r="CI137" i="30" s="1"/>
  <c r="DQ97" i="31"/>
  <c r="DR97" i="31"/>
  <c r="DP96" i="31"/>
  <c r="DT96" i="31" s="1"/>
  <c r="EG97" i="32"/>
  <c r="EF97" i="32"/>
  <c r="EE96" i="32"/>
  <c r="EI96" i="32" s="1"/>
  <c r="DW100" i="32"/>
  <c r="DU100" i="32"/>
  <c r="DT99" i="32"/>
  <c r="DY99" i="32" s="1"/>
  <c r="BU147" i="26"/>
  <c r="BT146" i="26"/>
  <c r="BW146" i="26" s="1"/>
  <c r="DW95" i="31"/>
  <c r="DV95" i="31"/>
  <c r="DU94" i="31"/>
  <c r="DY94" i="31" s="1"/>
  <c r="EB97" i="32"/>
  <c r="EA97" i="32"/>
  <c r="DZ96" i="32"/>
  <c r="ED96" i="32" s="1"/>
  <c r="DM100" i="31"/>
  <c r="DK100" i="31"/>
  <c r="DJ99" i="31"/>
  <c r="DO99" i="31" s="1"/>
  <c r="BO142" i="33"/>
  <c r="BN141" i="33"/>
  <c r="BQ141" i="33" s="1"/>
  <c r="EB98" i="32" l="1"/>
  <c r="EA98" i="32"/>
  <c r="DZ97" i="32"/>
  <c r="ED97" i="32" s="1"/>
  <c r="CG139" i="30"/>
  <c r="CF138" i="30"/>
  <c r="CI138" i="30" s="1"/>
  <c r="DV96" i="31"/>
  <c r="DW96" i="31"/>
  <c r="DU95" i="31"/>
  <c r="DY95" i="31" s="1"/>
  <c r="EG98" i="32"/>
  <c r="EF98" i="32"/>
  <c r="EE97" i="32"/>
  <c r="EI97" i="32" s="1"/>
  <c r="DW101" i="32"/>
  <c r="DU101" i="32"/>
  <c r="DT100" i="32"/>
  <c r="DY100" i="32" s="1"/>
  <c r="BO143" i="33"/>
  <c r="BN142" i="33"/>
  <c r="BQ142" i="33" s="1"/>
  <c r="DM101" i="31"/>
  <c r="DK101" i="31"/>
  <c r="DJ100" i="31"/>
  <c r="DO100" i="31" s="1"/>
  <c r="BU148" i="26"/>
  <c r="BT147" i="26"/>
  <c r="BW147" i="26" s="1"/>
  <c r="DQ98" i="31"/>
  <c r="DR98" i="31"/>
  <c r="DP97" i="31"/>
  <c r="DT97" i="31" s="1"/>
  <c r="BO144" i="33" l="1"/>
  <c r="BN143" i="33"/>
  <c r="BQ143" i="33" s="1"/>
  <c r="DV97" i="31"/>
  <c r="DW97" i="31"/>
  <c r="DU96" i="31"/>
  <c r="DY96" i="31" s="1"/>
  <c r="DM102" i="31"/>
  <c r="DK102" i="31"/>
  <c r="DJ101" i="31"/>
  <c r="DO101" i="31" s="1"/>
  <c r="EF99" i="32"/>
  <c r="EG99" i="32"/>
  <c r="EE98" i="32"/>
  <c r="EI98" i="32" s="1"/>
  <c r="EB99" i="32"/>
  <c r="EA99" i="32"/>
  <c r="DZ98" i="32"/>
  <c r="ED98" i="32" s="1"/>
  <c r="DR99" i="31"/>
  <c r="DQ99" i="31"/>
  <c r="DP98" i="31"/>
  <c r="DT98" i="31" s="1"/>
  <c r="BU149" i="26"/>
  <c r="BT148" i="26"/>
  <c r="BW148" i="26" s="1"/>
  <c r="DW102" i="32"/>
  <c r="DU102" i="32"/>
  <c r="DT101" i="32"/>
  <c r="DY101" i="32" s="1"/>
  <c r="CG140" i="30"/>
  <c r="CF139" i="30"/>
  <c r="CI139" i="30" s="1"/>
  <c r="BU150" i="26" l="1"/>
  <c r="BT149" i="26"/>
  <c r="BW149" i="26" s="1"/>
  <c r="EG100" i="32"/>
  <c r="EF100" i="32"/>
  <c r="EE99" i="32"/>
  <c r="EI99" i="32" s="1"/>
  <c r="DM103" i="31"/>
  <c r="DK103" i="31"/>
  <c r="DJ102" i="31"/>
  <c r="DO102" i="31" s="1"/>
  <c r="CG141" i="30"/>
  <c r="CF140" i="30"/>
  <c r="CI140" i="30" s="1"/>
  <c r="DQ100" i="31"/>
  <c r="DR100" i="31"/>
  <c r="DP99" i="31"/>
  <c r="DT99" i="31" s="1"/>
  <c r="BO145" i="33"/>
  <c r="BN144" i="33"/>
  <c r="BQ144" i="33" s="1"/>
  <c r="DW103" i="32"/>
  <c r="DU103" i="32"/>
  <c r="DT102" i="32"/>
  <c r="DY102" i="32" s="1"/>
  <c r="EA100" i="32"/>
  <c r="EB100" i="32"/>
  <c r="DZ99" i="32"/>
  <c r="ED99" i="32" s="1"/>
  <c r="DW98" i="31"/>
  <c r="DV98" i="31"/>
  <c r="DU97" i="31"/>
  <c r="DY97" i="31" s="1"/>
  <c r="CG142" i="30" l="1"/>
  <c r="CF141" i="30"/>
  <c r="CI141" i="30" s="1"/>
  <c r="EG101" i="32"/>
  <c r="EF101" i="32"/>
  <c r="EE100" i="32"/>
  <c r="EI100" i="32" s="1"/>
  <c r="BU151" i="26"/>
  <c r="BT150" i="26"/>
  <c r="BW150" i="26" s="1"/>
  <c r="DV99" i="31"/>
  <c r="DW99" i="31"/>
  <c r="DU98" i="31"/>
  <c r="DY98" i="31" s="1"/>
  <c r="BO146" i="33"/>
  <c r="BN145" i="33"/>
  <c r="BQ145" i="33" s="1"/>
  <c r="DM104" i="31"/>
  <c r="DK104" i="31"/>
  <c r="DJ103" i="31"/>
  <c r="DO103" i="31" s="1"/>
  <c r="EB101" i="32"/>
  <c r="EA101" i="32"/>
  <c r="DZ100" i="32"/>
  <c r="ED100" i="32" s="1"/>
  <c r="DW104" i="32"/>
  <c r="DU104" i="32"/>
  <c r="DT103" i="32"/>
  <c r="DY103" i="32" s="1"/>
  <c r="DR101" i="31"/>
  <c r="DQ101" i="31"/>
  <c r="DP100" i="31"/>
  <c r="DT100" i="31" s="1"/>
  <c r="DQ102" i="31" l="1"/>
  <c r="DR102" i="31"/>
  <c r="DP101" i="31"/>
  <c r="DT101" i="31" s="1"/>
  <c r="BU152" i="26"/>
  <c r="BT151" i="26"/>
  <c r="BW151" i="26" s="1"/>
  <c r="CG143" i="30"/>
  <c r="CF142" i="30"/>
  <c r="CI142" i="30" s="1"/>
  <c r="DW105" i="32"/>
  <c r="DU105" i="32"/>
  <c r="DT104" i="32"/>
  <c r="DY104" i="32" s="1"/>
  <c r="BO147" i="33"/>
  <c r="BN146" i="33"/>
  <c r="BQ146" i="33" s="1"/>
  <c r="EG102" i="32"/>
  <c r="EF102" i="32"/>
  <c r="EE101" i="32"/>
  <c r="EI101" i="32" s="1"/>
  <c r="DM105" i="31"/>
  <c r="DK105" i="31"/>
  <c r="DJ104" i="31"/>
  <c r="DO104" i="31" s="1"/>
  <c r="DW100" i="31"/>
  <c r="DV100" i="31"/>
  <c r="DU99" i="31"/>
  <c r="DY99" i="31" s="1"/>
  <c r="EB102" i="32"/>
  <c r="EA102" i="32"/>
  <c r="DZ101" i="32"/>
  <c r="ED101" i="32" s="1"/>
  <c r="EB103" i="32" l="1"/>
  <c r="EA103" i="32"/>
  <c r="DZ102" i="32"/>
  <c r="ED102" i="32" s="1"/>
  <c r="CG144" i="30"/>
  <c r="CF143" i="30"/>
  <c r="CI143" i="30" s="1"/>
  <c r="DR103" i="31"/>
  <c r="DQ103" i="31"/>
  <c r="DP102" i="31"/>
  <c r="DT102" i="31" s="1"/>
  <c r="DV101" i="31"/>
  <c r="DW101" i="31"/>
  <c r="DU100" i="31"/>
  <c r="DY100" i="31" s="1"/>
  <c r="BO148" i="33"/>
  <c r="BN147" i="33"/>
  <c r="BQ147" i="33" s="1"/>
  <c r="EF103" i="32"/>
  <c r="EG103" i="32"/>
  <c r="EE102" i="32"/>
  <c r="EI102" i="32" s="1"/>
  <c r="DM106" i="31"/>
  <c r="DK106" i="31"/>
  <c r="DJ105" i="31"/>
  <c r="DO105" i="31" s="1"/>
  <c r="DW106" i="32"/>
  <c r="DU106" i="32"/>
  <c r="DT105" i="32"/>
  <c r="DY105" i="32" s="1"/>
  <c r="BU153" i="26"/>
  <c r="BT152" i="26"/>
  <c r="BW152" i="26" s="1"/>
  <c r="DM107" i="31" l="1"/>
  <c r="DK107" i="31"/>
  <c r="DJ106" i="31"/>
  <c r="DO106" i="31" s="1"/>
  <c r="DQ104" i="31"/>
  <c r="DR104" i="31"/>
  <c r="DP103" i="31"/>
  <c r="DT103" i="31" s="1"/>
  <c r="EG104" i="32"/>
  <c r="EF104" i="32"/>
  <c r="EE103" i="32"/>
  <c r="EI103" i="32" s="1"/>
  <c r="EA104" i="32"/>
  <c r="EB104" i="32"/>
  <c r="DZ103" i="32"/>
  <c r="ED103" i="32" s="1"/>
  <c r="DW102" i="31"/>
  <c r="DV102" i="31"/>
  <c r="DU101" i="31"/>
  <c r="DY101" i="31" s="1"/>
  <c r="BU154" i="26"/>
  <c r="BT153" i="26"/>
  <c r="BW153" i="26" s="1"/>
  <c r="DW107" i="32"/>
  <c r="DU107" i="32"/>
  <c r="DT106" i="32"/>
  <c r="DY106" i="32" s="1"/>
  <c r="BO149" i="33"/>
  <c r="BN148" i="33"/>
  <c r="BQ148" i="33" s="1"/>
  <c r="CG145" i="30"/>
  <c r="CF144" i="30"/>
  <c r="CI144" i="30" s="1"/>
  <c r="DR105" i="31" l="1"/>
  <c r="DQ105" i="31"/>
  <c r="DP104" i="31"/>
  <c r="DT104" i="31" s="1"/>
  <c r="DW108" i="32"/>
  <c r="DU108" i="32"/>
  <c r="DT107" i="32"/>
  <c r="DY107" i="32" s="1"/>
  <c r="DM108" i="31"/>
  <c r="DK108" i="31"/>
  <c r="DJ107" i="31"/>
  <c r="DO107" i="31" s="1"/>
  <c r="CG146" i="30"/>
  <c r="CF145" i="30"/>
  <c r="CI145" i="30" s="1"/>
  <c r="EB105" i="32"/>
  <c r="EA105" i="32"/>
  <c r="DZ104" i="32"/>
  <c r="ED104" i="32" s="1"/>
  <c r="EG105" i="32"/>
  <c r="EF105" i="32"/>
  <c r="EE104" i="32"/>
  <c r="EI104" i="32" s="1"/>
  <c r="BO150" i="33"/>
  <c r="BN149" i="33"/>
  <c r="BQ149" i="33" s="1"/>
  <c r="DV103" i="31"/>
  <c r="DW103" i="31"/>
  <c r="DU102" i="31"/>
  <c r="DY102" i="31" s="1"/>
  <c r="BU155" i="26"/>
  <c r="BT154" i="26"/>
  <c r="BW154" i="26" s="1"/>
  <c r="CG147" i="30" l="1"/>
  <c r="CF146" i="30"/>
  <c r="CI146" i="30" s="1"/>
  <c r="EG106" i="32"/>
  <c r="EF106" i="32"/>
  <c r="EE105" i="32"/>
  <c r="EI105" i="32" s="1"/>
  <c r="DM109" i="31"/>
  <c r="DK109" i="31"/>
  <c r="DJ108" i="31"/>
  <c r="DO108" i="31" s="1"/>
  <c r="DV104" i="31"/>
  <c r="DW104" i="31"/>
  <c r="DU103" i="31"/>
  <c r="DY103" i="31" s="1"/>
  <c r="DR106" i="31"/>
  <c r="DQ106" i="31"/>
  <c r="DP105" i="31"/>
  <c r="DT105" i="31" s="1"/>
  <c r="BO151" i="33"/>
  <c r="BN150" i="33"/>
  <c r="BQ150" i="33" s="1"/>
  <c r="BU156" i="26"/>
  <c r="BT155" i="26"/>
  <c r="BW155" i="26" s="1"/>
  <c r="EB106" i="32"/>
  <c r="EA106" i="32"/>
  <c r="DZ105" i="32"/>
  <c r="ED105" i="32" s="1"/>
  <c r="DW109" i="32"/>
  <c r="DU109" i="32"/>
  <c r="DT108" i="32"/>
  <c r="DY108" i="32" s="1"/>
  <c r="DV105" i="31" l="1"/>
  <c r="DW105" i="31"/>
  <c r="DU104" i="31"/>
  <c r="DY104" i="31" s="1"/>
  <c r="DM110" i="31"/>
  <c r="DK110" i="31"/>
  <c r="DJ109" i="31"/>
  <c r="DO109" i="31" s="1"/>
  <c r="CG148" i="30"/>
  <c r="CF147" i="30"/>
  <c r="CI147" i="30" s="1"/>
  <c r="BO152" i="33"/>
  <c r="BN151" i="33"/>
  <c r="BQ151" i="33" s="1"/>
  <c r="EF107" i="32"/>
  <c r="EG107" i="32"/>
  <c r="EE106" i="32"/>
  <c r="EI106" i="32" s="1"/>
  <c r="BU157" i="26"/>
  <c r="BT156" i="26"/>
  <c r="BW156" i="26" s="1"/>
  <c r="DW110" i="32"/>
  <c r="DU110" i="32"/>
  <c r="DT109" i="32"/>
  <c r="DY109" i="32" s="1"/>
  <c r="EB107" i="32"/>
  <c r="EA107" i="32"/>
  <c r="DZ106" i="32"/>
  <c r="ED106" i="32" s="1"/>
  <c r="DR107" i="31"/>
  <c r="DQ107" i="31"/>
  <c r="DP106" i="31"/>
  <c r="DT106" i="31" s="1"/>
  <c r="DQ108" i="31" l="1"/>
  <c r="DR108" i="31"/>
  <c r="DP107" i="31"/>
  <c r="DT107" i="31" s="1"/>
  <c r="BU158" i="26"/>
  <c r="BT157" i="26"/>
  <c r="BW157" i="26" s="1"/>
  <c r="DW106" i="31"/>
  <c r="DV106" i="31"/>
  <c r="DU105" i="31"/>
  <c r="DY105" i="31" s="1"/>
  <c r="BO153" i="33"/>
  <c r="BN152" i="33"/>
  <c r="BQ152" i="33" s="1"/>
  <c r="EA108" i="32"/>
  <c r="EB108" i="32"/>
  <c r="DZ107" i="32"/>
  <c r="ED107" i="32" s="1"/>
  <c r="CG149" i="30"/>
  <c r="CF148" i="30"/>
  <c r="CI148" i="30" s="1"/>
  <c r="DW111" i="32"/>
  <c r="DU111" i="32"/>
  <c r="DT110" i="32"/>
  <c r="DY110" i="32" s="1"/>
  <c r="EG108" i="32"/>
  <c r="EF108" i="32"/>
  <c r="EE107" i="32"/>
  <c r="EI107" i="32" s="1"/>
  <c r="DM111" i="31"/>
  <c r="DK111" i="31"/>
  <c r="DJ110" i="31"/>
  <c r="DO110" i="31" s="1"/>
  <c r="DW107" i="31" l="1"/>
  <c r="DV107" i="31"/>
  <c r="DU106" i="31"/>
  <c r="DY106" i="31" s="1"/>
  <c r="DQ109" i="31"/>
  <c r="DR109" i="31"/>
  <c r="DP108" i="31"/>
  <c r="DT108" i="31" s="1"/>
  <c r="BO154" i="33"/>
  <c r="BN153" i="33"/>
  <c r="BQ153" i="33" s="1"/>
  <c r="DM112" i="31"/>
  <c r="DK112" i="31"/>
  <c r="DJ111" i="31"/>
  <c r="DO111" i="31" s="1"/>
  <c r="CG150" i="30"/>
  <c r="CF149" i="30"/>
  <c r="CI149" i="30" s="1"/>
  <c r="EG109" i="32"/>
  <c r="EF109" i="32"/>
  <c r="EE108" i="32"/>
  <c r="EI108" i="32" s="1"/>
  <c r="DW112" i="32"/>
  <c r="DU112" i="32"/>
  <c r="DT111" i="32"/>
  <c r="DY111" i="32" s="1"/>
  <c r="EB109" i="32"/>
  <c r="EA109" i="32"/>
  <c r="DZ108" i="32"/>
  <c r="ED108" i="32" s="1"/>
  <c r="BU159" i="26"/>
  <c r="BT158" i="26"/>
  <c r="BW158" i="26" s="1"/>
  <c r="DV108" i="31" l="1"/>
  <c r="DW108" i="31"/>
  <c r="DU107" i="31"/>
  <c r="DY107" i="31" s="1"/>
  <c r="EG110" i="32"/>
  <c r="EF110" i="32"/>
  <c r="EE109" i="32"/>
  <c r="EI109" i="32" s="1"/>
  <c r="DW113" i="32"/>
  <c r="DU113" i="32"/>
  <c r="DT112" i="32"/>
  <c r="DY112" i="32" s="1"/>
  <c r="DM113" i="31"/>
  <c r="DK113" i="31"/>
  <c r="DJ112" i="31"/>
  <c r="DO112" i="31" s="1"/>
  <c r="BU160" i="26"/>
  <c r="BT159" i="26"/>
  <c r="BW159" i="26" s="1"/>
  <c r="BO155" i="33"/>
  <c r="BN154" i="33"/>
  <c r="BQ154" i="33" s="1"/>
  <c r="DR110" i="31"/>
  <c r="DQ110" i="31"/>
  <c r="DP109" i="31"/>
  <c r="DT109" i="31" s="1"/>
  <c r="EB110" i="32"/>
  <c r="EA110" i="32"/>
  <c r="DZ109" i="32"/>
  <c r="ED109" i="32" s="1"/>
  <c r="CG151" i="30"/>
  <c r="CF150" i="30"/>
  <c r="CI150" i="30" s="1"/>
  <c r="DV109" i="31" l="1"/>
  <c r="DW109" i="31"/>
  <c r="DU108" i="31"/>
  <c r="DY108" i="31" s="1"/>
  <c r="DR111" i="31"/>
  <c r="DQ111" i="31"/>
  <c r="DP110" i="31"/>
  <c r="DT110" i="31" s="1"/>
  <c r="BO156" i="33"/>
  <c r="BN155" i="33"/>
  <c r="BQ155" i="33" s="1"/>
  <c r="DW114" i="32"/>
  <c r="DU114" i="32"/>
  <c r="DT113" i="32"/>
  <c r="DY113" i="32" s="1"/>
  <c r="BU161" i="26"/>
  <c r="BT160" i="26"/>
  <c r="BW160" i="26" s="1"/>
  <c r="DM114" i="31"/>
  <c r="DK114" i="31"/>
  <c r="DJ113" i="31"/>
  <c r="DO113" i="31" s="1"/>
  <c r="CG152" i="30"/>
  <c r="CF151" i="30"/>
  <c r="CI151" i="30" s="1"/>
  <c r="EB111" i="32"/>
  <c r="EA111" i="32"/>
  <c r="DZ110" i="32"/>
  <c r="ED110" i="32" s="1"/>
  <c r="EF111" i="32"/>
  <c r="EG111" i="32"/>
  <c r="EE110" i="32"/>
  <c r="EI110" i="32" s="1"/>
  <c r="CG153" i="30" l="1"/>
  <c r="CF152" i="30"/>
  <c r="CI152" i="30" s="1"/>
  <c r="DW115" i="32"/>
  <c r="DU115" i="32"/>
  <c r="DT114" i="32"/>
  <c r="DY114" i="32" s="1"/>
  <c r="DM115" i="31"/>
  <c r="DK115" i="31"/>
  <c r="DJ114" i="31"/>
  <c r="DO114" i="31" s="1"/>
  <c r="DW110" i="31"/>
  <c r="DV110" i="31"/>
  <c r="DU109" i="31"/>
  <c r="DY109" i="31" s="1"/>
  <c r="EG112" i="32"/>
  <c r="EF112" i="32"/>
  <c r="EE111" i="32"/>
  <c r="EI111" i="32" s="1"/>
  <c r="EA112" i="32"/>
  <c r="EB112" i="32"/>
  <c r="DZ111" i="32"/>
  <c r="ED111" i="32" s="1"/>
  <c r="BO157" i="33"/>
  <c r="BN156" i="33"/>
  <c r="BQ156" i="33" s="1"/>
  <c r="BU162" i="26"/>
  <c r="BT161" i="26"/>
  <c r="BW161" i="26" s="1"/>
  <c r="DQ112" i="31"/>
  <c r="DR112" i="31"/>
  <c r="DP111" i="31"/>
  <c r="DT111" i="31" s="1"/>
  <c r="DM116" i="31" l="1"/>
  <c r="DK116" i="31"/>
  <c r="DJ115" i="31"/>
  <c r="DO115" i="31" s="1"/>
  <c r="DW111" i="31"/>
  <c r="DV111" i="31"/>
  <c r="DU110" i="31"/>
  <c r="DY110" i="31" s="1"/>
  <c r="DW116" i="32"/>
  <c r="DU116" i="32"/>
  <c r="DT115" i="32"/>
  <c r="DY115" i="32" s="1"/>
  <c r="CG154" i="30"/>
  <c r="CF153" i="30"/>
  <c r="CI153" i="30" s="1"/>
  <c r="BO158" i="33"/>
  <c r="BN157" i="33"/>
  <c r="BQ157" i="33" s="1"/>
  <c r="DR113" i="31"/>
  <c r="DQ113" i="31"/>
  <c r="DP112" i="31"/>
  <c r="DT112" i="31" s="1"/>
  <c r="BU163" i="26"/>
  <c r="BT162" i="26"/>
  <c r="BW162" i="26" s="1"/>
  <c r="EB113" i="32"/>
  <c r="EA113" i="32"/>
  <c r="DZ112" i="32"/>
  <c r="ED112" i="32" s="1"/>
  <c r="EG113" i="32"/>
  <c r="EF113" i="32"/>
  <c r="EE112" i="32"/>
  <c r="EI112" i="32" s="1"/>
  <c r="BU164" i="26" l="1"/>
  <c r="BT163" i="26"/>
  <c r="BW163" i="26" s="1"/>
  <c r="DM117" i="31"/>
  <c r="DK117" i="31"/>
  <c r="DJ116" i="31"/>
  <c r="DO116" i="31" s="1"/>
  <c r="EG114" i="32"/>
  <c r="EF114" i="32"/>
  <c r="EE113" i="32"/>
  <c r="EI113" i="32" s="1"/>
  <c r="DQ114" i="31"/>
  <c r="DR114" i="31"/>
  <c r="DP113" i="31"/>
  <c r="DT113" i="31" s="1"/>
  <c r="CG155" i="30"/>
  <c r="CF154" i="30"/>
  <c r="CI154" i="30" s="1"/>
  <c r="EB114" i="32"/>
  <c r="EA114" i="32"/>
  <c r="DZ113" i="32"/>
  <c r="ED113" i="32" s="1"/>
  <c r="DW117" i="32"/>
  <c r="DU117" i="32"/>
  <c r="DT116" i="32"/>
  <c r="DY116" i="32" s="1"/>
  <c r="BO159" i="33"/>
  <c r="BN158" i="33"/>
  <c r="BQ158" i="33" s="1"/>
  <c r="DW112" i="31"/>
  <c r="DV112" i="31"/>
  <c r="DU111" i="31"/>
  <c r="DY111" i="31" s="1"/>
  <c r="EF115" i="32" l="1"/>
  <c r="EG115" i="32"/>
  <c r="EE114" i="32"/>
  <c r="EI114" i="32" s="1"/>
  <c r="DV113" i="31"/>
  <c r="DW113" i="31"/>
  <c r="DU112" i="31"/>
  <c r="DY112" i="31" s="1"/>
  <c r="DM118" i="31"/>
  <c r="DK118" i="31"/>
  <c r="DJ117" i="31"/>
  <c r="DO117" i="31" s="1"/>
  <c r="DW118" i="32"/>
  <c r="DU118" i="32"/>
  <c r="DT117" i="32"/>
  <c r="DY117" i="32" s="1"/>
  <c r="BU165" i="26"/>
  <c r="BT164" i="26"/>
  <c r="BW164" i="26" s="1"/>
  <c r="EB115" i="32"/>
  <c r="EA115" i="32"/>
  <c r="DZ114" i="32"/>
  <c r="ED114" i="32" s="1"/>
  <c r="DR115" i="31"/>
  <c r="DQ115" i="31"/>
  <c r="DP114" i="31"/>
  <c r="DT114" i="31" s="1"/>
  <c r="BO160" i="33"/>
  <c r="BN159" i="33"/>
  <c r="BQ159" i="33" s="1"/>
  <c r="CG156" i="30"/>
  <c r="CF155" i="30"/>
  <c r="CI155" i="30" s="1"/>
  <c r="BO161" i="33" l="1"/>
  <c r="BN160" i="33"/>
  <c r="BQ160" i="33" s="1"/>
  <c r="DW114" i="31"/>
  <c r="DV114" i="31"/>
  <c r="DU113" i="31"/>
  <c r="DY113" i="31" s="1"/>
  <c r="DQ116" i="31"/>
  <c r="DR116" i="31"/>
  <c r="DP115" i="31"/>
  <c r="DT115" i="31" s="1"/>
  <c r="DW119" i="32"/>
  <c r="DU119" i="32"/>
  <c r="DT118" i="32"/>
  <c r="DY118" i="32" s="1"/>
  <c r="EG116" i="32"/>
  <c r="EF116" i="32"/>
  <c r="EE115" i="32"/>
  <c r="EI115" i="32" s="1"/>
  <c r="BU166" i="26"/>
  <c r="BT165" i="26"/>
  <c r="BW165" i="26" s="1"/>
  <c r="CG157" i="30"/>
  <c r="CF156" i="30"/>
  <c r="CI156" i="30" s="1"/>
  <c r="EA116" i="32"/>
  <c r="EB116" i="32"/>
  <c r="DZ115" i="32"/>
  <c r="ED115" i="32" s="1"/>
  <c r="DM119" i="31"/>
  <c r="DK119" i="31"/>
  <c r="DJ118" i="31"/>
  <c r="DO118" i="31" s="1"/>
  <c r="BO162" i="33" l="1"/>
  <c r="BN161" i="33"/>
  <c r="BQ161" i="33" s="1"/>
  <c r="DW120" i="32"/>
  <c r="DU120" i="32"/>
  <c r="DT119" i="32"/>
  <c r="DY119" i="32" s="1"/>
  <c r="BU167" i="26"/>
  <c r="BT166" i="26"/>
  <c r="BW166" i="26" s="1"/>
  <c r="DR117" i="31"/>
  <c r="DQ117" i="31"/>
  <c r="DP116" i="31"/>
  <c r="DT116" i="31" s="1"/>
  <c r="DV115" i="31"/>
  <c r="DW115" i="31"/>
  <c r="DU114" i="31"/>
  <c r="DY114" i="31" s="1"/>
  <c r="CG158" i="30"/>
  <c r="CF157" i="30"/>
  <c r="CI157" i="30" s="1"/>
  <c r="DM120" i="31"/>
  <c r="DK120" i="31"/>
  <c r="DJ119" i="31"/>
  <c r="DO119" i="31" s="1"/>
  <c r="EB117" i="32"/>
  <c r="EA117" i="32"/>
  <c r="DZ116" i="32"/>
  <c r="ED116" i="32" s="1"/>
  <c r="EG117" i="32"/>
  <c r="EF117" i="32"/>
  <c r="EE116" i="32"/>
  <c r="EI116" i="32" s="1"/>
  <c r="BU168" i="26" l="1"/>
  <c r="BT167" i="26"/>
  <c r="BW167" i="26" s="1"/>
  <c r="BO163" i="33"/>
  <c r="BN162" i="33"/>
  <c r="BQ162" i="33" s="1"/>
  <c r="EG118" i="32"/>
  <c r="EF118" i="32"/>
  <c r="EE117" i="32"/>
  <c r="EI117" i="32" s="1"/>
  <c r="EB118" i="32"/>
  <c r="EA118" i="32"/>
  <c r="DZ117" i="32"/>
  <c r="ED117" i="32" s="1"/>
  <c r="DW121" i="32"/>
  <c r="DU121" i="32"/>
  <c r="DT120" i="32"/>
  <c r="DY120" i="32" s="1"/>
  <c r="CG159" i="30"/>
  <c r="CF158" i="30"/>
  <c r="CI158" i="30" s="1"/>
  <c r="DM121" i="31"/>
  <c r="DK121" i="31"/>
  <c r="DJ120" i="31"/>
  <c r="DO120" i="31" s="1"/>
  <c r="DW116" i="31"/>
  <c r="DV116" i="31"/>
  <c r="DU115" i="31"/>
  <c r="DY115" i="31" s="1"/>
  <c r="DQ118" i="31"/>
  <c r="DR118" i="31"/>
  <c r="DP117" i="31"/>
  <c r="DT117" i="31" s="1"/>
  <c r="BU169" i="26" l="1"/>
  <c r="BT168" i="26"/>
  <c r="BW168" i="26" s="1"/>
  <c r="CG160" i="30"/>
  <c r="CF159" i="30"/>
  <c r="CI159" i="30" s="1"/>
  <c r="DV117" i="31"/>
  <c r="DW117" i="31"/>
  <c r="DU116" i="31"/>
  <c r="DY116" i="31" s="1"/>
  <c r="DW122" i="32"/>
  <c r="DU122" i="32"/>
  <c r="DT121" i="32"/>
  <c r="DY121" i="32" s="1"/>
  <c r="BO164" i="33"/>
  <c r="BN163" i="33"/>
  <c r="BQ163" i="33" s="1"/>
  <c r="EF119" i="32"/>
  <c r="EG119" i="32"/>
  <c r="EE118" i="32"/>
  <c r="EI118" i="32" s="1"/>
  <c r="DR119" i="31"/>
  <c r="DQ119" i="31"/>
  <c r="DP118" i="31"/>
  <c r="DT118" i="31" s="1"/>
  <c r="DM122" i="31"/>
  <c r="DK122" i="31"/>
  <c r="DJ121" i="31"/>
  <c r="DO121" i="31" s="1"/>
  <c r="EB119" i="32"/>
  <c r="EA119" i="32"/>
  <c r="DZ118" i="32"/>
  <c r="ED118" i="32" s="1"/>
  <c r="DW118" i="31" l="1"/>
  <c r="DV118" i="31"/>
  <c r="DU117" i="31"/>
  <c r="DY117" i="31" s="1"/>
  <c r="BU170" i="26"/>
  <c r="BT169" i="26"/>
  <c r="BW169" i="26" s="1"/>
  <c r="EA120" i="32"/>
  <c r="EB120" i="32"/>
  <c r="DZ119" i="32"/>
  <c r="ED119" i="32" s="1"/>
  <c r="DM123" i="31"/>
  <c r="DK123" i="31"/>
  <c r="DJ122" i="31"/>
  <c r="DO122" i="31" s="1"/>
  <c r="BO165" i="33"/>
  <c r="BN164" i="33"/>
  <c r="BQ164" i="33" s="1"/>
  <c r="CG161" i="30"/>
  <c r="CF160" i="30"/>
  <c r="CI160" i="30" s="1"/>
  <c r="EG120" i="32"/>
  <c r="EF120" i="32"/>
  <c r="EE119" i="32"/>
  <c r="EI119" i="32" s="1"/>
  <c r="DQ120" i="31"/>
  <c r="DR120" i="31"/>
  <c r="DP119" i="31"/>
  <c r="DT119" i="31" s="1"/>
  <c r="DW123" i="32"/>
  <c r="DU123" i="32"/>
  <c r="DT122" i="32"/>
  <c r="DY122" i="32" s="1"/>
  <c r="DV119" i="31" l="1"/>
  <c r="DW119" i="31"/>
  <c r="DU118" i="31"/>
  <c r="DY118" i="31" s="1"/>
  <c r="DW124" i="32"/>
  <c r="DU124" i="32"/>
  <c r="DT123" i="32"/>
  <c r="DY123" i="32" s="1"/>
  <c r="CG162" i="30"/>
  <c r="CF161" i="30"/>
  <c r="CI161" i="30" s="1"/>
  <c r="EB121" i="32"/>
  <c r="EA121" i="32"/>
  <c r="DZ120" i="32"/>
  <c r="ED120" i="32" s="1"/>
  <c r="DM124" i="31"/>
  <c r="DK124" i="31"/>
  <c r="DJ123" i="31"/>
  <c r="DO123" i="31" s="1"/>
  <c r="DQ121" i="31"/>
  <c r="DR121" i="31"/>
  <c r="DP120" i="31"/>
  <c r="DT120" i="31" s="1"/>
  <c r="EG121" i="32"/>
  <c r="EF121" i="32"/>
  <c r="EE120" i="32"/>
  <c r="EI120" i="32" s="1"/>
  <c r="BO166" i="33"/>
  <c r="BN165" i="33"/>
  <c r="BQ165" i="33" s="1"/>
  <c r="BU171" i="26"/>
  <c r="BT170" i="26"/>
  <c r="BW170" i="26" s="1"/>
  <c r="BO167" i="33" l="1"/>
  <c r="BN166" i="33"/>
  <c r="BQ166" i="33" s="1"/>
  <c r="EB122" i="32"/>
  <c r="EA122" i="32"/>
  <c r="DZ121" i="32"/>
  <c r="ED121" i="32" s="1"/>
  <c r="EG122" i="32"/>
  <c r="EF122" i="32"/>
  <c r="EE121" i="32"/>
  <c r="EI121" i="32" s="1"/>
  <c r="DW120" i="31"/>
  <c r="DV120" i="31"/>
  <c r="DU119" i="31"/>
  <c r="DY119" i="31" s="1"/>
  <c r="BU172" i="26"/>
  <c r="BT171" i="26"/>
  <c r="BW171" i="26" s="1"/>
  <c r="CG163" i="30"/>
  <c r="CF162" i="30"/>
  <c r="CI162" i="30" s="1"/>
  <c r="DR122" i="31"/>
  <c r="DQ122" i="31"/>
  <c r="DP121" i="31"/>
  <c r="DT121" i="31" s="1"/>
  <c r="DM125" i="31"/>
  <c r="DK125" i="31"/>
  <c r="DJ124" i="31"/>
  <c r="DO124" i="31" s="1"/>
  <c r="DW125" i="32"/>
  <c r="DU125" i="32"/>
  <c r="DT124" i="32"/>
  <c r="DY124" i="32" s="1"/>
  <c r="DW126" i="32" l="1"/>
  <c r="DU126" i="32"/>
  <c r="DT125" i="32"/>
  <c r="DY125" i="32" s="1"/>
  <c r="CG164" i="30"/>
  <c r="CF163" i="30"/>
  <c r="CI163" i="30" s="1"/>
  <c r="EF123" i="32"/>
  <c r="EG123" i="32"/>
  <c r="EE122" i="32"/>
  <c r="EI122" i="32" s="1"/>
  <c r="DV121" i="31"/>
  <c r="DW121" i="31"/>
  <c r="DU120" i="31"/>
  <c r="DY120" i="31" s="1"/>
  <c r="BO168" i="33"/>
  <c r="BN167" i="33"/>
  <c r="BQ167" i="33" s="1"/>
  <c r="EB123" i="32"/>
  <c r="EA123" i="32"/>
  <c r="DZ122" i="32"/>
  <c r="ED122" i="32" s="1"/>
  <c r="DM126" i="31"/>
  <c r="DK126" i="31"/>
  <c r="DJ125" i="31"/>
  <c r="DO125" i="31" s="1"/>
  <c r="DR123" i="31"/>
  <c r="DQ123" i="31"/>
  <c r="DP122" i="31"/>
  <c r="DT122" i="31" s="1"/>
  <c r="BU173" i="26"/>
  <c r="BT172" i="26"/>
  <c r="BW172" i="26" s="1"/>
  <c r="DM127" i="31" l="1"/>
  <c r="DK127" i="31"/>
  <c r="DJ126" i="31"/>
  <c r="DO126" i="31" s="1"/>
  <c r="DW127" i="32"/>
  <c r="DU127" i="32"/>
  <c r="DT126" i="32"/>
  <c r="DY126" i="32" s="1"/>
  <c r="EA124" i="32"/>
  <c r="EB124" i="32"/>
  <c r="DZ123" i="32"/>
  <c r="ED123" i="32" s="1"/>
  <c r="DW122" i="31"/>
  <c r="DV122" i="31"/>
  <c r="DU121" i="31"/>
  <c r="DY121" i="31" s="1"/>
  <c r="BU174" i="26"/>
  <c r="BT173" i="26"/>
  <c r="BW173" i="26" s="1"/>
  <c r="EG124" i="32"/>
  <c r="EF124" i="32"/>
  <c r="EE123" i="32"/>
  <c r="EI123" i="32" s="1"/>
  <c r="DQ124" i="31"/>
  <c r="DR124" i="31"/>
  <c r="DP123" i="31"/>
  <c r="DT123" i="31" s="1"/>
  <c r="BO169" i="33"/>
  <c r="BN168" i="33"/>
  <c r="BQ168" i="33" s="1"/>
  <c r="CG165" i="30"/>
  <c r="CF164" i="30"/>
  <c r="CI164" i="30" s="1"/>
  <c r="DW123" i="31" l="1"/>
  <c r="DV123" i="31"/>
  <c r="DU122" i="31"/>
  <c r="DY122" i="31" s="1"/>
  <c r="DM128" i="31"/>
  <c r="DK128" i="31"/>
  <c r="DJ127" i="31"/>
  <c r="DO127" i="31" s="1"/>
  <c r="CG166" i="30"/>
  <c r="CF165" i="30"/>
  <c r="CI165" i="30" s="1"/>
  <c r="DQ125" i="31"/>
  <c r="DR125" i="31"/>
  <c r="DP124" i="31"/>
  <c r="DT124" i="31" s="1"/>
  <c r="EG125" i="32"/>
  <c r="EF125" i="32"/>
  <c r="EE124" i="32"/>
  <c r="EI124" i="32" s="1"/>
  <c r="BO170" i="33"/>
  <c r="BN169" i="33"/>
  <c r="BQ169" i="33" s="1"/>
  <c r="BU175" i="26"/>
  <c r="BT174" i="26"/>
  <c r="BW174" i="26" s="1"/>
  <c r="EB125" i="32"/>
  <c r="EA125" i="32"/>
  <c r="DZ124" i="32"/>
  <c r="ED124" i="32" s="1"/>
  <c r="DW128" i="32"/>
  <c r="DU128" i="32"/>
  <c r="DT127" i="32"/>
  <c r="DY127" i="32" s="1"/>
  <c r="DW129" i="32" l="1"/>
  <c r="DU129" i="32"/>
  <c r="DT128" i="32"/>
  <c r="DY128" i="32" s="1"/>
  <c r="DR126" i="31"/>
  <c r="DQ126" i="31"/>
  <c r="DP125" i="31"/>
  <c r="DT125" i="31" s="1"/>
  <c r="EB126" i="32"/>
  <c r="EA126" i="32"/>
  <c r="DZ125" i="32"/>
  <c r="ED125" i="32" s="1"/>
  <c r="BO171" i="33"/>
  <c r="BN170" i="33"/>
  <c r="BQ170" i="33" s="1"/>
  <c r="CG167" i="30"/>
  <c r="CF166" i="30"/>
  <c r="CI166" i="30" s="1"/>
  <c r="BU176" i="26"/>
  <c r="BT175" i="26"/>
  <c r="BW175" i="26" s="1"/>
  <c r="DV124" i="31"/>
  <c r="DW124" i="31"/>
  <c r="DU123" i="31"/>
  <c r="DY123" i="31" s="1"/>
  <c r="EG126" i="32"/>
  <c r="EF126" i="32"/>
  <c r="EE125" i="32"/>
  <c r="EI125" i="32" s="1"/>
  <c r="DM129" i="31"/>
  <c r="DK129" i="31"/>
  <c r="DJ128" i="31"/>
  <c r="DO128" i="31" s="1"/>
  <c r="DW130" i="32" l="1"/>
  <c r="DU130" i="32"/>
  <c r="DT129" i="32"/>
  <c r="DY129" i="32" s="1"/>
  <c r="BU177" i="26"/>
  <c r="BT176" i="26"/>
  <c r="BW176" i="26" s="1"/>
  <c r="DM130" i="31"/>
  <c r="DK130" i="31"/>
  <c r="DJ129" i="31"/>
  <c r="DO129" i="31" s="1"/>
  <c r="EF127" i="32"/>
  <c r="EG127" i="32"/>
  <c r="EE126" i="32"/>
  <c r="EI126" i="32" s="1"/>
  <c r="EB127" i="32"/>
  <c r="EA127" i="32"/>
  <c r="DZ126" i="32"/>
  <c r="ED126" i="32" s="1"/>
  <c r="DV125" i="31"/>
  <c r="DW125" i="31"/>
  <c r="DU124" i="31"/>
  <c r="DY124" i="31" s="1"/>
  <c r="BO172" i="33"/>
  <c r="BN171" i="33"/>
  <c r="BQ171" i="33" s="1"/>
  <c r="CG168" i="30"/>
  <c r="CF167" i="30"/>
  <c r="CI167" i="30" s="1"/>
  <c r="DR127" i="31"/>
  <c r="DQ127" i="31"/>
  <c r="DP126" i="31"/>
  <c r="DT126" i="31" s="1"/>
  <c r="EG128" i="32" l="1"/>
  <c r="EF128" i="32"/>
  <c r="EE127" i="32"/>
  <c r="EI127" i="32" s="1"/>
  <c r="DM131" i="31"/>
  <c r="DK131" i="31"/>
  <c r="DJ130" i="31"/>
  <c r="DO130" i="31" s="1"/>
  <c r="DW131" i="32"/>
  <c r="DU131" i="32"/>
  <c r="DT130" i="32"/>
  <c r="DY130" i="32" s="1"/>
  <c r="DQ128" i="31"/>
  <c r="DR128" i="31"/>
  <c r="DP127" i="31"/>
  <c r="DT127" i="31" s="1"/>
  <c r="BO173" i="33"/>
  <c r="BN172" i="33"/>
  <c r="BQ172" i="33" s="1"/>
  <c r="CG169" i="30"/>
  <c r="CF168" i="30"/>
  <c r="CI168" i="30" s="1"/>
  <c r="DW126" i="31"/>
  <c r="DV126" i="31"/>
  <c r="DU125" i="31"/>
  <c r="DY125" i="31" s="1"/>
  <c r="EA128" i="32"/>
  <c r="EB128" i="32"/>
  <c r="DZ127" i="32"/>
  <c r="ED127" i="32" s="1"/>
  <c r="BU178" i="26"/>
  <c r="BT177" i="26"/>
  <c r="BW177" i="26" s="1"/>
  <c r="EB129" i="32" l="1"/>
  <c r="EA129" i="32"/>
  <c r="DZ128" i="32"/>
  <c r="ED128" i="32" s="1"/>
  <c r="DV127" i="31"/>
  <c r="DW127" i="31"/>
  <c r="DU126" i="31"/>
  <c r="DY126" i="31" s="1"/>
  <c r="EG129" i="32"/>
  <c r="EF129" i="32"/>
  <c r="EE128" i="32"/>
  <c r="EI128" i="32" s="1"/>
  <c r="BU179" i="26"/>
  <c r="BT178" i="26"/>
  <c r="BW178" i="26" s="1"/>
  <c r="CG170" i="30"/>
  <c r="CF169" i="30"/>
  <c r="CI169" i="30" s="1"/>
  <c r="DQ129" i="31"/>
  <c r="DR129" i="31"/>
  <c r="DP128" i="31"/>
  <c r="DT128" i="31" s="1"/>
  <c r="DW132" i="32"/>
  <c r="DU132" i="32"/>
  <c r="DT131" i="32"/>
  <c r="DY131" i="32" s="1"/>
  <c r="BO174" i="33"/>
  <c r="BN173" i="33"/>
  <c r="BQ173" i="33" s="1"/>
  <c r="DM132" i="31"/>
  <c r="DK132" i="31"/>
  <c r="DJ131" i="31"/>
  <c r="DO131" i="31" s="1"/>
  <c r="DV128" i="31" l="1"/>
  <c r="DW128" i="31"/>
  <c r="DU127" i="31"/>
  <c r="DY127" i="31" s="1"/>
  <c r="DM133" i="31"/>
  <c r="DK133" i="31"/>
  <c r="DJ132" i="31"/>
  <c r="DO132" i="31" s="1"/>
  <c r="DQ130" i="31"/>
  <c r="DR130" i="31"/>
  <c r="DP129" i="31"/>
  <c r="DT129" i="31" s="1"/>
  <c r="EG130" i="32"/>
  <c r="EF130" i="32"/>
  <c r="EE129" i="32"/>
  <c r="EI129" i="32" s="1"/>
  <c r="DW133" i="32"/>
  <c r="DU133" i="32"/>
  <c r="DT132" i="32"/>
  <c r="DY132" i="32" s="1"/>
  <c r="EB130" i="32"/>
  <c r="EA130" i="32"/>
  <c r="DZ129" i="32"/>
  <c r="ED129" i="32" s="1"/>
  <c r="BU180" i="26"/>
  <c r="BT179" i="26"/>
  <c r="BW179" i="26" s="1"/>
  <c r="BO175" i="33"/>
  <c r="BN174" i="33"/>
  <c r="BQ174" i="33" s="1"/>
  <c r="CG171" i="30"/>
  <c r="CF170" i="30"/>
  <c r="CI170" i="30" s="1"/>
  <c r="BO176" i="33" l="1"/>
  <c r="BN175" i="33"/>
  <c r="BQ175" i="33" s="1"/>
  <c r="DW134" i="32"/>
  <c r="DU134" i="32"/>
  <c r="DT133" i="32"/>
  <c r="DY133" i="32" s="1"/>
  <c r="EF131" i="32"/>
  <c r="EG131" i="32"/>
  <c r="EE130" i="32"/>
  <c r="EI130" i="32" s="1"/>
  <c r="DV129" i="31"/>
  <c r="DW129" i="31"/>
  <c r="DU128" i="31"/>
  <c r="DY128" i="31" s="1"/>
  <c r="CG172" i="30"/>
  <c r="CF171" i="30"/>
  <c r="CI171" i="30" s="1"/>
  <c r="BU181" i="26"/>
  <c r="BT180" i="26"/>
  <c r="BW180" i="26" s="1"/>
  <c r="EB131" i="32"/>
  <c r="EA131" i="32"/>
  <c r="DZ130" i="32"/>
  <c r="ED130" i="32" s="1"/>
  <c r="DR131" i="31"/>
  <c r="DQ131" i="31"/>
  <c r="DP130" i="31"/>
  <c r="DT130" i="31" s="1"/>
  <c r="DM134" i="31"/>
  <c r="DK134" i="31"/>
  <c r="DJ133" i="31"/>
  <c r="DO133" i="31" s="1"/>
  <c r="DM135" i="31" l="1"/>
  <c r="DK135" i="31"/>
  <c r="DJ134" i="31"/>
  <c r="DO134" i="31" s="1"/>
  <c r="DW130" i="31"/>
  <c r="DV130" i="31"/>
  <c r="DU129" i="31"/>
  <c r="DY129" i="31" s="1"/>
  <c r="BO177" i="33"/>
  <c r="BN176" i="33"/>
  <c r="BQ176" i="33" s="1"/>
  <c r="DQ132" i="31"/>
  <c r="DR132" i="31"/>
  <c r="DP131" i="31"/>
  <c r="DT131" i="31" s="1"/>
  <c r="EG132" i="32"/>
  <c r="EF132" i="32"/>
  <c r="EE131" i="32"/>
  <c r="EI131" i="32" s="1"/>
  <c r="DW135" i="32"/>
  <c r="DU135" i="32"/>
  <c r="DT134" i="32"/>
  <c r="DY134" i="32" s="1"/>
  <c r="BU182" i="26"/>
  <c r="BT181" i="26"/>
  <c r="BW181" i="26" s="1"/>
  <c r="EA132" i="32"/>
  <c r="EB132" i="32"/>
  <c r="DZ131" i="32"/>
  <c r="ED131" i="32" s="1"/>
  <c r="CG173" i="30"/>
  <c r="CF172" i="30"/>
  <c r="CI172" i="30" s="1"/>
  <c r="DM136" i="31" l="1"/>
  <c r="DK136" i="31"/>
  <c r="DJ135" i="31"/>
  <c r="DO135" i="31" s="1"/>
  <c r="BU183" i="26"/>
  <c r="BT182" i="26"/>
  <c r="BW182" i="26" s="1"/>
  <c r="DR133" i="31"/>
  <c r="DQ133" i="31"/>
  <c r="DP132" i="31"/>
  <c r="DT132" i="31" s="1"/>
  <c r="CG174" i="30"/>
  <c r="CF173" i="30"/>
  <c r="CI173" i="30" s="1"/>
  <c r="DW136" i="32"/>
  <c r="DU136" i="32"/>
  <c r="DT135" i="32"/>
  <c r="DY135" i="32" s="1"/>
  <c r="BO178" i="33"/>
  <c r="BN177" i="33"/>
  <c r="BQ177" i="33" s="1"/>
  <c r="EB133" i="32"/>
  <c r="EA133" i="32"/>
  <c r="DZ132" i="32"/>
  <c r="ED132" i="32" s="1"/>
  <c r="EG133" i="32"/>
  <c r="EF133" i="32"/>
  <c r="EE132" i="32"/>
  <c r="EI132" i="32" s="1"/>
  <c r="DV131" i="31"/>
  <c r="DW131" i="31"/>
  <c r="DU130" i="31"/>
  <c r="DY130" i="31" s="1"/>
  <c r="DM137" i="31" l="1"/>
  <c r="DK137" i="31"/>
  <c r="DJ136" i="31"/>
  <c r="DO136" i="31" s="1"/>
  <c r="BO179" i="33"/>
  <c r="BN178" i="33"/>
  <c r="BQ178" i="33" s="1"/>
  <c r="DR134" i="31"/>
  <c r="DQ134" i="31"/>
  <c r="DP133" i="31"/>
  <c r="DT133" i="31" s="1"/>
  <c r="CG175" i="30"/>
  <c r="CF174" i="30"/>
  <c r="CI174" i="30" s="1"/>
  <c r="DW132" i="31"/>
  <c r="DV132" i="31"/>
  <c r="DU131" i="31"/>
  <c r="DY131" i="31" s="1"/>
  <c r="EG134" i="32"/>
  <c r="EF134" i="32"/>
  <c r="EE133" i="32"/>
  <c r="EI133" i="32" s="1"/>
  <c r="DW137" i="32"/>
  <c r="DU137" i="32"/>
  <c r="DT136" i="32"/>
  <c r="DY136" i="32" s="1"/>
  <c r="EB134" i="32"/>
  <c r="EA134" i="32"/>
  <c r="DZ133" i="32"/>
  <c r="ED133" i="32" s="1"/>
  <c r="BU184" i="26"/>
  <c r="BT183" i="26"/>
  <c r="BW183" i="26" s="1"/>
  <c r="EF135" i="32" l="1"/>
  <c r="EG135" i="32"/>
  <c r="EE134" i="32"/>
  <c r="EI134" i="32" s="1"/>
  <c r="DR135" i="31"/>
  <c r="DQ135" i="31"/>
  <c r="DP134" i="31"/>
  <c r="DT134" i="31" s="1"/>
  <c r="CG176" i="30"/>
  <c r="CF175" i="30"/>
  <c r="CI175" i="30" s="1"/>
  <c r="DV133" i="31"/>
  <c r="DW133" i="31"/>
  <c r="DU132" i="31"/>
  <c r="DY132" i="31" s="1"/>
  <c r="DW138" i="32"/>
  <c r="DU138" i="32"/>
  <c r="DT137" i="32"/>
  <c r="DY137" i="32" s="1"/>
  <c r="DM138" i="31"/>
  <c r="DK138" i="31"/>
  <c r="DJ137" i="31"/>
  <c r="DO137" i="31" s="1"/>
  <c r="BU185" i="26"/>
  <c r="BT184" i="26"/>
  <c r="BW184" i="26" s="1"/>
  <c r="EB135" i="32"/>
  <c r="EA135" i="32"/>
  <c r="DZ134" i="32"/>
  <c r="ED134" i="32" s="1"/>
  <c r="BO180" i="33"/>
  <c r="BN179" i="33"/>
  <c r="BQ179" i="33" s="1"/>
  <c r="DW134" i="31" l="1"/>
  <c r="DV134" i="31"/>
  <c r="DU133" i="31"/>
  <c r="DY133" i="31" s="1"/>
  <c r="EG136" i="32"/>
  <c r="EF136" i="32"/>
  <c r="EE135" i="32"/>
  <c r="EI135" i="32" s="1"/>
  <c r="BU186" i="26"/>
  <c r="BT185" i="26"/>
  <c r="BW185" i="26" s="1"/>
  <c r="BO181" i="33"/>
  <c r="BN180" i="33"/>
  <c r="BQ180" i="33" s="1"/>
  <c r="DM139" i="31"/>
  <c r="DK139" i="31"/>
  <c r="DJ138" i="31"/>
  <c r="DO138" i="31" s="1"/>
  <c r="CG177" i="30"/>
  <c r="CF176" i="30"/>
  <c r="CI176" i="30" s="1"/>
  <c r="EA136" i="32"/>
  <c r="EB136" i="32"/>
  <c r="DZ135" i="32"/>
  <c r="ED135" i="32" s="1"/>
  <c r="DW139" i="32"/>
  <c r="DU139" i="32"/>
  <c r="DT138" i="32"/>
  <c r="DY138" i="32" s="1"/>
  <c r="DQ136" i="31"/>
  <c r="DR136" i="31"/>
  <c r="DP135" i="31"/>
  <c r="DT135" i="31" s="1"/>
  <c r="DV135" i="31" l="1"/>
  <c r="DW135" i="31"/>
  <c r="DU134" i="31"/>
  <c r="DY134" i="31" s="1"/>
  <c r="DR137" i="31"/>
  <c r="DQ137" i="31"/>
  <c r="DP136" i="31"/>
  <c r="DT136" i="31" s="1"/>
  <c r="DM140" i="31"/>
  <c r="DK140" i="31"/>
  <c r="DJ139" i="31"/>
  <c r="DO139" i="31" s="1"/>
  <c r="BU187" i="26"/>
  <c r="BT186" i="26"/>
  <c r="BW186" i="26" s="1"/>
  <c r="EB137" i="32"/>
  <c r="EA137" i="32"/>
  <c r="DZ136" i="32"/>
  <c r="ED136" i="32" s="1"/>
  <c r="BO182" i="33"/>
  <c r="BN181" i="33"/>
  <c r="BQ181" i="33" s="1"/>
  <c r="CG178" i="30"/>
  <c r="CF177" i="30"/>
  <c r="CI177" i="30" s="1"/>
  <c r="DW140" i="32"/>
  <c r="DU140" i="32"/>
  <c r="DT139" i="32"/>
  <c r="DY139" i="32" s="1"/>
  <c r="EG137" i="32"/>
  <c r="EF137" i="32"/>
  <c r="EE136" i="32"/>
  <c r="EI136" i="32" s="1"/>
  <c r="EG138" i="32" l="1"/>
  <c r="EF138" i="32"/>
  <c r="EE137" i="32"/>
  <c r="EI137" i="32" s="1"/>
  <c r="BU188" i="26"/>
  <c r="BT187" i="26"/>
  <c r="BW187" i="26" s="1"/>
  <c r="DV136" i="31"/>
  <c r="DW136" i="31"/>
  <c r="DU135" i="31"/>
  <c r="DY135" i="31" s="1"/>
  <c r="CG179" i="30"/>
  <c r="CF178" i="30"/>
  <c r="CI178" i="30" s="1"/>
  <c r="DW141" i="32"/>
  <c r="DU141" i="32"/>
  <c r="DT140" i="32"/>
  <c r="DY140" i="32" s="1"/>
  <c r="BO183" i="33"/>
  <c r="BN182" i="33"/>
  <c r="BQ182" i="33" s="1"/>
  <c r="DM141" i="31"/>
  <c r="DK141" i="31"/>
  <c r="DJ140" i="31"/>
  <c r="DO140" i="31" s="1"/>
  <c r="EB138" i="32"/>
  <c r="EA138" i="32"/>
  <c r="DZ137" i="32"/>
  <c r="ED137" i="32" s="1"/>
  <c r="DR138" i="31"/>
  <c r="DQ138" i="31"/>
  <c r="DP137" i="31"/>
  <c r="DT137" i="31" s="1"/>
  <c r="CG180" i="30" l="1"/>
  <c r="CF179" i="30"/>
  <c r="CI179" i="30" s="1"/>
  <c r="EF139" i="32"/>
  <c r="EG139" i="32"/>
  <c r="EE138" i="32"/>
  <c r="EI138" i="32" s="1"/>
  <c r="DR139" i="31"/>
  <c r="DQ139" i="31"/>
  <c r="DP138" i="31"/>
  <c r="DT138" i="31" s="1"/>
  <c r="BO184" i="33"/>
  <c r="BN183" i="33"/>
  <c r="BQ183" i="33" s="1"/>
  <c r="EB139" i="32"/>
  <c r="EA139" i="32"/>
  <c r="DZ138" i="32"/>
  <c r="ED138" i="32" s="1"/>
  <c r="DW142" i="32"/>
  <c r="DU142" i="32"/>
  <c r="DT141" i="32"/>
  <c r="DY141" i="32" s="1"/>
  <c r="DV137" i="31"/>
  <c r="DW137" i="31"/>
  <c r="DU136" i="31"/>
  <c r="DY136" i="31" s="1"/>
  <c r="DM142" i="31"/>
  <c r="DK142" i="31"/>
  <c r="DJ141" i="31"/>
  <c r="DO141" i="31" s="1"/>
  <c r="BU189" i="26"/>
  <c r="BT188" i="26"/>
  <c r="BW188" i="26" s="1"/>
  <c r="DW143" i="32" l="1"/>
  <c r="DU143" i="32"/>
  <c r="DT142" i="32"/>
  <c r="DY142" i="32" s="1"/>
  <c r="DQ140" i="31"/>
  <c r="DR140" i="31"/>
  <c r="DP139" i="31"/>
  <c r="DT139" i="31" s="1"/>
  <c r="BO185" i="33"/>
  <c r="BN184" i="33"/>
  <c r="BQ184" i="33" s="1"/>
  <c r="CG181" i="30"/>
  <c r="CF180" i="30"/>
  <c r="CI180" i="30" s="1"/>
  <c r="DW138" i="31"/>
  <c r="DV138" i="31"/>
  <c r="DU137" i="31"/>
  <c r="DY137" i="31" s="1"/>
  <c r="BU190" i="26"/>
  <c r="BT189" i="26"/>
  <c r="BW189" i="26" s="1"/>
  <c r="EA140" i="32"/>
  <c r="EB140" i="32"/>
  <c r="DZ139" i="32"/>
  <c r="ED139" i="32" s="1"/>
  <c r="DM143" i="31"/>
  <c r="DK143" i="31"/>
  <c r="DJ142" i="31"/>
  <c r="DO142" i="31" s="1"/>
  <c r="EG140" i="32"/>
  <c r="EF140" i="32"/>
  <c r="EE139" i="32"/>
  <c r="EI139" i="32" s="1"/>
  <c r="EB141" i="32" l="1"/>
  <c r="EA141" i="32"/>
  <c r="DZ140" i="32"/>
  <c r="ED140" i="32" s="1"/>
  <c r="CG182" i="30"/>
  <c r="CF181" i="30"/>
  <c r="CI181" i="30" s="1"/>
  <c r="DQ141" i="31"/>
  <c r="DR141" i="31"/>
  <c r="DP140" i="31"/>
  <c r="DT140" i="31" s="1"/>
  <c r="DW144" i="32"/>
  <c r="DU144" i="32"/>
  <c r="DT143" i="32"/>
  <c r="DY143" i="32" s="1"/>
  <c r="EG141" i="32"/>
  <c r="EF141" i="32"/>
  <c r="EE140" i="32"/>
  <c r="EI140" i="32" s="1"/>
  <c r="BU191" i="26"/>
  <c r="BT190" i="26"/>
  <c r="BW190" i="26" s="1"/>
  <c r="DM144" i="31"/>
  <c r="DK144" i="31"/>
  <c r="DJ143" i="31"/>
  <c r="DO143" i="31" s="1"/>
  <c r="DW139" i="31"/>
  <c r="DV139" i="31"/>
  <c r="DU138" i="31"/>
  <c r="DY138" i="31" s="1"/>
  <c r="BO186" i="33"/>
  <c r="BN185" i="33"/>
  <c r="BQ185" i="33" s="1"/>
  <c r="DM145" i="31" l="1"/>
  <c r="DK145" i="31"/>
  <c r="DJ144" i="31"/>
  <c r="DO144" i="31" s="1"/>
  <c r="EB142" i="32"/>
  <c r="EA142" i="32"/>
  <c r="DZ141" i="32"/>
  <c r="ED141" i="32" s="1"/>
  <c r="BO187" i="33"/>
  <c r="BN186" i="33"/>
  <c r="BQ186" i="33" s="1"/>
  <c r="BU192" i="26"/>
  <c r="BT191" i="26"/>
  <c r="BW191" i="26" s="1"/>
  <c r="DR142" i="31"/>
  <c r="DQ142" i="31"/>
  <c r="DP141" i="31"/>
  <c r="DT141" i="31" s="1"/>
  <c r="DW145" i="32"/>
  <c r="DU145" i="32"/>
  <c r="DT144" i="32"/>
  <c r="DY144" i="32" s="1"/>
  <c r="DV140" i="31"/>
  <c r="DW140" i="31"/>
  <c r="DU139" i="31"/>
  <c r="DY139" i="31" s="1"/>
  <c r="EG142" i="32"/>
  <c r="EF142" i="32"/>
  <c r="EE141" i="32"/>
  <c r="EI141" i="32" s="1"/>
  <c r="CG183" i="30"/>
  <c r="CF182" i="30"/>
  <c r="CI182" i="30" s="1"/>
  <c r="DV141" i="31" l="1"/>
  <c r="DW141" i="31"/>
  <c r="DU140" i="31"/>
  <c r="DY140" i="31" s="1"/>
  <c r="DW146" i="32"/>
  <c r="DU146" i="32"/>
  <c r="DT145" i="32"/>
  <c r="DY145" i="32" s="1"/>
  <c r="DM146" i="31"/>
  <c r="DK146" i="31"/>
  <c r="DJ145" i="31"/>
  <c r="DO145" i="31" s="1"/>
  <c r="CG184" i="30"/>
  <c r="CF183" i="30"/>
  <c r="CI183" i="30" s="1"/>
  <c r="DR143" i="31"/>
  <c r="DQ143" i="31"/>
  <c r="DP142" i="31"/>
  <c r="DT142" i="31" s="1"/>
  <c r="BO188" i="33"/>
  <c r="BN187" i="33"/>
  <c r="BQ187" i="33" s="1"/>
  <c r="BU193" i="26"/>
  <c r="BT192" i="26"/>
  <c r="BW192" i="26" s="1"/>
  <c r="EF143" i="32"/>
  <c r="EG143" i="32"/>
  <c r="EE142" i="32"/>
  <c r="EI142" i="32" s="1"/>
  <c r="EB143" i="32"/>
  <c r="EA143" i="32"/>
  <c r="DZ142" i="32"/>
  <c r="ED142" i="32" s="1"/>
  <c r="EA144" i="32" l="1"/>
  <c r="EB144" i="32"/>
  <c r="DZ143" i="32"/>
  <c r="ED143" i="32" s="1"/>
  <c r="DW142" i="31"/>
  <c r="DV142" i="31"/>
  <c r="DU141" i="31"/>
  <c r="DY141" i="31" s="1"/>
  <c r="BO189" i="33"/>
  <c r="BN188" i="33"/>
  <c r="BQ188" i="33" s="1"/>
  <c r="DM147" i="31"/>
  <c r="DK147" i="31"/>
  <c r="DJ146" i="31"/>
  <c r="DO146" i="31" s="1"/>
  <c r="BU194" i="26"/>
  <c r="BT193" i="26"/>
  <c r="BW193" i="26" s="1"/>
  <c r="CG185" i="30"/>
  <c r="CF184" i="30"/>
  <c r="CI184" i="30" s="1"/>
  <c r="EG144" i="32"/>
  <c r="EF144" i="32"/>
  <c r="EE143" i="32"/>
  <c r="EI143" i="32" s="1"/>
  <c r="DQ144" i="31"/>
  <c r="DR144" i="31"/>
  <c r="DP143" i="31"/>
  <c r="DT143" i="31" s="1"/>
  <c r="DW147" i="32"/>
  <c r="DU147" i="32"/>
  <c r="DT146" i="32"/>
  <c r="DY146" i="32" s="1"/>
  <c r="DW148" i="32" l="1"/>
  <c r="DU148" i="32"/>
  <c r="DT147" i="32"/>
  <c r="DY147" i="32" s="1"/>
  <c r="CG186" i="30"/>
  <c r="CF185" i="30"/>
  <c r="CI185" i="30" s="1"/>
  <c r="EB145" i="32"/>
  <c r="EA145" i="32"/>
  <c r="DZ144" i="32"/>
  <c r="ED144" i="32" s="1"/>
  <c r="BO190" i="33"/>
  <c r="BN189" i="33"/>
  <c r="BQ189" i="33" s="1"/>
  <c r="DM148" i="31"/>
  <c r="DK148" i="31"/>
  <c r="DJ147" i="31"/>
  <c r="DO147" i="31" s="1"/>
  <c r="DR145" i="31"/>
  <c r="DQ145" i="31"/>
  <c r="DP144" i="31"/>
  <c r="DT144" i="31" s="1"/>
  <c r="EG145" i="32"/>
  <c r="EF145" i="32"/>
  <c r="EE144" i="32"/>
  <c r="EI144" i="32" s="1"/>
  <c r="BU195" i="26"/>
  <c r="BT194" i="26"/>
  <c r="BW194" i="26" s="1"/>
  <c r="DW143" i="31"/>
  <c r="DV143" i="31"/>
  <c r="DU142" i="31"/>
  <c r="DY142" i="31" s="1"/>
  <c r="DW144" i="31" l="1"/>
  <c r="DV144" i="31"/>
  <c r="DU143" i="31"/>
  <c r="DY143" i="31" s="1"/>
  <c r="DQ146" i="31"/>
  <c r="DR146" i="31"/>
  <c r="DP145" i="31"/>
  <c r="DT145" i="31" s="1"/>
  <c r="EB146" i="32"/>
  <c r="EA146" i="32"/>
  <c r="DZ145" i="32"/>
  <c r="ED145" i="32" s="1"/>
  <c r="EG146" i="32"/>
  <c r="EF146" i="32"/>
  <c r="EE145" i="32"/>
  <c r="EI145" i="32" s="1"/>
  <c r="BO191" i="33"/>
  <c r="BN190" i="33"/>
  <c r="BQ190" i="33" s="1"/>
  <c r="DM149" i="31"/>
  <c r="DK149" i="31"/>
  <c r="DJ148" i="31"/>
  <c r="DO148" i="31" s="1"/>
  <c r="DW149" i="32"/>
  <c r="DU149" i="32"/>
  <c r="DT148" i="32"/>
  <c r="DY148" i="32" s="1"/>
  <c r="BU196" i="26"/>
  <c r="BT195" i="26"/>
  <c r="BW195" i="26" s="1"/>
  <c r="CG187" i="30"/>
  <c r="CF186" i="30"/>
  <c r="CI186" i="30" s="1"/>
  <c r="BU197" i="26" l="1"/>
  <c r="BT196" i="26"/>
  <c r="BW196" i="26" s="1"/>
  <c r="EF147" i="32"/>
  <c r="EG147" i="32"/>
  <c r="EE146" i="32"/>
  <c r="EI146" i="32" s="1"/>
  <c r="DV145" i="31"/>
  <c r="DW145" i="31"/>
  <c r="DU144" i="31"/>
  <c r="DY144" i="31" s="1"/>
  <c r="DW150" i="32"/>
  <c r="DU150" i="32"/>
  <c r="DT149" i="32"/>
  <c r="DY149" i="32" s="1"/>
  <c r="DM150" i="31"/>
  <c r="DK150" i="31"/>
  <c r="DJ149" i="31"/>
  <c r="DO149" i="31" s="1"/>
  <c r="EB147" i="32"/>
  <c r="EA147" i="32"/>
  <c r="DZ146" i="32"/>
  <c r="ED146" i="32" s="1"/>
  <c r="BO192" i="33"/>
  <c r="BN191" i="33"/>
  <c r="BQ191" i="33" s="1"/>
  <c r="DR147" i="31"/>
  <c r="DQ147" i="31"/>
  <c r="DP146" i="31"/>
  <c r="DT146" i="31" s="1"/>
  <c r="CG188" i="30"/>
  <c r="CF187" i="30"/>
  <c r="CI187" i="30" s="1"/>
  <c r="BO193" i="33" l="1"/>
  <c r="BN192" i="33"/>
  <c r="BQ192" i="33" s="1"/>
  <c r="CG189" i="30"/>
  <c r="CF188" i="30"/>
  <c r="CI188" i="30" s="1"/>
  <c r="EA148" i="32"/>
  <c r="EB148" i="32"/>
  <c r="DZ147" i="32"/>
  <c r="ED147" i="32" s="1"/>
  <c r="DW146" i="31"/>
  <c r="DV146" i="31"/>
  <c r="DU145" i="31"/>
  <c r="DY145" i="31" s="1"/>
  <c r="DW151" i="32"/>
  <c r="DU151" i="32"/>
  <c r="DT150" i="32"/>
  <c r="DY150" i="32" s="1"/>
  <c r="BU198" i="26"/>
  <c r="BT197" i="26"/>
  <c r="BW197" i="26" s="1"/>
  <c r="DQ148" i="31"/>
  <c r="DR148" i="31"/>
  <c r="DP147" i="31"/>
  <c r="DT147" i="31" s="1"/>
  <c r="DM151" i="31"/>
  <c r="DK151" i="31"/>
  <c r="DJ150" i="31"/>
  <c r="DO150" i="31" s="1"/>
  <c r="EG148" i="32"/>
  <c r="EF148" i="32"/>
  <c r="EE147" i="32"/>
  <c r="EI147" i="32" s="1"/>
  <c r="EB149" i="32" l="1"/>
  <c r="EA149" i="32"/>
  <c r="DZ148" i="32"/>
  <c r="ED148" i="32" s="1"/>
  <c r="DM152" i="31"/>
  <c r="DK152" i="31"/>
  <c r="DJ151" i="31"/>
  <c r="DO151" i="31" s="1"/>
  <c r="DW152" i="32"/>
  <c r="DU152" i="32"/>
  <c r="DT151" i="32"/>
  <c r="DY151" i="32" s="1"/>
  <c r="CG190" i="30"/>
  <c r="CF189" i="30"/>
  <c r="CI189" i="30" s="1"/>
  <c r="DR149" i="31"/>
  <c r="DQ149" i="31"/>
  <c r="DP148" i="31"/>
  <c r="DT148" i="31" s="1"/>
  <c r="BO194" i="33"/>
  <c r="BN193" i="33"/>
  <c r="BQ193" i="33" s="1"/>
  <c r="EG149" i="32"/>
  <c r="EF149" i="32"/>
  <c r="EE148" i="32"/>
  <c r="EI148" i="32" s="1"/>
  <c r="BU199" i="26"/>
  <c r="BT198" i="26"/>
  <c r="BW198" i="26" s="1"/>
  <c r="DV147" i="31"/>
  <c r="DW147" i="31"/>
  <c r="DU146" i="31"/>
  <c r="DY146" i="31" s="1"/>
  <c r="CG191" i="30" l="1"/>
  <c r="CF190" i="30"/>
  <c r="CI190" i="30" s="1"/>
  <c r="EG150" i="32"/>
  <c r="EF150" i="32"/>
  <c r="EE149" i="32"/>
  <c r="EI149" i="32" s="1"/>
  <c r="DW148" i="31"/>
  <c r="DV148" i="31"/>
  <c r="DU147" i="31"/>
  <c r="DY147" i="31" s="1"/>
  <c r="BO195" i="33"/>
  <c r="BN194" i="33"/>
  <c r="BQ194" i="33" s="1"/>
  <c r="DW153" i="32"/>
  <c r="DU153" i="32"/>
  <c r="DT152" i="32"/>
  <c r="DY152" i="32" s="1"/>
  <c r="EB150" i="32"/>
  <c r="EA150" i="32"/>
  <c r="DZ149" i="32"/>
  <c r="ED149" i="32" s="1"/>
  <c r="BU200" i="26"/>
  <c r="BT199" i="26"/>
  <c r="BW199" i="26" s="1"/>
  <c r="DQ150" i="31"/>
  <c r="DR150" i="31"/>
  <c r="DP149" i="31"/>
  <c r="DT149" i="31" s="1"/>
  <c r="DM153" i="31"/>
  <c r="DK153" i="31"/>
  <c r="DJ152" i="31"/>
  <c r="DO152" i="31" s="1"/>
  <c r="BU201" i="26" l="1"/>
  <c r="BT200" i="26"/>
  <c r="BW200" i="26" s="1"/>
  <c r="CG192" i="30"/>
  <c r="CF191" i="30"/>
  <c r="CI191" i="30" s="1"/>
  <c r="DM154" i="31"/>
  <c r="DK154" i="31"/>
  <c r="DJ153" i="31"/>
  <c r="DO153" i="31" s="1"/>
  <c r="EB151" i="32"/>
  <c r="EA151" i="32"/>
  <c r="DZ150" i="32"/>
  <c r="ED150" i="32" s="1"/>
  <c r="DV149" i="31"/>
  <c r="DW149" i="31"/>
  <c r="DU148" i="31"/>
  <c r="DY148" i="31" s="1"/>
  <c r="BO196" i="33"/>
  <c r="BN195" i="33"/>
  <c r="BQ195" i="33" s="1"/>
  <c r="DW154" i="32"/>
  <c r="DU154" i="32"/>
  <c r="DT153" i="32"/>
  <c r="DY153" i="32" s="1"/>
  <c r="EF151" i="32"/>
  <c r="EG151" i="32"/>
  <c r="EE150" i="32"/>
  <c r="EI150" i="32" s="1"/>
  <c r="DR151" i="31"/>
  <c r="DQ151" i="31"/>
  <c r="DP150" i="31"/>
  <c r="DT150" i="31" s="1"/>
  <c r="BU202" i="26" l="1"/>
  <c r="BT201" i="26"/>
  <c r="BW201" i="26" s="1"/>
  <c r="DQ152" i="31"/>
  <c r="DR152" i="31"/>
  <c r="DP151" i="31"/>
  <c r="DT151" i="31" s="1"/>
  <c r="BO197" i="33"/>
  <c r="BN196" i="33"/>
  <c r="BQ196" i="33" s="1"/>
  <c r="CG193" i="30"/>
  <c r="CF192" i="30"/>
  <c r="CI192" i="30" s="1"/>
  <c r="DM155" i="31"/>
  <c r="DK155" i="31"/>
  <c r="DJ154" i="31"/>
  <c r="DO154" i="31" s="1"/>
  <c r="EG152" i="32"/>
  <c r="EF152" i="32"/>
  <c r="EE151" i="32"/>
  <c r="EI151" i="32" s="1"/>
  <c r="DW155" i="32"/>
  <c r="DU155" i="32"/>
  <c r="DT154" i="32"/>
  <c r="DY154" i="32" s="1"/>
  <c r="DW150" i="31"/>
  <c r="DV150" i="31"/>
  <c r="DU149" i="31"/>
  <c r="DY149" i="31" s="1"/>
  <c r="EA152" i="32"/>
  <c r="EB152" i="32"/>
  <c r="DZ151" i="32"/>
  <c r="ED151" i="32" s="1"/>
  <c r="EG153" i="32" l="1"/>
  <c r="EF153" i="32"/>
  <c r="EE152" i="32"/>
  <c r="EI152" i="32" s="1"/>
  <c r="DM156" i="31"/>
  <c r="DK156" i="31"/>
  <c r="DJ155" i="31"/>
  <c r="DO155" i="31" s="1"/>
  <c r="BO198" i="33"/>
  <c r="BN197" i="33"/>
  <c r="BQ197" i="33" s="1"/>
  <c r="EB153" i="32"/>
  <c r="EA153" i="32"/>
  <c r="DZ152" i="32"/>
  <c r="ED152" i="32" s="1"/>
  <c r="DV151" i="31"/>
  <c r="DW151" i="31"/>
  <c r="DU150" i="31"/>
  <c r="DY150" i="31" s="1"/>
  <c r="BU203" i="26"/>
  <c r="BT202" i="26"/>
  <c r="BW202" i="26" s="1"/>
  <c r="DW156" i="32"/>
  <c r="DU156" i="32"/>
  <c r="DT155" i="32"/>
  <c r="DY155" i="32" s="1"/>
  <c r="CG194" i="30"/>
  <c r="CF193" i="30"/>
  <c r="CI193" i="30" s="1"/>
  <c r="DQ153" i="31"/>
  <c r="DR153" i="31"/>
  <c r="DP152" i="31"/>
  <c r="DT152" i="31" s="1"/>
  <c r="DW152" i="31" l="1"/>
  <c r="DV152" i="31"/>
  <c r="DU151" i="31"/>
  <c r="DY151" i="31" s="1"/>
  <c r="DW157" i="32"/>
  <c r="DU157" i="32"/>
  <c r="DT156" i="32"/>
  <c r="DY156" i="32" s="1"/>
  <c r="EB154" i="32"/>
  <c r="EA154" i="32"/>
  <c r="DZ153" i="32"/>
  <c r="ED153" i="32" s="1"/>
  <c r="BU204" i="26"/>
  <c r="BT203" i="26"/>
  <c r="BW203" i="26" s="1"/>
  <c r="BO199" i="33"/>
  <c r="BN198" i="33"/>
  <c r="BQ198" i="33" s="1"/>
  <c r="EG154" i="32"/>
  <c r="EF154" i="32"/>
  <c r="EE153" i="32"/>
  <c r="EI153" i="32" s="1"/>
  <c r="DQ154" i="31"/>
  <c r="DR154" i="31"/>
  <c r="DP153" i="31"/>
  <c r="DT153" i="31" s="1"/>
  <c r="CG195" i="30"/>
  <c r="CF194" i="30"/>
  <c r="CI194" i="30" s="1"/>
  <c r="DM157" i="31"/>
  <c r="DK157" i="31"/>
  <c r="DJ156" i="31"/>
  <c r="DO156" i="31" s="1"/>
  <c r="DV153" i="31" l="1"/>
  <c r="DW153" i="31"/>
  <c r="DU152" i="31"/>
  <c r="DY152" i="31" s="1"/>
  <c r="DM158" i="31"/>
  <c r="DK158" i="31"/>
  <c r="DJ157" i="31"/>
  <c r="DO157" i="31" s="1"/>
  <c r="DR155" i="31"/>
  <c r="DQ155" i="31"/>
  <c r="DP154" i="31"/>
  <c r="DT154" i="31" s="1"/>
  <c r="EF155" i="32"/>
  <c r="EG155" i="32"/>
  <c r="EE154" i="32"/>
  <c r="EI154" i="32" s="1"/>
  <c r="BU205" i="26"/>
  <c r="BT204" i="26"/>
  <c r="BW204" i="26" s="1"/>
  <c r="EB155" i="32"/>
  <c r="EA155" i="32"/>
  <c r="DZ154" i="32"/>
  <c r="ED154" i="32" s="1"/>
  <c r="CG196" i="30"/>
  <c r="CF195" i="30"/>
  <c r="CI195" i="30" s="1"/>
  <c r="BO200" i="33"/>
  <c r="BN199" i="33"/>
  <c r="BQ199" i="33" s="1"/>
  <c r="DW158" i="32"/>
  <c r="DU158" i="32"/>
  <c r="DT157" i="32"/>
  <c r="DY157" i="32" s="1"/>
  <c r="DW159" i="32" l="1"/>
  <c r="DU159" i="32"/>
  <c r="DT158" i="32"/>
  <c r="DY158" i="32" s="1"/>
  <c r="CG197" i="30"/>
  <c r="CF196" i="30"/>
  <c r="CI196" i="30" s="1"/>
  <c r="DW154" i="31"/>
  <c r="DV154" i="31"/>
  <c r="DU153" i="31"/>
  <c r="DY153" i="31" s="1"/>
  <c r="BU206" i="26"/>
  <c r="BT205" i="26"/>
  <c r="BW205" i="26" s="1"/>
  <c r="EA156" i="32"/>
  <c r="EB156" i="32"/>
  <c r="DZ155" i="32"/>
  <c r="ED155" i="32" s="1"/>
  <c r="EG156" i="32"/>
  <c r="EF156" i="32"/>
  <c r="EE155" i="32"/>
  <c r="EI155" i="32" s="1"/>
  <c r="DQ156" i="31"/>
  <c r="DR156" i="31"/>
  <c r="DP155" i="31"/>
  <c r="DT155" i="31" s="1"/>
  <c r="BO201" i="33"/>
  <c r="BN200" i="33"/>
  <c r="BQ200" i="33" s="1"/>
  <c r="DM159" i="31"/>
  <c r="DK159" i="31"/>
  <c r="DJ158" i="31"/>
  <c r="DO158" i="31" s="1"/>
  <c r="DW155" i="31" l="1"/>
  <c r="DV155" i="31"/>
  <c r="DU154" i="31"/>
  <c r="DY154" i="31" s="1"/>
  <c r="DM160" i="31"/>
  <c r="DK160" i="31"/>
  <c r="DJ159" i="31"/>
  <c r="DO159" i="31" s="1"/>
  <c r="BU207" i="26"/>
  <c r="BT206" i="26"/>
  <c r="BW206" i="26" s="1"/>
  <c r="DW160" i="32"/>
  <c r="DU160" i="32"/>
  <c r="DT159" i="32"/>
  <c r="DY159" i="32" s="1"/>
  <c r="DQ157" i="31"/>
  <c r="DR157" i="31"/>
  <c r="DP156" i="31"/>
  <c r="DT156" i="31" s="1"/>
  <c r="EG157" i="32"/>
  <c r="EF157" i="32"/>
  <c r="EE156" i="32"/>
  <c r="EI156" i="32" s="1"/>
  <c r="BO202" i="33"/>
  <c r="BN201" i="33"/>
  <c r="BQ201" i="33" s="1"/>
  <c r="EB157" i="32"/>
  <c r="EA157" i="32"/>
  <c r="DZ156" i="32"/>
  <c r="ED156" i="32" s="1"/>
  <c r="CG198" i="30"/>
  <c r="CF197" i="30"/>
  <c r="CI197" i="30" s="1"/>
  <c r="DW161" i="32" l="1"/>
  <c r="DU161" i="32"/>
  <c r="DT160" i="32"/>
  <c r="DY160" i="32" s="1"/>
  <c r="BO203" i="33"/>
  <c r="BN202" i="33"/>
  <c r="BQ202" i="33" s="1"/>
  <c r="CG199" i="30"/>
  <c r="CF198" i="30"/>
  <c r="CI198" i="30" s="1"/>
  <c r="EG158" i="32"/>
  <c r="EF158" i="32"/>
  <c r="EE157" i="32"/>
  <c r="EI157" i="32" s="1"/>
  <c r="BU208" i="26"/>
  <c r="BT207" i="26"/>
  <c r="BW207" i="26" s="1"/>
  <c r="DR158" i="31"/>
  <c r="DQ158" i="31"/>
  <c r="DP157" i="31"/>
  <c r="DT157" i="31" s="1"/>
  <c r="DV156" i="31"/>
  <c r="DW156" i="31"/>
  <c r="DU155" i="31"/>
  <c r="DY155" i="31" s="1"/>
  <c r="EB158" i="32"/>
  <c r="EA158" i="32"/>
  <c r="DZ157" i="32"/>
  <c r="ED157" i="32" s="1"/>
  <c r="DM161" i="31"/>
  <c r="DK161" i="31"/>
  <c r="DJ160" i="31"/>
  <c r="DO160" i="31" s="1"/>
  <c r="CG200" i="30" l="1"/>
  <c r="CF199" i="30"/>
  <c r="CI199" i="30" s="1"/>
  <c r="BU209" i="26"/>
  <c r="BT208" i="26"/>
  <c r="BW208" i="26" s="1"/>
  <c r="DV157" i="31"/>
  <c r="DW157" i="31"/>
  <c r="DU156" i="31"/>
  <c r="DY156" i="31" s="1"/>
  <c r="DR159" i="31"/>
  <c r="DQ159" i="31"/>
  <c r="DP158" i="31"/>
  <c r="DT158" i="31" s="1"/>
  <c r="DW162" i="32"/>
  <c r="DU162" i="32"/>
  <c r="DT161" i="32"/>
  <c r="DY161" i="32" s="1"/>
  <c r="DM162" i="31"/>
  <c r="DK162" i="31"/>
  <c r="DJ161" i="31"/>
  <c r="DO161" i="31" s="1"/>
  <c r="EB159" i="32"/>
  <c r="EA159" i="32"/>
  <c r="DZ158" i="32"/>
  <c r="ED158" i="32" s="1"/>
  <c r="EF159" i="32"/>
  <c r="EG159" i="32"/>
  <c r="EE158" i="32"/>
  <c r="EI158" i="32" s="1"/>
  <c r="BO204" i="33"/>
  <c r="BN203" i="33"/>
  <c r="BQ203" i="33" s="1"/>
  <c r="DW158" i="31" l="1"/>
  <c r="DV158" i="31"/>
  <c r="DU157" i="31"/>
  <c r="DY157" i="31" s="1"/>
  <c r="EG160" i="32"/>
  <c r="EF160" i="32"/>
  <c r="EE159" i="32"/>
  <c r="EI159" i="32" s="1"/>
  <c r="CG201" i="30"/>
  <c r="CF200" i="30"/>
  <c r="CI200" i="30" s="1"/>
  <c r="DW163" i="32"/>
  <c r="DU163" i="32"/>
  <c r="DT162" i="32"/>
  <c r="DY162" i="32" s="1"/>
  <c r="BU210" i="26"/>
  <c r="BT209" i="26"/>
  <c r="BW209" i="26" s="1"/>
  <c r="EA160" i="32"/>
  <c r="EB160" i="32"/>
  <c r="DZ159" i="32"/>
  <c r="ED159" i="32" s="1"/>
  <c r="DM163" i="31"/>
  <c r="DK163" i="31"/>
  <c r="DJ162" i="31"/>
  <c r="DO162" i="31" s="1"/>
  <c r="BO205" i="33"/>
  <c r="BN204" i="33"/>
  <c r="BQ204" i="33" s="1"/>
  <c r="DQ160" i="31"/>
  <c r="DR160" i="31"/>
  <c r="DP159" i="31"/>
  <c r="DT159" i="31" s="1"/>
  <c r="DW164" i="32" l="1"/>
  <c r="DU164" i="32"/>
  <c r="DT163" i="32"/>
  <c r="DY163" i="32" s="1"/>
  <c r="DW159" i="31"/>
  <c r="DV159" i="31"/>
  <c r="DU158" i="31"/>
  <c r="DY158" i="31" s="1"/>
  <c r="EB161" i="32"/>
  <c r="EA161" i="32"/>
  <c r="DZ160" i="32"/>
  <c r="ED160" i="32" s="1"/>
  <c r="CG202" i="30"/>
  <c r="CF201" i="30"/>
  <c r="CI201" i="30" s="1"/>
  <c r="DM164" i="31"/>
  <c r="DK164" i="31"/>
  <c r="DJ163" i="31"/>
  <c r="DO163" i="31" s="1"/>
  <c r="DQ161" i="31"/>
  <c r="DR161" i="31"/>
  <c r="DP160" i="31"/>
  <c r="DT160" i="31" s="1"/>
  <c r="BO206" i="33"/>
  <c r="BN205" i="33"/>
  <c r="BQ205" i="33" s="1"/>
  <c r="BU211" i="26"/>
  <c r="BT210" i="26"/>
  <c r="BW210" i="26" s="1"/>
  <c r="EG161" i="32"/>
  <c r="EF161" i="32"/>
  <c r="EE160" i="32"/>
  <c r="EI160" i="32" s="1"/>
  <c r="DW165" i="32" l="1"/>
  <c r="DU165" i="32"/>
  <c r="DT164" i="32"/>
  <c r="DY164" i="32" s="1"/>
  <c r="EB162" i="32"/>
  <c r="EA162" i="32"/>
  <c r="DZ161" i="32"/>
  <c r="ED161" i="32" s="1"/>
  <c r="EG162" i="32"/>
  <c r="EF162" i="32"/>
  <c r="EE161" i="32"/>
  <c r="EI161" i="32" s="1"/>
  <c r="BO207" i="33"/>
  <c r="BN206" i="33"/>
  <c r="BQ206" i="33" s="1"/>
  <c r="CG203" i="30"/>
  <c r="CF202" i="30"/>
  <c r="CI202" i="30" s="1"/>
  <c r="BU212" i="26"/>
  <c r="BT211" i="26"/>
  <c r="BW211" i="26" s="1"/>
  <c r="DQ162" i="31"/>
  <c r="DR162" i="31"/>
  <c r="DP161" i="31"/>
  <c r="DT161" i="31" s="1"/>
  <c r="DM165" i="31"/>
  <c r="DK165" i="31"/>
  <c r="DJ164" i="31"/>
  <c r="DO164" i="31" s="1"/>
  <c r="DV160" i="31"/>
  <c r="DW160" i="31"/>
  <c r="DU159" i="31"/>
  <c r="DY159" i="31" s="1"/>
  <c r="BU213" i="26" l="1"/>
  <c r="BT212" i="26"/>
  <c r="BW212" i="26" s="1"/>
  <c r="BO208" i="33"/>
  <c r="BN207" i="33"/>
  <c r="BQ207" i="33" s="1"/>
  <c r="DW166" i="32"/>
  <c r="DU166" i="32"/>
  <c r="DT165" i="32"/>
  <c r="DY165" i="32" s="1"/>
  <c r="DV161" i="31"/>
  <c r="DW161" i="31"/>
  <c r="DU160" i="31"/>
  <c r="DY160" i="31" s="1"/>
  <c r="DM166" i="31"/>
  <c r="DK166" i="31"/>
  <c r="DJ165" i="31"/>
  <c r="DO165" i="31" s="1"/>
  <c r="EF163" i="32"/>
  <c r="EG163" i="32"/>
  <c r="EE162" i="32"/>
  <c r="EI162" i="32" s="1"/>
  <c r="DR163" i="31"/>
  <c r="DQ163" i="31"/>
  <c r="DP162" i="31"/>
  <c r="DT162" i="31" s="1"/>
  <c r="CG204" i="30"/>
  <c r="CF203" i="30"/>
  <c r="CI203" i="30" s="1"/>
  <c r="EB163" i="32"/>
  <c r="EA163" i="32"/>
  <c r="DZ162" i="32"/>
  <c r="ED162" i="32" s="1"/>
  <c r="DW167" i="32" l="1"/>
  <c r="DU167" i="32"/>
  <c r="DT166" i="32"/>
  <c r="DY166" i="32" s="1"/>
  <c r="BU214" i="26"/>
  <c r="BT213" i="26"/>
  <c r="BW213" i="26" s="1"/>
  <c r="EA164" i="32"/>
  <c r="EB164" i="32"/>
  <c r="DZ163" i="32"/>
  <c r="ED163" i="32" s="1"/>
  <c r="DW162" i="31"/>
  <c r="DV162" i="31"/>
  <c r="DU161" i="31"/>
  <c r="DY161" i="31" s="1"/>
  <c r="EG164" i="32"/>
  <c r="EF164" i="32"/>
  <c r="EE163" i="32"/>
  <c r="EI163" i="32" s="1"/>
  <c r="DM167" i="31"/>
  <c r="DK167" i="31"/>
  <c r="DJ166" i="31"/>
  <c r="DO166" i="31" s="1"/>
  <c r="BO209" i="33"/>
  <c r="BN208" i="33"/>
  <c r="BQ208" i="33" s="1"/>
  <c r="DQ164" i="31"/>
  <c r="DR164" i="31"/>
  <c r="DP163" i="31"/>
  <c r="DT163" i="31" s="1"/>
  <c r="CG205" i="30"/>
  <c r="CF204" i="30"/>
  <c r="CI204" i="30" s="1"/>
  <c r="DR165" i="31" l="1"/>
  <c r="DQ165" i="31"/>
  <c r="DP164" i="31"/>
  <c r="DT164" i="31" s="1"/>
  <c r="DW168" i="32"/>
  <c r="DU168" i="32"/>
  <c r="DT167" i="32"/>
  <c r="DY167" i="32" s="1"/>
  <c r="BO210" i="33"/>
  <c r="BN209" i="33"/>
  <c r="BQ209" i="33" s="1"/>
  <c r="CG206" i="30"/>
  <c r="CF205" i="30"/>
  <c r="CI205" i="30" s="1"/>
  <c r="DM168" i="31"/>
  <c r="DK168" i="31"/>
  <c r="DJ167" i="31"/>
  <c r="DO167" i="31" s="1"/>
  <c r="EB165" i="32"/>
  <c r="EA165" i="32"/>
  <c r="DZ164" i="32"/>
  <c r="ED164" i="32" s="1"/>
  <c r="DV163" i="31"/>
  <c r="DW163" i="31"/>
  <c r="DU162" i="31"/>
  <c r="DY162" i="31" s="1"/>
  <c r="EG165" i="32"/>
  <c r="EF165" i="32"/>
  <c r="EE164" i="32"/>
  <c r="EI164" i="32" s="1"/>
  <c r="BU215" i="26"/>
  <c r="BT214" i="26"/>
  <c r="BW214" i="26" s="1"/>
  <c r="CG207" i="30" l="1"/>
  <c r="CF206" i="30"/>
  <c r="CI206" i="30" s="1"/>
  <c r="DR166" i="31"/>
  <c r="DQ166" i="31"/>
  <c r="DP165" i="31"/>
  <c r="DT165" i="31" s="1"/>
  <c r="DW164" i="31"/>
  <c r="DV164" i="31"/>
  <c r="DU163" i="31"/>
  <c r="DY163" i="31" s="1"/>
  <c r="EB166" i="32"/>
  <c r="EA166" i="32"/>
  <c r="DZ165" i="32"/>
  <c r="ED165" i="32" s="1"/>
  <c r="DM169" i="31"/>
  <c r="DK169" i="31"/>
  <c r="DJ168" i="31"/>
  <c r="DO168" i="31" s="1"/>
  <c r="BO211" i="33"/>
  <c r="BN210" i="33"/>
  <c r="BQ210" i="33" s="1"/>
  <c r="BU216" i="26"/>
  <c r="BT215" i="26"/>
  <c r="BW215" i="26" s="1"/>
  <c r="EG166" i="32"/>
  <c r="EF166" i="32"/>
  <c r="EE165" i="32"/>
  <c r="EI165" i="32" s="1"/>
  <c r="DW169" i="32"/>
  <c r="DU169" i="32"/>
  <c r="DT168" i="32"/>
  <c r="DY168" i="32" s="1"/>
  <c r="DW170" i="32" l="1"/>
  <c r="DU170" i="32"/>
  <c r="DT169" i="32"/>
  <c r="DY169" i="32" s="1"/>
  <c r="DV165" i="31"/>
  <c r="DW165" i="31"/>
  <c r="DU164" i="31"/>
  <c r="DY164" i="31" s="1"/>
  <c r="BU217" i="26"/>
  <c r="BT216" i="26"/>
  <c r="BW216" i="26" s="1"/>
  <c r="CG208" i="30"/>
  <c r="CF207" i="30"/>
  <c r="CI207" i="30" s="1"/>
  <c r="EF167" i="32"/>
  <c r="EG167" i="32"/>
  <c r="EE166" i="32"/>
  <c r="EI166" i="32" s="1"/>
  <c r="BO212" i="33"/>
  <c r="BN211" i="33"/>
  <c r="BQ211" i="33" s="1"/>
  <c r="DR167" i="31"/>
  <c r="DQ167" i="31"/>
  <c r="DP166" i="31"/>
  <c r="DT166" i="31" s="1"/>
  <c r="EB167" i="32"/>
  <c r="EA167" i="32"/>
  <c r="DZ166" i="32"/>
  <c r="ED166" i="32" s="1"/>
  <c r="DM170" i="31"/>
  <c r="DK170" i="31"/>
  <c r="DJ169" i="31"/>
  <c r="DO169" i="31" s="1"/>
  <c r="DW166" i="31" l="1"/>
  <c r="DV166" i="31"/>
  <c r="DU165" i="31"/>
  <c r="DY165" i="31" s="1"/>
  <c r="BO213" i="33"/>
  <c r="BN212" i="33"/>
  <c r="BQ212" i="33" s="1"/>
  <c r="DW171" i="32"/>
  <c r="DU171" i="32"/>
  <c r="DT170" i="32"/>
  <c r="DY170" i="32" s="1"/>
  <c r="EA168" i="32"/>
  <c r="EB168" i="32"/>
  <c r="DZ167" i="32"/>
  <c r="ED167" i="32" s="1"/>
  <c r="BU218" i="26"/>
  <c r="BT217" i="26"/>
  <c r="BW217" i="26" s="1"/>
  <c r="CG209" i="30"/>
  <c r="CF208" i="30"/>
  <c r="CI208" i="30" s="1"/>
  <c r="DM171" i="31"/>
  <c r="DK171" i="31"/>
  <c r="DJ170" i="31"/>
  <c r="DO170" i="31" s="1"/>
  <c r="DQ168" i="31"/>
  <c r="DR168" i="31"/>
  <c r="DP167" i="31"/>
  <c r="DT167" i="31" s="1"/>
  <c r="EG168" i="32"/>
  <c r="EF168" i="32"/>
  <c r="EE167" i="32"/>
  <c r="EI167" i="32" s="1"/>
  <c r="EB169" i="32" l="1"/>
  <c r="EA169" i="32"/>
  <c r="DZ168" i="32"/>
  <c r="ED168" i="32" s="1"/>
  <c r="DW172" i="32"/>
  <c r="DU172" i="32"/>
  <c r="DT171" i="32"/>
  <c r="DY171" i="32" s="1"/>
  <c r="DV167" i="31"/>
  <c r="DW167" i="31"/>
  <c r="DU166" i="31"/>
  <c r="DY166" i="31" s="1"/>
  <c r="EG169" i="32"/>
  <c r="EF169" i="32"/>
  <c r="EE168" i="32"/>
  <c r="EI168" i="32" s="1"/>
  <c r="CG210" i="30"/>
  <c r="CF209" i="30"/>
  <c r="CI209" i="30" s="1"/>
  <c r="DR169" i="31"/>
  <c r="DQ169" i="31"/>
  <c r="DP168" i="31"/>
  <c r="DT168" i="31" s="1"/>
  <c r="DM172" i="31"/>
  <c r="DK172" i="31"/>
  <c r="DJ171" i="31"/>
  <c r="DO171" i="31" s="1"/>
  <c r="BU219" i="26"/>
  <c r="BT218" i="26"/>
  <c r="BW218" i="26" s="1"/>
  <c r="BO214" i="33"/>
  <c r="BN213" i="33"/>
  <c r="BQ213" i="33" s="1"/>
  <c r="EB170" i="32" l="1"/>
  <c r="EA170" i="32"/>
  <c r="DZ169" i="32"/>
  <c r="ED169" i="32" s="1"/>
  <c r="DM173" i="31"/>
  <c r="DK173" i="31"/>
  <c r="DJ172" i="31"/>
  <c r="DO172" i="31" s="1"/>
  <c r="EG170" i="32"/>
  <c r="EF170" i="32"/>
  <c r="EE169" i="32"/>
  <c r="EI169" i="32" s="1"/>
  <c r="BU220" i="26"/>
  <c r="BT219" i="26"/>
  <c r="BW219" i="26" s="1"/>
  <c r="DR170" i="31"/>
  <c r="DQ170" i="31"/>
  <c r="DP169" i="31"/>
  <c r="DT169" i="31" s="1"/>
  <c r="CG211" i="30"/>
  <c r="CF210" i="30"/>
  <c r="CI210" i="30" s="1"/>
  <c r="BO215" i="33"/>
  <c r="BN214" i="33"/>
  <c r="BQ214" i="33" s="1"/>
  <c r="DV168" i="31"/>
  <c r="DW168" i="31"/>
  <c r="DU167" i="31"/>
  <c r="DY167" i="31" s="1"/>
  <c r="DW173" i="32"/>
  <c r="DU173" i="32"/>
  <c r="DT172" i="32"/>
  <c r="DY172" i="32" s="1"/>
  <c r="BO216" i="33" l="1"/>
  <c r="BN215" i="33"/>
  <c r="BQ215" i="33" s="1"/>
  <c r="BU221" i="26"/>
  <c r="BT220" i="26"/>
  <c r="BW220" i="26" s="1"/>
  <c r="EB171" i="32"/>
  <c r="EA171" i="32"/>
  <c r="DZ170" i="32"/>
  <c r="ED170" i="32" s="1"/>
  <c r="CG212" i="30"/>
  <c r="CF211" i="30"/>
  <c r="CI211" i="30" s="1"/>
  <c r="EF171" i="32"/>
  <c r="EG171" i="32"/>
  <c r="EE170" i="32"/>
  <c r="EI170" i="32" s="1"/>
  <c r="DW174" i="32"/>
  <c r="DU174" i="32"/>
  <c r="DT173" i="32"/>
  <c r="DY173" i="32" s="1"/>
  <c r="DV169" i="31"/>
  <c r="DW169" i="31"/>
  <c r="DU168" i="31"/>
  <c r="DY168" i="31" s="1"/>
  <c r="DR171" i="31"/>
  <c r="DQ171" i="31"/>
  <c r="DP170" i="31"/>
  <c r="DT170" i="31" s="1"/>
  <c r="DM174" i="31"/>
  <c r="DK174" i="31"/>
  <c r="DJ173" i="31"/>
  <c r="DO173" i="31" s="1"/>
  <c r="DW170" i="31" l="1"/>
  <c r="DV170" i="31"/>
  <c r="DU169" i="31"/>
  <c r="DY169" i="31" s="1"/>
  <c r="EA172" i="32"/>
  <c r="EB172" i="32"/>
  <c r="DZ171" i="32"/>
  <c r="ED171" i="32" s="1"/>
  <c r="DM175" i="31"/>
  <c r="DK175" i="31"/>
  <c r="DJ174" i="31"/>
  <c r="DO174" i="31" s="1"/>
  <c r="DW175" i="32"/>
  <c r="DU175" i="32"/>
  <c r="DT174" i="32"/>
  <c r="DY174" i="32" s="1"/>
  <c r="DQ172" i="31"/>
  <c r="DR172" i="31"/>
  <c r="DP171" i="31"/>
  <c r="DT171" i="31" s="1"/>
  <c r="EG172" i="32"/>
  <c r="EF172" i="32"/>
  <c r="EE171" i="32"/>
  <c r="EI171" i="32" s="1"/>
  <c r="BU222" i="26"/>
  <c r="BT221" i="26"/>
  <c r="BW221" i="26" s="1"/>
  <c r="BO217" i="33"/>
  <c r="BN216" i="33"/>
  <c r="BQ216" i="33" s="1"/>
  <c r="CG213" i="30"/>
  <c r="CF212" i="30"/>
  <c r="CI212" i="30" s="1"/>
  <c r="BO218" i="33" l="1"/>
  <c r="BN217" i="33"/>
  <c r="BQ217" i="33" s="1"/>
  <c r="EB173" i="32"/>
  <c r="EA173" i="32"/>
  <c r="DZ172" i="32"/>
  <c r="ED172" i="32" s="1"/>
  <c r="DQ173" i="31"/>
  <c r="DR173" i="31"/>
  <c r="DP172" i="31"/>
  <c r="DT172" i="31" s="1"/>
  <c r="DW176" i="32"/>
  <c r="DU176" i="32"/>
  <c r="DT175" i="32"/>
  <c r="DY175" i="32" s="1"/>
  <c r="DW171" i="31"/>
  <c r="DV171" i="31"/>
  <c r="DU170" i="31"/>
  <c r="DY170" i="31" s="1"/>
  <c r="CG214" i="30"/>
  <c r="CF213" i="30"/>
  <c r="CI213" i="30" s="1"/>
  <c r="BU223" i="26"/>
  <c r="BT222" i="26"/>
  <c r="BW222" i="26" s="1"/>
  <c r="DM176" i="31"/>
  <c r="DK176" i="31"/>
  <c r="DJ175" i="31"/>
  <c r="DO175" i="31" s="1"/>
  <c r="EG173" i="32"/>
  <c r="EF173" i="32"/>
  <c r="EE172" i="32"/>
  <c r="EI172" i="32" s="1"/>
  <c r="BU224" i="26" l="1"/>
  <c r="BT223" i="26"/>
  <c r="BW223" i="26" s="1"/>
  <c r="BO219" i="33"/>
  <c r="BN218" i="33"/>
  <c r="BQ218" i="33" s="1"/>
  <c r="EG174" i="32"/>
  <c r="EF174" i="32"/>
  <c r="EE173" i="32"/>
  <c r="EI173" i="32" s="1"/>
  <c r="DM177" i="31"/>
  <c r="DK177" i="31"/>
  <c r="DJ176" i="31"/>
  <c r="DO176" i="31" s="1"/>
  <c r="CG215" i="30"/>
  <c r="CF214" i="30"/>
  <c r="CI214" i="30" s="1"/>
  <c r="DR174" i="31"/>
  <c r="DQ174" i="31"/>
  <c r="DP173" i="31"/>
  <c r="DT173" i="31" s="1"/>
  <c r="EB174" i="32"/>
  <c r="EA174" i="32"/>
  <c r="DZ173" i="32"/>
  <c r="ED173" i="32" s="1"/>
  <c r="DW177" i="32"/>
  <c r="DU177" i="32"/>
  <c r="DT176" i="32"/>
  <c r="DY176" i="32" s="1"/>
  <c r="DV172" i="31"/>
  <c r="DW172" i="31"/>
  <c r="DU171" i="31"/>
  <c r="DY171" i="31" s="1"/>
  <c r="EF175" i="32" l="1"/>
  <c r="EG175" i="32"/>
  <c r="EE174" i="32"/>
  <c r="EI174" i="32" s="1"/>
  <c r="DR175" i="31"/>
  <c r="DQ175" i="31"/>
  <c r="DP174" i="31"/>
  <c r="DT174" i="31" s="1"/>
  <c r="BU225" i="26"/>
  <c r="BT224" i="26"/>
  <c r="BW224" i="26" s="1"/>
  <c r="DV173" i="31"/>
  <c r="DW173" i="31"/>
  <c r="DU172" i="31"/>
  <c r="DY172" i="31" s="1"/>
  <c r="DW178" i="32"/>
  <c r="DU178" i="32"/>
  <c r="DT177" i="32"/>
  <c r="DY177" i="32" s="1"/>
  <c r="CG216" i="30"/>
  <c r="CF215" i="30"/>
  <c r="CI215" i="30" s="1"/>
  <c r="BO220" i="33"/>
  <c r="BN219" i="33"/>
  <c r="BQ219" i="33" s="1"/>
  <c r="EB175" i="32"/>
  <c r="EA175" i="32"/>
  <c r="DZ174" i="32"/>
  <c r="ED174" i="32" s="1"/>
  <c r="DM178" i="31"/>
  <c r="DK178" i="31"/>
  <c r="DJ177" i="31"/>
  <c r="DO177" i="31" s="1"/>
  <c r="EG176" i="32" l="1"/>
  <c r="EF176" i="32"/>
  <c r="EE175" i="32"/>
  <c r="EI175" i="32" s="1"/>
  <c r="BO221" i="33"/>
  <c r="BN220" i="33"/>
  <c r="BQ220" i="33" s="1"/>
  <c r="DM179" i="31"/>
  <c r="DK179" i="31"/>
  <c r="DJ178" i="31"/>
  <c r="DO178" i="31" s="1"/>
  <c r="EA176" i="32"/>
  <c r="EB176" i="32"/>
  <c r="DZ175" i="32"/>
  <c r="ED175" i="32" s="1"/>
  <c r="CG217" i="30"/>
  <c r="CF216" i="30"/>
  <c r="CI216" i="30" s="1"/>
  <c r="BU226" i="26"/>
  <c r="BT225" i="26"/>
  <c r="BW225" i="26" s="1"/>
  <c r="DW174" i="31"/>
  <c r="DV174" i="31"/>
  <c r="DU173" i="31"/>
  <c r="DY173" i="31" s="1"/>
  <c r="DW179" i="32"/>
  <c r="DU179" i="32"/>
  <c r="DT178" i="32"/>
  <c r="DY178" i="32" s="1"/>
  <c r="DQ176" i="31"/>
  <c r="DR176" i="31"/>
  <c r="DP175" i="31"/>
  <c r="DT175" i="31" s="1"/>
  <c r="BU227" i="26" l="1"/>
  <c r="BT226" i="26"/>
  <c r="BW226" i="26" s="1"/>
  <c r="EB177" i="32"/>
  <c r="EA177" i="32"/>
  <c r="DZ176" i="32"/>
  <c r="ED176" i="32" s="1"/>
  <c r="DM180" i="31"/>
  <c r="DK180" i="31"/>
  <c r="DJ179" i="31"/>
  <c r="DO179" i="31" s="1"/>
  <c r="EG177" i="32"/>
  <c r="EF177" i="32"/>
  <c r="EE176" i="32"/>
  <c r="EI176" i="32" s="1"/>
  <c r="DR177" i="31"/>
  <c r="DQ177" i="31"/>
  <c r="DP176" i="31"/>
  <c r="DT176" i="31" s="1"/>
  <c r="DW180" i="32"/>
  <c r="DU180" i="32"/>
  <c r="DT179" i="32"/>
  <c r="DY179" i="32" s="1"/>
  <c r="DW175" i="31"/>
  <c r="DV175" i="31"/>
  <c r="DU174" i="31"/>
  <c r="DY174" i="31" s="1"/>
  <c r="CG218" i="30"/>
  <c r="CF217" i="30"/>
  <c r="CI217" i="30" s="1"/>
  <c r="BO222" i="33"/>
  <c r="BN221" i="33"/>
  <c r="BQ221" i="33" s="1"/>
  <c r="DW176" i="31" l="1"/>
  <c r="DV176" i="31"/>
  <c r="DU175" i="31"/>
  <c r="DY175" i="31" s="1"/>
  <c r="DM181" i="31"/>
  <c r="DK181" i="31"/>
  <c r="DJ180" i="31"/>
  <c r="DO180" i="31" s="1"/>
  <c r="CG219" i="30"/>
  <c r="CF218" i="30"/>
  <c r="CI218" i="30" s="1"/>
  <c r="EG178" i="32"/>
  <c r="EF178" i="32"/>
  <c r="EE177" i="32"/>
  <c r="EI177" i="32" s="1"/>
  <c r="BU228" i="26"/>
  <c r="BT227" i="26"/>
  <c r="BW227" i="26" s="1"/>
  <c r="BO223" i="33"/>
  <c r="BN222" i="33"/>
  <c r="BQ222" i="33" s="1"/>
  <c r="DW181" i="32"/>
  <c r="DU181" i="32"/>
  <c r="DT180" i="32"/>
  <c r="DY180" i="32" s="1"/>
  <c r="EB178" i="32"/>
  <c r="EA178" i="32"/>
  <c r="DZ177" i="32"/>
  <c r="ED177" i="32" s="1"/>
  <c r="DQ178" i="31"/>
  <c r="DR178" i="31"/>
  <c r="DP177" i="31"/>
  <c r="DT177" i="31" s="1"/>
  <c r="EF179" i="32" l="1"/>
  <c r="EG179" i="32"/>
  <c r="EE178" i="32"/>
  <c r="EI178" i="32" s="1"/>
  <c r="DV177" i="31"/>
  <c r="DW177" i="31"/>
  <c r="DU176" i="31"/>
  <c r="DY176" i="31" s="1"/>
  <c r="CG220" i="30"/>
  <c r="CF219" i="30"/>
  <c r="CI219" i="30" s="1"/>
  <c r="BO224" i="33"/>
  <c r="BN223" i="33"/>
  <c r="BQ223" i="33" s="1"/>
  <c r="DR179" i="31"/>
  <c r="DQ179" i="31"/>
  <c r="DP178" i="31"/>
  <c r="DT178" i="31" s="1"/>
  <c r="EB179" i="32"/>
  <c r="EA179" i="32"/>
  <c r="DZ178" i="32"/>
  <c r="ED178" i="32" s="1"/>
  <c r="DW182" i="32"/>
  <c r="DU182" i="32"/>
  <c r="DT181" i="32"/>
  <c r="DY181" i="32" s="1"/>
  <c r="BU229" i="26"/>
  <c r="BT228" i="26"/>
  <c r="BW228" i="26" s="1"/>
  <c r="DM182" i="31"/>
  <c r="DK182" i="31"/>
  <c r="DJ181" i="31"/>
  <c r="DO181" i="31" s="1"/>
  <c r="DM183" i="31" l="1"/>
  <c r="DK183" i="31"/>
  <c r="DJ182" i="31"/>
  <c r="DO182" i="31" s="1"/>
  <c r="EA180" i="32"/>
  <c r="EB180" i="32"/>
  <c r="DZ179" i="32"/>
  <c r="ED179" i="32" s="1"/>
  <c r="EG180" i="32"/>
  <c r="EF180" i="32"/>
  <c r="EE179" i="32"/>
  <c r="EI179" i="32" s="1"/>
  <c r="DW183" i="32"/>
  <c r="DU183" i="32"/>
  <c r="DT182" i="32"/>
  <c r="DY182" i="32" s="1"/>
  <c r="DW178" i="31"/>
  <c r="DV178" i="31"/>
  <c r="DU177" i="31"/>
  <c r="DY177" i="31" s="1"/>
  <c r="DQ180" i="31"/>
  <c r="DR180" i="31"/>
  <c r="DP179" i="31"/>
  <c r="DT179" i="31" s="1"/>
  <c r="CG221" i="30"/>
  <c r="CF220" i="30"/>
  <c r="CI220" i="30" s="1"/>
  <c r="BO225" i="33"/>
  <c r="BN224" i="33"/>
  <c r="BQ224" i="33" s="1"/>
  <c r="BU230" i="26"/>
  <c r="BT229" i="26"/>
  <c r="BW229" i="26" s="1"/>
  <c r="DM184" i="31" l="1"/>
  <c r="DK184" i="31"/>
  <c r="DJ183" i="31"/>
  <c r="DO183" i="31" s="1"/>
  <c r="BO226" i="33"/>
  <c r="BN225" i="33"/>
  <c r="BQ225" i="33" s="1"/>
  <c r="DV179" i="31"/>
  <c r="DW179" i="31"/>
  <c r="DU178" i="31"/>
  <c r="DY178" i="31" s="1"/>
  <c r="DW184" i="32"/>
  <c r="DU184" i="32"/>
  <c r="DT183" i="32"/>
  <c r="DY183" i="32" s="1"/>
  <c r="CG222" i="30"/>
  <c r="CF221" i="30"/>
  <c r="CI221" i="30" s="1"/>
  <c r="EG181" i="32"/>
  <c r="EF181" i="32"/>
  <c r="EE180" i="32"/>
  <c r="EI180" i="32" s="1"/>
  <c r="DR181" i="31"/>
  <c r="DQ181" i="31"/>
  <c r="DP180" i="31"/>
  <c r="DT180" i="31" s="1"/>
  <c r="EB181" i="32"/>
  <c r="EA181" i="32"/>
  <c r="DZ180" i="32"/>
  <c r="ED180" i="32" s="1"/>
  <c r="BU231" i="26"/>
  <c r="BT230" i="26"/>
  <c r="BW230" i="26" s="1"/>
  <c r="DW185" i="32" l="1"/>
  <c r="DU185" i="32"/>
  <c r="DT184" i="32"/>
  <c r="DY184" i="32" s="1"/>
  <c r="DM185" i="31"/>
  <c r="DK185" i="31"/>
  <c r="DJ184" i="31"/>
  <c r="DO184" i="31" s="1"/>
  <c r="BU232" i="26"/>
  <c r="BT231" i="26"/>
  <c r="BW231" i="26" s="1"/>
  <c r="DW180" i="31"/>
  <c r="DV180" i="31"/>
  <c r="DU179" i="31"/>
  <c r="DY179" i="31" s="1"/>
  <c r="DR182" i="31"/>
  <c r="DQ182" i="31"/>
  <c r="DP181" i="31"/>
  <c r="DT181" i="31" s="1"/>
  <c r="EG182" i="32"/>
  <c r="EF182" i="32"/>
  <c r="EE181" i="32"/>
  <c r="EI181" i="32" s="1"/>
  <c r="EB182" i="32"/>
  <c r="EA182" i="32"/>
  <c r="DZ181" i="32"/>
  <c r="ED181" i="32" s="1"/>
  <c r="CG223" i="30"/>
  <c r="CF222" i="30"/>
  <c r="CI222" i="30" s="1"/>
  <c r="BO227" i="33"/>
  <c r="BN226" i="33"/>
  <c r="BQ226" i="33" s="1"/>
  <c r="EB183" i="32" l="1"/>
  <c r="EA183" i="32"/>
  <c r="DZ182" i="32"/>
  <c r="ED182" i="32" s="1"/>
  <c r="CG224" i="30"/>
  <c r="CF223" i="30"/>
  <c r="CI223" i="30" s="1"/>
  <c r="EF183" i="32"/>
  <c r="EG183" i="32"/>
  <c r="EE182" i="32"/>
  <c r="EI182" i="32" s="1"/>
  <c r="BU233" i="26"/>
  <c r="BT232" i="26"/>
  <c r="BW232" i="26" s="1"/>
  <c r="DV181" i="31"/>
  <c r="DW181" i="31"/>
  <c r="DU180" i="31"/>
  <c r="DY180" i="31" s="1"/>
  <c r="DW186" i="32"/>
  <c r="DU186" i="32"/>
  <c r="DT185" i="32"/>
  <c r="DY185" i="32" s="1"/>
  <c r="BO228" i="33"/>
  <c r="BN227" i="33"/>
  <c r="BQ227" i="33" s="1"/>
  <c r="DR183" i="31"/>
  <c r="DQ183" i="31"/>
  <c r="DP182" i="31"/>
  <c r="DT182" i="31" s="1"/>
  <c r="DM186" i="31"/>
  <c r="DK186" i="31"/>
  <c r="DJ185" i="31"/>
  <c r="DO185" i="31" s="1"/>
  <c r="DM187" i="31" l="1"/>
  <c r="DK187" i="31"/>
  <c r="DJ186" i="31"/>
  <c r="DO186" i="31" s="1"/>
  <c r="BO229" i="33"/>
  <c r="BN228" i="33"/>
  <c r="BQ228" i="33" s="1"/>
  <c r="BU234" i="26"/>
  <c r="BT233" i="26"/>
  <c r="BW233" i="26" s="1"/>
  <c r="EA184" i="32"/>
  <c r="EB184" i="32"/>
  <c r="DZ183" i="32"/>
  <c r="ED183" i="32" s="1"/>
  <c r="EG184" i="32"/>
  <c r="EF184" i="32"/>
  <c r="EE183" i="32"/>
  <c r="EI183" i="32" s="1"/>
  <c r="DW187" i="32"/>
  <c r="DU187" i="32"/>
  <c r="DT186" i="32"/>
  <c r="DY186" i="32" s="1"/>
  <c r="DQ184" i="31"/>
  <c r="DR184" i="31"/>
  <c r="DP183" i="31"/>
  <c r="DT183" i="31" s="1"/>
  <c r="DW182" i="31"/>
  <c r="DV182" i="31"/>
  <c r="DU181" i="31"/>
  <c r="DY181" i="31" s="1"/>
  <c r="CG225" i="30"/>
  <c r="CF224" i="30"/>
  <c r="CI224" i="30" s="1"/>
  <c r="DM188" i="31" l="1"/>
  <c r="DK188" i="31"/>
  <c r="DJ187" i="31"/>
  <c r="DO187" i="31" s="1"/>
  <c r="DQ185" i="31"/>
  <c r="DR185" i="31"/>
  <c r="DP184" i="31"/>
  <c r="DT184" i="31" s="1"/>
  <c r="DW188" i="32"/>
  <c r="DU188" i="32"/>
  <c r="DT187" i="32"/>
  <c r="DY187" i="32" s="1"/>
  <c r="BU235" i="26"/>
  <c r="BT234" i="26"/>
  <c r="BW234" i="26" s="1"/>
  <c r="CG226" i="30"/>
  <c r="CF225" i="30"/>
  <c r="CI225" i="30" s="1"/>
  <c r="EG185" i="32"/>
  <c r="EF185" i="32"/>
  <c r="EE184" i="32"/>
  <c r="EI184" i="32" s="1"/>
  <c r="EB185" i="32"/>
  <c r="EA185" i="32"/>
  <c r="DZ184" i="32"/>
  <c r="ED184" i="32" s="1"/>
  <c r="DV183" i="31"/>
  <c r="DW183" i="31"/>
  <c r="DU182" i="31"/>
  <c r="DY182" i="31" s="1"/>
  <c r="BO230" i="33"/>
  <c r="BN229" i="33"/>
  <c r="BQ229" i="33" s="1"/>
  <c r="DW184" i="31" l="1"/>
  <c r="DV184" i="31"/>
  <c r="DU183" i="31"/>
  <c r="DY183" i="31" s="1"/>
  <c r="EB186" i="32"/>
  <c r="EA186" i="32"/>
  <c r="DZ185" i="32"/>
  <c r="ED185" i="32" s="1"/>
  <c r="DW189" i="32"/>
  <c r="DU189" i="32"/>
  <c r="DT188" i="32"/>
  <c r="DY188" i="32" s="1"/>
  <c r="DQ186" i="31"/>
  <c r="DR186" i="31"/>
  <c r="DP185" i="31"/>
  <c r="DT185" i="31" s="1"/>
  <c r="DM189" i="31"/>
  <c r="DK189" i="31"/>
  <c r="DJ188" i="31"/>
  <c r="DO188" i="31" s="1"/>
  <c r="EG186" i="32"/>
  <c r="EF186" i="32"/>
  <c r="EE185" i="32"/>
  <c r="EI185" i="32" s="1"/>
  <c r="BU236" i="26"/>
  <c r="BT235" i="26"/>
  <c r="BW235" i="26" s="1"/>
  <c r="BO231" i="33"/>
  <c r="BN230" i="33"/>
  <c r="BQ230" i="33" s="1"/>
  <c r="CG227" i="30"/>
  <c r="CF226" i="30"/>
  <c r="CI226" i="30" s="1"/>
  <c r="DM190" i="31" l="1"/>
  <c r="DK190" i="31"/>
  <c r="DJ189" i="31"/>
  <c r="DO189" i="31" s="1"/>
  <c r="CG228" i="30"/>
  <c r="CF227" i="30"/>
  <c r="CI227" i="30" s="1"/>
  <c r="DR187" i="31"/>
  <c r="DQ187" i="31"/>
  <c r="DP186" i="31"/>
  <c r="DT186" i="31" s="1"/>
  <c r="DW190" i="32"/>
  <c r="DU190" i="32"/>
  <c r="DT189" i="32"/>
  <c r="DY189" i="32" s="1"/>
  <c r="BO232" i="33"/>
  <c r="BN231" i="33"/>
  <c r="BQ231" i="33" s="1"/>
  <c r="DV185" i="31"/>
  <c r="DW185" i="31"/>
  <c r="DU184" i="31"/>
  <c r="DY184" i="31" s="1"/>
  <c r="BU237" i="26"/>
  <c r="BT236" i="26"/>
  <c r="BW236" i="26" s="1"/>
  <c r="EF187" i="32"/>
  <c r="EG187" i="32"/>
  <c r="EE186" i="32"/>
  <c r="EI186" i="32" s="1"/>
  <c r="EB187" i="32"/>
  <c r="EA187" i="32"/>
  <c r="DZ186" i="32"/>
  <c r="ED186" i="32" s="1"/>
  <c r="EA188" i="32" l="1"/>
  <c r="EB188" i="32"/>
  <c r="DZ187" i="32"/>
  <c r="ED187" i="32" s="1"/>
  <c r="DQ188" i="31"/>
  <c r="DR188" i="31"/>
  <c r="DP187" i="31"/>
  <c r="DT187" i="31" s="1"/>
  <c r="BU238" i="26"/>
  <c r="BT237" i="26"/>
  <c r="BW237" i="26" s="1"/>
  <c r="DW191" i="32"/>
  <c r="DU191" i="32"/>
  <c r="DT190" i="32"/>
  <c r="DY190" i="32" s="1"/>
  <c r="DW186" i="31"/>
  <c r="DV186" i="31"/>
  <c r="DU185" i="31"/>
  <c r="DY185" i="31" s="1"/>
  <c r="DM191" i="31"/>
  <c r="DK191" i="31"/>
  <c r="DJ190" i="31"/>
  <c r="DO190" i="31" s="1"/>
  <c r="EG188" i="32"/>
  <c r="EF188" i="32"/>
  <c r="EE187" i="32"/>
  <c r="EI187" i="32" s="1"/>
  <c r="BO233" i="33"/>
  <c r="BN232" i="33"/>
  <c r="BQ232" i="33" s="1"/>
  <c r="CG229" i="30"/>
  <c r="CF228" i="30"/>
  <c r="CI228" i="30" s="1"/>
  <c r="DQ189" i="31" l="1"/>
  <c r="DR189" i="31"/>
  <c r="DP188" i="31"/>
  <c r="DT188" i="31" s="1"/>
  <c r="EG189" i="32"/>
  <c r="EF189" i="32"/>
  <c r="EE188" i="32"/>
  <c r="EI188" i="32" s="1"/>
  <c r="EB189" i="32"/>
  <c r="EA189" i="32"/>
  <c r="DZ188" i="32"/>
  <c r="ED188" i="32" s="1"/>
  <c r="DW192" i="32"/>
  <c r="DU192" i="32"/>
  <c r="DT191" i="32"/>
  <c r="DY191" i="32" s="1"/>
  <c r="CG230" i="30"/>
  <c r="CF229" i="30"/>
  <c r="CI229" i="30" s="1"/>
  <c r="DM192" i="31"/>
  <c r="DK192" i="31"/>
  <c r="DJ191" i="31"/>
  <c r="DO191" i="31" s="1"/>
  <c r="BU239" i="26"/>
  <c r="BT238" i="26"/>
  <c r="BW238" i="26" s="1"/>
  <c r="BO234" i="33"/>
  <c r="BN233" i="33"/>
  <c r="BQ233" i="33" s="1"/>
  <c r="DW187" i="31"/>
  <c r="DV187" i="31"/>
  <c r="DU186" i="31"/>
  <c r="DY186" i="31" s="1"/>
  <c r="DV188" i="31" l="1"/>
  <c r="DW188" i="31"/>
  <c r="DU187" i="31"/>
  <c r="DY187" i="31" s="1"/>
  <c r="DR190" i="31"/>
  <c r="DQ190" i="31"/>
  <c r="DP189" i="31"/>
  <c r="DT189" i="31" s="1"/>
  <c r="CG231" i="30"/>
  <c r="CF230" i="30"/>
  <c r="CI230" i="30" s="1"/>
  <c r="BU240" i="26"/>
  <c r="BT239" i="26"/>
  <c r="BW239" i="26" s="1"/>
  <c r="DM193" i="31"/>
  <c r="DK193" i="31"/>
  <c r="DJ192" i="31"/>
  <c r="DO192" i="31" s="1"/>
  <c r="EB190" i="32"/>
  <c r="EA190" i="32"/>
  <c r="DZ189" i="32"/>
  <c r="ED189" i="32" s="1"/>
  <c r="DW193" i="32"/>
  <c r="DU193" i="32"/>
  <c r="DT192" i="32"/>
  <c r="DY192" i="32" s="1"/>
  <c r="BO235" i="33"/>
  <c r="BN234" i="33"/>
  <c r="BQ234" i="33" s="1"/>
  <c r="EG190" i="32"/>
  <c r="EF190" i="32"/>
  <c r="EE189" i="32"/>
  <c r="EI189" i="32" s="1"/>
  <c r="EF191" i="32" l="1"/>
  <c r="EG191" i="32"/>
  <c r="EE190" i="32"/>
  <c r="EI190" i="32" s="1"/>
  <c r="EB191" i="32"/>
  <c r="EA191" i="32"/>
  <c r="DZ190" i="32"/>
  <c r="ED190" i="32" s="1"/>
  <c r="DV189" i="31"/>
  <c r="DW189" i="31"/>
  <c r="DU188" i="31"/>
  <c r="DY188" i="31" s="1"/>
  <c r="DM194" i="31"/>
  <c r="DK194" i="31"/>
  <c r="DJ193" i="31"/>
  <c r="DO193" i="31" s="1"/>
  <c r="CG232" i="30"/>
  <c r="CF231" i="30"/>
  <c r="CI231" i="30" s="1"/>
  <c r="DW194" i="32"/>
  <c r="DU194" i="32"/>
  <c r="DT193" i="32"/>
  <c r="DY193" i="32" s="1"/>
  <c r="BU241" i="26"/>
  <c r="BT240" i="26"/>
  <c r="BW240" i="26" s="1"/>
  <c r="BO236" i="33"/>
  <c r="BN235" i="33"/>
  <c r="BQ235" i="33" s="1"/>
  <c r="DR191" i="31"/>
  <c r="DQ191" i="31"/>
  <c r="DP190" i="31"/>
  <c r="DT190" i="31" s="1"/>
  <c r="CG233" i="30" l="1"/>
  <c r="CF232" i="30"/>
  <c r="CI232" i="30" s="1"/>
  <c r="EG192" i="32"/>
  <c r="EF192" i="32"/>
  <c r="EE191" i="32"/>
  <c r="EI191" i="32" s="1"/>
  <c r="DQ192" i="31"/>
  <c r="DR192" i="31"/>
  <c r="DP191" i="31"/>
  <c r="DT191" i="31" s="1"/>
  <c r="DW195" i="32"/>
  <c r="DU195" i="32"/>
  <c r="DT194" i="32"/>
  <c r="DY194" i="32" s="1"/>
  <c r="BU242" i="26"/>
  <c r="BT241" i="26"/>
  <c r="BW241" i="26" s="1"/>
  <c r="DM195" i="31"/>
  <c r="DK195" i="31"/>
  <c r="DJ194" i="31"/>
  <c r="DO194" i="31" s="1"/>
  <c r="BO237" i="33"/>
  <c r="BN236" i="33"/>
  <c r="BQ236" i="33" s="1"/>
  <c r="DW190" i="31"/>
  <c r="DV190" i="31"/>
  <c r="DU189" i="31"/>
  <c r="DY189" i="31" s="1"/>
  <c r="EA192" i="32"/>
  <c r="EB192" i="32"/>
  <c r="DZ191" i="32"/>
  <c r="ED191" i="32" s="1"/>
  <c r="BO238" i="33" l="1"/>
  <c r="BN237" i="33"/>
  <c r="BQ237" i="33" s="1"/>
  <c r="DW196" i="32"/>
  <c r="DU196" i="32"/>
  <c r="DT195" i="32"/>
  <c r="DY195" i="32" s="1"/>
  <c r="DW191" i="31"/>
  <c r="DV191" i="31"/>
  <c r="DU190" i="31"/>
  <c r="DY190" i="31" s="1"/>
  <c r="DQ193" i="31"/>
  <c r="DR193" i="31"/>
  <c r="DP192" i="31"/>
  <c r="DT192" i="31" s="1"/>
  <c r="EG193" i="32"/>
  <c r="EF193" i="32"/>
  <c r="EE192" i="32"/>
  <c r="EI192" i="32" s="1"/>
  <c r="CG234" i="30"/>
  <c r="CF233" i="30"/>
  <c r="CI233" i="30" s="1"/>
  <c r="DM196" i="31"/>
  <c r="DK196" i="31"/>
  <c r="DJ195" i="31"/>
  <c r="DO195" i="31" s="1"/>
  <c r="EB193" i="32"/>
  <c r="EA193" i="32"/>
  <c r="DZ192" i="32"/>
  <c r="ED192" i="32" s="1"/>
  <c r="BU243" i="26"/>
  <c r="BT242" i="26"/>
  <c r="BW242" i="26" s="1"/>
  <c r="DM197" i="31" l="1"/>
  <c r="DK197" i="31"/>
  <c r="DJ196" i="31"/>
  <c r="DO196" i="31" s="1"/>
  <c r="DQ194" i="31"/>
  <c r="DR194" i="31"/>
  <c r="DP193" i="31"/>
  <c r="DT193" i="31" s="1"/>
  <c r="DV192" i="31"/>
  <c r="DW192" i="31"/>
  <c r="DU191" i="31"/>
  <c r="DY191" i="31" s="1"/>
  <c r="BO239" i="33"/>
  <c r="BN238" i="33"/>
  <c r="BQ238" i="33" s="1"/>
  <c r="BU244" i="26"/>
  <c r="BT243" i="26"/>
  <c r="BW243" i="26" s="1"/>
  <c r="CG235" i="30"/>
  <c r="CF234" i="30"/>
  <c r="CI234" i="30" s="1"/>
  <c r="DW197" i="32"/>
  <c r="DU197" i="32"/>
  <c r="DT196" i="32"/>
  <c r="DY196" i="32" s="1"/>
  <c r="EB194" i="32"/>
  <c r="EA194" i="32"/>
  <c r="DZ193" i="32"/>
  <c r="ED193" i="32" s="1"/>
  <c r="EG194" i="32"/>
  <c r="EF194" i="32"/>
  <c r="EE193" i="32"/>
  <c r="EI193" i="32" s="1"/>
  <c r="DR195" i="31" l="1"/>
  <c r="DQ195" i="31"/>
  <c r="DP194" i="31"/>
  <c r="DT194" i="31" s="1"/>
  <c r="BO240" i="33"/>
  <c r="BN239" i="33"/>
  <c r="BQ239" i="33" s="1"/>
  <c r="EB195" i="32"/>
  <c r="EA195" i="32"/>
  <c r="DZ194" i="32"/>
  <c r="ED194" i="32" s="1"/>
  <c r="DM198" i="31"/>
  <c r="DK198" i="31"/>
  <c r="DJ197" i="31"/>
  <c r="DO197" i="31" s="1"/>
  <c r="EF195" i="32"/>
  <c r="EG195" i="32"/>
  <c r="EE194" i="32"/>
  <c r="EI194" i="32" s="1"/>
  <c r="CG236" i="30"/>
  <c r="CF235" i="30"/>
  <c r="CI235" i="30" s="1"/>
  <c r="DW198" i="32"/>
  <c r="DU198" i="32"/>
  <c r="DT197" i="32"/>
  <c r="DY197" i="32" s="1"/>
  <c r="BU245" i="26"/>
  <c r="BT244" i="26"/>
  <c r="BW244" i="26" s="1"/>
  <c r="DV193" i="31"/>
  <c r="DW193" i="31"/>
  <c r="DU192" i="31"/>
  <c r="DY192" i="31" s="1"/>
  <c r="DQ196" i="31" l="1"/>
  <c r="DR196" i="31"/>
  <c r="DP195" i="31"/>
  <c r="DT195" i="31" s="1"/>
  <c r="EA196" i="32"/>
  <c r="EB196" i="32"/>
  <c r="DZ195" i="32"/>
  <c r="ED195" i="32" s="1"/>
  <c r="DW199" i="32"/>
  <c r="DU199" i="32"/>
  <c r="DT198" i="32"/>
  <c r="DY198" i="32" s="1"/>
  <c r="EG196" i="32"/>
  <c r="EF196" i="32"/>
  <c r="EE195" i="32"/>
  <c r="EI195" i="32" s="1"/>
  <c r="DW194" i="31"/>
  <c r="DV194" i="31"/>
  <c r="DU193" i="31"/>
  <c r="DY193" i="31" s="1"/>
  <c r="CG237" i="30"/>
  <c r="CF236" i="30"/>
  <c r="CI236" i="30" s="1"/>
  <c r="DM199" i="31"/>
  <c r="DK199" i="31"/>
  <c r="DJ198" i="31"/>
  <c r="DO198" i="31" s="1"/>
  <c r="BU246" i="26"/>
  <c r="BT245" i="26"/>
  <c r="BW245" i="26" s="1"/>
  <c r="BO241" i="33"/>
  <c r="BN240" i="33"/>
  <c r="BQ240" i="33" s="1"/>
  <c r="DM200" i="31" l="1"/>
  <c r="DK200" i="31"/>
  <c r="DJ199" i="31"/>
  <c r="DO199" i="31" s="1"/>
  <c r="DR197" i="31"/>
  <c r="DQ197" i="31"/>
  <c r="DP196" i="31"/>
  <c r="DT196" i="31" s="1"/>
  <c r="BU247" i="26"/>
  <c r="BT246" i="26"/>
  <c r="BW246" i="26" s="1"/>
  <c r="DV195" i="31"/>
  <c r="DW195" i="31"/>
  <c r="DU194" i="31"/>
  <c r="DY194" i="31" s="1"/>
  <c r="EB197" i="32"/>
  <c r="EA197" i="32"/>
  <c r="DZ196" i="32"/>
  <c r="ED196" i="32" s="1"/>
  <c r="DW200" i="32"/>
  <c r="DU200" i="32"/>
  <c r="DT199" i="32"/>
  <c r="DY199" i="32" s="1"/>
  <c r="EG197" i="32"/>
  <c r="EF197" i="32"/>
  <c r="EE196" i="32"/>
  <c r="EI196" i="32" s="1"/>
  <c r="BO242" i="33"/>
  <c r="BN241" i="33"/>
  <c r="BQ241" i="33" s="1"/>
  <c r="CG238" i="30"/>
  <c r="CF237" i="30"/>
  <c r="CI237" i="30" s="1"/>
  <c r="DW201" i="32" l="1"/>
  <c r="DU201" i="32"/>
  <c r="DT200" i="32"/>
  <c r="DY200" i="32" s="1"/>
  <c r="BU248" i="26"/>
  <c r="BT247" i="26"/>
  <c r="BW247" i="26" s="1"/>
  <c r="BO243" i="33"/>
  <c r="BN242" i="33"/>
  <c r="BQ242" i="33" s="1"/>
  <c r="DM201" i="31"/>
  <c r="DK201" i="31"/>
  <c r="DJ200" i="31"/>
  <c r="DO200" i="31" s="1"/>
  <c r="EG198" i="32"/>
  <c r="EF198" i="32"/>
  <c r="EE197" i="32"/>
  <c r="EI197" i="32" s="1"/>
  <c r="DW196" i="31"/>
  <c r="DV196" i="31"/>
  <c r="DU195" i="31"/>
  <c r="DY195" i="31" s="1"/>
  <c r="CG239" i="30"/>
  <c r="CF238" i="30"/>
  <c r="CI238" i="30" s="1"/>
  <c r="EB198" i="32"/>
  <c r="EA198" i="32"/>
  <c r="DZ197" i="32"/>
  <c r="ED197" i="32" s="1"/>
  <c r="DR198" i="31"/>
  <c r="DQ198" i="31"/>
  <c r="DP197" i="31"/>
  <c r="DT197" i="31" s="1"/>
  <c r="CG240" i="30" l="1"/>
  <c r="CF239" i="30"/>
  <c r="CI239" i="30" s="1"/>
  <c r="DR199" i="31"/>
  <c r="DQ199" i="31"/>
  <c r="DP198" i="31"/>
  <c r="DT198" i="31" s="1"/>
  <c r="DV197" i="31"/>
  <c r="DW197" i="31"/>
  <c r="DU196" i="31"/>
  <c r="DY196" i="31" s="1"/>
  <c r="BO244" i="33"/>
  <c r="BN243" i="33"/>
  <c r="BQ243" i="33" s="1"/>
  <c r="EB199" i="32"/>
  <c r="EA199" i="32"/>
  <c r="DZ198" i="32"/>
  <c r="ED198" i="32" s="1"/>
  <c r="EF199" i="32"/>
  <c r="EG199" i="32"/>
  <c r="EE198" i="32"/>
  <c r="EI198" i="32" s="1"/>
  <c r="DW202" i="32"/>
  <c r="DU202" i="32"/>
  <c r="DT201" i="32"/>
  <c r="DY201" i="32" s="1"/>
  <c r="DM202" i="31"/>
  <c r="DK202" i="31"/>
  <c r="DJ201" i="31"/>
  <c r="DO201" i="31" s="1"/>
  <c r="BU249" i="26"/>
  <c r="BT248" i="26"/>
  <c r="BW248" i="26" s="1"/>
  <c r="CG241" i="30" l="1"/>
  <c r="CF240" i="30"/>
  <c r="CI240" i="30" s="1"/>
  <c r="BU250" i="26"/>
  <c r="BT249" i="26"/>
  <c r="BW249" i="26" s="1"/>
  <c r="EG200" i="32"/>
  <c r="EF200" i="32"/>
  <c r="EE199" i="32"/>
  <c r="EI199" i="32" s="1"/>
  <c r="EA200" i="32"/>
  <c r="EB200" i="32"/>
  <c r="DZ199" i="32"/>
  <c r="ED199" i="32" s="1"/>
  <c r="DW198" i="31"/>
  <c r="DV198" i="31"/>
  <c r="DU197" i="31"/>
  <c r="DY197" i="31" s="1"/>
  <c r="DQ200" i="31"/>
  <c r="DR200" i="31"/>
  <c r="DP199" i="31"/>
  <c r="DT199" i="31" s="1"/>
  <c r="DW203" i="32"/>
  <c r="DU203" i="32"/>
  <c r="DT202" i="32"/>
  <c r="DY202" i="32" s="1"/>
  <c r="BO245" i="33"/>
  <c r="BN244" i="33"/>
  <c r="BQ244" i="33" s="1"/>
  <c r="DM203" i="31"/>
  <c r="DK203" i="31"/>
  <c r="DJ202" i="31"/>
  <c r="DO202" i="31" s="1"/>
  <c r="EB201" i="32" l="1"/>
  <c r="EA201" i="32"/>
  <c r="DZ200" i="32"/>
  <c r="ED200" i="32" s="1"/>
  <c r="EG201" i="32"/>
  <c r="EF201" i="32"/>
  <c r="EE200" i="32"/>
  <c r="EI200" i="32" s="1"/>
  <c r="CG242" i="30"/>
  <c r="CF241" i="30"/>
  <c r="CI241" i="30" s="1"/>
  <c r="DM204" i="31"/>
  <c r="DK204" i="31"/>
  <c r="DJ203" i="31"/>
  <c r="DO203" i="31" s="1"/>
  <c r="DQ201" i="31"/>
  <c r="DR201" i="31"/>
  <c r="DP200" i="31"/>
  <c r="DT200" i="31" s="1"/>
  <c r="DV199" i="31"/>
  <c r="DW199" i="31"/>
  <c r="DU198" i="31"/>
  <c r="DY198" i="31" s="1"/>
  <c r="BU251" i="26"/>
  <c r="BT251" i="26" s="1"/>
  <c r="BW251" i="26" s="1"/>
  <c r="BT250" i="26"/>
  <c r="BW250" i="26" s="1"/>
  <c r="DW204" i="32"/>
  <c r="DU204" i="32"/>
  <c r="DT203" i="32"/>
  <c r="DY203" i="32" s="1"/>
  <c r="BO246" i="33"/>
  <c r="BN245" i="33"/>
  <c r="BQ245" i="33" s="1"/>
  <c r="DQ202" i="31" l="1"/>
  <c r="DR202" i="31"/>
  <c r="DP201" i="31"/>
  <c r="DT201" i="31" s="1"/>
  <c r="BO247" i="33"/>
  <c r="BN246" i="33"/>
  <c r="BQ246" i="33" s="1"/>
  <c r="CG243" i="30"/>
  <c r="CF242" i="30"/>
  <c r="CI242" i="30" s="1"/>
  <c r="DM205" i="31"/>
  <c r="DK205" i="31"/>
  <c r="DJ204" i="31"/>
  <c r="DO204" i="31" s="1"/>
  <c r="EB202" i="32"/>
  <c r="EA202" i="32"/>
  <c r="DZ201" i="32"/>
  <c r="ED201" i="32" s="1"/>
  <c r="DW205" i="32"/>
  <c r="DU205" i="32"/>
  <c r="DT204" i="32"/>
  <c r="DY204" i="32" s="1"/>
  <c r="DV200" i="31"/>
  <c r="DW200" i="31"/>
  <c r="DU199" i="31"/>
  <c r="DY199" i="31" s="1"/>
  <c r="EG202" i="32"/>
  <c r="EF202" i="32"/>
  <c r="EE201" i="32"/>
  <c r="EI201" i="32" s="1"/>
  <c r="DV201" i="31" l="1"/>
  <c r="DW201" i="31"/>
  <c r="DU200" i="31"/>
  <c r="DY200" i="31" s="1"/>
  <c r="DW206" i="32"/>
  <c r="DU206" i="32"/>
  <c r="DT205" i="32"/>
  <c r="DY205" i="32" s="1"/>
  <c r="CG244" i="30"/>
  <c r="CF243" i="30"/>
  <c r="CI243" i="30" s="1"/>
  <c r="DR203" i="31"/>
  <c r="DQ203" i="31"/>
  <c r="DP202" i="31"/>
  <c r="DT202" i="31" s="1"/>
  <c r="EB203" i="32"/>
  <c r="EA203" i="32"/>
  <c r="DZ202" i="32"/>
  <c r="ED202" i="32" s="1"/>
  <c r="EF203" i="32"/>
  <c r="EG203" i="32"/>
  <c r="EE202" i="32"/>
  <c r="EI202" i="32" s="1"/>
  <c r="DM206" i="31"/>
  <c r="DK206" i="31"/>
  <c r="DJ205" i="31"/>
  <c r="DO205" i="31" s="1"/>
  <c r="BO248" i="33"/>
  <c r="BN247" i="33"/>
  <c r="BQ247" i="33" s="1"/>
  <c r="BO249" i="33" l="1"/>
  <c r="BN248" i="33"/>
  <c r="BQ248" i="33" s="1"/>
  <c r="DW202" i="31"/>
  <c r="DV202" i="31"/>
  <c r="DU201" i="31"/>
  <c r="DY201" i="31" s="1"/>
  <c r="DM207" i="31"/>
  <c r="DK207" i="31"/>
  <c r="DJ206" i="31"/>
  <c r="DO206" i="31" s="1"/>
  <c r="CG245" i="30"/>
  <c r="CF244" i="30"/>
  <c r="CI244" i="30" s="1"/>
  <c r="DQ204" i="31"/>
  <c r="DR204" i="31"/>
  <c r="DP203" i="31"/>
  <c r="DT203" i="31" s="1"/>
  <c r="EG204" i="32"/>
  <c r="EF204" i="32"/>
  <c r="EE203" i="32"/>
  <c r="EI203" i="32" s="1"/>
  <c r="EA204" i="32"/>
  <c r="EB204" i="32"/>
  <c r="DZ203" i="32"/>
  <c r="ED203" i="32" s="1"/>
  <c r="DW207" i="32"/>
  <c r="DU207" i="32"/>
  <c r="DT206" i="32"/>
  <c r="DY206" i="32" s="1"/>
  <c r="EB205" i="32" l="1"/>
  <c r="EA205" i="32"/>
  <c r="DZ204" i="32"/>
  <c r="ED204" i="32" s="1"/>
  <c r="DM208" i="31"/>
  <c r="DK208" i="31"/>
  <c r="DJ207" i="31"/>
  <c r="DO207" i="31" s="1"/>
  <c r="EG205" i="32"/>
  <c r="EF205" i="32"/>
  <c r="EE204" i="32"/>
  <c r="EI204" i="32" s="1"/>
  <c r="DW203" i="31"/>
  <c r="DV203" i="31"/>
  <c r="DU202" i="31"/>
  <c r="DY202" i="31" s="1"/>
  <c r="CG246" i="30"/>
  <c r="CF245" i="30"/>
  <c r="CI245" i="30" s="1"/>
  <c r="BO250" i="33"/>
  <c r="BN249" i="33"/>
  <c r="BQ249" i="33" s="1"/>
  <c r="DW208" i="32"/>
  <c r="DU208" i="32"/>
  <c r="DT207" i="32"/>
  <c r="DY207" i="32" s="1"/>
  <c r="DQ205" i="31"/>
  <c r="DR205" i="31"/>
  <c r="DP204" i="31"/>
  <c r="DT204" i="31" s="1"/>
  <c r="DV204" i="31" l="1"/>
  <c r="DW204" i="31"/>
  <c r="DU203" i="31"/>
  <c r="DY203" i="31" s="1"/>
  <c r="BO251" i="33"/>
  <c r="BN251" i="33" s="1"/>
  <c r="BQ251" i="33" s="1"/>
  <c r="BN250" i="33"/>
  <c r="BQ250" i="33" s="1"/>
  <c r="EG206" i="32"/>
  <c r="EF206" i="32"/>
  <c r="EE205" i="32"/>
  <c r="EI205" i="32" s="1"/>
  <c r="DR206" i="31"/>
  <c r="DQ206" i="31"/>
  <c r="DP205" i="31"/>
  <c r="DT205" i="31" s="1"/>
  <c r="DW209" i="32"/>
  <c r="DU209" i="32"/>
  <c r="DT208" i="32"/>
  <c r="DY208" i="32" s="1"/>
  <c r="CG247" i="30"/>
  <c r="CF246" i="30"/>
  <c r="CI246" i="30" s="1"/>
  <c r="EB206" i="32"/>
  <c r="EA206" i="32"/>
  <c r="DZ205" i="32"/>
  <c r="ED205" i="32" s="1"/>
  <c r="DM209" i="31"/>
  <c r="DK209" i="31"/>
  <c r="DJ208" i="31"/>
  <c r="DO208" i="31" s="1"/>
  <c r="DR207" i="31" l="1"/>
  <c r="DQ207" i="31"/>
  <c r="DP206" i="31"/>
  <c r="DT206" i="31" s="1"/>
  <c r="EF207" i="32"/>
  <c r="EG207" i="32"/>
  <c r="EE206" i="32"/>
  <c r="EI206" i="32" s="1"/>
  <c r="DV205" i="31"/>
  <c r="DW205" i="31"/>
  <c r="DU204" i="31"/>
  <c r="DY204" i="31" s="1"/>
  <c r="EB207" i="32"/>
  <c r="EA207" i="32"/>
  <c r="DZ206" i="32"/>
  <c r="ED206" i="32" s="1"/>
  <c r="CG248" i="30"/>
  <c r="CF248" i="30" s="1"/>
  <c r="CI248" i="30" s="1"/>
  <c r="CF247" i="30"/>
  <c r="CI247" i="30" s="1"/>
  <c r="DM210" i="31"/>
  <c r="DK210" i="31"/>
  <c r="DJ209" i="31"/>
  <c r="DO209" i="31" s="1"/>
  <c r="DW210" i="32"/>
  <c r="DU210" i="32"/>
  <c r="DT209" i="32"/>
  <c r="DY209" i="32" s="1"/>
  <c r="EG208" i="32" l="1"/>
  <c r="EF208" i="32"/>
  <c r="EE207" i="32"/>
  <c r="EI207" i="32" s="1"/>
  <c r="DW211" i="32"/>
  <c r="DT211" i="32" s="1"/>
  <c r="DY211" i="32" s="1"/>
  <c r="DU211" i="32"/>
  <c r="DT210" i="32"/>
  <c r="DY210" i="32" s="1"/>
  <c r="EA208" i="32"/>
  <c r="EB208" i="32"/>
  <c r="DZ207" i="32"/>
  <c r="ED207" i="32" s="1"/>
  <c r="DQ208" i="31"/>
  <c r="DR208" i="31"/>
  <c r="DP207" i="31"/>
  <c r="DT207" i="31" s="1"/>
  <c r="DM211" i="31"/>
  <c r="DJ211" i="31" s="1"/>
  <c r="DO211" i="31" s="1"/>
  <c r="DK211" i="31"/>
  <c r="DJ210" i="31"/>
  <c r="DO210" i="31" s="1"/>
  <c r="DW206" i="31"/>
  <c r="DV206" i="31"/>
  <c r="DU205" i="31"/>
  <c r="DY205" i="31" s="1"/>
  <c r="DR209" i="31" l="1"/>
  <c r="DQ209" i="31"/>
  <c r="DP208" i="31"/>
  <c r="DT208" i="31" s="1"/>
  <c r="EG209" i="32"/>
  <c r="EF209" i="32"/>
  <c r="EE208" i="32"/>
  <c r="EI208" i="32" s="1"/>
  <c r="DW207" i="31"/>
  <c r="DV207" i="31"/>
  <c r="DU206" i="31"/>
  <c r="DY206" i="31" s="1"/>
  <c r="EB209" i="32"/>
  <c r="EA209" i="32"/>
  <c r="DZ208" i="32"/>
  <c r="ED208" i="32" s="1"/>
  <c r="EB210" i="32" l="1"/>
  <c r="EA210" i="32"/>
  <c r="DZ209" i="32"/>
  <c r="ED209" i="32" s="1"/>
  <c r="DW208" i="31"/>
  <c r="DV208" i="31"/>
  <c r="DU207" i="31"/>
  <c r="DY207" i="31" s="1"/>
  <c r="DQ210" i="31"/>
  <c r="DR210" i="31"/>
  <c r="DP209" i="31"/>
  <c r="DT209" i="31" s="1"/>
  <c r="EG210" i="32"/>
  <c r="EF210" i="32"/>
  <c r="EE209" i="32"/>
  <c r="EI209" i="32" s="1"/>
  <c r="EF211" i="32" l="1"/>
  <c r="EG211" i="32"/>
  <c r="EE211" i="32" s="1"/>
  <c r="EI211" i="32" s="1"/>
  <c r="EE210" i="32"/>
  <c r="EI210" i="32" s="1"/>
  <c r="EB211" i="32"/>
  <c r="DZ211" i="32" s="1"/>
  <c r="ED211" i="32" s="1"/>
  <c r="EA211" i="32"/>
  <c r="DZ210" i="32"/>
  <c r="ED210" i="32" s="1"/>
  <c r="DR211" i="31"/>
  <c r="DP211" i="31" s="1"/>
  <c r="DT211" i="31" s="1"/>
  <c r="DQ211" i="31"/>
  <c r="DP210" i="31"/>
  <c r="DT210" i="31" s="1"/>
  <c r="DV209" i="31"/>
  <c r="DW209" i="31"/>
  <c r="DU208" i="31"/>
  <c r="DY208" i="31" s="1"/>
  <c r="DW210" i="31" l="1"/>
  <c r="DV210" i="31"/>
  <c r="DU209" i="31"/>
  <c r="DY209" i="31" s="1"/>
  <c r="DV211" i="31" l="1"/>
  <c r="DW211" i="31"/>
  <c r="DU211" i="31" s="1"/>
  <c r="DY211" i="31" s="1"/>
  <c r="DU210" i="31"/>
  <c r="DY210" i="31" s="1"/>
</calcChain>
</file>

<file path=xl/comments1.xml><?xml version="1.0" encoding="utf-8"?>
<comments xmlns="http://schemas.openxmlformats.org/spreadsheetml/2006/main">
  <authors>
    <author>Geoff Cumming</author>
  </authors>
  <commentList>
    <comment ref="L2" authorId="0" shapeId="0">
      <text>
        <r>
          <rPr>
            <sz val="9"/>
            <color indexed="81"/>
            <rFont val="Tahoma"/>
            <family val="2"/>
          </rPr>
          <t xml:space="preserve">Confidence level (%) for CIs.  Use the spinner or type in a value.  
Min 0, max 99.9.
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Click to display a vertical line marking zero, the null hypothesis for testing the difference between groups.</t>
        </r>
      </text>
    </comment>
    <comment ref="G3" authorId="0" shapeId="0">
      <text>
        <r>
          <rPr>
            <sz val="9"/>
            <color indexed="81"/>
            <rFont val="Tahoma"/>
            <family val="2"/>
          </rPr>
          <t xml:space="preserve">Click to display means marked by their weights in the meta-analysis.
__________________  
Areas of squares indicate, approximately, the weights of studies in the meta-analysis at </t>
        </r>
        <r>
          <rPr>
            <b/>
            <sz val="9"/>
            <color indexed="10"/>
            <rFont val="Arial"/>
            <family val="2"/>
          </rPr>
          <t>11</t>
        </r>
        <r>
          <rPr>
            <sz val="9"/>
            <color indexed="81"/>
            <rFont val="Tahoma"/>
            <family val="2"/>
          </rPr>
          <t xml:space="preserve">.   (So do the red percentages at </t>
        </r>
        <r>
          <rPr>
            <b/>
            <sz val="9"/>
            <color indexed="10"/>
            <rFont val="Arial"/>
            <family val="2"/>
          </rPr>
          <t>9</t>
        </r>
        <r>
          <rPr>
            <sz val="9"/>
            <color indexed="81"/>
            <rFont val="Tahoma"/>
            <family val="2"/>
          </rPr>
          <t>.)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 xml:space="preserve">Click below to show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values for tests of the null hypothesis of no difference between the groups.
_________
The zero line must be clicked on at </t>
        </r>
        <r>
          <rPr>
            <b/>
            <sz val="9"/>
            <color indexed="10"/>
            <rFont val="Tahoma"/>
            <family val="2"/>
          </rPr>
          <t>5</t>
        </r>
        <r>
          <rPr>
            <sz val="9"/>
            <color indexed="81"/>
            <rFont val="Tahoma"/>
            <family val="2"/>
          </rPr>
          <t>.</t>
        </r>
      </text>
    </comment>
    <comment ref="E4" authorId="0" shapeId="0">
      <text>
        <r>
          <rPr>
            <sz val="9"/>
            <color indexed="81"/>
            <rFont val="Tahoma"/>
            <family val="2"/>
          </rPr>
          <t xml:space="preserve">In the table below, type in the study name (if you wish), and the Mean, SD and sample size for Group 1 and Group 2, for up to 30 studies.
___________________
You can use Paste Special/Values to paste values from the clipboard. 
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 xml:space="preserve">Type at right the original units, e.g. ms, score units, anxiety units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To remove a study from the meta-analysis, click below to clear its checkbox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The effect size.  This is the difference between Group 2 mean and Group 1 mean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The blue values below are the MoE for the CI on the difference between the means for each study.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The red numbers below indicate percentage weight for each study in the meta-analysis at </t>
        </r>
        <r>
          <rPr>
            <b/>
            <sz val="9"/>
            <color indexed="10"/>
            <rFont val="Arial"/>
            <family val="2"/>
          </rPr>
          <t>11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" authorId="0" shapeId="0">
      <text>
        <r>
          <rPr>
            <sz val="9"/>
            <color indexed="81"/>
            <rFont val="Tahoma"/>
            <family val="2"/>
          </rPr>
          <t xml:space="preserve">The blue values below are the CI on the effect size for each study, and (at the bottom, framed in red) for the meta-analysis result.
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 xml:space="preserve">Type a name here, if you wish, for the first group.
The two groups are assumed to be independent.  They may, for example, be 'Treated' and 'Control'.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Type a name here, if you wish, for the second group.
The two groups are assumed to be independent.  They may, for example, be 'Treated' and 'Control'.
</t>
        </r>
      </text>
    </comment>
    <comment ref="O5" authorId="0" shapeId="0">
      <text>
        <r>
          <rPr>
            <sz val="8"/>
            <color indexed="81"/>
            <rFont val="Tahoma"/>
            <family val="2"/>
          </rPr>
          <t>Pooled SD within groups, assuming homogeneity of variance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E5" authorId="0" shapeId="0">
      <text>
        <r>
          <rPr>
            <sz val="9"/>
            <color indexed="81"/>
            <rFont val="Tahoma"/>
            <family val="2"/>
          </rPr>
          <t xml:space="preserve">The blue values below are the lower limits (LL) for the CI on the effect size for each study, and for the meta-analysis results.
</t>
        </r>
      </text>
    </comment>
    <comment ref="AG5" authorId="0" shapeId="0">
      <text>
        <r>
          <rPr>
            <sz val="9"/>
            <color indexed="81"/>
            <rFont val="Tahoma"/>
            <family val="2"/>
          </rPr>
          <t xml:space="preserve">The blue values below are the upper limits (UL) for the CI on the effect size for each study, and for the meta-analysis results.
</t>
        </r>
      </text>
    </comment>
    <comment ref="B6" authorId="0" shapeId="0">
      <text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to test the null hypothesis of zero difference between groups.
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for the </t>
        </r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at left
_____________
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is two tailed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 xml:space="preserve">Stars, etc, for 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value:
ns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&gt; .10
? If .05 &lt;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.10
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.05
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.01
***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.001 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 xml:space="preserve">If you wish, type in an identifying name for each study
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Type in below the mean for Group 1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Type in below the SD for Group 1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Type below the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1
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Type in below the mean for Group 2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Type in below the SD for Group 2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Type below the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2
</t>
        </r>
      </text>
    </comment>
    <comment ref="P6" authorId="0" shapeId="0">
      <text>
        <r>
          <rPr>
            <sz val="8"/>
            <color indexed="81"/>
            <rFont val="Tahoma"/>
            <family val="2"/>
          </rPr>
          <t>Variance of the effect size, which is the difference between the group means.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 xml:space="preserve">Below and right are the results of the meta-analysis of the above studies
</t>
        </r>
      </text>
    </comment>
    <comment ref="O37" authorId="0" shapeId="0">
      <text>
        <r>
          <rPr>
            <sz val="8"/>
            <color indexed="81"/>
            <rFont val="Tahoma"/>
            <family val="2"/>
          </rPr>
          <t xml:space="preserve">Click to display the result of the meta-analysis using a diamond
</t>
        </r>
      </text>
    </comment>
    <comment ref="CB37" authorId="0" shapeId="0">
      <text>
        <r>
          <rPr>
            <sz val="8"/>
            <color indexed="81"/>
            <rFont val="Tahoma"/>
            <family val="2"/>
          </rPr>
          <t>Sum of weights, for means 1 to 30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The meta-analysis model, as selected at </t>
        </r>
        <r>
          <rPr>
            <b/>
            <sz val="9"/>
            <color indexed="10"/>
            <rFont val="Tahoma"/>
            <family val="2"/>
          </rPr>
          <t>10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Result of the meta-analysis. The estimated effect size: the difference between Group 2 and Group 1 means.
</t>
        </r>
      </text>
    </comment>
    <comment ref="P38" authorId="0" shapeId="0">
      <text>
        <r>
          <rPr>
            <sz val="8"/>
            <color indexed="81"/>
            <rFont val="Tahoma"/>
            <family val="2"/>
          </rPr>
          <t>Variance of the overall effect size estimate.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>MoE for the CI on the result of the meta-analysis. This is half the length of the diamond.</t>
        </r>
      </text>
    </comment>
    <comment ref="AG38" authorId="0" shapeId="0">
      <text>
        <r>
          <rPr>
            <sz val="9"/>
            <color indexed="81"/>
            <rFont val="Tahoma"/>
            <family val="2"/>
          </rPr>
          <t xml:space="preserve">The CI on the effect size for the meta-analysis result.
</t>
        </r>
      </text>
    </comment>
    <comment ref="E40" authorId="0" shapeId="0">
      <text>
        <r>
          <rPr>
            <sz val="9"/>
            <color indexed="81"/>
            <rFont val="Tahoma"/>
            <family val="2"/>
          </rPr>
          <t xml:space="preserve">Click one of the radio buttons at right to select a model for the meta-analysis, either fixed effect or random effects
</t>
        </r>
      </text>
    </comment>
    <comment ref="Q40" authorId="0" shapeId="0">
      <text>
        <r>
          <rPr>
            <sz val="9"/>
            <color indexed="81"/>
            <rFont val="Tahoma"/>
            <family val="2"/>
          </rPr>
          <t>The ratio of the length of the random effects diamond, to the length of the fixed effect diamond.
___________
The greater the heterogeneity, meaning the greater the variability of the study ESs, then the larger the diamond ratio.</t>
        </r>
      </text>
    </comment>
  </commentList>
</comments>
</file>

<file path=xl/comments2.xml><?xml version="1.0" encoding="utf-8"?>
<comments xmlns="http://schemas.openxmlformats.org/spreadsheetml/2006/main">
  <authors>
    <author>Geoff Cumming</author>
  </authors>
  <commentList>
    <comment ref="L2" authorId="0" shapeId="0">
      <text>
        <r>
          <rPr>
            <sz val="9"/>
            <color indexed="81"/>
            <rFont val="Tahoma"/>
            <family val="2"/>
          </rPr>
          <t xml:space="preserve">Confidence level (%) for CIs.  Use the spinner or type in a value.  
Min 0, max 99.9.
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Click to display a vertical line marking zero, the null hypothesis for testing the difference between groups.</t>
        </r>
      </text>
    </comment>
    <comment ref="F3" authorId="0" shapeId="0">
      <text>
        <r>
          <rPr>
            <sz val="9"/>
            <color indexed="81"/>
            <rFont val="Tahoma"/>
            <family val="2"/>
          </rPr>
          <t>Click to display means marked by their weights in the meta-analysis.  
Areas of squares indicate, approximately, the weights of studies.</t>
        </r>
        <r>
          <rPr>
            <sz val="9"/>
            <color indexed="81"/>
            <rFont val="Tahoma"/>
            <family val="2"/>
          </rPr>
          <t xml:space="preserve">  (Weights are indicated also by the percentages below </t>
        </r>
        <r>
          <rPr>
            <b/>
            <sz val="9"/>
            <color indexed="10"/>
            <rFont val="Arial"/>
            <family val="2"/>
          </rPr>
          <t>10</t>
        </r>
        <r>
          <rPr>
            <sz val="9"/>
            <color indexed="81"/>
            <rFont val="Tahoma"/>
            <family val="2"/>
          </rPr>
          <t xml:space="preserve">.)
______________________
If subset analysis is ON (at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sizes of squares are calculated separately for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means.  If OFF, sizes of squares are calculated for the single set of means displayed in the figure.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Click to analyse the two subsets (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).  Each subset must have at least two studies for the subset analysis to be displayed.
____________________
Only studies with a label in the column below </t>
        </r>
        <r>
          <rPr>
            <b/>
            <sz val="9"/>
            <color indexed="10"/>
            <rFont val="Tahoma"/>
            <family val="2"/>
          </rPr>
          <t xml:space="preserve">8 </t>
        </r>
        <r>
          <rPr>
            <sz val="9"/>
            <color indexed="81"/>
            <rFont val="Tahoma"/>
            <family val="2"/>
          </rPr>
          <t xml:space="preserve">are included.  Any other studies are greyed out.
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 xml:space="preserve">Click below to show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values for tests of the null hypothesis of no difference between the groups.
_________
The zero line must be clicked on at </t>
        </r>
        <r>
          <rPr>
            <b/>
            <sz val="9"/>
            <color indexed="10"/>
            <rFont val="Tahoma"/>
            <family val="2"/>
          </rPr>
          <t>5</t>
        </r>
        <r>
          <rPr>
            <sz val="9"/>
            <color indexed="81"/>
            <rFont val="Tahoma"/>
            <family val="2"/>
          </rPr>
          <t>.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 xml:space="preserve">In the table below, type in the study name (if you wish), and the Mean, SD and sample size for Group 1 and Group 2, for up to 30 studies.
___________________
You can use Paste Special/Values to paste values from the clipboard. 
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 xml:space="preserve">Type at right the original units, e.g. ms, score units, anxiety units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The effect size.  This is the difference between Group 2 mean and Group 1 mean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The values below are the MoE for the CI on the difference between the means for each study.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Percentage weights for the studies in the meta-analysis.  
</t>
        </r>
        <r>
          <rPr>
            <sz val="9"/>
            <color indexed="81"/>
            <rFont val="Tahoma"/>
            <family val="2"/>
          </rPr>
          <t xml:space="preserve">______________________
If subset analysis is ON (at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weights are calculated separately for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means.  If OFF, weights are calculated for the single set of means displayed in the figure.</t>
        </r>
      </text>
    </comment>
    <comment ref="AJ5" authorId="0" shapeId="0">
      <text>
        <r>
          <rPr>
            <sz val="9"/>
            <color indexed="81"/>
            <rFont val="Tahoma"/>
            <family val="2"/>
          </rPr>
          <t xml:space="preserve">The values below are the CI on the effect size for each study and, at the bottom, for the meta-analysis result.
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 xml:space="preserve">Type a name here, if you wish, for the first group.
The two groups are assumed to be independent.  They may, for example, be 'Treated' and 'Control'.
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 xml:space="preserve">Type a name here, if you wish, for the second group.
The two groups are assumed to be independent.  They may, for example, be 'Treated' and 'Control'.
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 xml:space="preserve">Type a label, in the column below, to identify the two subsets.  To carry out a subset analysis, Study 1 (the first study) must have a label.  Then all studies with that label become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  All studies with any other non-blank label become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O6" authorId="0" shapeId="0">
      <text>
        <r>
          <rPr>
            <sz val="8"/>
            <color indexed="81"/>
            <rFont val="Tahoma"/>
            <family val="2"/>
          </rPr>
          <t>Pooled SD within groups, assuming homogeneity of variance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H6" authorId="0" shapeId="0">
      <text>
        <r>
          <rPr>
            <sz val="9"/>
            <color indexed="81"/>
            <rFont val="Tahoma"/>
            <family val="2"/>
          </rPr>
          <t xml:space="preserve">The values below are the lower limits (LL) for the CI on the effect size for each study, and for the meta-analysis results.
</t>
        </r>
      </text>
    </comment>
    <comment ref="AJ6" authorId="0" shapeId="0">
      <text>
        <r>
          <rPr>
            <sz val="9"/>
            <color indexed="81"/>
            <rFont val="Tahoma"/>
            <family val="2"/>
          </rPr>
          <t xml:space="preserve">The values below are the upper limits (UL) for the CI on the effect size for each study, and for the meta-analysis results.
</t>
        </r>
      </text>
    </comment>
    <comment ref="B7" authorId="0" shapeId="0">
      <text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to test the null hypothesis of zero difference between groups.
</t>
        </r>
      </text>
    </comment>
    <comment ref="C7" authorId="0" shapeId="0">
      <text>
        <r>
          <rPr>
            <sz val="9"/>
            <color indexed="81"/>
            <rFont val="Tahoma"/>
            <family val="2"/>
          </rPr>
          <t xml:space="preserve">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for the </t>
        </r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at left
_____________
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is two tailed</t>
        </r>
      </text>
    </comment>
    <comment ref="D7" authorId="0" shapeId="0">
      <text>
        <r>
          <rPr>
            <sz val="9"/>
            <color indexed="81"/>
            <rFont val="Tahoma"/>
            <family val="2"/>
          </rPr>
          <t xml:space="preserve">Stars, etc, for 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value:
ns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&gt; .10
? If .05 &lt;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.10
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.05
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.01
***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.001 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 xml:space="preserve">If you wish, type in an identifying name for each study
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Type in below the mean for Group 1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Type in below the SD for Group 1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 xml:space="preserve">Type below the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1
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Type in below the mean for Group 2</t>
        </r>
      </text>
    </comment>
    <comment ref="K7" authorId="0" shapeId="0">
      <text>
        <r>
          <rPr>
            <sz val="9"/>
            <color indexed="81"/>
            <rFont val="Tahoma"/>
            <family val="2"/>
          </rPr>
          <t>Type in below the SD for Group 2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Type below the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2
</t>
        </r>
      </text>
    </comment>
    <comment ref="P7" authorId="0" shapeId="0">
      <text>
        <r>
          <rPr>
            <sz val="8"/>
            <color indexed="81"/>
            <rFont val="Tahoma"/>
            <family val="2"/>
          </rPr>
          <t>Variance of the effect size, which is the difference between the group means.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sz val="9"/>
            <color indexed="81"/>
            <rFont val="Tahoma"/>
            <family val="2"/>
          </rPr>
          <t xml:space="preserve">For a subgroup analysis, this first study must have a label.
</t>
        </r>
      </text>
    </comment>
    <comment ref="E38" authorId="0" shapeId="0">
      <text>
        <r>
          <rPr>
            <sz val="9"/>
            <color indexed="81"/>
            <rFont val="Tahoma"/>
            <family val="2"/>
          </rPr>
          <t xml:space="preserve">Results of meta-analytic combination of all the studies.
_________________
If subset analysis is ON (click 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only studies in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subsets are included in this overall analysis.  Any greyed out studies are not included.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The type of meta-analysis, as selected at </t>
        </r>
        <r>
          <rPr>
            <b/>
            <sz val="9"/>
            <color indexed="10"/>
            <rFont val="Tahoma"/>
            <family val="2"/>
          </rPr>
          <t>11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>MoE for the CI on the result of each of the meta-analyses below. In each case, MoE is half the length of the diamond.</t>
        </r>
      </text>
    </comment>
    <comment ref="J39" authorId="0" shapeId="0">
      <text>
        <r>
          <rPr>
            <sz val="9"/>
            <color indexed="81"/>
            <rFont val="Tahoma"/>
            <family val="2"/>
          </rPr>
          <t xml:space="preserve">Weighted mean, all studies combined.  If subsets are being analysed, greyed out studies (those with no label) are excluded from this overall analysis.
</t>
        </r>
      </text>
    </comment>
    <comment ref="M39" authorId="0" shapeId="0">
      <text>
        <r>
          <rPr>
            <sz val="9"/>
            <color indexed="81"/>
            <rFont val="Tahoma"/>
            <family val="2"/>
          </rPr>
          <t xml:space="preserve">Number of studes included in the overall analysis.
___________________
If subgroup analysis is clicked ON (at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only studies with labels are included in this overall analysis.  Greyed out studies are excluded.
</t>
        </r>
      </text>
    </comment>
    <comment ref="AJ39" authorId="0" shapeId="0">
      <text>
        <r>
          <rPr>
            <sz val="9"/>
            <color indexed="81"/>
            <rFont val="Tahoma"/>
            <family val="2"/>
          </rPr>
          <t xml:space="preserve">Limits of the CI on the overall meta-analysis result.
</t>
        </r>
      </text>
    </comment>
    <comment ref="E40" authorId="0" shapeId="0">
      <text>
        <r>
          <rPr>
            <sz val="9"/>
            <color indexed="81"/>
            <rFont val="Tahoma"/>
            <family val="2"/>
          </rPr>
          <t xml:space="preserve">Results for meta-analysis of the two separate subsets.
</t>
        </r>
      </text>
    </comment>
    <comment ref="J40" authorId="0" shapeId="0">
      <text>
        <r>
          <rPr>
            <sz val="9"/>
            <color indexed="81"/>
            <rFont val="Tahoma"/>
            <family val="2"/>
          </rPr>
          <t xml:space="preserve">Weighted mean, all studies in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M40" authorId="0" shapeId="0">
      <text>
        <r>
          <rPr>
            <sz val="9"/>
            <color indexed="81"/>
            <rFont val="Tahoma"/>
            <family val="2"/>
          </rPr>
          <t xml:space="preserve">Number of studies in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
__________________
There must be at least two studies in each subset for the subset analysis to be displayed.
</t>
        </r>
      </text>
    </comment>
    <comment ref="AJ40" authorId="0" shapeId="0">
      <text>
        <r>
          <rPr>
            <sz val="9"/>
            <color indexed="81"/>
            <rFont val="Tahoma"/>
            <family val="2"/>
          </rPr>
          <t xml:space="preserve">Limits of the CI on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J41" authorId="0" shapeId="0">
      <text>
        <r>
          <rPr>
            <sz val="9"/>
            <color indexed="81"/>
            <rFont val="Tahoma"/>
            <family val="2"/>
          </rPr>
          <t xml:space="preserve">Weighted mean, all studies in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M41" authorId="0" shapeId="0">
      <text>
        <r>
          <rPr>
            <sz val="9"/>
            <color indexed="81"/>
            <rFont val="Tahoma"/>
            <family val="2"/>
          </rPr>
          <t xml:space="preserve">Number of studies in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__________________
There must be at least two studies in each subset for the subset analysis to be displayed.
</t>
        </r>
      </text>
    </comment>
    <comment ref="AJ41" authorId="0" shapeId="0">
      <text>
        <r>
          <rPr>
            <sz val="9"/>
            <color indexed="81"/>
            <rFont val="Tahoma"/>
            <family val="2"/>
          </rPr>
          <t xml:space="preserve">Limits of the CI on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P42" authorId="0" shapeId="0">
      <text>
        <r>
          <rPr>
            <sz val="8"/>
            <color indexed="81"/>
            <rFont val="Tahoma"/>
            <family val="2"/>
          </rPr>
          <t xml:space="preserve">Click to display the result of each meta-analysis using a diamond
</t>
        </r>
      </text>
    </comment>
    <comment ref="E45" authorId="0" shapeId="0">
      <text>
        <r>
          <rPr>
            <sz val="9"/>
            <color indexed="81"/>
            <rFont val="Tahoma"/>
            <family val="2"/>
          </rPr>
          <t xml:space="preserve">Difference between the two subsets.
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Difference between the two subset weighted means, just above:
 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J45" authorId="0" shapeId="0">
      <text>
        <r>
          <rPr>
            <sz val="9"/>
            <color indexed="81"/>
            <rFont val="Tahoma"/>
            <family val="2"/>
          </rPr>
          <t xml:space="preserve">Limits of the CI on the difference.
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>The ratio of the length of the random effects diamond, to the length of the fixed effect diamond.
___________
The greater the heterogeneity, meaning the greater the variability of the study ESs, then the larger the diamond ratio.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Diamond ratio for the meta-analysis of all the studies.
_________________
If subset analysis is ON (click 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only studies in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subsets are included in the overall analysis.  Any greyed out studies are not included.
</t>
        </r>
      </text>
    </comment>
    <comment ref="E47" authorId="0" shapeId="0">
      <text>
        <r>
          <rPr>
            <sz val="9"/>
            <color indexed="81"/>
            <rFont val="Tahoma"/>
            <family val="2"/>
          </rPr>
          <t>Click one of the radio buttons at right to select the model for meta-analysis, either fixed effect or random effects</t>
        </r>
      </text>
    </comment>
    <comment ref="M47" authorId="0" shapeId="0">
      <text>
        <r>
          <rPr>
            <sz val="9"/>
            <color indexed="81"/>
            <rFont val="Tahoma"/>
            <family val="2"/>
          </rPr>
          <t xml:space="preserve">If subset analysis is ON (click 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this diamond ratio is for the meta-analysis of studies in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
</t>
        </r>
      </text>
    </comment>
    <comment ref="M48" authorId="0" shapeId="0">
      <text>
        <r>
          <rPr>
            <sz val="9"/>
            <color indexed="81"/>
            <rFont val="Tahoma"/>
            <family val="2"/>
          </rPr>
          <t xml:space="preserve">If subset analysis is ON (click 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this diamond ratio is for the meta-analysis of studies in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</commentList>
</comments>
</file>

<file path=xl/comments3.xml><?xml version="1.0" encoding="utf-8"?>
<comments xmlns="http://schemas.openxmlformats.org/spreadsheetml/2006/main">
  <authors>
    <author>Geoff Cumming</author>
  </authors>
  <commentList>
    <comment ref="AG1" authorId="0" shapeId="0">
      <text>
        <r>
          <rPr>
            <sz val="9"/>
            <color indexed="81"/>
            <rFont val="Tahoma"/>
            <family val="2"/>
          </rPr>
          <t xml:space="preserve">Click to launch calculation of CIs on the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of each study.  May take a little time.  
Calculation is required before CIs are shown below and displayed in the forest plot.  If </t>
        </r>
        <r>
          <rPr>
            <i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 or any aspect of the data is changed, CIs must be recalculated.
__________________________
Whether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selected as the ES, CIs for the individual studies remain the same: The best interval estimate of population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for that study.</t>
        </r>
      </text>
    </comment>
    <comment ref="AI1" authorId="0" shapeId="0">
      <text>
        <r>
          <rPr>
            <sz val="9"/>
            <color indexed="81"/>
            <rFont val="Tahoma"/>
            <family val="2"/>
          </rPr>
          <t xml:space="preserve">Click to display a vertical line marking zero.  This is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= 0, 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= 0, and is also the null hypothesis for testing for a zero difference between the group means.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 xml:space="preserve">Confidence level (%) for CIs.  Use the spinner or type in a value.  Min 0, max 99.9.
_____________
If you change </t>
        </r>
        <r>
          <rPr>
            <i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you need to click button at right to calculate the new CIs.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>Click to display ES values (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) modified by their weightings in the meta-analysis.
__________________  
Areas of squares in the forest plot indicate, approximately, the weights of studies in the meta-analysis at </t>
        </r>
        <r>
          <rPr>
            <b/>
            <sz val="9"/>
            <color indexed="10"/>
            <rFont val="Arial"/>
            <family val="2"/>
          </rPr>
          <t>12</t>
        </r>
        <r>
          <rPr>
            <sz val="9"/>
            <color indexed="81"/>
            <rFont val="Tahoma"/>
            <family val="2"/>
          </rPr>
          <t xml:space="preserve">.  (So do the red percentages at </t>
        </r>
        <r>
          <rPr>
            <b/>
            <sz val="9"/>
            <color indexed="10"/>
            <rFont val="Arial"/>
            <family val="2"/>
          </rPr>
          <t>10</t>
        </r>
        <r>
          <rPr>
            <sz val="9"/>
            <color indexed="81"/>
            <rFont val="Tahoma"/>
            <family val="2"/>
          </rPr>
          <t>.)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Click below to show approximate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values for tests of the null hypothesis of no difference between the groups.
_________
The zero line must be clicked on at </t>
        </r>
        <r>
          <rPr>
            <b/>
            <sz val="9"/>
            <color indexed="10"/>
            <rFont val="Tahoma"/>
            <family val="2"/>
          </rPr>
          <t>5</t>
        </r>
        <r>
          <rPr>
            <sz val="9"/>
            <color indexed="81"/>
            <rFont val="Tahoma"/>
            <family val="2"/>
          </rPr>
          <t>.</t>
        </r>
      </text>
    </comment>
    <comment ref="V4" authorId="0" shapeId="0">
      <text>
        <r>
          <rPr>
            <sz val="9"/>
            <color indexed="81"/>
            <rFont val="Tahoma"/>
            <family val="2"/>
          </rPr>
          <t xml:space="preserve">In the table below, type in the study name (if you wish), </t>
        </r>
        <r>
          <rPr>
            <i/>
            <sz val="11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for the difference between two independent groups, and </t>
        </r>
        <r>
          <rPr>
            <i/>
            <sz val="10"/>
            <color indexed="81"/>
            <rFont val="Tahoma"/>
            <family val="2"/>
          </rPr>
          <t>N</t>
        </r>
        <r>
          <rPr>
            <vertAlign val="subscript"/>
            <sz val="11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i/>
            <sz val="10"/>
            <color indexed="81"/>
            <rFont val="Tahoma"/>
            <family val="2"/>
          </rPr>
          <t>N</t>
        </r>
        <r>
          <rPr>
            <vertAlign val="subscript"/>
            <sz val="11"/>
            <color indexed="81"/>
            <rFont val="Tahoma"/>
            <family val="2"/>
          </rPr>
          <t>2</t>
        </r>
        <r>
          <rPr>
            <sz val="9"/>
            <color indexed="81"/>
            <rFont val="Tahoma"/>
            <family val="2"/>
          </rPr>
          <t>, the sample sizes for Group 1 and Group 2, for up to 30 studies.  The pooled within-group SD of each study (</t>
        </r>
        <r>
          <rPr>
            <i/>
            <sz val="11"/>
            <color indexed="81"/>
            <rFont val="Tahoma"/>
            <family val="2"/>
          </rPr>
          <t>s</t>
        </r>
        <r>
          <rPr>
            <vertAlign val="subscript"/>
            <sz val="12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) is assumed as the standardiser for that study's </t>
        </r>
        <r>
          <rPr>
            <i/>
            <sz val="11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.
___________________
You can use Paste Special/Values to paste values from the clipboard.  Do this one column at a time.
</t>
        </r>
      </text>
    </comment>
    <comment ref="X4" authorId="0" shapeId="0">
      <text>
        <r>
          <rPr>
            <sz val="9"/>
            <color indexed="81"/>
            <rFont val="Tahoma"/>
            <family val="2"/>
          </rPr>
          <t xml:space="preserve">Click a button below to select whether </t>
        </r>
        <r>
          <rPr>
            <i/>
            <sz val="9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i/>
            <sz val="9"/>
            <color indexed="81"/>
            <rFont val="Tahoma"/>
            <family val="2"/>
          </rPr>
          <t>d</t>
        </r>
        <r>
          <rPr>
            <vertAlign val="subscript"/>
            <sz val="10"/>
            <color indexed="81"/>
            <rFont val="Tahoma"/>
            <family val="2"/>
          </rPr>
          <t>unb</t>
        </r>
        <r>
          <rPr>
            <sz val="9"/>
            <color indexed="81"/>
            <rFont val="Tahoma"/>
            <family val="2"/>
          </rPr>
          <t xml:space="preserve"> (the unbiased estimate of </t>
        </r>
        <r>
          <rPr>
            <sz val="10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Symbol"/>
            <family val="1"/>
            <charset val="2"/>
          </rPr>
          <t xml:space="preserve"> </t>
        </r>
        <r>
          <rPr>
            <sz val="9"/>
            <color indexed="81"/>
            <rFont val="Tahoma"/>
            <family val="2"/>
          </rPr>
          <t>) is highlighted and used as the effect size (ES) to be meta-analysed.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4" authorId="0" shapeId="0">
      <text>
        <r>
          <rPr>
            <sz val="9"/>
            <color indexed="81"/>
            <rFont val="Tahoma"/>
            <family val="2"/>
          </rPr>
          <t xml:space="preserve">To remove a study from the meta-analysis, click below to clear its checkbox
</t>
        </r>
      </text>
    </comment>
    <comment ref="AE4" authorId="0" shapeId="0">
      <text>
        <r>
          <rPr>
            <sz val="9"/>
            <color indexed="81"/>
            <rFont val="Tahoma"/>
            <family val="2"/>
          </rPr>
          <t xml:space="preserve">The values below are the limits of the CI on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(or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) for each study.  The CI is the interval estimate of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, for this study.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4" authorId="0" shapeId="0">
      <text>
        <r>
          <rPr>
            <sz val="9"/>
            <color indexed="81"/>
            <rFont val="Tahoma"/>
            <family val="2"/>
          </rPr>
          <t xml:space="preserve">The red numbers below indicate percentage weight for each study in the meta-analysis at </t>
        </r>
        <r>
          <rPr>
            <b/>
            <sz val="9"/>
            <color indexed="10"/>
            <rFont val="Arial"/>
            <family val="2"/>
          </rPr>
          <t>12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4" authorId="0" shapeId="0">
      <text>
        <r>
          <rPr>
            <sz val="9"/>
            <color indexed="81"/>
            <rFont val="Tahoma"/>
            <family val="2"/>
          </rPr>
          <t xml:space="preserve">Lengths of lower MoE and upper MoE for the CIs at </t>
        </r>
        <r>
          <rPr>
            <b/>
            <sz val="9"/>
            <color indexed="10"/>
            <rFont val="Tahoma"/>
            <family val="2"/>
          </rPr>
          <t>9</t>
        </r>
        <r>
          <rPr>
            <sz val="9"/>
            <color indexed="81"/>
            <rFont val="Tahoma"/>
            <family val="2"/>
          </rPr>
          <t xml:space="preserve">
____________
For the individual studies these are unequal, because such CIs are generally asymmetric.</t>
        </r>
      </text>
    </comment>
    <comment ref="AY4" authorId="0" shapeId="0">
      <text>
        <r>
          <rPr>
            <sz val="9"/>
            <color indexed="81"/>
            <rFont val="Tahoma"/>
            <family val="2"/>
          </rPr>
          <t>MOE</t>
        </r>
        <r>
          <rPr>
            <vertAlign val="subscript"/>
            <sz val="10"/>
            <color indexed="81"/>
            <rFont val="Tahoma"/>
            <family val="2"/>
          </rPr>
          <t>av</t>
        </r>
        <r>
          <rPr>
            <sz val="9"/>
            <color indexed="81"/>
            <rFont val="Tahoma"/>
            <family val="2"/>
          </rPr>
          <t xml:space="preserve"> is the average of lower MoE and upper MoE.  It is half the length of the CI, and a measure of precision.
</t>
        </r>
      </text>
    </comment>
    <comment ref="R6" authorId="0" shapeId="0">
      <text>
        <r>
          <rPr>
            <i/>
            <sz val="10"/>
            <color indexed="81"/>
            <rFont val="Tahoma"/>
            <family val="2"/>
          </rPr>
          <t>t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value to test the null hypothesis of zero difference between groups.
</t>
        </r>
      </text>
    </comment>
    <comment ref="S6" authorId="0" shapeId="0">
      <text>
        <r>
          <rPr>
            <sz val="9"/>
            <color indexed="81"/>
            <rFont val="Tahoma"/>
            <family val="2"/>
          </rPr>
          <t xml:space="preserve">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value for the </t>
        </r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at left
_____________
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value is two tailed</t>
        </r>
      </text>
    </comment>
    <comment ref="T6" authorId="0" shapeId="0">
      <text>
        <r>
          <rPr>
            <sz val="9"/>
            <color indexed="81"/>
            <rFont val="Tahoma"/>
            <family val="2"/>
          </rPr>
          <t xml:space="preserve">Stars, etc, for 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value:
ns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&gt; .10
? If .05 &lt;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.10
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.05
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.01
***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.001 </t>
        </r>
      </text>
    </comment>
    <comment ref="V6" authorId="0" shapeId="0">
      <text>
        <r>
          <rPr>
            <sz val="9"/>
            <color indexed="81"/>
            <rFont val="Tahoma"/>
            <family val="2"/>
          </rPr>
          <t xml:space="preserve">If you wish, type in an identifying name for each study
</t>
        </r>
      </text>
    </comment>
    <comment ref="W6" authorId="0" shape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for each study.  Min -8, max +8
______________
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assumed calculated using </t>
        </r>
        <r>
          <rPr>
            <i/>
            <sz val="10"/>
            <color indexed="81"/>
            <rFont val="Tahoma"/>
            <family val="2"/>
          </rPr>
          <t>s</t>
        </r>
        <r>
          <rPr>
            <vertAlign val="subscript"/>
            <sz val="11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the pooled within groups SD.  Homogeneity of variance is assumed.  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selected as the ES for meta-analysis.</t>
        </r>
      </text>
    </comment>
    <comment ref="X6" authorId="0" shapeId="0">
      <text>
        <r>
          <rPr>
            <sz val="9"/>
            <color indexed="81"/>
            <rFont val="Tahoma"/>
            <family val="2"/>
          </rPr>
          <t>An unbiased estimate of population effect size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 xml:space="preserve">, calculated from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at left.
__________________
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selected as the ES for meta-analysis.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6" authorId="0" shape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1.  
Min 6. Not too large, because max </t>
        </r>
        <r>
          <rPr>
            <i/>
            <sz val="10"/>
            <color indexed="81"/>
            <rFont val="Tahoma"/>
            <family val="2"/>
          </rPr>
          <t>df</t>
        </r>
        <r>
          <rPr>
            <sz val="9"/>
            <color indexed="81"/>
            <rFont val="Tahoma"/>
            <family val="2"/>
          </rPr>
          <t xml:space="preserve"> = 200.
</t>
        </r>
      </text>
    </comment>
    <comment ref="Z6" authorId="0" shape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2.  
Min 6. Not too large, because max </t>
        </r>
        <r>
          <rPr>
            <i/>
            <sz val="10"/>
            <color indexed="81"/>
            <rFont val="Tahoma"/>
            <family val="2"/>
          </rPr>
          <t>df</t>
        </r>
        <r>
          <rPr>
            <sz val="9"/>
            <color indexed="81"/>
            <rFont val="Tahoma"/>
            <family val="2"/>
          </rPr>
          <t xml:space="preserve"> = 200.
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Degrees of freedom for each study.
Max 200.
</t>
        </r>
        <r>
          <rPr>
            <i/>
            <sz val="10"/>
            <color indexed="81"/>
            <rFont val="Tahoma"/>
            <family val="2"/>
          </rPr>
          <t>df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i/>
            <sz val="9"/>
            <color indexed="81"/>
            <rFont val="Tahoma"/>
            <family val="2"/>
          </rPr>
          <t>N</t>
        </r>
        <r>
          <rPr>
            <vertAlign val="subscript"/>
            <sz val="10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i/>
            <sz val="9"/>
            <color indexed="81"/>
            <rFont val="Tahoma"/>
            <family val="2"/>
          </rPr>
          <t>N</t>
        </r>
        <r>
          <rPr>
            <vertAlign val="subscript"/>
            <sz val="10"/>
            <color indexed="81"/>
            <rFont val="Tahoma"/>
            <family val="2"/>
          </rPr>
          <t>2</t>
        </r>
        <r>
          <rPr>
            <sz val="9"/>
            <color indexed="81"/>
            <rFont val="Tahoma"/>
            <family val="2"/>
          </rPr>
          <t xml:space="preserve"> - 2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 xml:space="preserve">Lower limit (LL) of the CI 
</t>
        </r>
      </text>
    </comment>
    <comment ref="AG6" authorId="0" shapeId="0">
      <text>
        <r>
          <rPr>
            <sz val="9"/>
            <color indexed="81"/>
            <rFont val="Tahoma"/>
            <family val="2"/>
          </rPr>
          <t xml:space="preserve">Uper limit (UL) of the CI 
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 xml:space="preserve">Result of meta-analysis of above studies
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 xml:space="preserve">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the ES selected for meta-analysis.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 xml:space="preserve">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the ES selected for meta-analysis.</t>
        </r>
      </text>
    </comment>
    <comment ref="AC37" authorId="0" shapeId="0">
      <text>
        <r>
          <rPr>
            <sz val="8"/>
            <color indexed="81"/>
            <rFont val="Tahoma"/>
            <family val="2"/>
          </rPr>
          <t>Variance of the overall effect size at left.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H37" authorId="0" shapeId="0">
      <text>
        <r>
          <rPr>
            <sz val="9"/>
            <color indexed="81"/>
            <rFont val="Tahoma"/>
            <family val="2"/>
          </rPr>
          <t xml:space="preserve">CI on the result of the meta-analysis. This is the best interval estimate of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P37" authorId="0" shapeId="0">
      <text>
        <r>
          <rPr>
            <sz val="8"/>
            <color indexed="81"/>
            <rFont val="Tahoma"/>
            <family val="2"/>
          </rPr>
          <t>Sum of weights, for means 1 to 30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The model used for the meta-analysis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Result of the meta-analysis: A weighted average of the above ES (i.e.,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i/>
            <sz val="9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>) values that is our overall estimate of population effect size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38" authorId="0" shapeId="0">
      <text>
        <r>
          <rPr>
            <sz val="9"/>
            <color indexed="81"/>
            <rFont val="Tahoma"/>
            <family val="2"/>
          </rPr>
          <t xml:space="preserve">Lengths of lower MoE and upper MoE for the CI on the result of the meta-analysis. This is our best CI for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
____________
This CI is calculated differently from the CIs above for the individual studies. It is always symmetric.</t>
        </r>
      </text>
    </comment>
    <comment ref="AF40" authorId="0" shapeId="0">
      <text>
        <r>
          <rPr>
            <sz val="9"/>
            <color indexed="81"/>
            <rFont val="Tahoma"/>
            <family val="2"/>
          </rPr>
          <t>The ratio of the length of the random effects diamond, to the length of the fixed effect diamond.
___________
The greater the heterogeneity, meaning the greater the variability of the study ESs, then the larger the diamond ratio.</t>
        </r>
      </text>
    </comment>
    <comment ref="U41" authorId="0" shapeId="0">
      <text>
        <r>
          <rPr>
            <sz val="9"/>
            <color indexed="81"/>
            <rFont val="Tahoma"/>
            <family val="2"/>
          </rPr>
          <t xml:space="preserve">Click one of the radio buttons to select the fixed effect model, or random effects model for the meta-analysis
</t>
        </r>
      </text>
    </comment>
  </commentList>
</comments>
</file>

<file path=xl/comments4.xml><?xml version="1.0" encoding="utf-8"?>
<comments xmlns="http://schemas.openxmlformats.org/spreadsheetml/2006/main">
  <authors>
    <author>Geoff Cumming</author>
  </authors>
  <commentList>
    <comment ref="AG1" authorId="0" shapeId="0">
      <text>
        <r>
          <rPr>
            <sz val="9"/>
            <color indexed="81"/>
            <rFont val="Tahoma"/>
            <family val="2"/>
          </rPr>
          <t xml:space="preserve">Click to launch calculation of CIs on the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of each study.  May take a little time.  
Calculation is required before CIs are shown below and displayed in the forest plot.  If </t>
        </r>
        <r>
          <rPr>
            <i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 or any aspect of the data is changed, CIs must be recalculated--so click again.
__________________________
Whether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selected as the ES, CIs for the individual studies remain the same: The best interval estimate of population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for that study.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 xml:space="preserve">Confidence level (%) for CIs.  Use the spinner or type in a value.  Min 0, max 99.9.
_____________
If you change </t>
        </r>
        <r>
          <rPr>
            <i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you need to click button at right to calculate the new CIs.
</t>
        </r>
      </text>
    </comment>
    <comment ref="AI2" authorId="0" shapeId="0">
      <text>
        <r>
          <rPr>
            <sz val="9"/>
            <color indexed="81"/>
            <rFont val="Tahoma"/>
            <family val="2"/>
          </rPr>
          <t xml:space="preserve">Click to display a vertical line marking zero.  This is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= 0, 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= 0, and is also the null hypothesis for testing for a zero difference between the group means.</t>
        </r>
      </text>
    </comment>
    <comment ref="V4" authorId="0" shapeId="0">
      <text>
        <r>
          <rPr>
            <sz val="9"/>
            <color indexed="81"/>
            <rFont val="Tahoma"/>
            <family val="2"/>
          </rPr>
          <t>Click to display ES values (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>) modified by their weightings in the meta-analysis.  
Areas of squares in the forest plot indicate, approximately, the weights of studies in the meta-analysis</t>
        </r>
        <r>
          <rPr>
            <sz val="9"/>
            <color indexed="81"/>
            <rFont val="Tahoma"/>
            <family val="2"/>
          </rPr>
          <t xml:space="preserve">.  (So do the percentages at </t>
        </r>
        <r>
          <rPr>
            <b/>
            <sz val="9"/>
            <color indexed="10"/>
            <rFont val="Arial"/>
            <family val="2"/>
          </rPr>
          <t>11</t>
        </r>
        <r>
          <rPr>
            <sz val="9"/>
            <color indexed="81"/>
            <rFont val="Tahoma"/>
            <family val="2"/>
          </rPr>
          <t xml:space="preserve">.)
__________________
If subset analysis is ON (at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  <family val="2"/>
          </rPr>
          <t xml:space="preserve">), sizes of squares are calculated separately for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means.  If OFF, sizes of squares are calculated for the single set of means displayed in the figure.</t>
        </r>
      </text>
    </comment>
    <comment ref="AA4" authorId="0" shapeId="0">
      <text>
        <r>
          <rPr>
            <sz val="9"/>
            <color indexed="81"/>
            <rFont val="Tahoma"/>
            <family val="2"/>
          </rPr>
          <t>Click to analyse the two subsets (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).  Each subset must have at least two studies for the subset analysis to be displayed.
____________________
Only studies with a label in the column below </t>
        </r>
        <r>
          <rPr>
            <b/>
            <sz val="9"/>
            <color indexed="10"/>
            <rFont val="Tahoma"/>
            <family val="2"/>
          </rPr>
          <t xml:space="preserve">9 </t>
        </r>
        <r>
          <rPr>
            <sz val="9"/>
            <color indexed="81"/>
            <rFont val="Tahoma"/>
            <family val="2"/>
          </rPr>
          <t xml:space="preserve">are included.  Any other studies are greyed out.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Click below to show approximate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values for tests of the null hypothesis of no difference between the groups.
_________
The zero line must be clicked on at </t>
        </r>
        <r>
          <rPr>
            <b/>
            <sz val="9"/>
            <color indexed="10"/>
            <rFont val="Tahoma"/>
            <family val="2"/>
          </rPr>
          <t>5</t>
        </r>
        <r>
          <rPr>
            <sz val="9"/>
            <color indexed="81"/>
            <rFont val="Tahoma"/>
            <family val="2"/>
          </rPr>
          <t>.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 xml:space="preserve">In the table below, type in the study name (if you wish), </t>
        </r>
        <r>
          <rPr>
            <i/>
            <sz val="11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for the difference between two independent groups, and </t>
        </r>
        <r>
          <rPr>
            <i/>
            <sz val="10"/>
            <color indexed="81"/>
            <rFont val="Tahoma"/>
            <family val="2"/>
          </rPr>
          <t>N</t>
        </r>
        <r>
          <rPr>
            <vertAlign val="subscript"/>
            <sz val="11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i/>
            <sz val="10"/>
            <color indexed="81"/>
            <rFont val="Tahoma"/>
            <family val="2"/>
          </rPr>
          <t>N</t>
        </r>
        <r>
          <rPr>
            <vertAlign val="subscript"/>
            <sz val="11"/>
            <color indexed="81"/>
            <rFont val="Tahoma"/>
            <family val="2"/>
          </rPr>
          <t>2</t>
        </r>
        <r>
          <rPr>
            <sz val="9"/>
            <color indexed="81"/>
            <rFont val="Tahoma"/>
            <family val="2"/>
          </rPr>
          <t>, the sample sizes for Group 1 and Group 2, for up to 30 studies.  The pooled within-group SD of each study (</t>
        </r>
        <r>
          <rPr>
            <i/>
            <sz val="11"/>
            <color indexed="81"/>
            <rFont val="Tahoma"/>
            <family val="2"/>
          </rPr>
          <t>s</t>
        </r>
        <r>
          <rPr>
            <vertAlign val="subscript"/>
            <sz val="12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) is assumed as the standardiser for that study's </t>
        </r>
        <r>
          <rPr>
            <i/>
            <sz val="11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.
___________________
You can use Paste Special/Values to paste values from the clipboard.  Do this one column at a time.
</t>
        </r>
      </text>
    </comment>
    <comment ref="X5" authorId="0" shapeId="0">
      <text>
        <r>
          <rPr>
            <sz val="9"/>
            <color indexed="81"/>
            <rFont val="Tahoma"/>
            <family val="2"/>
          </rPr>
          <t xml:space="preserve">Click a button below to select whether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(the unbiased estimate of </t>
        </r>
        <r>
          <rPr>
            <sz val="11"/>
            <color indexed="81"/>
            <rFont val="Symbol"/>
            <family val="1"/>
            <charset val="2"/>
          </rPr>
          <t xml:space="preserve">d </t>
        </r>
        <r>
          <rPr>
            <sz val="9"/>
            <color indexed="81"/>
            <rFont val="Tahoma"/>
            <family val="2"/>
          </rPr>
          <t>) is highlighted and used as the effect size (ES) to be meta-analysed.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5" authorId="0" shapeId="0">
      <text>
        <r>
          <rPr>
            <sz val="9"/>
            <color indexed="81"/>
            <rFont val="Tahoma"/>
            <family val="2"/>
          </rPr>
          <t xml:space="preserve">The values below are the limits of the CI on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(or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) for each study.  The CI is the interval estimate of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, for this study.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5" authorId="0" shapeId="0">
      <text>
        <r>
          <rPr>
            <sz val="9"/>
            <color indexed="81"/>
            <rFont val="Tahoma"/>
            <family val="2"/>
          </rPr>
          <t xml:space="preserve">Percentage weights for the studies in the meta-analysis.  
</t>
        </r>
        <r>
          <rPr>
            <sz val="9"/>
            <color indexed="81"/>
            <rFont val="Tahoma"/>
            <family val="2"/>
          </rPr>
          <t xml:space="preserve">______________________
If subset analysis is ON (at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  <family val="2"/>
          </rPr>
          <t xml:space="preserve">), weights are calculated separately for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means.  If OFF, weights are calculated for the single set of means displayed in the figure.</t>
        </r>
      </text>
    </comment>
    <comment ref="AW5" authorId="0" shapeId="0">
      <text>
        <r>
          <rPr>
            <sz val="9"/>
            <color indexed="81"/>
            <rFont val="Tahoma"/>
            <family val="2"/>
          </rPr>
          <t xml:space="preserve">Lengths of lower MoE and upper MoE for the CIs at </t>
        </r>
        <r>
          <rPr>
            <b/>
            <sz val="9"/>
            <color indexed="10"/>
            <rFont val="Tahoma"/>
            <family val="2"/>
          </rPr>
          <t>9</t>
        </r>
        <r>
          <rPr>
            <sz val="9"/>
            <color indexed="81"/>
            <rFont val="Tahoma"/>
            <family val="2"/>
          </rPr>
          <t xml:space="preserve">
____________
For the individual studies these are unequal, because such CIs are generally asymmetric.</t>
        </r>
      </text>
    </comment>
    <comment ref="AY5" authorId="0" shapeId="0">
      <text>
        <r>
          <rPr>
            <sz val="9"/>
            <color indexed="81"/>
            <rFont val="Tahoma"/>
            <family val="2"/>
          </rPr>
          <t>MoE</t>
        </r>
        <r>
          <rPr>
            <vertAlign val="subscript"/>
            <sz val="11"/>
            <color indexed="81"/>
            <rFont val="Tahoma"/>
            <family val="2"/>
          </rPr>
          <t>av</t>
        </r>
        <r>
          <rPr>
            <sz val="9"/>
            <color indexed="81"/>
            <rFont val="Tahoma"/>
            <family val="2"/>
          </rPr>
          <t xml:space="preserve"> is the average of lower MoE and upper MoE.  It is half the length of the CI, and a measure of precision.
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 xml:space="preserve">Type a label, in the column below, to identify the two subsets  To carry out a subset analysis, Study 1 (the first study) must have a label.  Then all studies with that label become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  All studies with any other non-blank label become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R7" authorId="0" shapeId="0">
      <text>
        <r>
          <rPr>
            <i/>
            <sz val="10"/>
            <color indexed="81"/>
            <rFont val="Tahoma"/>
            <family val="2"/>
          </rPr>
          <t>t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value to test the null hypothesis of zero difference between groups.
</t>
        </r>
      </text>
    </comment>
    <comment ref="S7" authorId="0" shapeId="0">
      <text>
        <r>
          <rPr>
            <sz val="9"/>
            <color indexed="81"/>
            <rFont val="Tahoma"/>
            <family val="2"/>
          </rPr>
          <t xml:space="preserve">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for the </t>
        </r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at left
_____________
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is two tailed</t>
        </r>
      </text>
    </comment>
    <comment ref="T7" authorId="0" shapeId="0">
      <text>
        <r>
          <rPr>
            <sz val="9"/>
            <color indexed="81"/>
            <rFont val="Tahoma"/>
            <family val="2"/>
          </rPr>
          <t xml:space="preserve">Stars, etc, for 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value:
ns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&gt; .10
? If .05 &lt;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.10
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.05
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.01
***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.001 </t>
        </r>
      </text>
    </comment>
    <comment ref="V7" authorId="0" shapeId="0">
      <text>
        <r>
          <rPr>
            <sz val="9"/>
            <color indexed="81"/>
            <rFont val="Tahoma"/>
            <family val="2"/>
          </rPr>
          <t xml:space="preserve">If you wish, type in an identifying name for each study
</t>
        </r>
      </text>
    </comment>
    <comment ref="W7" authorId="0" shape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for each study.  Min -8, max +8
______________
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assumed calculated using </t>
        </r>
        <r>
          <rPr>
            <i/>
            <sz val="10"/>
            <color indexed="81"/>
            <rFont val="Tahoma"/>
            <family val="2"/>
          </rPr>
          <t>s</t>
        </r>
        <r>
          <rPr>
            <vertAlign val="subscript"/>
            <sz val="11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the pooled within groups SD.  Homogeneity of variance is assumed.  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selected as the ES for meta-analysis.</t>
        </r>
      </text>
    </comment>
    <comment ref="X7" authorId="0" shapeId="0">
      <text>
        <r>
          <rPr>
            <sz val="9"/>
            <color indexed="81"/>
            <rFont val="Tahoma"/>
            <family val="2"/>
          </rPr>
          <t>An unbiased estimate of population effect size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 xml:space="preserve">, calculated from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at left.
__________________
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selected as the ES for meta-analysis.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7" authorId="0" shape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1.  
Min 6. Not too large, because max </t>
        </r>
        <r>
          <rPr>
            <i/>
            <sz val="10"/>
            <color indexed="81"/>
            <rFont val="Tahoma"/>
            <family val="2"/>
          </rPr>
          <t>df</t>
        </r>
        <r>
          <rPr>
            <sz val="9"/>
            <color indexed="81"/>
            <rFont val="Tahoma"/>
            <family val="2"/>
          </rPr>
          <t xml:space="preserve"> = 200.
</t>
        </r>
      </text>
    </comment>
    <comment ref="Z7" authorId="0" shape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2.  
Min 6. Not too large, because max </t>
        </r>
        <r>
          <rPr>
            <i/>
            <sz val="10"/>
            <color indexed="81"/>
            <rFont val="Tahoma"/>
            <family val="2"/>
          </rPr>
          <t>df</t>
        </r>
        <r>
          <rPr>
            <sz val="9"/>
            <color indexed="81"/>
            <rFont val="Tahoma"/>
            <family val="2"/>
          </rPr>
          <t xml:space="preserve"> = 200.
</t>
        </r>
      </text>
    </comment>
    <comment ref="AA7" authorId="0" shapeId="0">
      <text>
        <r>
          <rPr>
            <sz val="9"/>
            <color indexed="81"/>
            <rFont val="Tahoma"/>
            <family val="2"/>
          </rPr>
          <t xml:space="preserve">Degrees of freedom for each study.
Max 200.
</t>
        </r>
        <r>
          <rPr>
            <i/>
            <sz val="10"/>
            <color indexed="81"/>
            <rFont val="Tahoma"/>
            <family val="2"/>
          </rPr>
          <t>df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i/>
            <sz val="9"/>
            <color indexed="81"/>
            <rFont val="Tahoma"/>
            <family val="2"/>
          </rPr>
          <t>N</t>
        </r>
        <r>
          <rPr>
            <vertAlign val="subscript"/>
            <sz val="10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i/>
            <sz val="9"/>
            <color indexed="81"/>
            <rFont val="Tahoma"/>
            <family val="2"/>
          </rPr>
          <t>N</t>
        </r>
        <r>
          <rPr>
            <vertAlign val="subscript"/>
            <sz val="10"/>
            <color indexed="81"/>
            <rFont val="Tahoma"/>
            <family val="2"/>
          </rPr>
          <t>2</t>
        </r>
        <r>
          <rPr>
            <sz val="9"/>
            <color indexed="81"/>
            <rFont val="Tahoma"/>
            <family val="2"/>
          </rPr>
          <t xml:space="preserve"> - 2</t>
        </r>
      </text>
    </comment>
    <comment ref="AE7" authorId="0" shapeId="0">
      <text>
        <r>
          <rPr>
            <sz val="9"/>
            <color indexed="81"/>
            <rFont val="Tahoma"/>
            <family val="2"/>
          </rPr>
          <t xml:space="preserve">Lower limit (LL) of the CI 
</t>
        </r>
      </text>
    </comment>
    <comment ref="AG7" authorId="0" shapeId="0">
      <text>
        <r>
          <rPr>
            <sz val="9"/>
            <color indexed="81"/>
            <rFont val="Tahoma"/>
            <family val="2"/>
          </rPr>
          <t xml:space="preserve">Uper limit (UL) of the CI 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Result of meta-analysis of above studies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the ES selected for meta-analysis.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 xml:space="preserve">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the ES selected for meta-analysis.</t>
        </r>
      </text>
    </comment>
    <comment ref="AC38" authorId="0" shapeId="0">
      <text>
        <r>
          <rPr>
            <sz val="8"/>
            <color indexed="81"/>
            <rFont val="Tahoma"/>
            <family val="2"/>
          </rPr>
          <t>Variance of the overall effect size at left.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H38" authorId="0" shapeId="0">
      <text>
        <r>
          <rPr>
            <sz val="9"/>
            <color indexed="81"/>
            <rFont val="Tahoma"/>
            <family val="2"/>
          </rPr>
          <t xml:space="preserve">CI on the result of the meta-analysis. This is the best interval estimate of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38" authorId="0" shapeId="0">
      <text>
        <r>
          <rPr>
            <sz val="9"/>
            <color indexed="81"/>
            <rFont val="Tahoma"/>
            <family val="2"/>
          </rPr>
          <t xml:space="preserve">Sum of weights, for means 1 to 30
</t>
        </r>
      </text>
    </comment>
    <comment ref="V39" authorId="0" shapeId="0">
      <text>
        <r>
          <rPr>
            <sz val="8"/>
            <color indexed="81"/>
            <rFont val="Tahoma"/>
            <family val="2"/>
          </rPr>
          <t>The model used for the meta-analysis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39" authorId="0" shapeId="0">
      <text>
        <r>
          <rPr>
            <sz val="9"/>
            <color indexed="81"/>
            <rFont val="Tahoma"/>
            <family val="2"/>
          </rPr>
          <t xml:space="preserve">Result of the meta-analysis: A weighted average of the above ES (i.e.,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i/>
            <sz val="9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>) values that is our overall estimate of population effect size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39" authorId="0" shapeId="0">
      <text>
        <r>
          <rPr>
            <sz val="9"/>
            <color indexed="81"/>
            <rFont val="Tahoma"/>
            <family val="2"/>
          </rPr>
          <t xml:space="preserve">Lengths of lower MoE and upper MoE for the CI on the result of the meta-analysis. 
This is our best CI for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
____________
This CI is calculated differently from the CIs above for the individual studies. It is always symmetric.</t>
        </r>
      </text>
    </comment>
    <comment ref="U40" authorId="0" shapeId="0">
      <text>
        <r>
          <rPr>
            <sz val="9"/>
            <color indexed="81"/>
            <rFont val="Tahoma"/>
            <family val="2"/>
          </rPr>
          <t xml:space="preserve">Results for meta-analysis of the two separate subsets.
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 xml:space="preserve">Weighted mean, all studies in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AC40" authorId="0" shapeId="0">
      <text>
        <r>
          <rPr>
            <sz val="9"/>
            <color indexed="81"/>
            <rFont val="Tahoma"/>
            <family val="2"/>
          </rPr>
          <t xml:space="preserve">Number of studies in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group.
__________________
There must be at least two studies in each group for the subgroup analysis to be displayed.
</t>
        </r>
      </text>
    </comment>
    <comment ref="AG40" authorId="0" shapeId="0">
      <text>
        <r>
          <rPr>
            <sz val="9"/>
            <color indexed="81"/>
            <rFont val="Tahoma"/>
            <family val="2"/>
          </rPr>
          <t xml:space="preserve">Limits of the CI on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AX40" authorId="0" shapeId="0">
      <text>
        <r>
          <rPr>
            <sz val="9"/>
            <color indexed="81"/>
            <rFont val="Tahoma"/>
            <family val="2"/>
          </rPr>
          <t xml:space="preserve">MoE of the CI on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 xml:space="preserve">Weighted mean, all studies in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AC41" authorId="0" shapeId="0">
      <text>
        <r>
          <rPr>
            <sz val="9"/>
            <color indexed="81"/>
            <rFont val="Tahoma"/>
            <family val="2"/>
          </rPr>
          <t xml:space="preserve">Number of studies in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group.
__________________
There must be at least two studies in each group for the subgroup analysis to be displayed.
</t>
        </r>
      </text>
    </comment>
    <comment ref="AG41" authorId="0" shapeId="0">
      <text>
        <r>
          <rPr>
            <sz val="9"/>
            <color indexed="81"/>
            <rFont val="Tahoma"/>
            <family val="2"/>
          </rPr>
          <t xml:space="preserve">Limits of the CI on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AX41" authorId="0" shapeId="0">
      <text>
        <r>
          <rPr>
            <sz val="9"/>
            <color indexed="81"/>
            <rFont val="Tahoma"/>
            <family val="2"/>
          </rPr>
          <t xml:space="preserve">MoE of the CI on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Difference between the two subsets.
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 xml:space="preserve">Difference between the two subset weighted means, just above:
 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G45" authorId="0" shapeId="0">
      <text>
        <r>
          <rPr>
            <sz val="9"/>
            <color indexed="81"/>
            <rFont val="Tahoma"/>
            <family val="2"/>
          </rPr>
          <t xml:space="preserve">Limits of the CI on the difference.
</t>
        </r>
      </text>
    </comment>
    <comment ref="AX45" authorId="0" shapeId="0">
      <text>
        <r>
          <rPr>
            <sz val="9"/>
            <color indexed="81"/>
            <rFont val="Tahoma"/>
            <family val="2"/>
          </rPr>
          <t xml:space="preserve">MoE of the CI on the difference.
</t>
        </r>
      </text>
    </comment>
    <comment ref="AB46" authorId="0" shapeId="0">
      <text>
        <r>
          <rPr>
            <sz val="9"/>
            <color indexed="81"/>
            <rFont val="Tahoma"/>
            <family val="2"/>
          </rPr>
          <t>The ratio of the length of the random effects diamond, to the length of the fixed effect diamond.
___________
The greater the heterogeneity, meaning the greater the variability of the study ESs, then the larger the diamond ratio.</t>
        </r>
      </text>
    </comment>
    <comment ref="AF47" authorId="0" shapeId="0">
      <text>
        <r>
          <rPr>
            <sz val="9"/>
            <color indexed="81"/>
            <rFont val="Tahoma"/>
            <family val="2"/>
          </rPr>
          <t xml:space="preserve">Diamond ratio for the meta-analysis of all the studies.
_________________
If subset analysis is ON (click 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  <family val="2"/>
          </rPr>
          <t xml:space="preserve">), only studies in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subsets are included in the overall analysis.  Any greyed out studies are not included.
</t>
        </r>
      </text>
    </comment>
    <comment ref="U48" authorId="0" shapeId="0">
      <text>
        <r>
          <rPr>
            <sz val="9"/>
            <color indexed="81"/>
            <rFont val="Tahoma"/>
            <family val="2"/>
          </rPr>
          <t xml:space="preserve">Click one of the radio buttons to select the fixed effect model, or random effects model for the meta-analysis
</t>
        </r>
      </text>
    </comment>
    <comment ref="AF48" authorId="0" shapeId="0">
      <text>
        <r>
          <rPr>
            <sz val="9"/>
            <color indexed="81"/>
            <rFont val="Tahoma"/>
            <family val="2"/>
          </rPr>
          <t xml:space="preserve">If subset analysis is ON (click 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  <family val="2"/>
          </rPr>
          <t xml:space="preserve">), this diamond ratio is for the meta-analysis of studies in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AF49" authorId="0" shapeId="0">
      <text>
        <r>
          <rPr>
            <sz val="9"/>
            <color indexed="81"/>
            <rFont val="Tahoma"/>
            <family val="2"/>
          </rPr>
          <t xml:space="preserve">If subset analysis is ON (click 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  <family val="2"/>
          </rPr>
          <t xml:space="preserve">), this diamond ratio is for the meta-analysis of studies in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</commentList>
</comments>
</file>

<file path=xl/comments5.xml><?xml version="1.0" encoding="utf-8"?>
<comments xmlns="http://schemas.openxmlformats.org/spreadsheetml/2006/main">
  <authors>
    <author>Geoff Cumming</author>
  </authors>
  <commentList>
    <comment ref="M1" authorId="0" shapeId="0">
      <text>
        <r>
          <rPr>
            <sz val="9"/>
            <color indexed="81"/>
            <rFont val="Tahoma"/>
            <family val="2"/>
          </rPr>
          <t>Click to display a vertical line marking zero, for testing the null hypothesis of zero correlation in the population.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Confidence level (%) for CIs.  Use the spinner or type in a value.  
Min 0, max 99.9.
</t>
        </r>
      </text>
    </comment>
    <comment ref="E3" authorId="0" shapeId="0">
      <text>
        <r>
          <rPr>
            <sz val="9"/>
            <color indexed="81"/>
            <rFont val="Tahoma"/>
            <family val="2"/>
          </rPr>
          <t xml:space="preserve">Click to display study ESs marked by their weights in the meta-analysis.
__________________  
Areas of squares indicate, approximately, the weights of studies in the meta-analysis 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.   (So do the red percentages at </t>
        </r>
        <r>
          <rPr>
            <b/>
            <sz val="9"/>
            <color indexed="10"/>
            <rFont val="Arial"/>
            <family val="2"/>
          </rPr>
          <t>11</t>
        </r>
        <r>
          <rPr>
            <sz val="9"/>
            <color indexed="81"/>
            <rFont val="Tahoma"/>
            <family val="2"/>
          </rPr>
          <t>.)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 xml:space="preserve">Click below to show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values for tests of the null hypothesis of zero correlation in the population.
_________
The zero line must be clicked on at </t>
        </r>
        <r>
          <rPr>
            <b/>
            <sz val="9"/>
            <color indexed="10"/>
            <rFont val="Tahoma"/>
            <family val="2"/>
          </rPr>
          <t>5</t>
        </r>
        <r>
          <rPr>
            <sz val="9"/>
            <color indexed="81"/>
            <rFont val="Tahoma"/>
            <family val="2"/>
          </rPr>
          <t>.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 xml:space="preserve">In the table below, type in the study name (if you wish), 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i/>
            <sz val="10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each study. 
___________________
You can use Paste Special/Values to paste values from the clipboard.  Do this one column at a time.
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 xml:space="preserve">To remove a study from the meta-analysis, click below to clear its checkbox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>The values below are the CI on the effect size (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) for each study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The red numbers below indicate percentage weight for each study in the meta-analysis at </t>
        </r>
        <r>
          <rPr>
            <b/>
            <sz val="9"/>
            <color indexed="10"/>
            <rFont val="Arial"/>
            <family val="2"/>
          </rPr>
          <t>7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4" authorId="0" shapeId="0">
      <text>
        <r>
          <rPr>
            <sz val="9"/>
            <color indexed="81"/>
            <rFont val="Tahoma"/>
            <family val="2"/>
          </rPr>
          <t xml:space="preserve">Lengths of lower MoE and upper MoE for the CIs at </t>
        </r>
        <r>
          <rPr>
            <b/>
            <sz val="9"/>
            <color indexed="10"/>
            <rFont val="Tahoma"/>
            <family val="2"/>
          </rPr>
          <t>10</t>
        </r>
        <r>
          <rPr>
            <sz val="9"/>
            <color indexed="81"/>
            <rFont val="Tahoma"/>
            <family val="2"/>
          </rPr>
          <t xml:space="preserve">
____________
For the individual studies these are unequal, because CIs on 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are generally asymmetric.</t>
        </r>
      </text>
    </comment>
    <comment ref="AB4" authorId="0" shapeId="0">
      <text>
        <r>
          <rPr>
            <sz val="9"/>
            <color indexed="81"/>
            <rFont val="Tahoma"/>
            <family val="2"/>
          </rPr>
          <t>MOE</t>
        </r>
        <r>
          <rPr>
            <vertAlign val="subscript"/>
            <sz val="10"/>
            <color indexed="81"/>
            <rFont val="Tahoma"/>
            <family val="2"/>
          </rPr>
          <t>av</t>
        </r>
        <r>
          <rPr>
            <sz val="9"/>
            <color indexed="81"/>
            <rFont val="Tahoma"/>
            <family val="2"/>
          </rPr>
          <t xml:space="preserve"> is the average of lower MoE and upper MoE.  It is half the length of the CI, and a measure of precision.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>The values below are the lower limits (LL) for the CI on the effect size (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) for each study.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>The values below are the upper limits (UL) for the CI on the effect size (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) for each study.
</t>
        </r>
      </text>
    </comment>
    <comment ref="B6" authorId="0" shapeId="0">
      <text>
        <r>
          <rPr>
            <i/>
            <sz val="10"/>
            <color indexed="81"/>
            <rFont val="Tahoma"/>
            <family val="2"/>
          </rPr>
          <t>z</t>
        </r>
        <r>
          <rPr>
            <i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value to test the null hypothesis of zero correlation in the population
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for the </t>
        </r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at left
_____________
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is two tailed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 xml:space="preserve">Stars, etc, for 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value:
ns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&gt; .10
? If .05 &lt;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.10
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.05
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.01
***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.001 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 xml:space="preserve">If you wish, type in an identifying name for each study
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 xml:space="preserve">Type below the Pearson </t>
        </r>
        <r>
          <rPr>
            <i/>
            <sz val="10"/>
            <color indexed="81"/>
            <rFont val="Tahoma"/>
            <family val="2"/>
          </rPr>
          <t xml:space="preserve">r </t>
        </r>
        <r>
          <rPr>
            <sz val="9"/>
            <color indexed="81"/>
            <rFont val="Tahoma"/>
            <family val="2"/>
          </rPr>
          <t xml:space="preserve">for each study
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 xml:space="preserve">Type below the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each study
</t>
        </r>
      </text>
    </comment>
    <comment ref="E37" authorId="0" shapeId="0">
      <text>
        <r>
          <rPr>
            <sz val="9"/>
            <color indexed="81"/>
            <rFont val="Tahoma"/>
            <family val="2"/>
          </rPr>
          <t xml:space="preserve">Below and right are the results of the meta-analysis of the above studies
</t>
        </r>
      </text>
    </comment>
    <comment ref="BZ37" authorId="0" shapeId="0">
      <text>
        <r>
          <rPr>
            <sz val="8"/>
            <color indexed="81"/>
            <rFont val="Tahoma"/>
            <family val="2"/>
          </rPr>
          <t>Sum of weights, for means 1 to 30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 xml:space="preserve">The meta-analysis model, as selected 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8" authorId="0" shapeId="0">
      <text>
        <r>
          <rPr>
            <sz val="9"/>
            <color indexed="81"/>
            <rFont val="Tahoma"/>
            <family val="2"/>
          </rPr>
          <t>Result (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) of the meta-analysis. 
_____________
The estimated population effect size.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>The CI on the effect size (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) for the meta-analysis result. This is our best CI for the population effect size, the correlation </t>
        </r>
        <r>
          <rPr>
            <sz val="11"/>
            <color indexed="81"/>
            <rFont val="Symbol"/>
            <family val="1"/>
            <charset val="2"/>
          </rPr>
          <t>r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A38" authorId="0" shapeId="0">
      <text>
        <r>
          <rPr>
            <sz val="9"/>
            <color indexed="81"/>
            <rFont val="Tahoma"/>
            <family val="2"/>
          </rPr>
          <t>Lengths of lower MoE and upper MoE for the CI on the result of the meta-analysis, as shown at left. 
____________
This CI is calculated differently from the CIs above for the individual studies. It is always symmetric.</t>
        </r>
      </text>
    </comment>
    <comment ref="E40" authorId="0" shapeId="0">
      <text>
        <r>
          <rPr>
            <sz val="9"/>
            <color indexed="81"/>
            <rFont val="Tahoma"/>
            <family val="2"/>
          </rPr>
          <t xml:space="preserve">Click one of the radio buttons at right to select a model for the meta-analysis, either fixed effect or random effects
</t>
        </r>
      </text>
    </comment>
    <comment ref="O40" authorId="0" shapeId="0">
      <text>
        <r>
          <rPr>
            <sz val="9"/>
            <color indexed="81"/>
            <rFont val="Tahoma"/>
            <family val="2"/>
          </rPr>
          <t>The ratio of the length of the random effects diamond, to the length of the fixed effect diamond.
___________
The greater the heterogeneity of population effect sizes, the greater is likely to be the variability of the study ESs, which gives a larger diamond ratio.</t>
        </r>
      </text>
    </comment>
  </commentList>
</comments>
</file>

<file path=xl/sharedStrings.xml><?xml version="1.0" encoding="utf-8"?>
<sst xmlns="http://schemas.openxmlformats.org/spreadsheetml/2006/main" count="2419" uniqueCount="921">
  <si>
    <t xml:space="preserve">  You may not propagate or modify a covered work except as expressly</t>
  </si>
  <si>
    <t>provided under this License.  Any attempt otherwise to propagate or</t>
  </si>
  <si>
    <t>modify it is void, and will automatically terminate your rights under</t>
  </si>
  <si>
    <t>this License (including any patent licenses granted under the third</t>
  </si>
  <si>
    <t>paragraph of section 11).</t>
  </si>
  <si>
    <t xml:space="preserve">  However, if you cease all violation of this License, then your</t>
  </si>
  <si>
    <t>license from a particular copyright holder is reinstated (a)</t>
  </si>
  <si>
    <t>provisionally, unless and until the copyright holder explicitly and</t>
  </si>
  <si>
    <t>finally terminates your license, and (b) permanently, if the copyright</t>
  </si>
  <si>
    <t>holder fails to notify you of the violation by some reasonable means</t>
  </si>
  <si>
    <t>prior to 60 days after the cessation.</t>
  </si>
  <si>
    <t xml:space="preserve">  Moreover, your license from a particular copyright holder is</t>
  </si>
  <si>
    <t>reinstated permanently if the copyright holder notifies you of the</t>
  </si>
  <si>
    <t>violation by some reasonable means, this is the first time you have</t>
  </si>
  <si>
    <t>received notice of violation of this License (for any work) from that</t>
  </si>
  <si>
    <t>copyright holder, and you cure the violation prior to 30 days after</t>
  </si>
  <si>
    <t>your receipt of the notice.</t>
  </si>
  <si>
    <t xml:space="preserve">  Termination of your rights under this section does not terminate the</t>
  </si>
  <si>
    <t>licenses of parties who have received copies or rights from you under</t>
  </si>
  <si>
    <t>this License.  If your rights have been terminated and not permanently</t>
  </si>
  <si>
    <t>reinstated, you do not qualify to receive new licenses for the same</t>
  </si>
  <si>
    <t>material under section 10.</t>
  </si>
  <si>
    <t xml:space="preserve">  9. Acceptance Not Required for Having Copies.</t>
  </si>
  <si>
    <t xml:space="preserve">  You are not required to accept this License in order to receive or</t>
  </si>
  <si>
    <t>run a copy of the Program.  Ancillary propagation of a covered work</t>
  </si>
  <si>
    <t>occurring solely as a consequence of using peer-to-peer transmission</t>
  </si>
  <si>
    <t>to receive a copy likewise does not require acceptance.  However,</t>
  </si>
  <si>
    <t>nothing other than this License grants you permission to propagate or</t>
  </si>
  <si>
    <t>modify any covered work.  These actions infringe copyright if you do</t>
  </si>
  <si>
    <t>not accept this License.  Therefore, by modifying or propagating a</t>
  </si>
  <si>
    <t>covered work, you indicate your acceptance of this License to do so.</t>
  </si>
  <si>
    <t xml:space="preserve">  10. Automatic Licensing of Downstream Recipients.</t>
  </si>
  <si>
    <t xml:space="preserve">  Each time you convey a covered work, the recipient automatically</t>
  </si>
  <si>
    <t>receives a license from the original licensors, to run, modify and</t>
  </si>
  <si>
    <t>propagate that work, subject to this License.  You are not responsible</t>
  </si>
  <si>
    <t>for enforcing compliance by third parties with this License.</t>
  </si>
  <si>
    <t xml:space="preserve">  An "entity transaction" is a transaction transferring control of an</t>
  </si>
  <si>
    <t>organization, or substantially all assets of one, or subdividing an</t>
  </si>
  <si>
    <t>organization, or merging organizations.  If propagation of a covered</t>
  </si>
  <si>
    <t>work results from an entity transaction, each party to that</t>
  </si>
  <si>
    <t>transaction who receives a copy of the work also receives whatever</t>
  </si>
  <si>
    <t>licenses to the work the party's predecessor in interest had or could</t>
  </si>
  <si>
    <t>give under the previous paragraph, plus a right to possession of the</t>
  </si>
  <si>
    <t>Corresponding Source of the work from the predecessor in interest, if</t>
  </si>
  <si>
    <t>the predecessor has it or can get it with reasonable efforts.</t>
  </si>
  <si>
    <t xml:space="preserve">  You may not impose any further restrictions on the exercise of the</t>
  </si>
  <si>
    <t>rights granted or affirmed under this License.  For example, you may</t>
  </si>
  <si>
    <t>not impose a license fee, royalty, or other charge for exercise of</t>
  </si>
  <si>
    <t>rights granted under this License, and you may not initiate litigation</t>
  </si>
  <si>
    <t>(including a cross-claim or counterclaim in a lawsuit) alleging that</t>
  </si>
  <si>
    <t>any patent claim is infringed by making, using, selling, offering for</t>
  </si>
  <si>
    <t>sale, or importing the Program or any portion of it.</t>
  </si>
  <si>
    <t xml:space="preserve">  11. Patents.</t>
  </si>
  <si>
    <t xml:space="preserve">  A "contributor" is a copyright holder who authorizes use under this</t>
  </si>
  <si>
    <t>License of the Program or a work on which the Program is based.  The</t>
  </si>
  <si>
    <t>work thus licensed is called the contributor's "contributor version".</t>
  </si>
  <si>
    <t xml:space="preserve">   MoE</t>
  </si>
  <si>
    <t xml:space="preserve">  A contributor's "essential patent claims" are all patent claims</t>
  </si>
  <si>
    <t>owned or controlled by the contributor, whether already acquired or</t>
  </si>
  <si>
    <t>hereafter acquired, that would be infringed by some manner, permitted</t>
  </si>
  <si>
    <t>by this License, of making, using, or selling its contributor version,</t>
  </si>
  <si>
    <t>but do not include claims that would be infringed only as a</t>
  </si>
  <si>
    <t>consequence of further modification of the contributor version.  For</t>
  </si>
  <si>
    <t>purposes of this definition, "control" includes the right to grant</t>
  </si>
  <si>
    <t>patent sublicenses in a manner consistent with the requirements of</t>
  </si>
  <si>
    <t>this License.</t>
  </si>
  <si>
    <t xml:space="preserve">  Each contributor grants you a non-exclusive, worldwide, royalty-free</t>
  </si>
  <si>
    <t>patent license under the contributor's essential patent claims, to</t>
  </si>
  <si>
    <t>make, use, sell, offer for sale, import and otherwise run, modify and</t>
  </si>
  <si>
    <t>propagate the contents of its contributor version.</t>
  </si>
  <si>
    <t xml:space="preserve">  In the following three paragraphs, a "patent license" is any express</t>
  </si>
  <si>
    <t>agreement or commitment, however denominated, not to enforce a patent</t>
  </si>
  <si>
    <t>(such as an express permission to practice a patent or covenant not to</t>
  </si>
  <si>
    <r>
      <t>Mean</t>
    </r>
    <r>
      <rPr>
        <vertAlign val="subscript"/>
        <sz val="9"/>
        <rFont val="Arial"/>
        <family val="2"/>
      </rPr>
      <t>1</t>
    </r>
  </si>
  <si>
    <r>
      <t>SD</t>
    </r>
    <r>
      <rPr>
        <vertAlign val="subscript"/>
        <sz val="9"/>
        <rFont val="Arial"/>
        <family val="2"/>
      </rPr>
      <t>1</t>
    </r>
  </si>
  <si>
    <r>
      <t xml:space="preserve">      Meta-Analysis </t>
    </r>
    <r>
      <rPr>
        <sz val="9"/>
        <color indexed="8"/>
        <rFont val="Arial"/>
        <family val="2"/>
      </rPr>
      <t>of difference between two independent means,</t>
    </r>
    <r>
      <rPr>
        <b/>
        <sz val="9"/>
        <color indexed="12"/>
        <rFont val="Arial"/>
        <family val="2"/>
      </rPr>
      <t xml:space="preserve"> </t>
    </r>
    <r>
      <rPr>
        <sz val="9"/>
        <color indexed="8"/>
        <rFont val="Arial"/>
        <family val="2"/>
      </rPr>
      <t>in original units</t>
    </r>
  </si>
  <si>
    <r>
      <t xml:space="preserve">show </t>
    </r>
    <r>
      <rPr>
        <sz val="9"/>
        <rFont val="Symbol"/>
        <family val="1"/>
        <charset val="2"/>
      </rPr>
      <t>m</t>
    </r>
    <r>
      <rPr>
        <vertAlign val="subscript"/>
        <sz val="9"/>
        <rFont val="Arial"/>
        <family val="2"/>
      </rPr>
      <t>0</t>
    </r>
    <r>
      <rPr>
        <sz val="9"/>
        <rFont val="Arial"/>
        <family val="2"/>
      </rPr>
      <t xml:space="preserve"> line?</t>
    </r>
  </si>
  <si>
    <r>
      <t>1</t>
    </r>
    <r>
      <rPr>
        <sz val="9"/>
        <rFont val="Arial"/>
        <family val="2"/>
      </rPr>
      <t xml:space="preserve">  Units  </t>
    </r>
  </si>
  <si>
    <r>
      <t>M</t>
    </r>
    <r>
      <rPr>
        <vertAlign val="subscript"/>
        <sz val="9"/>
        <color indexed="12"/>
        <rFont val="Arial"/>
        <family val="2"/>
      </rPr>
      <t>2</t>
    </r>
    <r>
      <rPr>
        <sz val="9"/>
        <color indexed="12"/>
        <rFont val="Arial"/>
        <family val="2"/>
      </rPr>
      <t xml:space="preserve"> - </t>
    </r>
    <r>
      <rPr>
        <i/>
        <sz val="9"/>
        <color indexed="12"/>
        <rFont val="Arial"/>
        <family val="2"/>
      </rPr>
      <t>M</t>
    </r>
    <r>
      <rPr>
        <vertAlign val="subscript"/>
        <sz val="9"/>
        <color indexed="12"/>
        <rFont val="Arial"/>
        <family val="2"/>
      </rPr>
      <t>1</t>
    </r>
  </si>
  <si>
    <r>
      <t>Mean</t>
    </r>
    <r>
      <rPr>
        <vertAlign val="subscript"/>
        <sz val="9"/>
        <rFont val="Arial"/>
        <family val="2"/>
      </rPr>
      <t>2</t>
    </r>
  </si>
  <si>
    <t>diamond ratio</t>
  </si>
  <si>
    <t>Diamond ratio</t>
  </si>
  <si>
    <t>sue for patent infringement).  To "grant" such a patent license to a</t>
  </si>
  <si>
    <t>party means to make such an agreement or commitment not to enforce a</t>
  </si>
  <si>
    <t>patent against the party.</t>
  </si>
  <si>
    <t xml:space="preserve">  If you convey a covered work, knowingly relying on a patent license,</t>
  </si>
  <si>
    <t>and the Corresponding Source of the work is not available for anyone</t>
  </si>
  <si>
    <t>to copy, free of charge and under the terms of this License, through a</t>
  </si>
  <si>
    <t>publicly available network server or other readily accessible means,</t>
  </si>
  <si>
    <t>then you must either (1) cause the Corresponding Source to be so</t>
  </si>
  <si>
    <t>available, or (2) arrange to deprive yourself of the benefit of the</t>
  </si>
  <si>
    <t>patent license for this particular work, or (3) arrange, in a manner</t>
  </si>
  <si>
    <t>consistent with the requirements of this License, to extend the patent</t>
  </si>
  <si>
    <t>license to downstream recipients.  "Knowingly relying" means you have</t>
  </si>
  <si>
    <t>actual knowledge that, but for the patent license, your conveying the</t>
  </si>
  <si>
    <t>covered work in a country, or your recipient's use of the covered work</t>
  </si>
  <si>
    <t>in a country, would infringe one or more identifiable patents in that</t>
  </si>
  <si>
    <t>country that you have reason to believe are valid.</t>
  </si>
  <si>
    <t xml:space="preserve">  If, pursuant to or in connection with a single transaction or</t>
  </si>
  <si>
    <t>arrangement, you convey, or propagate by procuring conveyance of, a</t>
  </si>
  <si>
    <t>covered work, and grant a patent license to some of the parties</t>
  </si>
  <si>
    <t>receiving the covered work authorizing them to use, propagate, modify</t>
  </si>
  <si>
    <t>or convey a specific copy of the covered work, then the patent license</t>
  </si>
  <si>
    <t>you grant is automatically extended to all recipients of the covered</t>
  </si>
  <si>
    <t>work and works based on it.</t>
  </si>
  <si>
    <t xml:space="preserve">  A patent license is "discriminatory" if it does not include within</t>
  </si>
  <si>
    <t>the scope of its coverage, prohibits the exercise of, or is</t>
  </si>
  <si>
    <t>conditioned on the non-exercise of one or more of the rights that are</t>
  </si>
  <si>
    <t>specifically granted under this License.  You may not convey a covered</t>
  </si>
  <si>
    <t>work if you are a party to an arrangement with a third party that is</t>
  </si>
  <si>
    <t>in the business of distributing software, under which you make payment</t>
  </si>
  <si>
    <t>to the third party based on the extent of your activity of conveying</t>
  </si>
  <si>
    <t>the work, and under which the third party grants, to any of the</t>
  </si>
  <si>
    <t>parties who would receive the covered work from you, a discriminatory</t>
  </si>
  <si>
    <t>patent license (a) in connection with copies of the covered work</t>
  </si>
  <si>
    <t>conveyed by you (or copies made from those copies), or (b) primarily</t>
  </si>
  <si>
    <t>for and in connection with specific products or compilations that</t>
  </si>
  <si>
    <t>contain the covered work, unless you entered into that arrangement,</t>
  </si>
  <si>
    <t>or that patent license was granted, prior to 28 March 2007.</t>
  </si>
  <si>
    <t xml:space="preserve">  Nothing in this License shall be construed as excluding or limiting</t>
  </si>
  <si>
    <t>any implied license or other defenses to infringement that may</t>
  </si>
  <si>
    <t>otherwise be available to you under applicable patent law.</t>
  </si>
  <si>
    <t xml:space="preserve">  12. No Surrender of Others' Freedom.</t>
  </si>
  <si>
    <t xml:space="preserve">  If conditions are imposed on you (whether by court order, agreement or</t>
  </si>
  <si>
    <t>otherwise) that contradict the conditions of this License, they do not</t>
  </si>
  <si>
    <t>excuse you from the conditions of this License.  If you cannot convey a</t>
  </si>
  <si>
    <t>covered work so as to satisfy simultaneously your obligations under this</t>
  </si>
  <si>
    <t>License and any other pertinent obligations, then as a consequence you may</t>
  </si>
  <si>
    <t>not convey it at all.  For example, if you agree to terms that obligate you</t>
  </si>
  <si>
    <t>to collect a royalty for further conveying from those to whom you convey</t>
  </si>
  <si>
    <t>the Program, the only way you could satisfy both those terms and this</t>
  </si>
  <si>
    <t>License would be to refrain entirely from conveying the Program.</t>
  </si>
  <si>
    <t xml:space="preserve">  13. Use with the GNU Affero General Public License.</t>
  </si>
  <si>
    <t xml:space="preserve">  Notwithstanding any other provision of this License, you have</t>
  </si>
  <si>
    <t>permission to link or combine any covered work with a work licensed</t>
  </si>
  <si>
    <t>under version 3 of the GNU Affero General Public License into a single</t>
  </si>
  <si>
    <t>combined work, and to convey the resulting work.  The terms of this</t>
  </si>
  <si>
    <t>License will continue to apply to the part which is the covered work,</t>
  </si>
  <si>
    <t>but the special requirements of the GNU Affero General Public License,</t>
  </si>
  <si>
    <t>section 13, concerning interaction through a network will apply to the</t>
  </si>
  <si>
    <t>combination as such.</t>
  </si>
  <si>
    <t xml:space="preserve">  14. Revised Versions of this License.</t>
  </si>
  <si>
    <t xml:space="preserve">  The Free Software Foundation may publish revised and/or new versions of</t>
  </si>
  <si>
    <t>the GNU General Public License from time to time.  Such new versions will</t>
  </si>
  <si>
    <t>be similar in spirit to the present version, but may differ in detail to</t>
  </si>
  <si>
    <t>address new problems or concerns.</t>
  </si>
  <si>
    <t xml:space="preserve">  Each version is given a distinguishing version number.  If the</t>
  </si>
  <si>
    <t>Program specifies that a certain numbered version of the GNU General</t>
  </si>
  <si>
    <t>Public License "or any later version" applies to it, you have the</t>
  </si>
  <si>
    <t>option of following the terms and conditions either of that numbered</t>
  </si>
  <si>
    <t>version or of any later version published by the Free Software</t>
  </si>
  <si>
    <t>Foundation.  If the Program does not specify a version number of the</t>
  </si>
  <si>
    <t>GNU General Public License, you may choose any version ever published</t>
  </si>
  <si>
    <t>by the Free Software Foundation.</t>
  </si>
  <si>
    <t xml:space="preserve">  If the Program specifies that a proxy can decide which future</t>
  </si>
  <si>
    <t>versions of the GNU General Public License can be used, that proxy's</t>
  </si>
  <si>
    <t>public statement of acceptance of a version permanently authorizes you</t>
  </si>
  <si>
    <t>to choose that version for the Program.</t>
  </si>
  <si>
    <t xml:space="preserve">  Later license versions may give you additional or different</t>
  </si>
  <si>
    <t>permissions.  However, no additional obligations are imposed on any</t>
  </si>
  <si>
    <t>author or copyright holder as a result of your choosing to follow a</t>
  </si>
  <si>
    <t>later version.</t>
  </si>
  <si>
    <t xml:space="preserve">  15. Disclaimer of Warranty.</t>
  </si>
  <si>
    <t xml:space="preserve">  THERE IS NO WARRANTY FOR THE PROGRAM, TO THE EXTENT PERMITTED BY</t>
  </si>
  <si>
    <t>APPLICABLE LAW.  EXCEPT WHEN OTHERWISE STATED IN WRITING THE COPYRIGHT</t>
  </si>
  <si>
    <t>HOLDERS AND/OR OTHER PARTIES PROVIDE THE PROGRAM "AS IS" WITHOUT WARRANTY</t>
  </si>
  <si>
    <t>OF ANY KIND, EITHER EXPRESSED OR IMPLIED, INCLUDING, BUT NOT LIMITED TO,</t>
  </si>
  <si>
    <t>THE IMPLIED WARRANTIES OF MERCHANTABILITY AND FITNESS FOR A PARTICULAR</t>
  </si>
  <si>
    <t>PURPOSE.  THE ENTIRE RISK AS TO THE QUALITY AND PERFORMANCE OF THE PROGRAM</t>
  </si>
  <si>
    <t>IS WITH YOU.  SHOULD THE PROGRAM PROVE DEFECTIVE, YOU ASSUME THE COST OF</t>
  </si>
  <si>
    <t>ALL NECESSARY SERVICING, REPAIR OR CORRECTION.</t>
  </si>
  <si>
    <t xml:space="preserve">  16. Limitation of Liability.</t>
  </si>
  <si>
    <t xml:space="preserve">  IN NO EVENT UNLESS REQUIRED BY APPLICABLE LAW OR AGREED TO IN WRITING</t>
  </si>
  <si>
    <t>WILL ANY COPYRIGHT HOLDER, OR ANY OTHER PARTY WHO MODIFIES AND/OR CONVEYS</t>
  </si>
  <si>
    <t>THE PROGRAM AS PERMITTED ABOVE, BE LIABLE TO YOU FOR DAMAGES, INCLUDING ANY</t>
  </si>
  <si>
    <t>GENERAL, SPECIAL, INCIDENTAL OR CONSEQUENTIAL DAMAGES ARISING OUT OF THE</t>
  </si>
  <si>
    <t>USE OR INABILITY TO USE THE PROGRAM (INCLUDING BUT NOT LIMITED TO LOSS OF</t>
  </si>
  <si>
    <t>DATA OR DATA BEING RENDERED INACCURATE OR LOSSES SUSTAINED BY YOU OR THIRD</t>
  </si>
  <si>
    <r>
      <t>Original two groups</t>
    </r>
    <r>
      <rPr>
        <sz val="9"/>
        <rFont val="Arial"/>
        <family val="2"/>
      </rPr>
      <t xml:space="preserve">   See </t>
    </r>
    <r>
      <rPr>
        <sz val="9"/>
        <color indexed="12"/>
        <rFont val="Arial"/>
        <family val="2"/>
      </rPr>
      <t>Chapter 9</t>
    </r>
    <r>
      <rPr>
        <sz val="9"/>
        <rFont val="Arial"/>
        <family val="2"/>
      </rPr>
      <t xml:space="preserve">.  Meta-analysis of </t>
    </r>
    <r>
      <rPr>
        <b/>
        <sz val="9"/>
        <rFont val="Arial"/>
        <family val="2"/>
      </rPr>
      <t>difference between two independent means,</t>
    </r>
    <r>
      <rPr>
        <sz val="9"/>
        <rFont val="Arial"/>
        <family val="2"/>
      </rPr>
      <t xml:space="preserve"> in original units, for up to 30 studies.</t>
    </r>
  </si>
  <si>
    <r>
      <t>Subsets</t>
    </r>
    <r>
      <rPr>
        <sz val="9"/>
        <rFont val="Arial"/>
        <family val="2"/>
      </rPr>
      <t xml:space="preserve">   See </t>
    </r>
    <r>
      <rPr>
        <sz val="9"/>
        <color indexed="12"/>
        <rFont val="Arial"/>
        <family val="2"/>
      </rPr>
      <t>Chapter 9</t>
    </r>
    <r>
      <rPr>
        <sz val="9"/>
        <rFont val="Arial"/>
        <family val="2"/>
      </rPr>
      <t xml:space="preserve">.  Meta-analysis of </t>
    </r>
    <r>
      <rPr>
        <b/>
        <sz val="9"/>
        <rFont val="Arial"/>
        <family val="2"/>
      </rPr>
      <t xml:space="preserve">means </t>
    </r>
    <r>
      <rPr>
        <sz val="9"/>
        <rFont val="Arial"/>
        <family val="2"/>
      </rPr>
      <t xml:space="preserve">in original units, for up to 30 studies, plus analysis of </t>
    </r>
    <r>
      <rPr>
        <b/>
        <sz val="9"/>
        <rFont val="Arial"/>
        <family val="2"/>
      </rPr>
      <t xml:space="preserve">two subsets </t>
    </r>
    <r>
      <rPr>
        <sz val="9"/>
        <rFont val="Arial"/>
        <family val="2"/>
      </rPr>
      <t xml:space="preserve">of studies. </t>
    </r>
  </si>
  <si>
    <r>
      <t>d two groups</t>
    </r>
    <r>
      <rPr>
        <sz val="9"/>
        <rFont val="Arial"/>
        <family val="2"/>
      </rPr>
      <t xml:space="preserve">   See </t>
    </r>
    <r>
      <rPr>
        <sz val="9"/>
        <color indexed="12"/>
        <rFont val="Arial"/>
        <family val="2"/>
      </rPr>
      <t>Chapter 9</t>
    </r>
    <r>
      <rPr>
        <sz val="9"/>
        <rFont val="Arial"/>
        <family val="2"/>
      </rPr>
      <t xml:space="preserve">.  Meta-analysis of </t>
    </r>
    <r>
      <rPr>
        <b/>
        <sz val="9"/>
        <rFont val="Arial"/>
        <family val="2"/>
      </rPr>
      <t>Cohen's</t>
    </r>
    <r>
      <rPr>
        <sz val="9"/>
        <rFont val="Arial"/>
        <family val="2"/>
      </rPr>
      <t xml:space="preserve"> </t>
    </r>
    <r>
      <rPr>
        <b/>
        <i/>
        <sz val="10"/>
        <rFont val="Arial"/>
        <family val="2"/>
      </rPr>
      <t>d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 xml:space="preserve">for </t>
    </r>
    <r>
      <rPr>
        <b/>
        <sz val="9"/>
        <rFont val="Arial"/>
        <family val="2"/>
      </rPr>
      <t>two independent groups</t>
    </r>
    <r>
      <rPr>
        <sz val="9"/>
        <rFont val="Arial"/>
        <family val="2"/>
      </rPr>
      <t>, for up to 30 studies.</t>
    </r>
  </si>
  <si>
    <r>
      <t>d subsets</t>
    </r>
    <r>
      <rPr>
        <sz val="9"/>
        <rFont val="Arial"/>
        <family val="2"/>
      </rPr>
      <t xml:space="preserve">   See </t>
    </r>
    <r>
      <rPr>
        <sz val="9"/>
        <color indexed="12"/>
        <rFont val="Arial"/>
        <family val="2"/>
      </rPr>
      <t>Chapter 9</t>
    </r>
    <r>
      <rPr>
        <sz val="9"/>
        <rFont val="Arial"/>
        <family val="2"/>
      </rPr>
      <t xml:space="preserve">.  Meta-analysis of </t>
    </r>
    <r>
      <rPr>
        <b/>
        <sz val="9"/>
        <rFont val="Arial"/>
        <family val="2"/>
      </rPr>
      <t xml:space="preserve">Cohen's </t>
    </r>
    <r>
      <rPr>
        <b/>
        <i/>
        <sz val="9"/>
        <rFont val="Arial"/>
        <family val="2"/>
      </rPr>
      <t>d</t>
    </r>
    <r>
      <rPr>
        <sz val="9"/>
        <rFont val="Arial"/>
        <family val="2"/>
      </rPr>
      <t xml:space="preserve"> for </t>
    </r>
    <r>
      <rPr>
        <b/>
        <sz val="9"/>
        <rFont val="Arial"/>
        <family val="2"/>
      </rPr>
      <t>two independent groups</t>
    </r>
    <r>
      <rPr>
        <sz val="9"/>
        <rFont val="Arial"/>
        <family val="2"/>
      </rPr>
      <t xml:space="preserve">, for up to 30 studies, plus analysis of </t>
    </r>
    <r>
      <rPr>
        <b/>
        <sz val="9"/>
        <rFont val="Arial"/>
        <family val="2"/>
      </rPr>
      <t xml:space="preserve">two subsets </t>
    </r>
    <r>
      <rPr>
        <sz val="9"/>
        <rFont val="Arial"/>
        <family val="2"/>
      </rPr>
      <t xml:space="preserve">of studies. </t>
    </r>
  </si>
  <si>
    <r>
      <t>Single r</t>
    </r>
    <r>
      <rPr>
        <sz val="9"/>
        <rFont val="Arial"/>
        <family val="2"/>
      </rPr>
      <t xml:space="preserve">   See </t>
    </r>
    <r>
      <rPr>
        <sz val="9"/>
        <color indexed="12"/>
        <rFont val="Arial"/>
        <family val="2"/>
      </rPr>
      <t>Chapter 11</t>
    </r>
    <r>
      <rPr>
        <sz val="9"/>
        <rFont val="Arial"/>
        <family val="2"/>
      </rPr>
      <t xml:space="preserve">.  Meta-analysis of </t>
    </r>
    <r>
      <rPr>
        <b/>
        <sz val="9"/>
        <rFont val="Arial"/>
        <family val="2"/>
      </rPr>
      <t xml:space="preserve">Pearson's correlation, </t>
    </r>
    <r>
      <rPr>
        <b/>
        <i/>
        <sz val="10"/>
        <rFont val="Arial"/>
        <family val="2"/>
      </rPr>
      <t>r</t>
    </r>
    <r>
      <rPr>
        <b/>
        <sz val="9"/>
        <rFont val="Arial"/>
        <family val="2"/>
      </rPr>
      <t xml:space="preserve">, </t>
    </r>
    <r>
      <rPr>
        <sz val="9"/>
        <rFont val="Arial"/>
        <family val="2"/>
      </rPr>
      <t>for up to 30 studies.</t>
    </r>
  </si>
  <si>
    <t>Copyright ©  Geoff Cumming 2016</t>
  </si>
  <si>
    <t>PARTIES OR A FAILURE OF THE PROGRAM TO OPERATE WITH ANY OTHER PROGRAMS),</t>
  </si>
  <si>
    <t>EVEN IF SUCH HOLDER OR OTHER PARTY HAS BEEN ADVISED OF THE POSSIBILITY OF</t>
  </si>
  <si>
    <t>SUCH DAMAGES.</t>
  </si>
  <si>
    <t xml:space="preserve">  17. Interpretation of Sections 15 and 16.</t>
  </si>
  <si>
    <t xml:space="preserve">  If the disclaimer of warranty and limitation of liability provided</t>
  </si>
  <si>
    <t>above cannot be given local legal effect according to their terms,</t>
  </si>
  <si>
    <t>reviewing courts shall apply local law that most closely approximates</t>
  </si>
  <si>
    <t>an absolute waiver of all civil liability in connection with the</t>
  </si>
  <si>
    <t>Program, unless a warranty or assumption of liability accompanies a</t>
  </si>
  <si>
    <t>copy of the Program in return for a fee.</t>
  </si>
  <si>
    <t xml:space="preserve">                     END OF TERMS AND CONDITIONS</t>
  </si>
  <si>
    <t xml:space="preserve">            How to Apply These Terms to Your New Programs</t>
  </si>
  <si>
    <t xml:space="preserve">  If you develop a new program, and you want it to be of the greatest</t>
  </si>
  <si>
    <t>possible use to the public, the best way to achieve this is to make it</t>
  </si>
  <si>
    <t>free software which everyone can redistribute and change under these terms.</t>
  </si>
  <si>
    <t xml:space="preserve">  To do so, attach the following notices to the program.  It is safest</t>
  </si>
  <si>
    <t>to attach them to the start of each source file to most effectively</t>
  </si>
  <si>
    <t>state the exclusion of warranty; and each file should have at least</t>
  </si>
  <si>
    <t>the "copyright" line and a pointer to where the full notice is found.</t>
  </si>
  <si>
    <t xml:space="preserve">    &lt;one line to give the program's name and a brief idea of what it does.&gt;</t>
  </si>
  <si>
    <t xml:space="preserve">    Copyright (C) &lt;year&gt;  &lt;name of author&gt;</t>
  </si>
  <si>
    <t xml:space="preserve">    This program is free software: you can redistribute it and/or modify</t>
  </si>
  <si>
    <t xml:space="preserve">    it under the terms of the GNU General Public License as published by</t>
  </si>
  <si>
    <t xml:space="preserve">    the Free Software Foundation, either version 3 of the License, or</t>
  </si>
  <si>
    <t xml:space="preserve">    (at your option) any later version.</t>
  </si>
  <si>
    <t xml:space="preserve">    This program is distributed in the hope that it will be useful,</t>
  </si>
  <si>
    <t xml:space="preserve">  between two independent group means,</t>
  </si>
  <si>
    <r>
      <t xml:space="preserve">11  </t>
    </r>
    <r>
      <rPr>
        <sz val="9"/>
        <color indexed="10"/>
        <rFont val="Arial"/>
        <family val="2"/>
      </rPr>
      <t>Study</t>
    </r>
  </si>
  <si>
    <t xml:space="preserve">12  </t>
  </si>
  <si>
    <t xml:space="preserve">16  </t>
  </si>
  <si>
    <r>
      <t>17</t>
    </r>
    <r>
      <rPr>
        <sz val="9"/>
        <color indexed="12"/>
        <rFont val="Arial"/>
        <family val="2"/>
      </rPr>
      <t xml:space="preserve">      </t>
    </r>
    <r>
      <rPr>
        <sz val="9"/>
        <color indexed="20"/>
        <rFont val="Arial"/>
        <family val="2"/>
      </rPr>
      <t xml:space="preserve">  CI</t>
    </r>
  </si>
  <si>
    <r>
      <t xml:space="preserve">           Meta-Analysis </t>
    </r>
    <r>
      <rPr>
        <sz val="9"/>
        <color indexed="8"/>
        <rFont val="Arial"/>
        <family val="2"/>
      </rPr>
      <t>of means,</t>
    </r>
    <r>
      <rPr>
        <b/>
        <sz val="9"/>
        <color indexed="12"/>
        <rFont val="Arial"/>
        <family val="2"/>
      </rPr>
      <t xml:space="preserve"> </t>
    </r>
    <r>
      <rPr>
        <sz val="9"/>
        <color indexed="8"/>
        <rFont val="Arial"/>
        <family val="2"/>
      </rPr>
      <t>in original units, with subset analysis</t>
    </r>
  </si>
  <si>
    <t>Subset</t>
  </si>
  <si>
    <t xml:space="preserve">     Subset analysis</t>
  </si>
  <si>
    <t>Subset analysis?</t>
  </si>
  <si>
    <t>Subset 1 analysis</t>
  </si>
  <si>
    <t>Subset 2 analysis</t>
  </si>
  <si>
    <t>with subset analysis</t>
  </si>
  <si>
    <t xml:space="preserve">CI on the M-A result  </t>
  </si>
  <si>
    <t>Subsets?</t>
  </si>
  <si>
    <t>Subset 1</t>
  </si>
  <si>
    <t>Subset 2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</si>
  <si>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</si>
  <si>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</si>
  <si>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General Public License for more details.</t>
  </si>
  <si>
    <t xml:space="preserve">    You should have received a copy of the GNU General Public License</t>
  </si>
  <si>
    <t xml:space="preserve">    along with this program.  If not, see &lt;http://www.gnu.org/licenses/&gt;.</t>
  </si>
  <si>
    <t>Also add information on how to contact you by electronic and paper mail.</t>
  </si>
  <si>
    <t xml:space="preserve">  If the program does terminal interaction, make it output a short</t>
  </si>
  <si>
    <t>notice like this when it starts in an interactive mode:</t>
  </si>
  <si>
    <t xml:space="preserve">    &lt;program&gt;  Copyright (C) &lt;year&gt;  &lt;name of author&gt;</t>
  </si>
  <si>
    <t xml:space="preserve">    This program comes with ABSOLUTELY NO WARRANTY; for details type `show w'.</t>
  </si>
  <si>
    <t xml:space="preserve">    This is free software, and you are welcome to redistribute it</t>
  </si>
  <si>
    <t xml:space="preserve">    under certain conditions; type `show c' for details.</t>
  </si>
  <si>
    <t>The hypothetical commands `show w' and `show c' should show the appropriate</t>
  </si>
  <si>
    <t>parts of the General Public License.  Of course, your program's commands</t>
  </si>
  <si>
    <t>might be different; for a GUI interface, you would use an "about box".</t>
  </si>
  <si>
    <t xml:space="preserve">  You should also get your employer (if you work as a programmer) or school,</t>
  </si>
  <si>
    <t>if any, to sign a "copyright disclaimer" for the program, if necessary.</t>
  </si>
  <si>
    <t>For more information on this, and how to apply and follow the GNU GPL, see</t>
  </si>
  <si>
    <t>&lt;http://www.gnu.org/licenses/&gt;.</t>
  </si>
  <si>
    <t xml:space="preserve">  The GNU General Public License does not permit incorporating your program</t>
  </si>
  <si>
    <t>into proprietary programs.  If your program is a subroutine library, you</t>
  </si>
  <si>
    <t>may consider it more useful to permit linking proprietary applications with</t>
  </si>
  <si>
    <t>the library.  If this is what you want to do, use the GNU Lesser General</t>
  </si>
  <si>
    <t>Public License instead of this License.  But first, please read</t>
  </si>
  <si>
    <t>&lt;http://www.gnu.org/philosophy/why-not-lgpl.html&gt;.</t>
  </si>
  <si>
    <t>C</t>
  </si>
  <si>
    <t>Exploratory Software for Confidence Intervals</t>
  </si>
  <si>
    <t>Geoff Cumming</t>
  </si>
  <si>
    <t>esci@latrobe.edu.au</t>
  </si>
  <si>
    <t>Click the tabs at the bottom of the screen to go to these pages:</t>
  </si>
  <si>
    <t>SD</t>
  </si>
  <si>
    <t>Mean</t>
  </si>
  <si>
    <t>B</t>
  </si>
  <si>
    <t>]</t>
  </si>
  <si>
    <t xml:space="preserve">9 </t>
  </si>
  <si>
    <t>,</t>
  </si>
  <si>
    <t>SE</t>
  </si>
  <si>
    <t>y</t>
  </si>
  <si>
    <t>x</t>
  </si>
  <si>
    <t>t</t>
  </si>
  <si>
    <t>p</t>
  </si>
  <si>
    <t>df</t>
  </si>
  <si>
    <t>y disp</t>
  </si>
  <si>
    <t>N</t>
  </si>
  <si>
    <t>Weighted means, green</t>
  </si>
  <si>
    <t>Influence weighted?</t>
  </si>
  <si>
    <t>cumulate?</t>
  </si>
  <si>
    <t>Freeze scale?</t>
  </si>
  <si>
    <t xml:space="preserve">8  </t>
  </si>
  <si>
    <t>CI</t>
  </si>
  <si>
    <t>Study</t>
  </si>
  <si>
    <t>some t?</t>
  </si>
  <si>
    <t>for NHST</t>
  </si>
  <si>
    <t>Include</t>
  </si>
  <si>
    <t>Valid</t>
  </si>
  <si>
    <t xml:space="preserve">Means </t>
  </si>
  <si>
    <t>Bars for</t>
  </si>
  <si>
    <t xml:space="preserve"> no.</t>
  </si>
  <si>
    <t xml:space="preserve"> in?</t>
  </si>
  <si>
    <t>%</t>
  </si>
  <si>
    <t>study?</t>
  </si>
  <si>
    <t>for display</t>
  </si>
  <si>
    <t>display</t>
  </si>
  <si>
    <t>SS</t>
  </si>
  <si>
    <t>N-1</t>
  </si>
  <si>
    <t>Weight</t>
  </si>
  <si>
    <t>means</t>
  </si>
  <si>
    <t>bin ends</t>
  </si>
  <si>
    <t>dot size</t>
  </si>
  <si>
    <t>Influence</t>
  </si>
  <si>
    <t>max weight</t>
  </si>
  <si>
    <t>min weight</t>
  </si>
  <si>
    <t>results as diamond</t>
  </si>
  <si>
    <t>bars</t>
  </si>
  <si>
    <t>half height</t>
  </si>
  <si>
    <t>L end</t>
  </si>
  <si>
    <t>R end</t>
  </si>
  <si>
    <t>no. points</t>
  </si>
  <si>
    <t>inc x</t>
  </si>
  <si>
    <t>index</t>
  </si>
  <si>
    <t>bar</t>
  </si>
  <si>
    <t>delta y</t>
  </si>
  <si>
    <t>from end</t>
  </si>
  <si>
    <t>upper diamond</t>
  </si>
  <si>
    <t>Study name</t>
  </si>
  <si>
    <t>MA model?</t>
  </si>
  <si>
    <t>1=fixed, 2=random</t>
  </si>
  <si>
    <t>squash</t>
  </si>
  <si>
    <t>Weighted means, green, squashed</t>
  </si>
  <si>
    <t>z</t>
  </si>
  <si>
    <t>SE of mean</t>
  </si>
  <si>
    <t>Variance</t>
  </si>
  <si>
    <t>Wt x M</t>
  </si>
  <si>
    <t>Wt^2</t>
  </si>
  <si>
    <t>WtxM^2</t>
  </si>
  <si>
    <t>V*</t>
  </si>
  <si>
    <t>W*</t>
  </si>
  <si>
    <t>W* x M</t>
  </si>
  <si>
    <t>Random effects model</t>
  </si>
  <si>
    <t>Total</t>
  </si>
  <si>
    <t>Q</t>
  </si>
  <si>
    <t>T^2</t>
  </si>
  <si>
    <t>M*</t>
  </si>
  <si>
    <t>V(M*)</t>
  </si>
  <si>
    <t>SE(M*)</t>
  </si>
  <si>
    <t>moe</t>
  </si>
  <si>
    <t>LL</t>
  </si>
  <si>
    <t>UL</t>
  </si>
  <si>
    <t>Means:</t>
  </si>
  <si>
    <t>1 - 30</t>
  </si>
  <si>
    <t>First 30</t>
  </si>
  <si>
    <t>fixed or</t>
  </si>
  <si>
    <t>random</t>
  </si>
  <si>
    <t>[</t>
  </si>
  <si>
    <t>T</t>
  </si>
  <si>
    <t>I^2</t>
  </si>
  <si>
    <t>For CI on T^2</t>
  </si>
  <si>
    <t>B1</t>
  </si>
  <si>
    <t>B2</t>
  </si>
  <si>
    <t>L</t>
  </si>
  <si>
    <t>U</t>
  </si>
  <si>
    <t>LL T^2</t>
  </si>
  <si>
    <t>UL T^2</t>
  </si>
  <si>
    <t>LL T</t>
  </si>
  <si>
    <t>UL T</t>
  </si>
  <si>
    <t xml:space="preserve">11  </t>
  </si>
  <si>
    <t>p for Q</t>
  </si>
  <si>
    <t>Show MA1</t>
  </si>
  <si>
    <r>
      <t>m</t>
    </r>
    <r>
      <rPr>
        <vertAlign val="subscript"/>
        <sz val="9"/>
        <rFont val="Arial"/>
        <family val="2"/>
      </rPr>
      <t>0</t>
    </r>
  </si>
  <si>
    <t>d</t>
  </si>
  <si>
    <r>
      <t>Mean</t>
    </r>
    <r>
      <rPr>
        <vertAlign val="subscript"/>
        <sz val="9"/>
        <color indexed="12"/>
        <rFont val="Arial"/>
        <family val="2"/>
      </rPr>
      <t>1</t>
    </r>
  </si>
  <si>
    <r>
      <t>SD</t>
    </r>
    <r>
      <rPr>
        <vertAlign val="subscript"/>
        <sz val="9"/>
        <color indexed="12"/>
        <rFont val="Arial"/>
        <family val="2"/>
      </rPr>
      <t>1</t>
    </r>
  </si>
  <si>
    <r>
      <t xml:space="preserve">   N</t>
    </r>
    <r>
      <rPr>
        <vertAlign val="subscript"/>
        <sz val="9"/>
        <rFont val="Arial"/>
        <family val="2"/>
      </rPr>
      <t>1</t>
    </r>
  </si>
  <si>
    <r>
      <t>Mean</t>
    </r>
    <r>
      <rPr>
        <vertAlign val="subscript"/>
        <sz val="9"/>
        <color indexed="12"/>
        <rFont val="Arial"/>
        <family val="2"/>
      </rPr>
      <t>2</t>
    </r>
  </si>
  <si>
    <r>
      <t>SD</t>
    </r>
    <r>
      <rPr>
        <vertAlign val="subscript"/>
        <sz val="9"/>
        <color indexed="12"/>
        <rFont val="Arial"/>
        <family val="2"/>
      </rPr>
      <t>2</t>
    </r>
  </si>
  <si>
    <r>
      <t xml:space="preserve">   N</t>
    </r>
    <r>
      <rPr>
        <vertAlign val="subscript"/>
        <sz val="9"/>
        <rFont val="Arial"/>
        <family val="2"/>
      </rPr>
      <t>2</t>
    </r>
  </si>
  <si>
    <t>Pooled</t>
  </si>
  <si>
    <t>diff b'n</t>
  </si>
  <si>
    <t>for squash display of MA result, non-diamond</t>
  </si>
  <si>
    <t>Group 1</t>
  </si>
  <si>
    <t xml:space="preserve">5 </t>
  </si>
  <si>
    <t xml:space="preserve">10  </t>
  </si>
  <si>
    <t>grab</t>
  </si>
  <si>
    <t>put</t>
  </si>
  <si>
    <t>ncp</t>
  </si>
  <si>
    <t>ncp L</t>
  </si>
  <si>
    <t>Damisch 1</t>
  </si>
  <si>
    <t>Damisch 2</t>
  </si>
  <si>
    <t>Damisch 3</t>
  </si>
  <si>
    <t>Damisch 4</t>
  </si>
  <si>
    <t>Damisch 5</t>
  </si>
  <si>
    <t>Damisch 6</t>
  </si>
  <si>
    <t>Calin 1</t>
  </si>
  <si>
    <t>Calin 2</t>
  </si>
  <si>
    <t>Damisch</t>
  </si>
  <si>
    <t>Calin</t>
  </si>
  <si>
    <t>ncp U</t>
  </si>
  <si>
    <t>tbz L</t>
  </si>
  <si>
    <t>tbz U</t>
  </si>
  <si>
    <t>targ p L</t>
  </si>
  <si>
    <t>targ p U</t>
  </si>
  <si>
    <t>apxncpL</t>
  </si>
  <si>
    <t>apxncpU</t>
  </si>
  <si>
    <t>tail L now</t>
  </si>
  <si>
    <t>tail U now</t>
  </si>
  <si>
    <t>sqrtN12</t>
  </si>
  <si>
    <t>lower</t>
  </si>
  <si>
    <t>upper</t>
  </si>
  <si>
    <t>Calculate CIs using noncentral t</t>
  </si>
  <si>
    <t>N1</t>
  </si>
  <si>
    <t>N2</t>
  </si>
  <si>
    <t>For include</t>
  </si>
  <si>
    <t>checkboxes</t>
  </si>
  <si>
    <t>Display</t>
  </si>
  <si>
    <t>mean?</t>
  </si>
  <si>
    <t>CIs?</t>
  </si>
  <si>
    <t>Data the</t>
  </si>
  <si>
    <t>same?</t>
  </si>
  <si>
    <t>low</t>
  </si>
  <si>
    <t>hi</t>
  </si>
  <si>
    <t>squash disp of MA non-diamond</t>
  </si>
  <si>
    <t>For sizes of squares on weighted means</t>
  </si>
  <si>
    <t>disp?</t>
  </si>
  <si>
    <t xml:space="preserve">1 </t>
  </si>
  <si>
    <t>J</t>
  </si>
  <si>
    <t>1=d,2=dunb</t>
  </si>
  <si>
    <t>use dunb?</t>
  </si>
  <si>
    <t>for bold</t>
  </si>
  <si>
    <t>of chosen</t>
  </si>
  <si>
    <t>ES</t>
  </si>
  <si>
    <r>
      <t xml:space="preserve">Click for ES  </t>
    </r>
    <r>
      <rPr>
        <b/>
        <sz val="9"/>
        <color indexed="10"/>
        <rFont val="Arial"/>
        <family val="2"/>
      </rPr>
      <t>2</t>
    </r>
  </si>
  <si>
    <t xml:space="preserve">8 </t>
  </si>
  <si>
    <r>
      <t>Meta-Analysis of</t>
    </r>
    <r>
      <rPr>
        <sz val="9"/>
        <color indexed="8"/>
        <rFont val="Arial"/>
        <family val="2"/>
      </rPr>
      <t xml:space="preserve"> </t>
    </r>
    <r>
      <rPr>
        <b/>
        <i/>
        <sz val="9"/>
        <color indexed="12"/>
        <rFont val="Arial"/>
        <family val="2"/>
      </rPr>
      <t>d</t>
    </r>
    <r>
      <rPr>
        <b/>
        <sz val="9"/>
        <color indexed="12"/>
        <rFont val="Arial"/>
        <family val="2"/>
      </rPr>
      <t xml:space="preserve"> </t>
    </r>
  </si>
  <si>
    <t xml:space="preserve">  between two independent group means</t>
  </si>
  <si>
    <t/>
  </si>
  <si>
    <t>Group</t>
  </si>
  <si>
    <t>Rand calcs</t>
  </si>
  <si>
    <t>label</t>
  </si>
  <si>
    <t>Weighted means, red</t>
  </si>
  <si>
    <t>Weighted means, blue</t>
  </si>
  <si>
    <t>grey</t>
  </si>
  <si>
    <t>grey x</t>
  </si>
  <si>
    <t>green x</t>
  </si>
  <si>
    <t>diamond</t>
  </si>
  <si>
    <t>red x</t>
  </si>
  <si>
    <t>no.pts</t>
  </si>
  <si>
    <t>fromend</t>
  </si>
  <si>
    <t>Display diamond, Group 1 analysis</t>
  </si>
  <si>
    <t>Display diamond, overall analysis</t>
  </si>
  <si>
    <t>Display diamond, Group 2 analysis</t>
  </si>
  <si>
    <t>blue x</t>
  </si>
  <si>
    <t>Size, displayed weight'd means</t>
  </si>
  <si>
    <t>Bin ends</t>
  </si>
  <si>
    <t>Overall</t>
  </si>
  <si>
    <t>Group2</t>
  </si>
  <si>
    <t>weights%</t>
  </si>
  <si>
    <t>Switches for colour</t>
  </si>
  <si>
    <t>of display'd weights</t>
  </si>
  <si>
    <t>min</t>
  </si>
  <si>
    <t>max</t>
  </si>
  <si>
    <t>Range</t>
  </si>
  <si>
    <t>Powerof10</t>
  </si>
  <si>
    <t>Estnoints</t>
  </si>
  <si>
    <t>Divisor</t>
  </si>
  <si>
    <t>Intsize</t>
  </si>
  <si>
    <t>For diff axis</t>
  </si>
  <si>
    <t>labels</t>
  </si>
  <si>
    <t>x disp</t>
  </si>
  <si>
    <t>disp diff</t>
  </si>
  <si>
    <t xml:space="preserve">Overall </t>
  </si>
  <si>
    <t>Meta-analysis</t>
  </si>
  <si>
    <t>Verticals</t>
  </si>
  <si>
    <t>Randcalcs</t>
  </si>
  <si>
    <t>For floating difference axis</t>
  </si>
  <si>
    <t>crit z</t>
  </si>
  <si>
    <t>Gp1+Gp2</t>
  </si>
  <si>
    <t>To use</t>
  </si>
  <si>
    <t>pooledT^2</t>
  </si>
  <si>
    <t>SEdiff</t>
  </si>
  <si>
    <t>No. studies</t>
  </si>
  <si>
    <t>For grey</t>
  </si>
  <si>
    <t>backgr'd</t>
  </si>
  <si>
    <t>Coloured</t>
  </si>
  <si>
    <t>Labels</t>
  </si>
  <si>
    <t>Show gp MA</t>
  </si>
  <si>
    <t>green</t>
  </si>
  <si>
    <t>www.thenewstatistics.com</t>
  </si>
  <si>
    <t>ESCI is free software: you can redistribute it and/or modify it under the terms of the GNU General Public License</t>
  </si>
  <si>
    <t xml:space="preserve">      as published by the Free Software Foundation, either version 3 of the License, or (at your option) any later version.</t>
  </si>
  <si>
    <t>This program is distributed in the hope that it will be useful, but WITHOUT ANY WARRANTY; without even the implied warranty of</t>
  </si>
  <si>
    <t xml:space="preserve">      MERCHANTABILITY or FITNESS FOR A PARTICULAR PURPOSE.  Scroll down to see the GNU General Public License for more details.</t>
  </si>
  <si>
    <t>Please scroll down to see the GNU General Public License below</t>
  </si>
  <si>
    <t xml:space="preserve">                    GNU GENERAL PUBLIC LICENSE</t>
  </si>
  <si>
    <t xml:space="preserve">                       Version 3, 29 June 2007</t>
  </si>
  <si>
    <t xml:space="preserve"> Copyright (C) 2007 Free Software Foundation, Inc. &lt;http://fsf.org/&gt;</t>
  </si>
  <si>
    <t xml:space="preserve"> Everyone is permitted to copy and distribute verbatim copies</t>
  </si>
  <si>
    <t xml:space="preserve"> of this license document, but changing it is not allowed.</t>
  </si>
  <si>
    <t xml:space="preserve">                            Preamble</t>
  </si>
  <si>
    <t xml:space="preserve">  The GNU General Public License is a free, copyleft license for</t>
  </si>
  <si>
    <t>software and other kinds of works.</t>
  </si>
  <si>
    <t xml:space="preserve">  The licenses for most software and other practical works are designed</t>
  </si>
  <si>
    <t>to take away your freedom to share and change the works.  By contrast,</t>
  </si>
  <si>
    <t>the GNU General Public License is intended to guarantee your freedom to</t>
  </si>
  <si>
    <t>share and change all versions of a program--to make sure it remains free</t>
  </si>
  <si>
    <t>software for all its users.  We, the Free Software Foundation, use the</t>
  </si>
  <si>
    <t>GNU General Public License for most of our software; it applies also to</t>
  </si>
  <si>
    <t>any other work released this way by its authors.  You can apply it to</t>
  </si>
  <si>
    <t>your programs, too.</t>
  </si>
  <si>
    <t xml:space="preserve">  When we speak of free software, we are referring to freedom, not</t>
  </si>
  <si>
    <t>price.  Our General Public Licenses are designed to make sure that you</t>
  </si>
  <si>
    <t>have the freedom to distribute copies of free software (and charge for</t>
  </si>
  <si>
    <t>them if you wish), that you receive source code or can get it if you</t>
  </si>
  <si>
    <t>want it, that you can change the software or use pieces of it in new</t>
  </si>
  <si>
    <t>free programs, and that you know you can do these things.</t>
  </si>
  <si>
    <t xml:space="preserve">  To protect your rights, we need to prevent others from denying you</t>
  </si>
  <si>
    <r>
      <t>SD</t>
    </r>
    <r>
      <rPr>
        <vertAlign val="subscript"/>
        <sz val="9"/>
        <rFont val="Arial"/>
        <family val="2"/>
      </rPr>
      <t>2</t>
    </r>
  </si>
  <si>
    <r>
      <t xml:space="preserve">  N</t>
    </r>
    <r>
      <rPr>
        <vertAlign val="subscript"/>
        <sz val="9"/>
        <rFont val="Arial"/>
        <family val="2"/>
      </rPr>
      <t>2</t>
    </r>
  </si>
  <si>
    <t>No Brain</t>
  </si>
  <si>
    <t>Brain</t>
  </si>
  <si>
    <t>Violin, viola</t>
  </si>
  <si>
    <t>Strings</t>
  </si>
  <si>
    <t>Piano</t>
  </si>
  <si>
    <t>All</t>
  </si>
  <si>
    <t>Band</t>
  </si>
  <si>
    <t>Music majors</t>
  </si>
  <si>
    <t xml:space="preserve">3 </t>
  </si>
  <si>
    <t xml:space="preserve">4  </t>
  </si>
  <si>
    <r>
      <t xml:space="preserve">6  </t>
    </r>
    <r>
      <rPr>
        <i/>
        <sz val="9"/>
        <rFont val="Arial"/>
        <family val="2"/>
      </rPr>
      <t xml:space="preserve">C  </t>
    </r>
  </si>
  <si>
    <t xml:space="preserve">7  </t>
  </si>
  <si>
    <r>
      <t xml:space="preserve"> </t>
    </r>
    <r>
      <rPr>
        <sz val="9"/>
        <rFont val="Arial"/>
        <family val="2"/>
      </rPr>
      <t>Display zero line</t>
    </r>
  </si>
  <si>
    <t>MoE</t>
  </si>
  <si>
    <t xml:space="preserve">Meta-analysis result  </t>
  </si>
  <si>
    <t>weight</t>
  </si>
  <si>
    <t xml:space="preserve">      Display by weights</t>
  </si>
  <si>
    <t xml:space="preserve">     Display by weights</t>
  </si>
  <si>
    <t xml:space="preserve">Diamond ratio  </t>
  </si>
  <si>
    <t>McCabe 1</t>
  </si>
  <si>
    <t>Michael 1</t>
  </si>
  <si>
    <t>Michael 2</t>
  </si>
  <si>
    <t>Michael 3</t>
  </si>
  <si>
    <t>Michael 4</t>
  </si>
  <si>
    <t>Michael 5</t>
  </si>
  <si>
    <t>McCabe 2</t>
  </si>
  <si>
    <t>Michael 6</t>
  </si>
  <si>
    <t>Michael 7</t>
  </si>
  <si>
    <t>Michael 8</t>
  </si>
  <si>
    <t>Simple</t>
  </si>
  <si>
    <t>Critique</t>
  </si>
  <si>
    <t>these rights or asking you to surrender the rights.  Therefore, you have</t>
  </si>
  <si>
    <t>certain responsibilities if you distribute copies of the software, or if</t>
  </si>
  <si>
    <t>you modify it: responsibilities to respect the freedom of others.</t>
  </si>
  <si>
    <t xml:space="preserve">  For example, if you distribute copies of such a program, whether</t>
  </si>
  <si>
    <t>gratis or for a fee, you must pass on to the recipients the same</t>
  </si>
  <si>
    <t>freedoms that you received.  You must make sure that they, too, receive</t>
  </si>
  <si>
    <t>or can get the source code.  And you must show them these terms so they</t>
  </si>
  <si>
    <t>know their rights.</t>
  </si>
  <si>
    <t xml:space="preserve">  Developers that use the GNU GPL protect your rights with two steps:</t>
  </si>
  <si>
    <t>(1) assert copyright on the software, and (2) offer you this License</t>
  </si>
  <si>
    <t>giving you legal permission to copy, distribute and/or modify it.</t>
  </si>
  <si>
    <t xml:space="preserve">  For the developers' and authors' protection, the GPL clearly explains</t>
  </si>
  <si>
    <t>that there is no warranty for this free software.  For both users' and</t>
  </si>
  <si>
    <t>authors' sake, the GPL requires that modified versions be marked as</t>
  </si>
  <si>
    <t>changed, so that their problems will not be attributed erroneously to</t>
  </si>
  <si>
    <t>authors of previous versions.</t>
  </si>
  <si>
    <t xml:space="preserve">  Some devices are designed to deny users access to install or run</t>
  </si>
  <si>
    <t>modified versions of the software inside them, although the manufacturer</t>
  </si>
  <si>
    <t>can do so.  This is fundamentally incompatible with the aim of</t>
  </si>
  <si>
    <t>protecting users' freedom to change the software.  The systematic</t>
  </si>
  <si>
    <t>pattern of such abuse occurs in the area of products for individuals to</t>
  </si>
  <si>
    <t>use, which is precisely where it is most unacceptable.  Therefore, we</t>
  </si>
  <si>
    <t>have designed this version of the GPL to prohibit the practice for those</t>
  </si>
  <si>
    <t>products.  If such problems arise substantially in other domains, we</t>
  </si>
  <si>
    <t>stand ready to extend this provision to those domains in future versions</t>
  </si>
  <si>
    <t>of the GPL, as needed to protect the freedom of users.</t>
  </si>
  <si>
    <t xml:space="preserve">  Finally, every program is threatened constantly by software patents.</t>
  </si>
  <si>
    <t>States should not allow patents to restrict development and use of</t>
  </si>
  <si>
    <t>software on general-purpose computers, but in those that do, we wish to</t>
  </si>
  <si>
    <t>avoid the special danger that patents applied to a free program could</t>
  </si>
  <si>
    <t>make it effectively proprietary.  To prevent this, the GPL assures that</t>
  </si>
  <si>
    <t>patents cannot be used to render the program non-free.</t>
  </si>
  <si>
    <t xml:space="preserve">  The precise terms and conditions for copying, distribution and</t>
  </si>
  <si>
    <t>modification follow.</t>
  </si>
  <si>
    <t xml:space="preserve">                       TERMS AND CONDITIONS</t>
  </si>
  <si>
    <t xml:space="preserve">  0. Definitions.</t>
  </si>
  <si>
    <t xml:space="preserve">  "This License" refers to version 3 of the GNU General Public License.</t>
  </si>
  <si>
    <t xml:space="preserve">  "Copyright" also means copyright-like laws that apply to other kinds of</t>
  </si>
  <si>
    <t>works, such as semiconductor masks.</t>
  </si>
  <si>
    <t xml:space="preserve">  "The Program" refers to any copyrightable work licensed under this</t>
  </si>
  <si>
    <t>License.  Each licensee is addressed as "you".  "Licensees" and</t>
  </si>
  <si>
    <t>"recipients" may be individuals or organizations.</t>
  </si>
  <si>
    <t xml:space="preserve">  To "modify" a work means to copy from or adapt all or part of the work</t>
  </si>
  <si>
    <t>in a fashion requiring copyright permission, other than the making of an</t>
  </si>
  <si>
    <t>exact copy.  The resulting work is called a "modified version" of the</t>
  </si>
  <si>
    <t>earlier work or a work "based on" the earlier work.</t>
  </si>
  <si>
    <t xml:space="preserve">  A "covered work" means either the unmodified Program or a work based</t>
  </si>
  <si>
    <t>on the Program.</t>
  </si>
  <si>
    <t xml:space="preserve">  To "propagate" a work means to do anything with it that, without</t>
  </si>
  <si>
    <t>permission, would make you directly or secondarily liable for</t>
  </si>
  <si>
    <t>infringement under applicable copyright law, except executing it on a</t>
  </si>
  <si>
    <t>computer or modifying a private copy.  Propagation includes copying,</t>
  </si>
  <si>
    <t>distribution (with or without modification), making available to the</t>
  </si>
  <si>
    <t>public, and in some countries other activities as well.</t>
  </si>
  <si>
    <t xml:space="preserve">  To "convey" a work means any kind of propagation that enables other</t>
  </si>
  <si>
    <t>parties to make or receive copies.  Mere interaction with a user through</t>
  </si>
  <si>
    <t>a computer network, with no transfer of a copy, is not conveying.</t>
  </si>
  <si>
    <t xml:space="preserve">  An interactive user interface displays "Appropriate Legal Notices"</t>
  </si>
  <si>
    <t>to the extent that it includes a convenient and prominently visible</t>
  </si>
  <si>
    <t>feature that (1) displays an appropriate copyright notice, and (2)</t>
  </si>
  <si>
    <r>
      <t>d</t>
    </r>
    <r>
      <rPr>
        <vertAlign val="subscript"/>
        <sz val="10"/>
        <color indexed="20"/>
        <rFont val="Arial"/>
        <family val="2"/>
      </rPr>
      <t>unbiased</t>
    </r>
  </si>
  <si>
    <r>
      <t xml:space="preserve">   N</t>
    </r>
    <r>
      <rPr>
        <vertAlign val="subscript"/>
        <sz val="10"/>
        <rFont val="Arial"/>
        <family val="2"/>
      </rPr>
      <t>1</t>
    </r>
  </si>
  <si>
    <r>
      <t xml:space="preserve">   N</t>
    </r>
    <r>
      <rPr>
        <vertAlign val="subscript"/>
        <sz val="10"/>
        <rFont val="Arial"/>
        <family val="2"/>
      </rPr>
      <t>2</t>
    </r>
  </si>
  <si>
    <r>
      <t xml:space="preserve">CI for </t>
    </r>
    <r>
      <rPr>
        <sz val="10"/>
        <color indexed="20"/>
        <rFont val="Symbol"/>
        <family val="1"/>
        <charset val="2"/>
      </rPr>
      <t>d</t>
    </r>
  </si>
  <si>
    <r>
      <t>MoE</t>
    </r>
    <r>
      <rPr>
        <vertAlign val="subscript"/>
        <sz val="9"/>
        <color indexed="20"/>
        <rFont val="Arial"/>
        <family val="2"/>
      </rPr>
      <t>av</t>
    </r>
  </si>
  <si>
    <r>
      <t>MoE</t>
    </r>
    <r>
      <rPr>
        <vertAlign val="subscript"/>
        <sz val="10"/>
        <color indexed="20"/>
        <rFont val="Arial"/>
        <family val="2"/>
      </rPr>
      <t>av</t>
    </r>
  </si>
  <si>
    <t>tells the user that there is no warranty for the work (except to the</t>
  </si>
  <si>
    <t>Bars for display</t>
  </si>
  <si>
    <t>z for</t>
  </si>
  <si>
    <t>r at</t>
  </si>
  <si>
    <t xml:space="preserve">UL </t>
  </si>
  <si>
    <t>for disp</t>
  </si>
  <si>
    <t>z for Mr</t>
  </si>
  <si>
    <t>Mr</t>
  </si>
  <si>
    <t>old</t>
  </si>
  <si>
    <t>zr</t>
  </si>
  <si>
    <t>bars z</t>
  </si>
  <si>
    <t>bar z</t>
  </si>
  <si>
    <t>bar r</t>
  </si>
  <si>
    <t>bars r</t>
  </si>
  <si>
    <r>
      <t>MoE</t>
    </r>
    <r>
      <rPr>
        <vertAlign val="subscript"/>
        <sz val="9"/>
        <color indexed="16"/>
        <rFont val="Arial"/>
        <family val="2"/>
      </rPr>
      <t>av</t>
    </r>
  </si>
  <si>
    <r>
      <t xml:space="preserve">Correlation </t>
    </r>
    <r>
      <rPr>
        <i/>
        <sz val="10"/>
        <color indexed="16"/>
        <rFont val="Arial"/>
        <family val="2"/>
      </rPr>
      <t>r</t>
    </r>
  </si>
  <si>
    <r>
      <t xml:space="preserve">       </t>
    </r>
    <r>
      <rPr>
        <sz val="9"/>
        <rFont val="Arial"/>
        <family val="2"/>
      </rPr>
      <t>Display zero line</t>
    </r>
  </si>
  <si>
    <t xml:space="preserve">           5</t>
  </si>
  <si>
    <t xml:space="preserve">2 </t>
  </si>
  <si>
    <t xml:space="preserve">6  </t>
  </si>
  <si>
    <r>
      <t xml:space="preserve">3  </t>
    </r>
    <r>
      <rPr>
        <i/>
        <sz val="9"/>
        <rFont val="Arial"/>
        <family val="2"/>
      </rPr>
      <t xml:space="preserve">C  </t>
    </r>
  </si>
  <si>
    <t xml:space="preserve">4 </t>
  </si>
  <si>
    <r>
      <t xml:space="preserve">9 </t>
    </r>
    <r>
      <rPr>
        <sz val="9"/>
        <rFont val="Arial"/>
        <family val="2"/>
      </rPr>
      <t xml:space="preserve"> Diamond ratio  </t>
    </r>
  </si>
  <si>
    <r>
      <t xml:space="preserve">10    </t>
    </r>
    <r>
      <rPr>
        <b/>
        <sz val="9"/>
        <rFont val="Arial"/>
        <family val="2"/>
      </rPr>
      <t xml:space="preserve">   </t>
    </r>
    <r>
      <rPr>
        <b/>
        <sz val="9"/>
        <color indexed="16"/>
        <rFont val="Arial"/>
        <family val="2"/>
      </rPr>
      <t xml:space="preserve">   CI</t>
    </r>
  </si>
  <si>
    <r>
      <t>12</t>
    </r>
    <r>
      <rPr>
        <sz val="9"/>
        <color indexed="12"/>
        <rFont val="Arial"/>
        <family val="2"/>
      </rPr>
      <t xml:space="preserve">      </t>
    </r>
    <r>
      <rPr>
        <sz val="9"/>
        <color indexed="20"/>
        <rFont val="Arial"/>
        <family val="2"/>
      </rPr>
      <t xml:space="preserve"> </t>
    </r>
    <r>
      <rPr>
        <b/>
        <sz val="9"/>
        <color indexed="20"/>
        <rFont val="Arial"/>
        <family val="2"/>
      </rPr>
      <t xml:space="preserve"> </t>
    </r>
    <r>
      <rPr>
        <b/>
        <sz val="9"/>
        <color indexed="16"/>
        <rFont val="Arial"/>
        <family val="2"/>
      </rPr>
      <t>CI</t>
    </r>
  </si>
  <si>
    <t>extent that warranties are provided), that licensees may convey the</t>
  </si>
  <si>
    <t>work under this License, and how to view a copy of this License.  If</t>
  </si>
  <si>
    <t>the interface presents a list of user commands or options, such as a</t>
  </si>
  <si>
    <t>menu, a prominent item in the list meets this criterion.</t>
  </si>
  <si>
    <t xml:space="preserve">  1. Source Code.</t>
  </si>
  <si>
    <t xml:space="preserve">  The "source code" for a work means the preferred form of the work</t>
  </si>
  <si>
    <t>for making modifications to it.  "Object code" means any non-source</t>
  </si>
  <si>
    <t>form of a work.</t>
  </si>
  <si>
    <t xml:space="preserve">  A "Standard Interface" means an interface that either is an official</t>
  </si>
  <si>
    <t>standard defined by a recognized standards body, or, in the case of</t>
  </si>
  <si>
    <t>interfaces specified for a particular programming language, one that</t>
  </si>
  <si>
    <t>is widely used among developers working in that language.</t>
  </si>
  <si>
    <t xml:space="preserve">  The "System Libraries" of an executable work include anything, other</t>
  </si>
  <si>
    <t>than the work as a whole, that (a) is included in the normal form of</t>
  </si>
  <si>
    <t>packaging a Major Component, but which is not part of that Major</t>
  </si>
  <si>
    <t>Component, and (b) serves only to enable use of the work with that</t>
  </si>
  <si>
    <t>Major Component, or to implement a Standard Interface for which an</t>
  </si>
  <si>
    <t>implementation is available to the public in source code form.  A</t>
  </si>
  <si>
    <t>"Major Component", in this context, means a major essential component</t>
  </si>
  <si>
    <t>(kernel, window system, and so on) of the specific operating system</t>
  </si>
  <si>
    <t>(if any) on which the executable work runs, or a compiler used to</t>
  </si>
  <si>
    <t>produce the work, or an object code interpreter used to run it.</t>
  </si>
  <si>
    <t xml:space="preserve">  The "Corresponding Source" for a work in object code form means all</t>
  </si>
  <si>
    <t>the source code needed to generate, install, and (for an executable</t>
  </si>
  <si>
    <t>work) run the object code and to modify the work, including scripts to</t>
  </si>
  <si>
    <t>control those activities.  However, it does not include the work's</t>
  </si>
  <si>
    <t>System Libraries, or general-purpose tools or generally available free</t>
  </si>
  <si>
    <t>programs which are used unmodified in performing those activities but</t>
  </si>
  <si>
    <t>which are not part of the work.  For example, Corresponding Source</t>
  </si>
  <si>
    <t>includes interface definition files associated with source files for</t>
  </si>
  <si>
    <t>the work, and the source code for shared libraries and dynamically</t>
  </si>
  <si>
    <t>linked subprograms that the work is specifically designed to require,</t>
  </si>
  <si>
    <t>such as by intimate data communication or control flow between those</t>
  </si>
  <si>
    <t>subprograms and other parts of the work.</t>
  </si>
  <si>
    <t xml:space="preserve">  The Corresponding Source need not include anything that users</t>
  </si>
  <si>
    <t>can regenerate automatically from other parts of the Corresponding</t>
  </si>
  <si>
    <t>Source.</t>
  </si>
  <si>
    <t xml:space="preserve">  The Corresponding Source for a work in source code form is that</t>
  </si>
  <si>
    <t>same work.</t>
  </si>
  <si>
    <t xml:space="preserve">  2. Basic Permissions.</t>
  </si>
  <si>
    <t xml:space="preserve">  All rights granted under this License are granted for the term of</t>
  </si>
  <si>
    <t>copyright on the Program, and are irrevocable provided the stated</t>
  </si>
  <si>
    <t>conditions are met.  This License explicitly affirms your unlimited</t>
  </si>
  <si>
    <t>permission to run the unmodified Program.  The output from running a</t>
  </si>
  <si>
    <t>covered work is covered by this License only if the output, given its</t>
  </si>
  <si>
    <t>content, constitutes a covered work.  This License acknowledges your</t>
  </si>
  <si>
    <t>rights of fair use or other equivalent, as provided by copyright law.</t>
  </si>
  <si>
    <t xml:space="preserve">  You may make, run and propagate covered works that you do not</t>
  </si>
  <si>
    <t>convey, without conditions so long as your license otherwise remains</t>
  </si>
  <si>
    <t>in force.  You may convey covered works to others for the sole purpose</t>
  </si>
  <si>
    <t>of having them make modifications exclusively for you, or provide you</t>
  </si>
  <si>
    <t>with facilities for running those works, provided that you comply with</t>
  </si>
  <si>
    <t>the terms of this License in conveying all material for which you do</t>
  </si>
  <si>
    <t>not control copyright.  Those thus making or running the covered works</t>
  </si>
  <si>
    <t>for you must do so exclusively on your behalf, under your direction</t>
  </si>
  <si>
    <t>For check</t>
  </si>
  <si>
    <t>boxes</t>
  </si>
  <si>
    <t>and control, on terms that prohibit them from making any copies of</t>
  </si>
  <si>
    <t>your copyrighted material outside their relationship with you.</t>
  </si>
  <si>
    <t xml:space="preserve">  Conveying under any other circumstances is permitted solely under</t>
  </si>
  <si>
    <t>the conditions stated below.  Sublicensing is not allowed; section 10</t>
  </si>
  <si>
    <t>makes it unnecessary.</t>
  </si>
  <si>
    <t xml:space="preserve">  3. Protecting Users' Legal Rights From Anti-Circumvention Law.</t>
  </si>
  <si>
    <t xml:space="preserve">  No covered work shall be deemed part of an effective technological</t>
  </si>
  <si>
    <t>measure under any applicable law fulfilling obligations under article</t>
  </si>
  <si>
    <t>11 of the WIPO copyright treaty adopted on 20 December 1996, or</t>
  </si>
  <si>
    <t>similar laws prohibiting or restricting circumvention of such</t>
  </si>
  <si>
    <t>measures.</t>
  </si>
  <si>
    <t xml:space="preserve">  When you convey a covered work, you waive any legal power to forbid</t>
  </si>
  <si>
    <t>circumvention of technological measures to the extent such circumvention</t>
  </si>
  <si>
    <t>is effected by exercising rights under this License with respect to</t>
  </si>
  <si>
    <t>the covered work, and you disclaim any intention to limit operation or</t>
  </si>
  <si>
    <t>modification of the work as a means of enforcing, against the work's</t>
  </si>
  <si>
    <t>users, your or third parties' legal rights to forbid circumvention of</t>
  </si>
  <si>
    <t>technological measures.</t>
  </si>
  <si>
    <t xml:space="preserve">  4. Conveying Verbatim Copies.</t>
  </si>
  <si>
    <t xml:space="preserve">  You may convey verbatim copies of the Program's source code as you</t>
  </si>
  <si>
    <t>receive it, in any medium, provided that you conspicuously and</t>
  </si>
  <si>
    <t>appropriately publish on each copy an appropriate copyright notice;</t>
  </si>
  <si>
    <t>keep intact all notices stating that this License and any</t>
  </si>
  <si>
    <t>non-permissive terms added in accord with section 7 apply to the code;</t>
  </si>
  <si>
    <t>keep intact all notices of the absence of any warranty; and give all</t>
  </si>
  <si>
    <t>recipients a copy of this License along with the Program.</t>
  </si>
  <si>
    <t xml:space="preserve">  You may charge any price or no price for each copy that you convey,</t>
  </si>
  <si>
    <t>and you may offer support or warranty protection for a fee.</t>
  </si>
  <si>
    <t xml:space="preserve">  5. Conveying Modified Source Versions.</t>
  </si>
  <si>
    <t xml:space="preserve">  You may convey a work based on the Program, or the modifications to</t>
  </si>
  <si>
    <t>produce it from the Program, in the form of source code under the</t>
  </si>
  <si>
    <t>terms of section 4, provided that you also meet all of these conditions:</t>
  </si>
  <si>
    <t xml:space="preserve">    a) The work must carry prominent notices stating that you modified</t>
  </si>
  <si>
    <t xml:space="preserve">    it, and giving a relevant date.</t>
  </si>
  <si>
    <t xml:space="preserve">    b) The work must carry prominent notices stating that it is</t>
  </si>
  <si>
    <t xml:space="preserve">    released under this License and any conditions added under section</t>
  </si>
  <si>
    <t xml:space="preserve">    7.  This requirement modifies the requirement in section 4 to</t>
  </si>
  <si>
    <t xml:space="preserve">    "keep intact all notices".</t>
  </si>
  <si>
    <t xml:space="preserve">    c) You must license the entire work, as a whole, under this</t>
  </si>
  <si>
    <t xml:space="preserve">    License to anyone who comes into possession of a copy.  This</t>
  </si>
  <si>
    <t xml:space="preserve">    License will therefore apply, along with any applicable section 7</t>
  </si>
  <si>
    <t xml:space="preserve">    additional terms, to the whole of the work, and all its parts,</t>
  </si>
  <si>
    <t xml:space="preserve">    regardless of how they are packaged.  This License gives no</t>
  </si>
  <si>
    <t xml:space="preserve">    permission to license the work in any other way, but it does not</t>
  </si>
  <si>
    <t xml:space="preserve">    invalidate such permission if you have separately received it.</t>
  </si>
  <si>
    <t xml:space="preserve">    d) If the work has interactive user interfaces, each must display</t>
  </si>
  <si>
    <t xml:space="preserve">    Appropriate Legal Notices; however, if the Program has interactive</t>
  </si>
  <si>
    <t xml:space="preserve">    interfaces that do not display Appropriate Legal Notices, your</t>
  </si>
  <si>
    <t xml:space="preserve">    work need not make them do so.</t>
  </si>
  <si>
    <t xml:space="preserve">  A compilation of a covered work with other separate and independent</t>
  </si>
  <si>
    <t>works, which are not by their nature extensions of the covered work,</t>
  </si>
  <si>
    <t>and which are not combined with it such as to form a larger program,</t>
  </si>
  <si>
    <t>in or on a volume of a storage or distribution medium, is called an</t>
  </si>
  <si>
    <t>"aggregate" if the compilation and its resulting copyright are not</t>
  </si>
  <si>
    <t>used to limit the access or legal rights of the compilation's users</t>
  </si>
  <si>
    <t>beyond what the individual works permit.  Inclusion of a covered work</t>
  </si>
  <si>
    <t>in an aggregate does not cause this License to apply to the other</t>
  </si>
  <si>
    <t>parts of the aggregate.</t>
  </si>
  <si>
    <t xml:space="preserve">  6. Conveying Non-Source Forms.</t>
  </si>
  <si>
    <t xml:space="preserve">  You may convey a covered work in object code form under the terms</t>
  </si>
  <si>
    <t>of sections 4 and 5, provided that you also convey the</t>
  </si>
  <si>
    <t>Model for meta-analysis</t>
  </si>
  <si>
    <t>Fixed effect</t>
  </si>
  <si>
    <t>Random effects</t>
  </si>
  <si>
    <r>
      <t xml:space="preserve"> 8 </t>
    </r>
    <r>
      <rPr>
        <sz val="9"/>
        <rFont val="Arial"/>
        <family val="2"/>
      </rPr>
      <t xml:space="preserve"> Diff b'n</t>
    </r>
  </si>
  <si>
    <r>
      <t xml:space="preserve">12 </t>
    </r>
    <r>
      <rPr>
        <sz val="9"/>
        <rFont val="Arial"/>
        <family val="2"/>
      </rPr>
      <t xml:space="preserve"> Diamond ratio  </t>
    </r>
  </si>
  <si>
    <r>
      <t xml:space="preserve">13    </t>
    </r>
    <r>
      <rPr>
        <b/>
        <sz val="9"/>
        <rFont val="Arial"/>
        <family val="2"/>
      </rPr>
      <t xml:space="preserve">     CI</t>
    </r>
  </si>
  <si>
    <r>
      <t xml:space="preserve">14 </t>
    </r>
    <r>
      <rPr>
        <b/>
        <sz val="9"/>
        <color indexed="10"/>
        <rFont val="Arial"/>
        <family val="2"/>
      </rPr>
      <t>►►</t>
    </r>
  </si>
  <si>
    <r>
      <t xml:space="preserve">     Show </t>
    </r>
    <r>
      <rPr>
        <i/>
        <sz val="9"/>
        <rFont val="Arial"/>
        <family val="2"/>
      </rPr>
      <t>p</t>
    </r>
    <r>
      <rPr>
        <sz val="9"/>
        <rFont val="Arial"/>
        <family val="2"/>
      </rPr>
      <t xml:space="preserve"> values</t>
    </r>
  </si>
  <si>
    <r>
      <t>9</t>
    </r>
    <r>
      <rPr>
        <sz val="9"/>
        <rFont val="Arial"/>
        <family val="2"/>
      </rPr>
      <t xml:space="preserve">  Diff b'n</t>
    </r>
  </si>
  <si>
    <t xml:space="preserve">15  </t>
  </si>
  <si>
    <r>
      <t xml:space="preserve">16    </t>
    </r>
    <r>
      <rPr>
        <b/>
        <sz val="9"/>
        <rFont val="Arial"/>
        <family val="2"/>
      </rPr>
      <t xml:space="preserve">     CI</t>
    </r>
  </si>
  <si>
    <r>
      <t xml:space="preserve">     Show</t>
    </r>
    <r>
      <rPr>
        <i/>
        <sz val="9"/>
        <rFont val="Arial"/>
        <family val="2"/>
      </rPr>
      <t xml:space="preserve"> p</t>
    </r>
    <r>
      <rPr>
        <sz val="9"/>
        <rFont val="Arial"/>
        <family val="2"/>
      </rPr>
      <t xml:space="preserve"> values</t>
    </r>
  </si>
  <si>
    <r>
      <t>C</t>
    </r>
    <r>
      <rPr>
        <sz val="9"/>
        <rFont val="Arial"/>
        <family val="2"/>
      </rPr>
      <t xml:space="preserve"> OK?</t>
    </r>
  </si>
  <si>
    <t>Display zero line</t>
  </si>
  <si>
    <t>more than one t?</t>
  </si>
  <si>
    <r>
      <t xml:space="preserve">      6 </t>
    </r>
    <r>
      <rPr>
        <i/>
        <sz val="9"/>
        <rFont val="Arial"/>
        <family val="2"/>
      </rPr>
      <t xml:space="preserve">C  </t>
    </r>
  </si>
  <si>
    <t xml:space="preserve">7 </t>
  </si>
  <si>
    <r>
      <t xml:space="preserve">10 </t>
    </r>
    <r>
      <rPr>
        <sz val="9"/>
        <color indexed="10"/>
        <rFont val="Arial"/>
        <family val="2"/>
      </rPr>
      <t>Study</t>
    </r>
  </si>
  <si>
    <t>M-A result</t>
  </si>
  <si>
    <r>
      <t>13</t>
    </r>
    <r>
      <rPr>
        <b/>
        <sz val="9"/>
        <rFont val="Arial"/>
        <family val="2"/>
      </rPr>
      <t xml:space="preserve">  CI on the M-A result  </t>
    </r>
  </si>
  <si>
    <r>
      <t xml:space="preserve">14 </t>
    </r>
    <r>
      <rPr>
        <sz val="9"/>
        <rFont val="Arial"/>
        <family val="2"/>
      </rPr>
      <t xml:space="preserve"> Diamond ratio </t>
    </r>
  </si>
  <si>
    <r>
      <t xml:space="preserve">15 </t>
    </r>
    <r>
      <rPr>
        <b/>
        <sz val="9"/>
        <color indexed="10"/>
        <rFont val="Arial"/>
        <family val="2"/>
      </rPr>
      <t>►►</t>
    </r>
  </si>
  <si>
    <r>
      <t>16</t>
    </r>
    <r>
      <rPr>
        <sz val="9"/>
        <color indexed="12"/>
        <rFont val="Arial"/>
        <family val="2"/>
      </rPr>
      <t xml:space="preserve">      </t>
    </r>
    <r>
      <rPr>
        <sz val="9"/>
        <color indexed="20"/>
        <rFont val="Arial"/>
        <family val="2"/>
      </rPr>
      <t xml:space="preserve">  CI</t>
    </r>
  </si>
  <si>
    <r>
      <t xml:space="preserve">Forest plot showing only studies with data, plus meta-analysis as at </t>
    </r>
    <r>
      <rPr>
        <b/>
        <sz val="9"/>
        <color indexed="10"/>
        <rFont val="Arial"/>
        <family val="2"/>
      </rPr>
      <t>12</t>
    </r>
  </si>
  <si>
    <t>machine-readable Corresponding Source under the terms of this License,</t>
  </si>
  <si>
    <t>in one of these ways:</t>
  </si>
  <si>
    <t xml:space="preserve">    a) Convey the object code in, or embodied in, a physical product</t>
  </si>
  <si>
    <t xml:space="preserve">    (including a physical distribution medium), accompanied by the</t>
  </si>
  <si>
    <t xml:space="preserve">    Corresponding Source fixed on a durable physical medium</t>
  </si>
  <si>
    <t xml:space="preserve">    customarily used for software interchange.</t>
  </si>
  <si>
    <t xml:space="preserve">    b) Convey the object code in, or embodied in, a physical product</t>
  </si>
  <si>
    <t xml:space="preserve">    (including a physical distribution medium), accompanied by a</t>
  </si>
  <si>
    <t xml:space="preserve">    written offer, valid for at least three years and valid for as</t>
  </si>
  <si>
    <t xml:space="preserve">    long as you offer spare parts or customer support for that product</t>
  </si>
  <si>
    <t xml:space="preserve">    model, to give anyone who possesses the object code either (1) a</t>
  </si>
  <si>
    <t xml:space="preserve">    copy of the Corresponding Source for all the software in the</t>
  </si>
  <si>
    <t>in?</t>
  </si>
  <si>
    <t xml:space="preserve">    product that is covered by this License, on a durable physical</t>
  </si>
  <si>
    <t xml:space="preserve">    medium customarily used for software interchange, for a price no</t>
  </si>
  <si>
    <t xml:space="preserve">    more than your reasonable cost of physically performing this</t>
  </si>
  <si>
    <t xml:space="preserve">    conveying of source, or (2) access to copy the</t>
  </si>
  <si>
    <t xml:space="preserve">    Corresponding Source from a network server at no charge.</t>
  </si>
  <si>
    <t xml:space="preserve">    c) Convey individual copies of the object code with a copy of the</t>
  </si>
  <si>
    <t xml:space="preserve">    written offer to provide the Corresponding Source.  This</t>
  </si>
  <si>
    <t xml:space="preserve">    alternative is allowed only occasionally and noncommercially, and</t>
  </si>
  <si>
    <t xml:space="preserve">    only if you received the object code with such an offer, in accord</t>
  </si>
  <si>
    <t xml:space="preserve">    with subsection 6b.</t>
  </si>
  <si>
    <t xml:space="preserve">    d) Convey the object code by offering access from a designated</t>
  </si>
  <si>
    <t xml:space="preserve">    place (gratis or for a charge), and offer equivalent access to the</t>
  </si>
  <si>
    <t xml:space="preserve">    Corresponding Source in the same way through the same place at no</t>
  </si>
  <si>
    <t xml:space="preserve">    further charge.  You need not require recipients to copy the</t>
  </si>
  <si>
    <t xml:space="preserve">    Corresponding Source along with the object code.  If the place to</t>
  </si>
  <si>
    <t xml:space="preserve">    copy the object code is a network server, the Corresponding Source</t>
  </si>
  <si>
    <t xml:space="preserve">    may be on a different server (operated by you or a third party)</t>
  </si>
  <si>
    <t xml:space="preserve">    that supports equivalent copying facilities, provided you maintain</t>
  </si>
  <si>
    <t xml:space="preserve">    clear directions next to the object code saying where to find the</t>
  </si>
  <si>
    <t xml:space="preserve">    Corresponding Source.  Regardless of what server hosts the</t>
  </si>
  <si>
    <t xml:space="preserve">    Corresponding Source, you remain obligated to ensure that it is</t>
  </si>
  <si>
    <t xml:space="preserve">    available for as long as needed to satisfy these requirements.</t>
  </si>
  <si>
    <t xml:space="preserve">    e) Convey the object code using peer-to-peer transmission, provided</t>
  </si>
  <si>
    <t xml:space="preserve">    you inform other peers where the object code and Corresponding</t>
  </si>
  <si>
    <t xml:space="preserve">    Source of the work are being offered to the general public at no</t>
  </si>
  <si>
    <t xml:space="preserve">    charge under subsection 6d.</t>
  </si>
  <si>
    <t xml:space="preserve">  A separable portion of the object code, whose source code is excluded</t>
  </si>
  <si>
    <t>from the Corresponding Source as a System Library, need not be</t>
  </si>
  <si>
    <t>included in conveying the object code work.</t>
  </si>
  <si>
    <t xml:space="preserve">  A "User Product" is either (1) a "consumer product", which means any</t>
  </si>
  <si>
    <t>tangible personal property which is normally used for personal, family,</t>
  </si>
  <si>
    <t>or household purposes, or (2) anything designed or sold for incorporation</t>
  </si>
  <si>
    <t>into a dwelling.  In determining whether a product is a consumer product,</t>
  </si>
  <si>
    <t>doubtful cases shall be resolved in favor of coverage.  For a particular</t>
  </si>
  <si>
    <t>product received by a particular user, "normally used" refers to a</t>
  </si>
  <si>
    <t>typical or common use of that class of product, regardless of the status</t>
  </si>
  <si>
    <t>of the particular user or of the way in which the particular user</t>
  </si>
  <si>
    <t>actually uses, or expects or is expected to use, the product.  A product</t>
  </si>
  <si>
    <t>is a consumer product regardless of whether the product has substantial</t>
  </si>
  <si>
    <t>commercial, industrial or non-consumer uses, unless such uses represent</t>
  </si>
  <si>
    <t>the only significant mode of use of the product.</t>
  </si>
  <si>
    <t xml:space="preserve">  "Installation Information" for a User Product means any methods,</t>
  </si>
  <si>
    <t>procedures, authorization keys, or other information required to install</t>
  </si>
  <si>
    <t>and execute modified versions of a covered work in that User Product from</t>
  </si>
  <si>
    <t>a modified version of its Corresponding Source.  The information must</t>
  </si>
  <si>
    <t>suffice to ensure that the continued functioning of the modified object</t>
  </si>
  <si>
    <t>code is in no case prevented or interfered with solely because</t>
  </si>
  <si>
    <t>modification has been made.</t>
  </si>
  <si>
    <t xml:space="preserve">  If you convey an object code work under this section in, or with, or</t>
  </si>
  <si>
    <t>specifically for use in, a User Product, and the conveying occurs as</t>
  </si>
  <si>
    <t>part of a transaction in which the right of possession and use of the</t>
  </si>
  <si>
    <t>User Product is transferred to the recipient in perpetuity or for a</t>
  </si>
  <si>
    <t>fixed term (regardless of how the transaction is characterized), the</t>
  </si>
  <si>
    <t>Corresponding Source conveyed under this section must be accompanied</t>
  </si>
  <si>
    <t>by the Installation Information.  But this requirement does not apply</t>
  </si>
  <si>
    <t>if neither you nor any third party retains the ability to install</t>
  </si>
  <si>
    <t>modified object code on the User Product (for example, the work has</t>
  </si>
  <si>
    <t>been installed in ROM).</t>
  </si>
  <si>
    <t xml:space="preserve">  The requirement to provide Installation Information does not include a</t>
  </si>
  <si>
    <t>requirement to continue to provide support service, warranty, or updates</t>
  </si>
  <si>
    <t>for a work that has been modified or installed by the recipient, or for</t>
  </si>
  <si>
    <t>the User Product in which it has been modified or installed.  Access to a</t>
  </si>
  <si>
    <t>network may be denied when the modification itself materially and</t>
  </si>
  <si>
    <t>adversely affects the operation of the network or violates the rules and</t>
  </si>
  <si>
    <t>protocols for communication across the network.</t>
  </si>
  <si>
    <t xml:space="preserve">  Corresponding Source conveyed, and Installation Information provided,</t>
  </si>
  <si>
    <r>
      <t xml:space="preserve">      Meta-Analysis </t>
    </r>
    <r>
      <rPr>
        <sz val="9"/>
        <color indexed="8"/>
        <rFont val="Arial"/>
        <family val="2"/>
      </rPr>
      <t xml:space="preserve">of Pearson </t>
    </r>
    <r>
      <rPr>
        <i/>
        <sz val="10"/>
        <color indexed="8"/>
        <rFont val="Arial"/>
        <family val="2"/>
      </rPr>
      <t>r</t>
    </r>
    <r>
      <rPr>
        <sz val="9"/>
        <color indexed="8"/>
        <rFont val="Arial"/>
        <family val="2"/>
      </rPr>
      <t xml:space="preserve"> correlations</t>
    </r>
  </si>
  <si>
    <t>r</t>
  </si>
  <si>
    <t>z for r</t>
  </si>
  <si>
    <t>Var z</t>
  </si>
  <si>
    <t>in accord with this section must be in a format that is publicly</t>
  </si>
  <si>
    <t>documented (and with an implementation available to the public in</t>
  </si>
  <si>
    <t>source code form), and must require no special password or key for</t>
  </si>
  <si>
    <t>unpacking, reading or copying.</t>
  </si>
  <si>
    <t xml:space="preserve">  7. Additional Terms.</t>
  </si>
  <si>
    <t xml:space="preserve">  "Additional permissions" are terms that supplement the terms of this</t>
  </si>
  <si>
    <t>License by making exceptions from one or more of its conditions.</t>
  </si>
  <si>
    <t>Additional permissions that are applicable to the entire Program shall</t>
  </si>
  <si>
    <t>be treated as though they were included in this License, to the extent</t>
  </si>
  <si>
    <t>that they are valid under applicable law.  If additional permissions</t>
  </si>
  <si>
    <t>apply only to part of the Program, that part may be used separately</t>
  </si>
  <si>
    <t>Rating difference</t>
  </si>
  <si>
    <t xml:space="preserve">   means</t>
  </si>
  <si>
    <t>under those permissions, but the entire Program remains governed by</t>
  </si>
  <si>
    <t>this License without regard to the additional permissions.</t>
  </si>
  <si>
    <t xml:space="preserve">  When you convey a copy of a covered work, you may at your option</t>
  </si>
  <si>
    <t>remove any additional permissions from that copy, or from any part of</t>
  </si>
  <si>
    <t>it.  (Additional permissions may be written to require their own</t>
  </si>
  <si>
    <t>removal in certain cases when you modify the work.)  You may place</t>
  </si>
  <si>
    <t>additional permissions on material, added by you to a covered work,</t>
  </si>
  <si>
    <t>for which you have or can give appropriate copyright permission.</t>
  </si>
  <si>
    <t xml:space="preserve">  Notwithstanding any other provision of this License, for material you</t>
  </si>
  <si>
    <t>add to a covered work, you may (if authorized by the copyright holders of</t>
  </si>
  <si>
    <t>that material) supplement the terms of this License with terms:</t>
  </si>
  <si>
    <t xml:space="preserve">    a) Disclaiming warranty or limiting liability differently from the</t>
  </si>
  <si>
    <t xml:space="preserve">    terms of sections 15 and 16 of this License; or</t>
  </si>
  <si>
    <t xml:space="preserve">    b) Requiring preservation of specified reasonable legal notices or</t>
  </si>
  <si>
    <t xml:space="preserve">    author attributions in that material or in the Appropriate Legal</t>
  </si>
  <si>
    <t xml:space="preserve">    Notices displayed by works containing it; or</t>
  </si>
  <si>
    <t xml:space="preserve">    c) Prohibiting misrepresentation of the origin of that material, or</t>
  </si>
  <si>
    <t xml:space="preserve">    requiring that modified versions of such material be marked in</t>
  </si>
  <si>
    <t xml:space="preserve">    reasonable ways as different from the original version; or</t>
  </si>
  <si>
    <t xml:space="preserve">    d) Limiting the use for publicity purposes of names of licensors or</t>
  </si>
  <si>
    <t xml:space="preserve">    authors of the material; or</t>
  </si>
  <si>
    <t xml:space="preserve">    e) Declining to grant rights under trademark law for use of some</t>
  </si>
  <si>
    <t xml:space="preserve">    trade names, trademarks, or service marks; or</t>
  </si>
  <si>
    <t xml:space="preserve">    f) Requiring indemnification of licensors and authors of that</t>
  </si>
  <si>
    <t xml:space="preserve">    material by anyone who conveys the material (or modified versions of</t>
  </si>
  <si>
    <t xml:space="preserve">    it) with contractual assumptions of liability to the recipient, for</t>
  </si>
  <si>
    <t xml:space="preserve">    any liability that these contractual assumptions directly impose on</t>
  </si>
  <si>
    <t xml:space="preserve">    those licensors and authors.</t>
  </si>
  <si>
    <t xml:space="preserve">  All other non-permissive additional terms are considered "further</t>
  </si>
  <si>
    <t>restrictions" within the meaning of section 10.  If the Program as you</t>
  </si>
  <si>
    <t>received it, or any part of it, contains a notice stating that it is</t>
  </si>
  <si>
    <t>governed by this License along with a term that is a further</t>
  </si>
  <si>
    <t>restriction, you may remove that term.  If a license document contains</t>
  </si>
  <si>
    <t>a further restriction but permits relicensing or conveying under this</t>
  </si>
  <si>
    <t>License, you may add to a covered work material governed by the terms</t>
  </si>
  <si>
    <t>of that license document, provided that the further restriction does</t>
  </si>
  <si>
    <t>not survive such relicensing or conveying.</t>
  </si>
  <si>
    <t xml:space="preserve">  If you add terms to a covered work in accord with this section, you</t>
  </si>
  <si>
    <t>must place, in the relevant source files, a statement of the</t>
  </si>
  <si>
    <t>additional terms that apply to those files, or a notice indicating</t>
  </si>
  <si>
    <t>where to find the applicable terms.</t>
  </si>
  <si>
    <t xml:space="preserve">  Additional terms, permissive or non-permissive, may be stated in the</t>
  </si>
  <si>
    <t>form of a separately written license, or stated as exceptions;</t>
  </si>
  <si>
    <t>the above requirements apply either way.</t>
  </si>
  <si>
    <t xml:space="preserve">  8. Termination.</t>
  </si>
  <si>
    <r>
      <t>This</t>
    </r>
    <r>
      <rPr>
        <b/>
        <sz val="9"/>
        <rFont val="Arial"/>
        <family val="2"/>
      </rPr>
      <t xml:space="preserve"> ESCI intro</t>
    </r>
    <r>
      <rPr>
        <sz val="9"/>
        <rFont val="Arial"/>
        <family val="2"/>
      </rPr>
      <t xml:space="preserve"> software is designed to accompany: </t>
    </r>
  </si>
  <si>
    <t xml:space="preserve">Introduction to The New Statistics: Estimation, Open Science, and Beyond </t>
  </si>
  <si>
    <t>http://tiny.cc/itnsroutledge</t>
  </si>
  <si>
    <t xml:space="preserve">   School of Psychology and Public Health</t>
  </si>
  <si>
    <t xml:space="preserve">   La Trobe University, Melbourne</t>
  </si>
  <si>
    <t xml:space="preserve">   Australia  3086</t>
  </si>
  <si>
    <t>ESCI intro Meta-Analysis</t>
  </si>
  <si>
    <t>by Geoff Cumming &amp; Robert Calin-Jageman (Routledge, 2017)</t>
  </si>
  <si>
    <t>Scroll right for additional</t>
  </si>
  <si>
    <t>forest plot</t>
  </si>
  <si>
    <r>
      <t xml:space="preserve">Forest plot showing only studies with data, plus meta-analysis as at </t>
    </r>
    <r>
      <rPr>
        <b/>
        <sz val="9"/>
        <color indexed="10"/>
        <rFont val="Arial"/>
        <family val="2"/>
      </rPr>
      <t>11</t>
    </r>
  </si>
  <si>
    <t xml:space="preserve">Scroll right for additional </t>
  </si>
  <si>
    <r>
      <t xml:space="preserve">Forest plot showing only studies with data, plus meta-analysis as at </t>
    </r>
    <r>
      <rPr>
        <b/>
        <sz val="9"/>
        <color indexed="10"/>
        <rFont val="Arial"/>
        <family val="2"/>
      </rPr>
      <t>7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</si>
</sst>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0.000"/>
    <numFmt numFmtId="165" formatCode="0.0000"/>
    <numFmt numFmtId="166" formatCode="0.0"/>
    <numFmt numFmtId="167" formatCode="0.000%"/>
    <numFmt numFmtId="168" formatCode=".0###"/>
    <numFmt numFmtId="169" formatCode="0.00000"/>
    <numFmt numFmtId="170" formatCode="0.0#"/>
    <numFmt numFmtId="171" formatCode=".0##;\-.0##;0"/>
    <numFmt numFmtId="172" formatCode=".0##;;0"/>
  </numFmts>
  <fonts count="8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9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i/>
      <sz val="9"/>
      <name val="Arial"/>
      <family val="2"/>
    </font>
    <font>
      <i/>
      <sz val="9"/>
      <color indexed="81"/>
      <name val="Tahoma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6"/>
      <color indexed="12"/>
      <name val="Arial"/>
      <family val="2"/>
    </font>
    <font>
      <b/>
      <sz val="12"/>
      <color indexed="10"/>
      <name val="Arial"/>
      <family val="2"/>
    </font>
    <font>
      <b/>
      <i/>
      <sz val="10"/>
      <color indexed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i/>
      <sz val="9"/>
      <color indexed="10"/>
      <name val="Arial"/>
      <family val="2"/>
    </font>
    <font>
      <b/>
      <i/>
      <sz val="9"/>
      <name val="Arial"/>
      <family val="2"/>
    </font>
    <font>
      <sz val="9"/>
      <color indexed="81"/>
      <name val="Tahoma"/>
      <family val="2"/>
    </font>
    <font>
      <sz val="10"/>
      <color indexed="81"/>
      <name val="Symbol"/>
      <family val="1"/>
      <charset val="2"/>
    </font>
    <font>
      <sz val="9"/>
      <color indexed="12"/>
      <name val="Arial"/>
      <family val="2"/>
    </font>
    <font>
      <sz val="9"/>
      <name val="Symbol"/>
      <family val="1"/>
      <charset val="2"/>
    </font>
    <font>
      <sz val="11"/>
      <color indexed="81"/>
      <name val="Symbol"/>
      <family val="1"/>
      <charset val="2"/>
    </font>
    <font>
      <vertAlign val="subscript"/>
      <sz val="10"/>
      <name val="Arial"/>
      <family val="2"/>
    </font>
    <font>
      <vertAlign val="subscript"/>
      <sz val="10"/>
      <color indexed="81"/>
      <name val="Tahoma"/>
      <family val="2"/>
    </font>
    <font>
      <i/>
      <sz val="10"/>
      <color indexed="8"/>
      <name val="Arial"/>
      <family val="2"/>
    </font>
    <font>
      <b/>
      <sz val="9"/>
      <color indexed="12"/>
      <name val="Arial"/>
      <family val="2"/>
    </font>
    <font>
      <sz val="10"/>
      <color indexed="81"/>
      <name val="Tahoma"/>
      <family val="2"/>
    </font>
    <font>
      <b/>
      <sz val="9"/>
      <color indexed="10"/>
      <name val="Tahoma"/>
      <family val="2"/>
    </font>
    <font>
      <vertAlign val="subscript"/>
      <sz val="9"/>
      <name val="Arial"/>
      <family val="2"/>
    </font>
    <font>
      <b/>
      <i/>
      <sz val="10"/>
      <name val="Arial"/>
      <family val="2"/>
    </font>
    <font>
      <vertAlign val="subscript"/>
      <sz val="9"/>
      <color indexed="12"/>
      <name val="Arial"/>
      <family val="2"/>
    </font>
    <font>
      <vertAlign val="subscript"/>
      <sz val="10"/>
      <color indexed="20"/>
      <name val="Arial"/>
      <family val="2"/>
    </font>
    <font>
      <b/>
      <i/>
      <sz val="9"/>
      <color indexed="20"/>
      <name val="Arial"/>
      <family val="2"/>
    </font>
    <font>
      <b/>
      <i/>
      <sz val="9"/>
      <color indexed="12"/>
      <name val="Arial"/>
      <family val="2"/>
    </font>
    <font>
      <vertAlign val="subscript"/>
      <sz val="11"/>
      <color indexed="81"/>
      <name val="Tahoma"/>
      <family val="2"/>
    </font>
    <font>
      <sz val="9"/>
      <color indexed="10"/>
      <name val="Arial"/>
      <family val="2"/>
    </font>
    <font>
      <sz val="10"/>
      <name val="Courier New"/>
      <family val="3"/>
    </font>
    <font>
      <sz val="11"/>
      <name val="Calibri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9"/>
      <color indexed="10"/>
      <name val="Arial"/>
      <family val="2"/>
    </font>
    <font>
      <i/>
      <sz val="9"/>
      <color indexed="12"/>
      <name val="Arial"/>
      <family val="2"/>
    </font>
    <font>
      <sz val="9"/>
      <color indexed="60"/>
      <name val="Arial"/>
      <family val="2"/>
    </font>
    <font>
      <i/>
      <sz val="9"/>
      <name val="Times New Roman"/>
      <family val="1"/>
    </font>
    <font>
      <sz val="9"/>
      <name val="Times New Roman"/>
      <family val="1"/>
    </font>
    <font>
      <sz val="9"/>
      <color indexed="8"/>
      <name val="Arial"/>
      <family val="2"/>
    </font>
    <font>
      <b/>
      <sz val="9"/>
      <name val="Arial"/>
      <family val="2"/>
    </font>
    <font>
      <sz val="9"/>
      <color indexed="9"/>
      <name val="Arial"/>
      <family val="2"/>
    </font>
    <font>
      <sz val="9"/>
      <color indexed="10"/>
      <name val="Tahoma"/>
      <family val="2"/>
    </font>
    <font>
      <sz val="9"/>
      <color indexed="12"/>
      <name val="Tahoma"/>
      <family val="2"/>
    </font>
    <font>
      <sz val="9"/>
      <color indexed="20"/>
      <name val="Arial"/>
      <family val="2"/>
    </font>
    <font>
      <sz val="9"/>
      <color indexed="60"/>
      <name val="Arial"/>
      <family val="2"/>
    </font>
    <font>
      <sz val="9"/>
      <color indexed="20"/>
      <name val="Arial"/>
      <family val="2"/>
    </font>
    <font>
      <vertAlign val="subscript"/>
      <sz val="9"/>
      <color indexed="20"/>
      <name val="Arial"/>
      <family val="2"/>
    </font>
    <font>
      <b/>
      <sz val="9"/>
      <color indexed="20"/>
      <name val="Arial"/>
      <family val="2"/>
    </font>
    <font>
      <i/>
      <sz val="10"/>
      <color indexed="81"/>
      <name val="Tahoma"/>
      <family val="2"/>
    </font>
    <font>
      <sz val="9"/>
      <color indexed="81"/>
      <name val="Symbol"/>
      <family val="1"/>
      <charset val="2"/>
    </font>
    <font>
      <i/>
      <sz val="10"/>
      <name val="Arial"/>
      <family val="2"/>
    </font>
    <font>
      <i/>
      <sz val="11"/>
      <color indexed="81"/>
      <name val="Tahoma"/>
      <family val="2"/>
    </font>
    <font>
      <vertAlign val="subscript"/>
      <sz val="12"/>
      <color indexed="81"/>
      <name val="Tahoma"/>
      <family val="2"/>
    </font>
    <font>
      <sz val="11"/>
      <color indexed="81"/>
      <name val="Tahoma"/>
      <family val="2"/>
    </font>
    <font>
      <sz val="10"/>
      <color indexed="20"/>
      <name val="Symbol"/>
      <family val="1"/>
      <charset val="2"/>
    </font>
    <font>
      <sz val="9"/>
      <color indexed="16"/>
      <name val="Arial"/>
      <family val="2"/>
    </font>
    <font>
      <sz val="9"/>
      <color indexed="16"/>
      <name val="Arial"/>
      <family val="2"/>
    </font>
    <font>
      <b/>
      <sz val="9"/>
      <color indexed="16"/>
      <name val="Arial"/>
      <family val="2"/>
    </font>
    <font>
      <vertAlign val="subscript"/>
      <sz val="9"/>
      <color indexed="16"/>
      <name val="Arial"/>
      <family val="2"/>
    </font>
    <font>
      <b/>
      <i/>
      <sz val="10"/>
      <color indexed="16"/>
      <name val="Arial"/>
      <family val="2"/>
    </font>
    <font>
      <i/>
      <sz val="10"/>
      <color indexed="16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4"/>
        <bgColor indexed="64"/>
      </patternFill>
    </fill>
  </fills>
  <borders count="1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22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thick">
        <color indexed="11"/>
      </top>
      <bottom/>
      <diagonal/>
    </border>
    <border>
      <left style="thin">
        <color indexed="22"/>
      </left>
      <right/>
      <top style="thick">
        <color indexed="11"/>
      </top>
      <bottom/>
      <diagonal/>
    </border>
    <border>
      <left/>
      <right style="thick">
        <color indexed="11"/>
      </right>
      <top style="thick">
        <color indexed="11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ck">
        <color indexed="11"/>
      </right>
      <top/>
      <bottom style="thin">
        <color indexed="22"/>
      </bottom>
      <diagonal/>
    </border>
    <border>
      <left style="thick">
        <color indexed="11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ck">
        <color indexed="11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11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64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/>
      <right style="thick">
        <color indexed="11"/>
      </right>
      <top style="thin">
        <color indexed="22"/>
      </top>
      <bottom style="thin">
        <color indexed="64"/>
      </bottom>
      <diagonal/>
    </border>
    <border>
      <left style="thick">
        <color indexed="11"/>
      </left>
      <right/>
      <top style="thin">
        <color indexed="22"/>
      </top>
      <bottom style="thick">
        <color indexed="11"/>
      </bottom>
      <diagonal/>
    </border>
    <border>
      <left/>
      <right/>
      <top style="thin">
        <color indexed="22"/>
      </top>
      <bottom style="thick">
        <color indexed="11"/>
      </bottom>
      <diagonal/>
    </border>
    <border>
      <left style="thin">
        <color indexed="22"/>
      </left>
      <right/>
      <top style="thin">
        <color indexed="22"/>
      </top>
      <bottom style="thick">
        <color indexed="11"/>
      </bottom>
      <diagonal/>
    </border>
    <border>
      <left/>
      <right style="thick">
        <color indexed="11"/>
      </right>
      <top/>
      <bottom style="thick">
        <color indexed="11"/>
      </bottom>
      <diagonal/>
    </border>
    <border>
      <left style="thin">
        <color indexed="64"/>
      </left>
      <right style="thick">
        <color indexed="10"/>
      </right>
      <top/>
      <bottom style="thin">
        <color indexed="64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ck">
        <color indexed="57"/>
      </left>
      <right/>
      <top style="thick">
        <color indexed="57"/>
      </top>
      <bottom/>
      <diagonal/>
    </border>
    <border>
      <left/>
      <right/>
      <top style="thick">
        <color indexed="57"/>
      </top>
      <bottom/>
      <diagonal/>
    </border>
    <border>
      <left style="thin">
        <color indexed="22"/>
      </left>
      <right/>
      <top style="thick">
        <color indexed="57"/>
      </top>
      <bottom/>
      <diagonal/>
    </border>
    <border>
      <left/>
      <right style="thick">
        <color indexed="57"/>
      </right>
      <top style="thick">
        <color indexed="57"/>
      </top>
      <bottom/>
      <diagonal/>
    </border>
    <border>
      <left style="thick">
        <color indexed="57"/>
      </left>
      <right/>
      <top style="thin">
        <color indexed="22"/>
      </top>
      <bottom style="thin">
        <color indexed="22"/>
      </bottom>
      <diagonal/>
    </border>
    <border>
      <left/>
      <right style="thick">
        <color indexed="57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ck">
        <color indexed="57"/>
      </left>
      <right/>
      <top style="thin">
        <color indexed="22"/>
      </top>
      <bottom style="thick">
        <color indexed="57"/>
      </bottom>
      <diagonal/>
    </border>
    <border>
      <left/>
      <right/>
      <top style="thin">
        <color indexed="22"/>
      </top>
      <bottom style="thick">
        <color indexed="57"/>
      </bottom>
      <diagonal/>
    </border>
    <border>
      <left style="thin">
        <color indexed="22"/>
      </left>
      <right/>
      <top style="thin">
        <color indexed="22"/>
      </top>
      <bottom style="thick">
        <color indexed="57"/>
      </bottom>
      <diagonal/>
    </border>
    <border>
      <left/>
      <right/>
      <top/>
      <bottom style="thick">
        <color indexed="57"/>
      </bottom>
      <diagonal/>
    </border>
    <border>
      <left/>
      <right style="thick">
        <color indexed="57"/>
      </right>
      <top/>
      <bottom style="thick">
        <color indexed="57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ck">
        <color indexed="57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double">
        <color indexed="64"/>
      </bottom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 style="thin">
        <color indexed="22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64"/>
      </top>
      <bottom/>
      <diagonal/>
    </border>
    <border>
      <left style="thick">
        <color indexed="11"/>
      </left>
      <right/>
      <top style="thick">
        <color indexed="11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ck">
        <color indexed="11"/>
      </bottom>
      <diagonal/>
    </border>
    <border>
      <left style="thin">
        <color indexed="64"/>
      </left>
      <right style="thin">
        <color indexed="64"/>
      </right>
      <top/>
      <bottom style="thick">
        <color indexed="11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ck">
        <color indexed="11"/>
      </left>
      <right/>
      <top style="thick">
        <color indexed="11"/>
      </top>
      <bottom/>
      <diagonal/>
    </border>
    <border>
      <left style="thin">
        <color indexed="22"/>
      </left>
      <right style="thick">
        <color indexed="11"/>
      </right>
      <top style="thick">
        <color indexed="11"/>
      </top>
      <bottom/>
      <diagonal/>
    </border>
    <border>
      <left style="thick">
        <color indexed="11"/>
      </left>
      <right style="thick">
        <color indexed="11"/>
      </right>
      <top style="thick">
        <color indexed="11"/>
      </top>
      <bottom/>
      <diagonal/>
    </border>
    <border>
      <left style="thin">
        <color indexed="22"/>
      </left>
      <right style="thick">
        <color indexed="11"/>
      </right>
      <top style="thin">
        <color indexed="22"/>
      </top>
      <bottom style="thin">
        <color indexed="22"/>
      </bottom>
      <diagonal/>
    </border>
    <border>
      <left style="thick">
        <color indexed="11"/>
      </left>
      <right style="thick">
        <color indexed="1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64"/>
      </left>
      <right style="thick">
        <color indexed="11"/>
      </right>
      <top style="thin">
        <color indexed="22"/>
      </top>
      <bottom style="thin">
        <color indexed="64"/>
      </bottom>
      <diagonal/>
    </border>
    <border>
      <left style="thick">
        <color indexed="11"/>
      </left>
      <right/>
      <top/>
      <bottom style="thick">
        <color indexed="11"/>
      </bottom>
      <diagonal/>
    </border>
    <border>
      <left style="thin">
        <color indexed="22"/>
      </left>
      <right style="thick">
        <color indexed="11"/>
      </right>
      <top style="thin">
        <color indexed="22"/>
      </top>
      <bottom style="thick">
        <color indexed="11"/>
      </bottom>
      <diagonal/>
    </border>
    <border>
      <left style="thick">
        <color indexed="11"/>
      </left>
      <right style="thick">
        <color indexed="11"/>
      </right>
      <top/>
      <bottom style="thick">
        <color indexed="11"/>
      </bottom>
      <diagonal/>
    </border>
    <border>
      <left style="thin">
        <color indexed="22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11"/>
      </top>
      <bottom style="thin">
        <color indexed="22"/>
      </bottom>
      <diagonal/>
    </border>
    <border>
      <left/>
      <right/>
      <top style="thick">
        <color indexed="10"/>
      </top>
      <bottom/>
      <diagonal/>
    </border>
    <border>
      <left style="thin">
        <color indexed="22"/>
      </left>
      <right style="thin">
        <color indexed="22"/>
      </right>
      <top style="double">
        <color indexed="64"/>
      </top>
      <bottom/>
      <diagonal/>
    </border>
  </borders>
  <cellStyleXfs count="45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9" fillId="3" borderId="0" applyNumberFormat="0" applyBorder="0" applyAlignment="0" applyProtection="0"/>
    <xf numFmtId="0" fontId="10" fillId="20" borderId="1" applyNumberFormat="0" applyAlignment="0" applyProtection="0"/>
    <xf numFmtId="0" fontId="11" fillId="21" borderId="2" applyNumberFormat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7" borderId="1" applyNumberFormat="0" applyAlignment="0" applyProtection="0"/>
    <xf numFmtId="0" fontId="19" fillId="0" borderId="6" applyNumberFormat="0" applyFill="0" applyAlignment="0" applyProtection="0"/>
    <xf numFmtId="0" fontId="20" fillId="22" borderId="0" applyNumberFormat="0" applyBorder="0" applyAlignment="0" applyProtection="0"/>
    <xf numFmtId="0" fontId="12" fillId="23" borderId="7" applyNumberFormat="0" applyFont="0" applyAlignment="0" applyProtection="0"/>
    <xf numFmtId="0" fontId="21" fillId="20" borderId="8" applyNumberFormat="0" applyAlignment="0" applyProtection="0"/>
    <xf numFmtId="9" fontId="1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>
      <alignment vertical="top"/>
      <protection locked="0"/>
    </xf>
  </cellStyleXfs>
  <cellXfs count="923">
    <xf numFmtId="0" fontId="0" fillId="0" borderId="0" xfId="0"/>
    <xf numFmtId="0" fontId="28" fillId="0" borderId="0" xfId="0" applyFont="1"/>
    <xf numFmtId="0" fontId="29" fillId="0" borderId="0" xfId="0" applyFont="1"/>
    <xf numFmtId="0" fontId="4" fillId="0" borderId="0" xfId="0" applyFont="1"/>
    <xf numFmtId="0" fontId="7" fillId="0" borderId="0" xfId="0" applyFont="1"/>
    <xf numFmtId="0" fontId="29" fillId="0" borderId="0" xfId="0" applyFont="1" applyAlignment="1"/>
    <xf numFmtId="0" fontId="4" fillId="24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right" vertical="center"/>
    </xf>
    <xf numFmtId="0" fontId="4" fillId="26" borderId="18" xfId="0" quotePrefix="1" applyFont="1" applyFill="1" applyBorder="1" applyAlignment="1">
      <alignment horizontal="right" vertical="center"/>
    </xf>
    <xf numFmtId="49" fontId="4" fillId="0" borderId="0" xfId="0" applyNumberFormat="1" applyFont="1" applyBorder="1" applyAlignment="1">
      <alignment horizontal="right"/>
    </xf>
    <xf numFmtId="0" fontId="4" fillId="0" borderId="0" xfId="0" quotePrefix="1" applyFont="1" applyAlignment="1">
      <alignment horizontal="right"/>
    </xf>
    <xf numFmtId="0" fontId="42" fillId="0" borderId="0" xfId="0" applyFont="1" applyAlignment="1">
      <alignment horizontal="left" vertical="top"/>
    </xf>
    <xf numFmtId="0" fontId="4" fillId="0" borderId="0" xfId="0" applyFont="1" applyAlignment="1">
      <alignment horizontal="center" vertical="center"/>
    </xf>
    <xf numFmtId="49" fontId="4" fillId="0" borderId="19" xfId="0" applyNumberFormat="1" applyFont="1" applyBorder="1" applyAlignment="1">
      <alignment horizontal="right"/>
    </xf>
    <xf numFmtId="0" fontId="4" fillId="0" borderId="0" xfId="0" applyFont="1" applyAlignment="1"/>
    <xf numFmtId="49" fontId="4" fillId="0" borderId="0" xfId="0" quotePrefix="1" applyNumberFormat="1" applyFont="1" applyAlignment="1">
      <alignment horizontal="right" vertical="center"/>
    </xf>
    <xf numFmtId="1" fontId="4" fillId="0" borderId="0" xfId="0" quotePrefix="1" applyNumberFormat="1" applyFont="1" applyAlignment="1">
      <alignment horizontal="right" vertical="center"/>
    </xf>
    <xf numFmtId="49" fontId="4" fillId="0" borderId="0" xfId="0" applyNumberFormat="1" applyFont="1" applyAlignment="1">
      <alignment horizontal="left" vertical="center"/>
    </xf>
    <xf numFmtId="0" fontId="4" fillId="0" borderId="0" xfId="0" applyFont="1" applyBorder="1" applyAlignment="1">
      <alignment horizontal="center" vertical="top"/>
    </xf>
    <xf numFmtId="49" fontId="4" fillId="24" borderId="14" xfId="0" applyNumberFormat="1" applyFont="1" applyFill="1" applyBorder="1" applyAlignment="1">
      <alignment horizontal="right" vertical="top"/>
    </xf>
    <xf numFmtId="0" fontId="4" fillId="24" borderId="13" xfId="0" applyFont="1" applyFill="1" applyBorder="1" applyAlignment="1">
      <alignment horizontal="center" vertical="top"/>
    </xf>
    <xf numFmtId="1" fontId="4" fillId="0" borderId="0" xfId="0" applyNumberFormat="1" applyFont="1" applyBorder="1" applyAlignment="1">
      <alignment horizontal="left"/>
    </xf>
    <xf numFmtId="0" fontId="4" fillId="24" borderId="0" xfId="0" quotePrefix="1" applyFont="1" applyFill="1" applyBorder="1" applyAlignment="1">
      <alignment horizontal="right" vertical="top"/>
    </xf>
    <xf numFmtId="49" fontId="4" fillId="24" borderId="0" xfId="0" applyNumberFormat="1" applyFont="1" applyFill="1" applyBorder="1" applyAlignment="1">
      <alignment horizontal="right" vertical="top"/>
    </xf>
    <xf numFmtId="0" fontId="4" fillId="26" borderId="0" xfId="0" quotePrefix="1" applyFont="1" applyFill="1" applyBorder="1" applyAlignment="1">
      <alignment horizontal="right" vertical="center"/>
    </xf>
    <xf numFmtId="0" fontId="37" fillId="0" borderId="20" xfId="0" applyFont="1" applyBorder="1" applyAlignment="1">
      <alignment horizontal="right"/>
    </xf>
    <xf numFmtId="0" fontId="4" fillId="24" borderId="0" xfId="0" applyFont="1" applyFill="1" applyBorder="1" applyAlignment="1">
      <alignment horizontal="right" vertical="center"/>
    </xf>
    <xf numFmtId="49" fontId="4" fillId="0" borderId="19" xfId="0" applyNumberFormat="1" applyFont="1" applyBorder="1" applyAlignment="1">
      <alignment horizontal="right" vertical="center"/>
    </xf>
    <xf numFmtId="1" fontId="4" fillId="0" borderId="0" xfId="0" applyNumberFormat="1" applyFont="1" applyAlignment="1">
      <alignment horizontal="right" vertical="top"/>
    </xf>
    <xf numFmtId="0" fontId="7" fillId="0" borderId="0" xfId="0" applyFont="1" applyAlignment="1">
      <alignment horizontal="center"/>
    </xf>
    <xf numFmtId="49" fontId="4" fillId="24" borderId="21" xfId="0" applyNumberFormat="1" applyFont="1" applyFill="1" applyBorder="1" applyAlignment="1">
      <alignment horizontal="right" vertical="top"/>
    </xf>
    <xf numFmtId="0" fontId="4" fillId="0" borderId="0" xfId="0" quotePrefix="1" applyFont="1" applyAlignment="1">
      <alignment horizontal="right" vertical="center"/>
    </xf>
    <xf numFmtId="0" fontId="4" fillId="26" borderId="22" xfId="0" quotePrefix="1" applyFont="1" applyFill="1" applyBorder="1" applyAlignment="1">
      <alignment horizontal="right" vertical="center"/>
    </xf>
    <xf numFmtId="1" fontId="4" fillId="0" borderId="0" xfId="0" applyNumberFormat="1" applyFont="1" applyBorder="1" applyAlignment="1">
      <alignment horizontal="center" vertical="top"/>
    </xf>
    <xf numFmtId="0" fontId="7" fillId="0" borderId="23" xfId="0" applyFont="1" applyBorder="1" applyAlignment="1">
      <alignment horizontal="center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horizontal="right" vertical="center"/>
    </xf>
    <xf numFmtId="0" fontId="4" fillId="26" borderId="11" xfId="0" applyFont="1" applyFill="1" applyBorder="1" applyAlignment="1">
      <alignment horizontal="center" vertical="center"/>
    </xf>
    <xf numFmtId="0" fontId="7" fillId="24" borderId="19" xfId="0" applyFont="1" applyFill="1" applyBorder="1" applyAlignment="1">
      <alignment horizontal="center"/>
    </xf>
    <xf numFmtId="0" fontId="49" fillId="24" borderId="19" xfId="0" applyFont="1" applyFill="1" applyBorder="1" applyAlignment="1">
      <alignment horizontal="center"/>
    </xf>
    <xf numFmtId="0" fontId="49" fillId="24" borderId="19" xfId="0" applyFont="1" applyFill="1" applyBorder="1" applyAlignment="1">
      <alignment horizontal="right"/>
    </xf>
    <xf numFmtId="0" fontId="4" fillId="0" borderId="21" xfId="0" applyFont="1" applyBorder="1" applyAlignment="1">
      <alignment horizontal="left" vertical="top"/>
    </xf>
    <xf numFmtId="0" fontId="4" fillId="24" borderId="14" xfId="0" applyFont="1" applyFill="1" applyBorder="1" applyAlignment="1">
      <alignment horizontal="center" vertical="center"/>
    </xf>
    <xf numFmtId="0" fontId="4" fillId="27" borderId="0" xfId="0" applyFont="1" applyFill="1" applyBorder="1" applyAlignment="1">
      <alignment horizontal="center" vertical="center"/>
    </xf>
    <xf numFmtId="0" fontId="4" fillId="28" borderId="24" xfId="0" applyFont="1" applyFill="1" applyBorder="1" applyAlignment="1">
      <alignment horizontal="center" vertical="center"/>
    </xf>
    <xf numFmtId="0" fontId="4" fillId="0" borderId="0" xfId="0" quotePrefix="1" applyFont="1" applyFill="1" applyBorder="1" applyAlignment="1">
      <alignment horizontal="right" vertical="center"/>
    </xf>
    <xf numFmtId="0" fontId="4" fillId="26" borderId="0" xfId="0" applyFont="1" applyFill="1" applyBorder="1" applyAlignment="1">
      <alignment horizontal="center" vertical="center"/>
    </xf>
    <xf numFmtId="0" fontId="29" fillId="0" borderId="0" xfId="0" applyFont="1" applyFill="1"/>
    <xf numFmtId="0" fontId="4" fillId="0" borderId="0" xfId="0" applyFont="1" applyAlignment="1">
      <alignment horizontal="left"/>
    </xf>
    <xf numFmtId="1" fontId="4" fillId="0" borderId="0" xfId="0" quotePrefix="1" applyNumberFormat="1" applyFont="1" applyBorder="1" applyAlignment="1">
      <alignment horizontal="right" vertical="center"/>
    </xf>
    <xf numFmtId="0" fontId="55" fillId="0" borderId="0" xfId="0" applyFont="1"/>
    <xf numFmtId="0" fontId="28" fillId="0" borderId="0" xfId="0" applyFont="1" applyAlignment="1">
      <alignment horizontal="left" vertical="center"/>
    </xf>
    <xf numFmtId="1" fontId="55" fillId="0" borderId="0" xfId="0" applyNumberFormat="1" applyFont="1" applyAlignment="1">
      <alignment horizontal="left"/>
    </xf>
    <xf numFmtId="1" fontId="55" fillId="0" borderId="0" xfId="0" applyNumberFormat="1" applyFont="1" applyAlignment="1">
      <alignment horizontal="left" vertical="center"/>
    </xf>
    <xf numFmtId="0" fontId="55" fillId="0" borderId="0" xfId="0" applyFont="1" applyAlignment="1">
      <alignment vertical="top"/>
    </xf>
    <xf numFmtId="0" fontId="55" fillId="0" borderId="18" xfId="0" applyFont="1" applyBorder="1"/>
    <xf numFmtId="0" fontId="55" fillId="0" borderId="22" xfId="0" applyFont="1" applyBorder="1"/>
    <xf numFmtId="0" fontId="55" fillId="0" borderId="22" xfId="0" applyFont="1" applyBorder="1" applyAlignment="1">
      <alignment horizontal="right" vertical="center"/>
    </xf>
    <xf numFmtId="0" fontId="55" fillId="0" borderId="25" xfId="0" applyFont="1" applyBorder="1" applyAlignment="1" applyProtection="1">
      <alignment vertical="center"/>
      <protection locked="0"/>
    </xf>
    <xf numFmtId="0" fontId="55" fillId="0" borderId="0" xfId="0" applyFont="1" applyAlignment="1">
      <alignment horizontal="right"/>
    </xf>
    <xf numFmtId="0" fontId="55" fillId="0" borderId="20" xfId="0" applyFont="1" applyBorder="1" applyProtection="1">
      <protection locked="0"/>
    </xf>
    <xf numFmtId="0" fontId="55" fillId="29" borderId="0" xfId="0" applyFont="1" applyFill="1"/>
    <xf numFmtId="0" fontId="55" fillId="30" borderId="0" xfId="0" applyFont="1" applyFill="1"/>
    <xf numFmtId="0" fontId="55" fillId="0" borderId="0" xfId="0" applyFont="1" applyAlignment="1">
      <alignment horizontal="center"/>
    </xf>
    <xf numFmtId="0" fontId="28" fillId="0" borderId="20" xfId="0" applyFont="1" applyFill="1" applyBorder="1" applyAlignment="1" applyProtection="1">
      <alignment vertical="center"/>
      <protection locked="0"/>
    </xf>
    <xf numFmtId="1" fontId="55" fillId="0" borderId="0" xfId="0" applyNumberFormat="1" applyFont="1" applyProtection="1">
      <protection locked="0"/>
    </xf>
    <xf numFmtId="0" fontId="55" fillId="0" borderId="0" xfId="0" applyFont="1" applyProtection="1">
      <protection locked="0"/>
    </xf>
    <xf numFmtId="0" fontId="55" fillId="0" borderId="22" xfId="0" applyFont="1" applyBorder="1" applyAlignment="1">
      <alignment horizontal="right"/>
    </xf>
    <xf numFmtId="0" fontId="55" fillId="0" borderId="25" xfId="0" applyFont="1" applyBorder="1" applyProtection="1"/>
    <xf numFmtId="0" fontId="55" fillId="0" borderId="25" xfId="0" applyFont="1" applyBorder="1"/>
    <xf numFmtId="0" fontId="55" fillId="0" borderId="26" xfId="0" applyFont="1" applyBorder="1"/>
    <xf numFmtId="0" fontId="55" fillId="0" borderId="25" xfId="0" applyFont="1" applyBorder="1" applyProtection="1">
      <protection locked="0"/>
    </xf>
    <xf numFmtId="0" fontId="55" fillId="0" borderId="18" xfId="0" applyFont="1" applyBorder="1" applyAlignment="1">
      <alignment horizontal="right"/>
    </xf>
    <xf numFmtId="0" fontId="55" fillId="0" borderId="10" xfId="0" applyFont="1" applyBorder="1" applyAlignment="1">
      <alignment horizontal="center"/>
    </xf>
    <xf numFmtId="0" fontId="55" fillId="0" borderId="11" xfId="0" applyFont="1" applyBorder="1" applyAlignment="1">
      <alignment horizontal="center"/>
    </xf>
    <xf numFmtId="0" fontId="55" fillId="0" borderId="12" xfId="0" applyFont="1" applyBorder="1" applyAlignment="1">
      <alignment horizontal="center"/>
    </xf>
    <xf numFmtId="0" fontId="55" fillId="0" borderId="18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25" xfId="0" applyFont="1" applyBorder="1" applyAlignment="1">
      <alignment horizontal="center"/>
    </xf>
    <xf numFmtId="0" fontId="55" fillId="0" borderId="16" xfId="0" applyFont="1" applyBorder="1"/>
    <xf numFmtId="0" fontId="55" fillId="0" borderId="16" xfId="0" applyFont="1" applyBorder="1" applyAlignment="1">
      <alignment horizontal="center"/>
    </xf>
    <xf numFmtId="0" fontId="29" fillId="0" borderId="19" xfId="0" applyFont="1" applyBorder="1"/>
    <xf numFmtId="0" fontId="55" fillId="0" borderId="19" xfId="0" applyFont="1" applyBorder="1"/>
    <xf numFmtId="0" fontId="55" fillId="0" borderId="19" xfId="0" applyFont="1" applyBorder="1" applyAlignment="1">
      <alignment vertical="center"/>
    </xf>
    <xf numFmtId="0" fontId="55" fillId="0" borderId="19" xfId="0" applyFont="1" applyBorder="1" applyAlignment="1">
      <alignment vertical="top"/>
    </xf>
    <xf numFmtId="1" fontId="55" fillId="0" borderId="0" xfId="0" applyNumberFormat="1" applyFont="1"/>
    <xf numFmtId="1" fontId="55" fillId="0" borderId="19" xfId="0" applyNumberFormat="1" applyFont="1" applyBorder="1" applyAlignment="1">
      <alignment horizontal="left"/>
    </xf>
    <xf numFmtId="1" fontId="55" fillId="0" borderId="0" xfId="0" applyNumberFormat="1" applyFont="1" applyBorder="1" applyAlignment="1">
      <alignment horizontal="left"/>
    </xf>
    <xf numFmtId="0" fontId="55" fillId="0" borderId="0" xfId="0" applyFont="1" applyBorder="1" applyAlignment="1">
      <alignment horizontal="left"/>
    </xf>
    <xf numFmtId="1" fontId="28" fillId="0" borderId="19" xfId="0" applyNumberFormat="1" applyFont="1" applyBorder="1"/>
    <xf numFmtId="0" fontId="55" fillId="0" borderId="0" xfId="0" applyFont="1" applyBorder="1"/>
    <xf numFmtId="0" fontId="55" fillId="0" borderId="0" xfId="0" applyFont="1" applyAlignment="1">
      <alignment horizontal="left"/>
    </xf>
    <xf numFmtId="0" fontId="55" fillId="0" borderId="20" xfId="0" applyFont="1" applyBorder="1" applyAlignment="1" applyProtection="1">
      <alignment vertical="top"/>
    </xf>
    <xf numFmtId="0" fontId="55" fillId="0" borderId="10" xfId="0" applyFont="1" applyBorder="1" applyAlignment="1">
      <alignment horizontal="right"/>
    </xf>
    <xf numFmtId="0" fontId="55" fillId="0" borderId="11" xfId="0" applyFont="1" applyBorder="1"/>
    <xf numFmtId="0" fontId="55" fillId="0" borderId="12" xfId="0" applyFont="1" applyBorder="1"/>
    <xf numFmtId="0" fontId="55" fillId="0" borderId="27" xfId="0" applyFont="1" applyBorder="1" applyAlignment="1">
      <alignment horizontal="right"/>
    </xf>
    <xf numFmtId="0" fontId="55" fillId="0" borderId="10" xfId="0" applyFont="1" applyBorder="1"/>
    <xf numFmtId="0" fontId="29" fillId="24" borderId="0" xfId="0" applyFont="1" applyFill="1" applyBorder="1" applyAlignment="1">
      <alignment horizontal="center" vertical="center"/>
    </xf>
    <xf numFmtId="0" fontId="55" fillId="24" borderId="0" xfId="0" applyFont="1" applyFill="1" applyBorder="1"/>
    <xf numFmtId="49" fontId="28" fillId="0" borderId="0" xfId="0" applyNumberFormat="1" applyFont="1" applyFill="1" applyBorder="1" applyAlignment="1">
      <alignment horizontal="right"/>
    </xf>
    <xf numFmtId="49" fontId="28" fillId="0" borderId="0" xfId="0" applyNumberFormat="1" applyFont="1" applyFill="1" applyBorder="1" applyAlignment="1">
      <alignment horizontal="center"/>
    </xf>
    <xf numFmtId="0" fontId="55" fillId="0" borderId="0" xfId="0" applyFont="1" applyFill="1" applyBorder="1"/>
    <xf numFmtId="0" fontId="56" fillId="0" borderId="0" xfId="0" applyFont="1" applyBorder="1" applyAlignment="1">
      <alignment horizontal="center" vertical="center"/>
    </xf>
    <xf numFmtId="0" fontId="57" fillId="0" borderId="0" xfId="0" applyFont="1" applyBorder="1" applyAlignment="1">
      <alignment horizontal="center" vertical="center"/>
    </xf>
    <xf numFmtId="1" fontId="55" fillId="0" borderId="0" xfId="0" applyNumberFormat="1" applyFont="1" applyBorder="1"/>
    <xf numFmtId="0" fontId="55" fillId="0" borderId="13" xfId="0" applyFont="1" applyBorder="1"/>
    <xf numFmtId="0" fontId="55" fillId="0" borderId="15" xfId="0" applyFont="1" applyBorder="1" applyAlignment="1">
      <alignment horizontal="right"/>
    </xf>
    <xf numFmtId="0" fontId="55" fillId="0" borderId="16" xfId="0" applyFont="1" applyBorder="1" applyProtection="1">
      <protection locked="0"/>
    </xf>
    <xf numFmtId="0" fontId="55" fillId="0" borderId="17" xfId="0" applyFont="1" applyBorder="1"/>
    <xf numFmtId="0" fontId="55" fillId="0" borderId="0" xfId="0" applyFont="1" applyBorder="1" applyAlignment="1">
      <alignment horizontal="right"/>
    </xf>
    <xf numFmtId="2" fontId="55" fillId="0" borderId="0" xfId="0" applyNumberFormat="1" applyFont="1" applyBorder="1" applyAlignment="1">
      <alignment horizontal="center"/>
    </xf>
    <xf numFmtId="2" fontId="55" fillId="31" borderId="0" xfId="0" applyNumberFormat="1" applyFont="1" applyFill="1" applyBorder="1" applyAlignment="1">
      <alignment horizontal="center"/>
    </xf>
    <xf numFmtId="0" fontId="55" fillId="0" borderId="14" xfId="0" applyFont="1" applyBorder="1"/>
    <xf numFmtId="0" fontId="28" fillId="24" borderId="13" xfId="0" applyFont="1" applyFill="1" applyBorder="1" applyAlignment="1">
      <alignment horizontal="left" vertical="center"/>
    </xf>
    <xf numFmtId="0" fontId="29" fillId="24" borderId="0" xfId="0" applyFont="1" applyFill="1" applyBorder="1" applyAlignment="1">
      <alignment horizontal="center"/>
    </xf>
    <xf numFmtId="0" fontId="28" fillId="24" borderId="28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55" fillId="0" borderId="0" xfId="0" applyFont="1" applyBorder="1" applyAlignment="1"/>
    <xf numFmtId="1" fontId="55" fillId="0" borderId="0" xfId="0" applyNumberFormat="1" applyFont="1" applyBorder="1" applyAlignment="1">
      <alignment horizontal="center"/>
    </xf>
    <xf numFmtId="0" fontId="55" fillId="32" borderId="0" xfId="0" applyFont="1" applyFill="1" applyAlignment="1">
      <alignment horizontal="center"/>
    </xf>
    <xf numFmtId="0" fontId="28" fillId="27" borderId="0" xfId="0" applyFont="1" applyFill="1" applyBorder="1" applyAlignment="1">
      <alignment horizontal="center"/>
    </xf>
    <xf numFmtId="0" fontId="28" fillId="33" borderId="0" xfId="0" applyFont="1" applyFill="1" applyBorder="1" applyAlignment="1">
      <alignment horizontal="center"/>
    </xf>
    <xf numFmtId="0" fontId="55" fillId="0" borderId="27" xfId="0" applyFont="1" applyBorder="1"/>
    <xf numFmtId="0" fontId="55" fillId="27" borderId="0" xfId="0" applyFont="1" applyFill="1" applyBorder="1" applyAlignment="1">
      <alignment horizontal="right"/>
    </xf>
    <xf numFmtId="0" fontId="55" fillId="33" borderId="0" xfId="0" applyFont="1" applyFill="1" applyBorder="1" applyAlignment="1">
      <alignment horizontal="right"/>
    </xf>
    <xf numFmtId="0" fontId="55" fillId="33" borderId="0" xfId="0" applyFont="1" applyFill="1" applyBorder="1"/>
    <xf numFmtId="0" fontId="55" fillId="31" borderId="0" xfId="0" applyFont="1" applyFill="1" applyBorder="1"/>
    <xf numFmtId="0" fontId="55" fillId="28" borderId="0" xfId="0" applyFont="1" applyFill="1" applyBorder="1"/>
    <xf numFmtId="0" fontId="55" fillId="34" borderId="0" xfId="0" applyFont="1" applyFill="1" applyBorder="1"/>
    <xf numFmtId="0" fontId="55" fillId="0" borderId="29" xfId="0" applyFont="1" applyBorder="1"/>
    <xf numFmtId="0" fontId="7" fillId="0" borderId="19" xfId="0" applyFont="1" applyBorder="1" applyAlignment="1">
      <alignment horizontal="center"/>
    </xf>
    <xf numFmtId="0" fontId="28" fillId="24" borderId="30" xfId="0" applyFont="1" applyFill="1" applyBorder="1" applyAlignment="1">
      <alignment horizontal="center"/>
    </xf>
    <xf numFmtId="0" fontId="28" fillId="24" borderId="31" xfId="0" applyFont="1" applyFill="1" applyBorder="1" applyAlignment="1">
      <alignment horizontal="center" vertical="center"/>
    </xf>
    <xf numFmtId="0" fontId="58" fillId="0" borderId="30" xfId="0" applyFont="1" applyBorder="1" applyAlignment="1"/>
    <xf numFmtId="0" fontId="58" fillId="0" borderId="19" xfId="0" applyFont="1" applyFill="1" applyBorder="1" applyAlignment="1">
      <alignment horizontal="center" vertical="center"/>
    </xf>
    <xf numFmtId="0" fontId="28" fillId="0" borderId="19" xfId="0" applyFont="1" applyFill="1" applyBorder="1" applyAlignment="1">
      <alignment horizontal="center" vertical="center"/>
    </xf>
    <xf numFmtId="0" fontId="56" fillId="0" borderId="0" xfId="0" applyFont="1" applyAlignment="1">
      <alignment horizontal="center"/>
    </xf>
    <xf numFmtId="0" fontId="56" fillId="0" borderId="0" xfId="0" applyFont="1" applyAlignment="1">
      <alignment horizontal="right"/>
    </xf>
    <xf numFmtId="0" fontId="57" fillId="0" borderId="0" xfId="0" applyFont="1" applyAlignment="1">
      <alignment horizontal="center"/>
    </xf>
    <xf numFmtId="1" fontId="55" fillId="0" borderId="0" xfId="0" applyNumberFormat="1" applyFont="1" applyBorder="1" applyAlignment="1"/>
    <xf numFmtId="1" fontId="56" fillId="0" borderId="0" xfId="0" applyNumberFormat="1" applyFont="1" applyBorder="1" applyAlignment="1">
      <alignment horizontal="center"/>
    </xf>
    <xf numFmtId="0" fontId="55" fillId="32" borderId="16" xfId="0" applyFont="1" applyFill="1" applyBorder="1" applyAlignment="1">
      <alignment horizontal="center"/>
    </xf>
    <xf numFmtId="0" fontId="28" fillId="27" borderId="16" xfId="0" applyFont="1" applyFill="1" applyBorder="1" applyAlignment="1">
      <alignment horizontal="center"/>
    </xf>
    <xf numFmtId="0" fontId="7" fillId="33" borderId="0" xfId="0" applyFont="1" applyFill="1" applyBorder="1" applyAlignment="1">
      <alignment horizontal="center" vertical="center"/>
    </xf>
    <xf numFmtId="0" fontId="28" fillId="27" borderId="0" xfId="0" applyFont="1" applyFill="1" applyBorder="1" applyAlignment="1">
      <alignment horizontal="center" vertical="center"/>
    </xf>
    <xf numFmtId="0" fontId="55" fillId="27" borderId="0" xfId="0" applyFont="1" applyFill="1"/>
    <xf numFmtId="0" fontId="55" fillId="33" borderId="0" xfId="0" applyFont="1" applyFill="1" applyAlignment="1">
      <alignment horizontal="center"/>
    </xf>
    <xf numFmtId="0" fontId="55" fillId="27" borderId="0" xfId="0" applyFont="1" applyFill="1" applyAlignment="1">
      <alignment horizontal="center"/>
    </xf>
    <xf numFmtId="0" fontId="55" fillId="31" borderId="0" xfId="0" applyFont="1" applyFill="1" applyAlignment="1">
      <alignment horizontal="center"/>
    </xf>
    <xf numFmtId="0" fontId="55" fillId="28" borderId="0" xfId="0" applyFont="1" applyFill="1" applyAlignment="1">
      <alignment horizontal="center"/>
    </xf>
    <xf numFmtId="0" fontId="55" fillId="34" borderId="16" xfId="0" applyFont="1" applyFill="1" applyBorder="1" applyAlignment="1">
      <alignment horizontal="center"/>
    </xf>
    <xf numFmtId="0" fontId="55" fillId="34" borderId="0" xfId="0" applyFont="1" applyFill="1" applyAlignment="1">
      <alignment horizontal="center"/>
    </xf>
    <xf numFmtId="0" fontId="55" fillId="0" borderId="0" xfId="0" applyFont="1" applyBorder="1" applyAlignment="1">
      <alignment horizontal="center"/>
    </xf>
    <xf numFmtId="0" fontId="55" fillId="0" borderId="32" xfId="0" applyNumberFormat="1" applyFont="1" applyBorder="1" applyAlignment="1">
      <alignment horizontal="right" vertical="center"/>
    </xf>
    <xf numFmtId="0" fontId="28" fillId="0" borderId="32" xfId="0" applyFont="1" applyBorder="1" applyAlignment="1">
      <alignment horizontal="center" vertical="center"/>
    </xf>
    <xf numFmtId="0" fontId="59" fillId="24" borderId="33" xfId="0" applyFont="1" applyFill="1" applyBorder="1" applyAlignment="1">
      <alignment vertical="center"/>
    </xf>
    <xf numFmtId="0" fontId="56" fillId="0" borderId="21" xfId="0" applyFont="1" applyBorder="1" applyAlignment="1" applyProtection="1">
      <alignment vertical="center"/>
      <protection locked="0"/>
    </xf>
    <xf numFmtId="0" fontId="56" fillId="0" borderId="34" xfId="0" applyFont="1" applyBorder="1" applyAlignment="1" applyProtection="1">
      <alignment vertical="center"/>
      <protection locked="0"/>
    </xf>
    <xf numFmtId="0" fontId="28" fillId="0" borderId="21" xfId="0" applyFont="1" applyBorder="1" applyAlignment="1" applyProtection="1">
      <alignment vertical="center"/>
      <protection locked="0"/>
    </xf>
    <xf numFmtId="0" fontId="55" fillId="0" borderId="21" xfId="0" applyFont="1" applyBorder="1" applyAlignment="1" applyProtection="1">
      <alignment vertical="center"/>
      <protection locked="0"/>
    </xf>
    <xf numFmtId="0" fontId="55" fillId="24" borderId="35" xfId="0" applyFont="1" applyFill="1" applyBorder="1" applyAlignment="1">
      <alignment vertical="center"/>
    </xf>
    <xf numFmtId="0" fontId="55" fillId="0" borderId="34" xfId="0" applyFont="1" applyFill="1" applyBorder="1" applyAlignment="1">
      <alignment vertical="center"/>
    </xf>
    <xf numFmtId="0" fontId="55" fillId="0" borderId="0" xfId="0" applyFont="1" applyFill="1" applyBorder="1" applyAlignment="1">
      <alignment vertical="center"/>
    </xf>
    <xf numFmtId="0" fontId="28" fillId="0" borderId="0" xfId="0" applyNumberFormat="1" applyFont="1" applyBorder="1" applyAlignment="1">
      <alignment vertical="center"/>
    </xf>
    <xf numFmtId="0" fontId="36" fillId="0" borderId="36" xfId="0" applyNumberFormat="1" applyFont="1" applyBorder="1" applyAlignment="1">
      <alignment vertical="center"/>
    </xf>
    <xf numFmtId="166" fontId="57" fillId="0" borderId="37" xfId="0" applyNumberFormat="1" applyFont="1" applyBorder="1" applyAlignment="1">
      <alignment horizontal="center" vertical="center"/>
    </xf>
    <xf numFmtId="0" fontId="28" fillId="0" borderId="36" xfId="0" applyNumberFormat="1" applyFont="1" applyBorder="1" applyAlignment="1">
      <alignment vertical="center"/>
    </xf>
    <xf numFmtId="1" fontId="55" fillId="0" borderId="0" xfId="0" applyNumberFormat="1" applyFont="1" applyBorder="1" applyAlignment="1">
      <alignment vertical="center"/>
    </xf>
    <xf numFmtId="0" fontId="55" fillId="0" borderId="0" xfId="0" applyFont="1" applyBorder="1" applyAlignment="1">
      <alignment vertical="center"/>
    </xf>
    <xf numFmtId="1" fontId="55" fillId="0" borderId="0" xfId="0" applyNumberFormat="1" applyFont="1" applyBorder="1" applyAlignment="1">
      <alignment horizontal="left" vertical="center"/>
    </xf>
    <xf numFmtId="1" fontId="29" fillId="0" borderId="36" xfId="0" applyNumberFormat="1" applyFont="1" applyBorder="1" applyAlignment="1">
      <alignment horizontal="right" vertical="center"/>
    </xf>
    <xf numFmtId="0" fontId="56" fillId="0" borderId="36" xfId="0" applyNumberFormat="1" applyFont="1" applyBorder="1" applyAlignment="1">
      <alignment horizontal="left" vertical="center"/>
    </xf>
    <xf numFmtId="1" fontId="29" fillId="0" borderId="36" xfId="0" applyNumberFormat="1" applyFont="1" applyBorder="1" applyAlignment="1">
      <alignment horizontal="center" vertical="center"/>
    </xf>
    <xf numFmtId="1" fontId="29" fillId="0" borderId="38" xfId="0" applyNumberFormat="1" applyFont="1" applyBorder="1" applyAlignment="1">
      <alignment horizontal="left"/>
    </xf>
    <xf numFmtId="1" fontId="29" fillId="0" borderId="0" xfId="0" applyNumberFormat="1" applyFont="1" applyBorder="1" applyAlignment="1">
      <alignment horizontal="left"/>
    </xf>
    <xf numFmtId="0" fontId="55" fillId="33" borderId="0" xfId="0" applyFont="1" applyFill="1" applyBorder="1" applyProtection="1"/>
    <xf numFmtId="0" fontId="55" fillId="33" borderId="11" xfId="0" applyFont="1" applyFill="1" applyBorder="1"/>
    <xf numFmtId="0" fontId="28" fillId="0" borderId="11" xfId="0" applyFont="1" applyBorder="1"/>
    <xf numFmtId="0" fontId="55" fillId="0" borderId="39" xfId="0" applyFont="1" applyBorder="1"/>
    <xf numFmtId="0" fontId="55" fillId="0" borderId="39" xfId="0" applyFont="1" applyBorder="1" applyAlignment="1">
      <alignment vertical="center"/>
    </xf>
    <xf numFmtId="0" fontId="55" fillId="0" borderId="40" xfId="0" applyFont="1" applyBorder="1" applyAlignment="1">
      <alignment horizontal="center" vertical="center"/>
    </xf>
    <xf numFmtId="0" fontId="59" fillId="24" borderId="13" xfId="0" applyFont="1" applyFill="1" applyBorder="1" applyAlignment="1">
      <alignment vertical="center"/>
    </xf>
    <xf numFmtId="0" fontId="56" fillId="0" borderId="41" xfId="0" applyFont="1" applyBorder="1" applyAlignment="1" applyProtection="1">
      <alignment vertical="center"/>
      <protection locked="0"/>
    </xf>
    <xf numFmtId="0" fontId="56" fillId="0" borderId="42" xfId="0" applyFont="1" applyBorder="1" applyAlignment="1" applyProtection="1">
      <alignment vertical="center"/>
      <protection locked="0"/>
    </xf>
    <xf numFmtId="0" fontId="55" fillId="0" borderId="41" xfId="0" applyFont="1" applyBorder="1" applyAlignment="1" applyProtection="1">
      <alignment vertical="center"/>
      <protection locked="0"/>
    </xf>
    <xf numFmtId="0" fontId="55" fillId="24" borderId="14" xfId="0" applyFont="1" applyFill="1" applyBorder="1" applyAlignment="1">
      <alignment vertical="center"/>
    </xf>
    <xf numFmtId="0" fontId="55" fillId="0" borderId="43" xfId="0" applyFont="1" applyFill="1" applyBorder="1" applyAlignment="1">
      <alignment vertical="center"/>
    </xf>
    <xf numFmtId="0" fontId="55" fillId="0" borderId="42" xfId="0" applyFont="1" applyFill="1" applyBorder="1" applyAlignment="1">
      <alignment vertical="center"/>
    </xf>
    <xf numFmtId="0" fontId="28" fillId="0" borderId="44" xfId="0" applyNumberFormat="1" applyFont="1" applyBorder="1" applyAlignment="1">
      <alignment vertical="center"/>
    </xf>
    <xf numFmtId="0" fontId="36" fillId="0" borderId="45" xfId="0" applyNumberFormat="1" applyFont="1" applyBorder="1" applyAlignment="1">
      <alignment vertical="center"/>
    </xf>
    <xf numFmtId="0" fontId="36" fillId="0" borderId="39" xfId="0" applyNumberFormat="1" applyFont="1" applyBorder="1" applyAlignment="1">
      <alignment vertical="center"/>
    </xf>
    <xf numFmtId="166" fontId="57" fillId="0" borderId="46" xfId="0" applyNumberFormat="1" applyFont="1" applyBorder="1" applyAlignment="1">
      <alignment horizontal="center" vertical="center"/>
    </xf>
    <xf numFmtId="0" fontId="28" fillId="0" borderId="39" xfId="0" applyNumberFormat="1" applyFont="1" applyBorder="1" applyAlignment="1">
      <alignment vertical="center"/>
    </xf>
    <xf numFmtId="1" fontId="29" fillId="0" borderId="39" xfId="0" applyNumberFormat="1" applyFont="1" applyBorder="1" applyAlignment="1">
      <alignment horizontal="right" vertical="center"/>
    </xf>
    <xf numFmtId="0" fontId="56" fillId="0" borderId="39" xfId="0" applyNumberFormat="1" applyFont="1" applyBorder="1" applyAlignment="1">
      <alignment horizontal="left" vertical="center"/>
    </xf>
    <xf numFmtId="1" fontId="29" fillId="0" borderId="39" xfId="0" applyNumberFormat="1" applyFont="1" applyBorder="1" applyAlignment="1">
      <alignment horizontal="center" vertical="center"/>
    </xf>
    <xf numFmtId="1" fontId="29" fillId="0" borderId="47" xfId="0" applyNumberFormat="1" applyFont="1" applyBorder="1" applyAlignment="1">
      <alignment horizontal="left"/>
    </xf>
    <xf numFmtId="0" fontId="55" fillId="0" borderId="0" xfId="0" applyFont="1" applyBorder="1" applyProtection="1">
      <protection locked="0"/>
    </xf>
    <xf numFmtId="0" fontId="55" fillId="0" borderId="0" xfId="0" applyFont="1" applyBorder="1" applyProtection="1"/>
    <xf numFmtId="0" fontId="28" fillId="0" borderId="0" xfId="0" applyFont="1" applyBorder="1"/>
    <xf numFmtId="0" fontId="55" fillId="0" borderId="39" xfId="0" applyFont="1" applyFill="1" applyBorder="1" applyAlignment="1">
      <alignment vertical="center"/>
    </xf>
    <xf numFmtId="0" fontId="28" fillId="0" borderId="47" xfId="0" applyNumberFormat="1" applyFont="1" applyBorder="1" applyAlignment="1">
      <alignment vertical="center"/>
    </xf>
    <xf numFmtId="0" fontId="59" fillId="24" borderId="28" xfId="0" applyFont="1" applyFill="1" applyBorder="1" applyAlignment="1">
      <alignment vertical="center"/>
    </xf>
    <xf numFmtId="0" fontId="28" fillId="0" borderId="48" xfId="0" applyNumberFormat="1" applyFont="1" applyBorder="1" applyAlignment="1">
      <alignment vertical="center"/>
    </xf>
    <xf numFmtId="0" fontId="55" fillId="0" borderId="0" xfId="0" applyFont="1" applyFill="1"/>
    <xf numFmtId="0" fontId="55" fillId="0" borderId="15" xfId="0" applyFont="1" applyBorder="1"/>
    <xf numFmtId="0" fontId="55" fillId="0" borderId="49" xfId="0" applyFont="1" applyBorder="1" applyAlignment="1">
      <alignment vertical="center"/>
    </xf>
    <xf numFmtId="0" fontId="55" fillId="0" borderId="50" xfId="0" applyFont="1" applyBorder="1" applyAlignment="1">
      <alignment horizontal="center" vertical="center"/>
    </xf>
    <xf numFmtId="0" fontId="59" fillId="24" borderId="27" xfId="0" applyFont="1" applyFill="1" applyBorder="1" applyAlignment="1">
      <alignment vertical="center"/>
    </xf>
    <xf numFmtId="0" fontId="56" fillId="0" borderId="51" xfId="0" applyFont="1" applyBorder="1" applyAlignment="1" applyProtection="1">
      <alignment vertical="center"/>
      <protection locked="0"/>
    </xf>
    <xf numFmtId="0" fontId="56" fillId="0" borderId="52" xfId="0" applyFont="1" applyBorder="1" applyAlignment="1" applyProtection="1">
      <alignment vertical="center"/>
      <protection locked="0"/>
    </xf>
    <xf numFmtId="0" fontId="55" fillId="0" borderId="51" xfId="0" applyFont="1" applyBorder="1" applyAlignment="1" applyProtection="1">
      <alignment vertical="center"/>
      <protection locked="0"/>
    </xf>
    <xf numFmtId="0" fontId="55" fillId="0" borderId="53" xfId="0" applyFont="1" applyFill="1" applyBorder="1" applyAlignment="1">
      <alignment vertical="center"/>
    </xf>
    <xf numFmtId="0" fontId="55" fillId="0" borderId="52" xfId="0" applyFont="1" applyFill="1" applyBorder="1" applyAlignment="1">
      <alignment vertical="center"/>
    </xf>
    <xf numFmtId="0" fontId="28" fillId="0" borderId="54" xfId="0" applyNumberFormat="1" applyFont="1" applyBorder="1" applyAlignment="1">
      <alignment vertical="center"/>
    </xf>
    <xf numFmtId="0" fontId="36" fillId="0" borderId="55" xfId="0" applyNumberFormat="1" applyFont="1" applyBorder="1" applyAlignment="1">
      <alignment vertical="center"/>
    </xf>
    <xf numFmtId="0" fontId="36" fillId="0" borderId="56" xfId="0" applyNumberFormat="1" applyFont="1" applyBorder="1" applyAlignment="1">
      <alignment vertical="center"/>
    </xf>
    <xf numFmtId="166" fontId="57" fillId="0" borderId="57" xfId="0" applyNumberFormat="1" applyFont="1" applyBorder="1" applyAlignment="1">
      <alignment horizontal="center" vertical="center"/>
    </xf>
    <xf numFmtId="1" fontId="29" fillId="0" borderId="48" xfId="0" applyNumberFormat="1" applyFont="1" applyBorder="1" applyAlignment="1">
      <alignment horizontal="right" vertical="center"/>
    </xf>
    <xf numFmtId="0" fontId="56" fillId="0" borderId="48" xfId="0" applyNumberFormat="1" applyFont="1" applyBorder="1" applyAlignment="1">
      <alignment horizontal="left" vertical="center"/>
    </xf>
    <xf numFmtId="1" fontId="29" fillId="0" borderId="48" xfId="0" applyNumberFormat="1" applyFont="1" applyBorder="1" applyAlignment="1">
      <alignment horizontal="center" vertical="center"/>
    </xf>
    <xf numFmtId="1" fontId="29" fillId="0" borderId="58" xfId="0" applyNumberFormat="1" applyFont="1" applyBorder="1" applyAlignment="1">
      <alignment horizontal="left"/>
    </xf>
    <xf numFmtId="0" fontId="55" fillId="0" borderId="16" xfId="0" applyFont="1" applyBorder="1" applyProtection="1"/>
    <xf numFmtId="0" fontId="55" fillId="33" borderId="16" xfId="0" applyFont="1" applyFill="1" applyBorder="1"/>
    <xf numFmtId="0" fontId="28" fillId="0" borderId="16" xfId="0" applyFont="1" applyBorder="1"/>
    <xf numFmtId="0" fontId="55" fillId="26" borderId="11" xfId="0" applyFont="1" applyFill="1" applyBorder="1" applyAlignment="1">
      <alignment vertical="center"/>
    </xf>
    <xf numFmtId="0" fontId="55" fillId="26" borderId="0" xfId="0" applyFont="1" applyFill="1" applyAlignment="1">
      <alignment vertical="center"/>
    </xf>
    <xf numFmtId="0" fontId="55" fillId="26" borderId="0" xfId="0" applyNumberFormat="1" applyFont="1" applyFill="1" applyBorder="1" applyAlignment="1">
      <alignment vertical="center"/>
    </xf>
    <xf numFmtId="165" fontId="55" fillId="26" borderId="0" xfId="0" applyNumberFormat="1" applyFont="1" applyFill="1" applyBorder="1" applyAlignment="1">
      <alignment vertical="center"/>
    </xf>
    <xf numFmtId="0" fontId="55" fillId="0" borderId="0" xfId="0" applyNumberFormat="1" applyFont="1" applyBorder="1" applyAlignment="1">
      <alignment vertical="center"/>
    </xf>
    <xf numFmtId="1" fontId="29" fillId="26" borderId="0" xfId="0" applyNumberFormat="1" applyFont="1" applyFill="1" applyBorder="1" applyAlignment="1">
      <alignment horizontal="right" vertical="center"/>
    </xf>
    <xf numFmtId="0" fontId="56" fillId="26" borderId="0" xfId="0" applyNumberFormat="1" applyFont="1" applyFill="1" applyBorder="1" applyAlignment="1">
      <alignment horizontal="left" vertical="center"/>
    </xf>
    <xf numFmtId="1" fontId="29" fillId="26" borderId="0" xfId="0" applyNumberFormat="1" applyFont="1" applyFill="1" applyBorder="1" applyAlignment="1">
      <alignment horizontal="center" vertical="center"/>
    </xf>
    <xf numFmtId="1" fontId="29" fillId="26" borderId="0" xfId="0" applyNumberFormat="1" applyFont="1" applyFill="1" applyBorder="1" applyAlignment="1">
      <alignment horizontal="left"/>
    </xf>
    <xf numFmtId="1" fontId="29" fillId="0" borderId="0" xfId="0" applyNumberFormat="1" applyFont="1" applyFill="1" applyBorder="1" applyAlignment="1">
      <alignment horizontal="left"/>
    </xf>
    <xf numFmtId="0" fontId="28" fillId="0" borderId="18" xfId="0" applyFont="1" applyBorder="1"/>
    <xf numFmtId="0" fontId="28" fillId="0" borderId="25" xfId="0" applyFont="1" applyBorder="1"/>
    <xf numFmtId="0" fontId="55" fillId="30" borderId="15" xfId="0" applyFont="1" applyFill="1" applyBorder="1"/>
    <xf numFmtId="0" fontId="55" fillId="26" borderId="16" xfId="0" applyFont="1" applyFill="1" applyBorder="1" applyAlignment="1">
      <alignment vertical="center"/>
    </xf>
    <xf numFmtId="0" fontId="42" fillId="26" borderId="16" xfId="0" applyNumberFormat="1" applyFont="1" applyFill="1" applyBorder="1" applyAlignment="1">
      <alignment horizontal="center" vertical="center"/>
    </xf>
    <xf numFmtId="0" fontId="31" fillId="26" borderId="16" xfId="0" applyFont="1" applyFill="1" applyBorder="1" applyAlignment="1">
      <alignment vertical="center"/>
    </xf>
    <xf numFmtId="0" fontId="29" fillId="26" borderId="15" xfId="0" applyFont="1" applyFill="1" applyBorder="1" applyAlignment="1">
      <alignment vertical="center"/>
    </xf>
    <xf numFmtId="0" fontId="29" fillId="26" borderId="20" xfId="0" applyFont="1" applyFill="1" applyBorder="1" applyAlignment="1">
      <alignment vertical="center"/>
    </xf>
    <xf numFmtId="0" fontId="28" fillId="26" borderId="59" xfId="0" applyNumberFormat="1" applyFont="1" applyFill="1" applyBorder="1" applyAlignment="1">
      <alignment vertical="center"/>
    </xf>
    <xf numFmtId="0" fontId="36" fillId="26" borderId="60" xfId="0" applyNumberFormat="1" applyFont="1" applyFill="1" applyBorder="1" applyAlignment="1">
      <alignment vertical="center"/>
    </xf>
    <xf numFmtId="165" fontId="36" fillId="26" borderId="60" xfId="0" applyNumberFormat="1" applyFont="1" applyFill="1" applyBorder="1" applyAlignment="1">
      <alignment vertical="center"/>
    </xf>
    <xf numFmtId="0" fontId="28" fillId="26" borderId="60" xfId="0" applyNumberFormat="1" applyFont="1" applyFill="1" applyBorder="1" applyAlignment="1">
      <alignment vertical="center"/>
    </xf>
    <xf numFmtId="0" fontId="55" fillId="0" borderId="0" xfId="0" applyFont="1" applyAlignment="1">
      <alignment vertical="center"/>
    </xf>
    <xf numFmtId="0" fontId="36" fillId="0" borderId="0" xfId="0" applyNumberFormat="1" applyFont="1" applyFill="1" applyBorder="1"/>
    <xf numFmtId="0" fontId="28" fillId="0" borderId="0" xfId="0" applyFont="1" applyAlignment="1">
      <alignment horizontal="center"/>
    </xf>
    <xf numFmtId="0" fontId="55" fillId="24" borderId="22" xfId="0" applyFont="1" applyFill="1" applyBorder="1"/>
    <xf numFmtId="0" fontId="55" fillId="35" borderId="10" xfId="0" applyFont="1" applyFill="1" applyBorder="1" applyAlignment="1">
      <alignment horizontal="right"/>
    </xf>
    <xf numFmtId="17" fontId="55" fillId="35" borderId="12" xfId="0" quotePrefix="1" applyNumberFormat="1" applyFont="1" applyFill="1" applyBorder="1" applyAlignment="1">
      <alignment horizontal="center"/>
    </xf>
    <xf numFmtId="0" fontId="55" fillId="0" borderId="18" xfId="0" applyFont="1" applyFill="1" applyBorder="1"/>
    <xf numFmtId="0" fontId="55" fillId="0" borderId="22" xfId="0" applyFont="1" applyFill="1" applyBorder="1"/>
    <xf numFmtId="0" fontId="7" fillId="0" borderId="0" xfId="0" applyFont="1" applyAlignment="1">
      <alignment horizontal="right" vertical="center"/>
    </xf>
    <xf numFmtId="0" fontId="55" fillId="0" borderId="0" xfId="0" applyNumberFormat="1" applyFont="1" applyAlignment="1">
      <alignment vertical="center"/>
    </xf>
    <xf numFmtId="1" fontId="55" fillId="0" borderId="0" xfId="0" applyNumberFormat="1" applyFont="1" applyAlignment="1">
      <alignment vertical="center"/>
    </xf>
    <xf numFmtId="0" fontId="55" fillId="0" borderId="0" xfId="0" applyNumberFormat="1" applyFont="1" applyBorder="1" applyAlignment="1">
      <alignment horizontal="left" vertical="center"/>
    </xf>
    <xf numFmtId="0" fontId="55" fillId="30" borderId="18" xfId="0" applyFont="1" applyFill="1" applyBorder="1"/>
    <xf numFmtId="0" fontId="55" fillId="30" borderId="22" xfId="0" applyFont="1" applyFill="1" applyBorder="1"/>
    <xf numFmtId="0" fontId="28" fillId="30" borderId="22" xfId="0" applyFont="1" applyFill="1" applyBorder="1"/>
    <xf numFmtId="0" fontId="55" fillId="32" borderId="22" xfId="0" applyFont="1" applyFill="1" applyBorder="1"/>
    <xf numFmtId="0" fontId="28" fillId="32" borderId="22" xfId="0" applyFont="1" applyFill="1" applyBorder="1"/>
    <xf numFmtId="0" fontId="55" fillId="30" borderId="25" xfId="0" applyFont="1" applyFill="1" applyBorder="1"/>
    <xf numFmtId="0" fontId="55" fillId="30" borderId="0" xfId="0" applyFont="1" applyFill="1" applyBorder="1"/>
    <xf numFmtId="0" fontId="55" fillId="0" borderId="13" xfId="0" applyFont="1" applyBorder="1" applyAlignment="1">
      <alignment horizontal="right"/>
    </xf>
    <xf numFmtId="0" fontId="55" fillId="24" borderId="25" xfId="0" applyFont="1" applyFill="1" applyBorder="1"/>
    <xf numFmtId="0" fontId="55" fillId="0" borderId="14" xfId="0" applyFont="1" applyFill="1" applyBorder="1"/>
    <xf numFmtId="0" fontId="55" fillId="0" borderId="16" xfId="0" applyFont="1" applyFill="1" applyBorder="1"/>
    <xf numFmtId="0" fontId="29" fillId="0" borderId="0" xfId="0" applyFont="1" applyAlignment="1">
      <alignment horizontal="left" vertical="center"/>
    </xf>
    <xf numFmtId="168" fontId="55" fillId="0" borderId="0" xfId="0" applyNumberFormat="1" applyFont="1" applyAlignment="1">
      <alignment vertical="center"/>
    </xf>
    <xf numFmtId="0" fontId="55" fillId="28" borderId="61" xfId="0" applyFont="1" applyFill="1" applyBorder="1"/>
    <xf numFmtId="1" fontId="55" fillId="0" borderId="18" xfId="0" applyNumberFormat="1" applyFont="1" applyBorder="1" applyAlignment="1">
      <alignment horizontal="right"/>
    </xf>
    <xf numFmtId="0" fontId="55" fillId="0" borderId="25" xfId="0" applyFont="1" applyFill="1" applyBorder="1"/>
    <xf numFmtId="0" fontId="55" fillId="36" borderId="10" xfId="0" applyFont="1" applyFill="1" applyBorder="1"/>
    <xf numFmtId="0" fontId="60" fillId="0" borderId="0" xfId="0" applyFont="1" applyAlignment="1">
      <alignment horizontal="right" vertical="center"/>
    </xf>
    <xf numFmtId="2" fontId="55" fillId="0" borderId="0" xfId="0" applyNumberFormat="1" applyFont="1" applyAlignment="1">
      <alignment vertical="center"/>
    </xf>
    <xf numFmtId="0" fontId="55" fillId="0" borderId="14" xfId="0" applyNumberFormat="1" applyFont="1" applyBorder="1"/>
    <xf numFmtId="0" fontId="55" fillId="28" borderId="62" xfId="0" applyFont="1" applyFill="1" applyBorder="1" applyAlignment="1">
      <alignment horizontal="right"/>
    </xf>
    <xf numFmtId="1" fontId="55" fillId="27" borderId="10" xfId="0" applyNumberFormat="1" applyFont="1" applyFill="1" applyBorder="1"/>
    <xf numFmtId="0" fontId="55" fillId="30" borderId="12" xfId="0" applyFont="1" applyFill="1" applyBorder="1"/>
    <xf numFmtId="0" fontId="55" fillId="36" borderId="13" xfId="0" applyFont="1" applyFill="1" applyBorder="1"/>
    <xf numFmtId="0" fontId="55" fillId="0" borderId="0" xfId="0" quotePrefix="1" applyFont="1" applyBorder="1"/>
    <xf numFmtId="1" fontId="55" fillId="27" borderId="13" xfId="0" applyNumberFormat="1" applyFont="1" applyFill="1" applyBorder="1"/>
    <xf numFmtId="0" fontId="55" fillId="30" borderId="14" xfId="0" applyFont="1" applyFill="1" applyBorder="1"/>
    <xf numFmtId="1" fontId="55" fillId="27" borderId="15" xfId="0" applyNumberFormat="1" applyFont="1" applyFill="1" applyBorder="1"/>
    <xf numFmtId="0" fontId="55" fillId="30" borderId="17" xfId="0" applyFont="1" applyFill="1" applyBorder="1"/>
    <xf numFmtId="0" fontId="55" fillId="0" borderId="28" xfId="0" applyFont="1" applyBorder="1"/>
    <xf numFmtId="0" fontId="55" fillId="0" borderId="13" xfId="0" applyFont="1" applyFill="1" applyBorder="1" applyAlignment="1">
      <alignment horizontal="right"/>
    </xf>
    <xf numFmtId="1" fontId="55" fillId="28" borderId="10" xfId="0" applyNumberFormat="1" applyFont="1" applyFill="1" applyBorder="1"/>
    <xf numFmtId="166" fontId="55" fillId="0" borderId="0" xfId="0" applyNumberFormat="1" applyFont="1"/>
    <xf numFmtId="1" fontId="55" fillId="28" borderId="13" xfId="0" applyNumberFormat="1" applyFont="1" applyFill="1" applyBorder="1"/>
    <xf numFmtId="1" fontId="55" fillId="28" borderId="15" xfId="0" applyNumberFormat="1" applyFont="1" applyFill="1" applyBorder="1"/>
    <xf numFmtId="1" fontId="55" fillId="37" borderId="10" xfId="0" applyNumberFormat="1" applyFont="1" applyFill="1" applyBorder="1"/>
    <xf numFmtId="1" fontId="55" fillId="37" borderId="13" xfId="0" applyNumberFormat="1" applyFont="1" applyFill="1" applyBorder="1"/>
    <xf numFmtId="0" fontId="55" fillId="0" borderId="0" xfId="0" applyFont="1" applyAlignment="1">
      <alignment horizontal="right" vertical="center"/>
    </xf>
    <xf numFmtId="0" fontId="55" fillId="28" borderId="63" xfId="0" applyFont="1" applyFill="1" applyBorder="1"/>
    <xf numFmtId="1" fontId="55" fillId="37" borderId="15" xfId="0" applyNumberFormat="1" applyFont="1" applyFill="1" applyBorder="1"/>
    <xf numFmtId="0" fontId="55" fillId="36" borderId="15" xfId="0" applyFont="1" applyFill="1" applyBorder="1"/>
    <xf numFmtId="2" fontId="55" fillId="0" borderId="0" xfId="0" applyNumberFormat="1" applyFont="1"/>
    <xf numFmtId="0" fontId="61" fillId="0" borderId="13" xfId="0" applyFont="1" applyBorder="1" applyAlignment="1">
      <alignment horizontal="right"/>
    </xf>
    <xf numFmtId="0" fontId="55" fillId="0" borderId="14" xfId="39" applyNumberFormat="1" applyFont="1" applyBorder="1"/>
    <xf numFmtId="0" fontId="55" fillId="0" borderId="14" xfId="0" applyFont="1" applyBorder="1" applyAlignment="1">
      <alignment horizontal="center"/>
    </xf>
    <xf numFmtId="167" fontId="55" fillId="0" borderId="0" xfId="39" applyNumberFormat="1" applyFont="1"/>
    <xf numFmtId="0" fontId="55" fillId="0" borderId="64" xfId="0" applyFont="1" applyBorder="1"/>
    <xf numFmtId="0" fontId="55" fillId="0" borderId="65" xfId="0" applyFont="1" applyBorder="1"/>
    <xf numFmtId="0" fontId="28" fillId="0" borderId="0" xfId="0" applyFont="1" applyFill="1" applyBorder="1" applyAlignment="1" applyProtection="1">
      <alignment vertical="center"/>
      <protection locked="0"/>
    </xf>
    <xf numFmtId="0" fontId="37" fillId="0" borderId="0" xfId="0" applyFont="1" applyBorder="1" applyAlignment="1">
      <alignment horizontal="right"/>
    </xf>
    <xf numFmtId="0" fontId="55" fillId="0" borderId="0" xfId="0" applyFont="1" applyBorder="1" applyAlignment="1" applyProtection="1">
      <alignment vertical="top"/>
      <protection locked="0"/>
    </xf>
    <xf numFmtId="0" fontId="62" fillId="0" borderId="0" xfId="0" applyFont="1" applyBorder="1" applyAlignment="1">
      <alignment horizontal="left" vertical="center"/>
    </xf>
    <xf numFmtId="0" fontId="56" fillId="0" borderId="0" xfId="0" applyFont="1" applyAlignment="1">
      <alignment horizontal="left" vertical="center"/>
    </xf>
    <xf numFmtId="1" fontId="55" fillId="0" borderId="0" xfId="0" applyNumberFormat="1" applyFont="1" applyAlignment="1">
      <alignment horizontal="right"/>
    </xf>
    <xf numFmtId="0" fontId="55" fillId="0" borderId="10" xfId="0" applyFont="1" applyBorder="1" applyAlignment="1">
      <alignment vertical="center"/>
    </xf>
    <xf numFmtId="0" fontId="55" fillId="0" borderId="12" xfId="0" applyFont="1" applyBorder="1" applyAlignment="1">
      <alignment vertical="center"/>
    </xf>
    <xf numFmtId="0" fontId="55" fillId="0" borderId="20" xfId="0" applyFont="1" applyBorder="1" applyAlignment="1" applyProtection="1">
      <alignment vertical="center"/>
      <protection locked="0"/>
    </xf>
    <xf numFmtId="0" fontId="55" fillId="0" borderId="18" xfId="0" applyFont="1" applyBorder="1" applyAlignment="1">
      <alignment horizontal="right" vertical="center"/>
    </xf>
    <xf numFmtId="0" fontId="55" fillId="0" borderId="25" xfId="0" applyFont="1" applyBorder="1" applyAlignment="1">
      <alignment vertical="center"/>
    </xf>
    <xf numFmtId="0" fontId="55" fillId="0" borderId="66" xfId="0" applyFont="1" applyBorder="1"/>
    <xf numFmtId="0" fontId="55" fillId="0" borderId="67" xfId="0" applyFont="1" applyBorder="1"/>
    <xf numFmtId="0" fontId="29" fillId="29" borderId="68" xfId="0" applyFont="1" applyFill="1" applyBorder="1"/>
    <xf numFmtId="0" fontId="29" fillId="29" borderId="67" xfId="0" applyFont="1" applyFill="1" applyBorder="1"/>
    <xf numFmtId="0" fontId="29" fillId="29" borderId="69" xfId="0" applyFont="1" applyFill="1" applyBorder="1"/>
    <xf numFmtId="0" fontId="63" fillId="38" borderId="66" xfId="0" applyFont="1" applyFill="1" applyBorder="1"/>
    <xf numFmtId="0" fontId="63" fillId="38" borderId="67" xfId="0" applyFont="1" applyFill="1" applyBorder="1"/>
    <xf numFmtId="0" fontId="63" fillId="38" borderId="69" xfId="0" applyFont="1" applyFill="1" applyBorder="1"/>
    <xf numFmtId="0" fontId="63" fillId="39" borderId="66" xfId="0" applyFont="1" applyFill="1" applyBorder="1"/>
    <xf numFmtId="0" fontId="63" fillId="39" borderId="67" xfId="0" applyFont="1" applyFill="1" applyBorder="1"/>
    <xf numFmtId="0" fontId="63" fillId="39" borderId="69" xfId="0" applyFont="1" applyFill="1" applyBorder="1"/>
    <xf numFmtId="0" fontId="55" fillId="34" borderId="0" xfId="0" applyFont="1" applyFill="1"/>
    <xf numFmtId="1" fontId="64" fillId="0" borderId="0" xfId="0" applyNumberFormat="1" applyFont="1" applyAlignment="1">
      <alignment horizontal="right"/>
    </xf>
    <xf numFmtId="1" fontId="64" fillId="0" borderId="0" xfId="0" applyNumberFormat="1" applyFont="1" applyAlignment="1">
      <alignment horizontal="left"/>
    </xf>
    <xf numFmtId="0" fontId="55" fillId="0" borderId="14" xfId="0" applyFont="1" applyBorder="1" applyAlignment="1">
      <alignment vertical="center"/>
    </xf>
    <xf numFmtId="0" fontId="55" fillId="0" borderId="18" xfId="0" applyFont="1" applyBorder="1" applyAlignment="1">
      <alignment vertical="center"/>
    </xf>
    <xf numFmtId="0" fontId="55" fillId="0" borderId="22" xfId="0" applyFont="1" applyBorder="1" applyAlignment="1">
      <alignment vertical="center"/>
    </xf>
    <xf numFmtId="0" fontId="29" fillId="0" borderId="25" xfId="0" applyFont="1" applyBorder="1" applyAlignment="1" applyProtection="1">
      <alignment vertical="center"/>
    </xf>
    <xf numFmtId="0" fontId="55" fillId="0" borderId="26" xfId="0" applyFont="1" applyBorder="1" applyAlignment="1">
      <alignment vertical="center"/>
    </xf>
    <xf numFmtId="0" fontId="55" fillId="0" borderId="11" xfId="0" applyFont="1" applyBorder="1" applyAlignment="1">
      <alignment horizontal="right" vertical="center"/>
    </xf>
    <xf numFmtId="0" fontId="55" fillId="0" borderId="11" xfId="0" applyFont="1" applyBorder="1" applyAlignment="1">
      <alignment vertical="center"/>
    </xf>
    <xf numFmtId="0" fontId="55" fillId="0" borderId="11" xfId="0" applyFont="1" applyBorder="1" applyAlignment="1">
      <alignment horizontal="left" vertical="center"/>
    </xf>
    <xf numFmtId="0" fontId="55" fillId="0" borderId="11" xfId="0" applyFont="1" applyBorder="1" applyAlignment="1">
      <alignment horizontal="right"/>
    </xf>
    <xf numFmtId="0" fontId="55" fillId="0" borderId="70" xfId="0" applyFont="1" applyBorder="1"/>
    <xf numFmtId="0" fontId="55" fillId="0" borderId="71" xfId="0" applyFont="1" applyBorder="1"/>
    <xf numFmtId="1" fontId="55" fillId="0" borderId="18" xfId="0" applyNumberFormat="1" applyFont="1" applyBorder="1" applyAlignment="1">
      <alignment horizontal="center" vertical="center"/>
    </xf>
    <xf numFmtId="0" fontId="55" fillId="0" borderId="25" xfId="0" applyFont="1" applyFill="1" applyBorder="1" applyAlignment="1">
      <alignment vertical="center"/>
    </xf>
    <xf numFmtId="0" fontId="55" fillId="28" borderId="10" xfId="0" applyFont="1" applyFill="1" applyBorder="1" applyAlignment="1">
      <alignment vertical="center"/>
    </xf>
    <xf numFmtId="0" fontId="55" fillId="24" borderId="20" xfId="0" applyFont="1" applyFill="1" applyBorder="1" applyAlignment="1">
      <alignment horizontal="center" vertical="center"/>
    </xf>
    <xf numFmtId="0" fontId="55" fillId="34" borderId="20" xfId="0" applyFont="1" applyFill="1" applyBorder="1" applyAlignment="1">
      <alignment horizontal="center" vertical="center"/>
    </xf>
    <xf numFmtId="0" fontId="55" fillId="40" borderId="20" xfId="0" applyFont="1" applyFill="1" applyBorder="1" applyAlignment="1">
      <alignment horizontal="center" vertical="center"/>
    </xf>
    <xf numFmtId="0" fontId="55" fillId="0" borderId="19" xfId="0" applyFont="1" applyBorder="1" applyAlignment="1"/>
    <xf numFmtId="0" fontId="55" fillId="0" borderId="17" xfId="0" applyFont="1" applyBorder="1" applyAlignment="1">
      <alignment horizontal="center"/>
    </xf>
    <xf numFmtId="0" fontId="55" fillId="0" borderId="65" xfId="0" applyFont="1" applyBorder="1" applyAlignment="1">
      <alignment horizontal="center"/>
    </xf>
    <xf numFmtId="0" fontId="55" fillId="28" borderId="13" xfId="0" applyFont="1" applyFill="1" applyBorder="1" applyAlignment="1">
      <alignment horizontal="right"/>
    </xf>
    <xf numFmtId="0" fontId="29" fillId="24" borderId="0" xfId="0" applyFont="1" applyFill="1" applyBorder="1" applyAlignment="1">
      <alignment horizontal="right" vertical="center"/>
    </xf>
    <xf numFmtId="0" fontId="55" fillId="0" borderId="0" xfId="0" applyFont="1" applyBorder="1" applyAlignment="1">
      <alignment horizontal="center" vertical="center"/>
    </xf>
    <xf numFmtId="0" fontId="62" fillId="0" borderId="0" xfId="0" applyFont="1" applyBorder="1" applyAlignment="1">
      <alignment horizontal="center" vertical="center"/>
    </xf>
    <xf numFmtId="0" fontId="55" fillId="0" borderId="16" xfId="0" applyFont="1" applyBorder="1" applyAlignment="1">
      <alignment vertical="center"/>
    </xf>
    <xf numFmtId="0" fontId="55" fillId="0" borderId="17" xfId="0" applyFont="1" applyBorder="1" applyAlignment="1">
      <alignment vertical="center"/>
    </xf>
    <xf numFmtId="2" fontId="55" fillId="0" borderId="25" xfId="0" applyNumberFormat="1" applyFont="1" applyBorder="1" applyAlignment="1"/>
    <xf numFmtId="2" fontId="55" fillId="0" borderId="0" xfId="0" applyNumberFormat="1" applyFont="1" applyBorder="1" applyAlignment="1">
      <alignment horizontal="right"/>
    </xf>
    <xf numFmtId="0" fontId="55" fillId="0" borderId="61" xfId="0" applyFont="1" applyBorder="1"/>
    <xf numFmtId="0" fontId="55" fillId="0" borderId="64" xfId="0" applyFont="1" applyBorder="1" applyAlignment="1">
      <alignment horizontal="right"/>
    </xf>
    <xf numFmtId="0" fontId="55" fillId="28" borderId="28" xfId="0" applyFont="1" applyFill="1" applyBorder="1" applyAlignment="1">
      <alignment horizontal="center"/>
    </xf>
    <xf numFmtId="0" fontId="55" fillId="27" borderId="22" xfId="0" applyFont="1" applyFill="1" applyBorder="1"/>
    <xf numFmtId="0" fontId="55" fillId="27" borderId="25" xfId="0" applyFont="1" applyFill="1" applyBorder="1"/>
    <xf numFmtId="0" fontId="55" fillId="26" borderId="10" xfId="0" applyFont="1" applyFill="1" applyBorder="1"/>
    <xf numFmtId="0" fontId="55" fillId="26" borderId="12" xfId="0" applyFont="1" applyFill="1" applyBorder="1"/>
    <xf numFmtId="0" fontId="29" fillId="29" borderId="0" xfId="0" applyFont="1" applyFill="1"/>
    <xf numFmtId="0" fontId="55" fillId="0" borderId="62" xfId="0" applyFont="1" applyBorder="1"/>
    <xf numFmtId="0" fontId="28" fillId="24" borderId="0" xfId="0" applyFont="1" applyFill="1" applyBorder="1" applyAlignment="1">
      <alignment horizontal="center"/>
    </xf>
    <xf numFmtId="0" fontId="7" fillId="24" borderId="0" xfId="0" applyFont="1" applyFill="1" applyBorder="1" applyAlignment="1">
      <alignment horizontal="center"/>
    </xf>
    <xf numFmtId="0" fontId="28" fillId="24" borderId="72" xfId="0" applyFont="1" applyFill="1" applyBorder="1" applyAlignment="1">
      <alignment horizontal="center" vertical="center"/>
    </xf>
    <xf numFmtId="0" fontId="62" fillId="0" borderId="0" xfId="0" applyFont="1" applyAlignment="1">
      <alignment horizontal="center"/>
    </xf>
    <xf numFmtId="0" fontId="55" fillId="0" borderId="12" xfId="0" applyFont="1" applyBorder="1" applyAlignment="1">
      <alignment horizontal="left"/>
    </xf>
    <xf numFmtId="0" fontId="55" fillId="28" borderId="17" xfId="0" applyFont="1" applyFill="1" applyBorder="1" applyAlignment="1">
      <alignment horizontal="center"/>
    </xf>
    <xf numFmtId="0" fontId="55" fillId="26" borderId="15" xfId="0" applyFont="1" applyFill="1" applyBorder="1"/>
    <xf numFmtId="0" fontId="55" fillId="26" borderId="17" xfId="0" applyFont="1" applyFill="1" applyBorder="1"/>
    <xf numFmtId="0" fontId="55" fillId="40" borderId="12" xfId="0" applyFont="1" applyFill="1" applyBorder="1" applyAlignment="1">
      <alignment horizontal="center"/>
    </xf>
    <xf numFmtId="0" fontId="7" fillId="27" borderId="0" xfId="0" applyFont="1" applyFill="1" applyBorder="1" applyAlignment="1">
      <alignment horizontal="center" vertical="center"/>
    </xf>
    <xf numFmtId="0" fontId="55" fillId="0" borderId="34" xfId="0" applyFont="1" applyBorder="1" applyAlignment="1" applyProtection="1">
      <alignment vertical="center"/>
      <protection locked="0"/>
    </xf>
    <xf numFmtId="0" fontId="55" fillId="0" borderId="73" xfId="0" applyNumberFormat="1" applyFont="1" applyBorder="1" applyAlignment="1">
      <alignment vertical="center"/>
    </xf>
    <xf numFmtId="0" fontId="36" fillId="0" borderId="74" xfId="0" applyNumberFormat="1" applyFont="1" applyBorder="1" applyAlignment="1">
      <alignment vertical="center"/>
    </xf>
    <xf numFmtId="166" fontId="57" fillId="0" borderId="75" xfId="0" applyNumberFormat="1" applyFont="1" applyBorder="1" applyAlignment="1">
      <alignment horizontal="center" vertical="center"/>
    </xf>
    <xf numFmtId="0" fontId="28" fillId="0" borderId="74" xfId="0" applyNumberFormat="1" applyFont="1" applyBorder="1"/>
    <xf numFmtId="1" fontId="55" fillId="0" borderId="74" xfId="0" applyNumberFormat="1" applyFont="1" applyBorder="1"/>
    <xf numFmtId="0" fontId="55" fillId="0" borderId="74" xfId="0" applyFont="1" applyBorder="1"/>
    <xf numFmtId="1" fontId="55" fillId="0" borderId="74" xfId="0" applyNumberFormat="1" applyFont="1" applyBorder="1" applyAlignment="1">
      <alignment horizontal="left"/>
    </xf>
    <xf numFmtId="1" fontId="29" fillId="0" borderId="74" xfId="0" applyNumberFormat="1" applyFont="1" applyBorder="1" applyAlignment="1">
      <alignment horizontal="right"/>
    </xf>
    <xf numFmtId="0" fontId="55" fillId="0" borderId="74" xfId="0" applyNumberFormat="1" applyFont="1" applyBorder="1" applyAlignment="1">
      <alignment horizontal="left" vertical="center"/>
    </xf>
    <xf numFmtId="1" fontId="29" fillId="0" borderId="74" xfId="0" applyNumberFormat="1" applyFont="1" applyBorder="1" applyAlignment="1">
      <alignment horizontal="center" vertical="center"/>
    </xf>
    <xf numFmtId="1" fontId="29" fillId="0" borderId="76" xfId="0" applyNumberFormat="1" applyFont="1" applyBorder="1" applyAlignment="1">
      <alignment horizontal="left" vertical="center"/>
    </xf>
    <xf numFmtId="0" fontId="55" fillId="0" borderId="10" xfId="0" applyFont="1" applyBorder="1" applyAlignment="1"/>
    <xf numFmtId="0" fontId="55" fillId="0" borderId="12" xfId="0" applyFont="1" applyBorder="1" applyAlignment="1"/>
    <xf numFmtId="0" fontId="55" fillId="0" borderId="26" xfId="0" applyFont="1" applyBorder="1" applyProtection="1"/>
    <xf numFmtId="0" fontId="55" fillId="0" borderId="42" xfId="0" applyFont="1" applyBorder="1" applyAlignment="1" applyProtection="1">
      <alignment vertical="center"/>
      <protection locked="0"/>
    </xf>
    <xf numFmtId="0" fontId="55" fillId="0" borderId="77" xfId="0" applyNumberFormat="1" applyFont="1" applyBorder="1" applyAlignment="1">
      <alignment vertical="center"/>
    </xf>
    <xf numFmtId="0" fontId="28" fillId="0" borderId="39" xfId="0" applyNumberFormat="1" applyFont="1" applyBorder="1"/>
    <xf numFmtId="1" fontId="29" fillId="0" borderId="39" xfId="0" applyNumberFormat="1" applyFont="1" applyBorder="1" applyAlignment="1">
      <alignment horizontal="right"/>
    </xf>
    <xf numFmtId="0" fontId="55" fillId="0" borderId="39" xfId="0" applyNumberFormat="1" applyFont="1" applyBorder="1" applyAlignment="1">
      <alignment horizontal="left" vertical="center"/>
    </xf>
    <xf numFmtId="1" fontId="29" fillId="0" borderId="78" xfId="0" applyNumberFormat="1" applyFont="1" applyBorder="1" applyAlignment="1">
      <alignment horizontal="left" vertical="center"/>
    </xf>
    <xf numFmtId="0" fontId="28" fillId="0" borderId="0" xfId="0" applyFont="1" applyBorder="1" applyAlignment="1">
      <alignment horizontal="right"/>
    </xf>
    <xf numFmtId="0" fontId="55" fillId="0" borderId="26" xfId="0" applyFont="1" applyBorder="1" applyAlignment="1">
      <alignment horizontal="center"/>
    </xf>
    <xf numFmtId="0" fontId="55" fillId="0" borderId="13" xfId="0" applyFont="1" applyBorder="1" applyAlignment="1"/>
    <xf numFmtId="0" fontId="55" fillId="0" borderId="14" xfId="0" applyFont="1" applyBorder="1" applyAlignment="1"/>
    <xf numFmtId="0" fontId="55" fillId="0" borderId="13" xfId="0" applyFont="1" applyBorder="1" applyProtection="1"/>
    <xf numFmtId="0" fontId="55" fillId="0" borderId="63" xfId="0" applyFont="1" applyBorder="1"/>
    <xf numFmtId="0" fontId="55" fillId="0" borderId="27" xfId="0" applyFont="1" applyFill="1" applyBorder="1"/>
    <xf numFmtId="0" fontId="55" fillId="0" borderId="79" xfId="0" applyFont="1" applyBorder="1" applyAlignment="1">
      <alignment horizontal="center"/>
    </xf>
    <xf numFmtId="0" fontId="55" fillId="0" borderId="80" xfId="0" applyFont="1" applyBorder="1" applyAlignment="1">
      <alignment horizontal="center"/>
    </xf>
    <xf numFmtId="0" fontId="55" fillId="28" borderId="15" xfId="0" applyFont="1" applyFill="1" applyBorder="1"/>
    <xf numFmtId="0" fontId="28" fillId="0" borderId="16" xfId="0" applyFont="1" applyBorder="1" applyAlignment="1">
      <alignment horizontal="right"/>
    </xf>
    <xf numFmtId="0" fontId="55" fillId="24" borderId="11" xfId="0" applyFont="1" applyFill="1" applyBorder="1"/>
    <xf numFmtId="0" fontId="28" fillId="24" borderId="11" xfId="0" applyFont="1" applyFill="1" applyBorder="1" applyAlignment="1">
      <alignment horizontal="right"/>
    </xf>
    <xf numFmtId="0" fontId="55" fillId="24" borderId="10" xfId="0" applyFont="1" applyFill="1" applyBorder="1" applyAlignment="1">
      <alignment horizontal="center"/>
    </xf>
    <xf numFmtId="17" fontId="55" fillId="24" borderId="11" xfId="0" quotePrefix="1" applyNumberFormat="1" applyFont="1" applyFill="1" applyBorder="1" applyAlignment="1">
      <alignment horizontal="center"/>
    </xf>
    <xf numFmtId="0" fontId="55" fillId="0" borderId="28" xfId="0" quotePrefix="1" applyNumberFormat="1" applyFont="1" applyFill="1" applyBorder="1" applyAlignment="1"/>
    <xf numFmtId="0" fontId="55" fillId="30" borderId="0" xfId="0" applyFont="1" applyFill="1" applyBorder="1" applyAlignment="1">
      <alignment horizontal="center"/>
    </xf>
    <xf numFmtId="0" fontId="28" fillId="30" borderId="0" xfId="0" applyFont="1" applyFill="1" applyBorder="1" applyAlignment="1">
      <alignment horizontal="center"/>
    </xf>
    <xf numFmtId="0" fontId="28" fillId="30" borderId="14" xfId="0" applyFont="1" applyFill="1" applyBorder="1" applyAlignment="1">
      <alignment horizontal="center"/>
    </xf>
    <xf numFmtId="0" fontId="28" fillId="0" borderId="14" xfId="0" applyFont="1" applyBorder="1"/>
    <xf numFmtId="0" fontId="55" fillId="0" borderId="13" xfId="0" applyFont="1" applyFill="1" applyBorder="1" applyAlignment="1"/>
    <xf numFmtId="0" fontId="55" fillId="0" borderId="14" xfId="0" applyFont="1" applyFill="1" applyBorder="1" applyAlignment="1"/>
    <xf numFmtId="0" fontId="55" fillId="0" borderId="28" xfId="0" applyFont="1" applyFill="1" applyBorder="1"/>
    <xf numFmtId="0" fontId="55" fillId="0" borderId="0" xfId="0" applyNumberFormat="1" applyFont="1" applyBorder="1"/>
    <xf numFmtId="0" fontId="55" fillId="0" borderId="13" xfId="0" applyNumberFormat="1" applyFont="1" applyBorder="1" applyAlignment="1"/>
    <xf numFmtId="0" fontId="55" fillId="0" borderId="14" xfId="0" applyNumberFormat="1" applyFont="1" applyBorder="1" applyAlignment="1"/>
    <xf numFmtId="0" fontId="55" fillId="0" borderId="28" xfId="0" applyNumberFormat="1" applyFont="1" applyBorder="1"/>
    <xf numFmtId="0" fontId="28" fillId="0" borderId="48" xfId="0" applyNumberFormat="1" applyFont="1" applyBorder="1"/>
    <xf numFmtId="0" fontId="28" fillId="0" borderId="0" xfId="0" applyNumberFormat="1" applyFont="1" applyBorder="1"/>
    <xf numFmtId="0" fontId="55" fillId="0" borderId="0" xfId="39" applyNumberFormat="1" applyFont="1" applyBorder="1"/>
    <xf numFmtId="0" fontId="55" fillId="0" borderId="13" xfId="39" applyNumberFormat="1" applyFont="1" applyBorder="1" applyAlignment="1"/>
    <xf numFmtId="0" fontId="55" fillId="0" borderId="14" xfId="39" applyNumberFormat="1" applyFont="1" applyBorder="1" applyAlignment="1"/>
    <xf numFmtId="0" fontId="55" fillId="0" borderId="28" xfId="39" applyNumberFormat="1" applyFont="1" applyBorder="1"/>
    <xf numFmtId="0" fontId="55" fillId="0" borderId="28" xfId="0" applyFont="1" applyBorder="1" applyAlignment="1">
      <alignment horizontal="center"/>
    </xf>
    <xf numFmtId="0" fontId="28" fillId="0" borderId="17" xfId="0" applyFont="1" applyBorder="1"/>
    <xf numFmtId="0" fontId="55" fillId="0" borderId="53" xfId="0" applyFont="1" applyBorder="1" applyAlignment="1">
      <alignment vertical="center"/>
    </xf>
    <xf numFmtId="0" fontId="55" fillId="0" borderId="81" xfId="0" applyFont="1" applyBorder="1" applyAlignment="1">
      <alignment horizontal="center" vertical="center"/>
    </xf>
    <xf numFmtId="0" fontId="28" fillId="0" borderId="53" xfId="0" applyNumberFormat="1" applyFont="1" applyBorder="1" applyAlignment="1">
      <alignment vertical="center"/>
    </xf>
    <xf numFmtId="0" fontId="55" fillId="0" borderId="82" xfId="0" applyNumberFormat="1" applyFont="1" applyBorder="1" applyAlignment="1">
      <alignment vertical="center"/>
    </xf>
    <xf numFmtId="0" fontId="36" fillId="0" borderId="83" xfId="0" applyNumberFormat="1" applyFont="1" applyBorder="1" applyAlignment="1">
      <alignment vertical="center"/>
    </xf>
    <xf numFmtId="166" fontId="57" fillId="0" borderId="84" xfId="0" applyNumberFormat="1" applyFont="1" applyBorder="1" applyAlignment="1">
      <alignment horizontal="center" vertical="center"/>
    </xf>
    <xf numFmtId="0" fontId="28" fillId="0" borderId="85" xfId="0" applyNumberFormat="1" applyFont="1" applyBorder="1"/>
    <xf numFmtId="1" fontId="55" fillId="0" borderId="85" xfId="0" applyNumberFormat="1" applyFont="1" applyBorder="1"/>
    <xf numFmtId="0" fontId="55" fillId="0" borderId="85" xfId="0" applyFont="1" applyBorder="1"/>
    <xf numFmtId="1" fontId="55" fillId="0" borderId="85" xfId="0" applyNumberFormat="1" applyFont="1" applyBorder="1" applyAlignment="1">
      <alignment horizontal="left"/>
    </xf>
    <xf numFmtId="1" fontId="29" fillId="0" borderId="85" xfId="0" applyNumberFormat="1" applyFont="1" applyBorder="1" applyAlignment="1">
      <alignment horizontal="right"/>
    </xf>
    <xf numFmtId="0" fontId="55" fillId="0" borderId="85" xfId="0" applyNumberFormat="1" applyFont="1" applyBorder="1" applyAlignment="1">
      <alignment horizontal="left" vertical="center"/>
    </xf>
    <xf numFmtId="1" fontId="29" fillId="0" borderId="85" xfId="0" applyNumberFormat="1" applyFont="1" applyBorder="1" applyAlignment="1">
      <alignment horizontal="center" vertical="center"/>
    </xf>
    <xf numFmtId="1" fontId="29" fillId="0" borderId="86" xfId="0" applyNumberFormat="1" applyFont="1" applyBorder="1" applyAlignment="1">
      <alignment horizontal="left" vertical="center"/>
    </xf>
    <xf numFmtId="0" fontId="55" fillId="0" borderId="15" xfId="0" applyFont="1" applyBorder="1" applyAlignment="1"/>
    <xf numFmtId="0" fontId="55" fillId="0" borderId="17" xfId="0" applyFont="1" applyBorder="1" applyAlignment="1"/>
    <xf numFmtId="0" fontId="55" fillId="0" borderId="15" xfId="0" applyFont="1" applyBorder="1" applyProtection="1"/>
    <xf numFmtId="0" fontId="55" fillId="26" borderId="87" xfId="0" applyFont="1" applyFill="1" applyBorder="1" applyAlignment="1">
      <alignment vertical="center"/>
    </xf>
    <xf numFmtId="0" fontId="55" fillId="26" borderId="87" xfId="0" applyFont="1" applyFill="1" applyBorder="1" applyAlignment="1">
      <alignment horizontal="center" vertical="center"/>
    </xf>
    <xf numFmtId="0" fontId="29" fillId="26" borderId="11" xfId="0" applyFont="1" applyFill="1" applyBorder="1" applyAlignment="1">
      <alignment vertical="center"/>
    </xf>
    <xf numFmtId="0" fontId="29" fillId="26" borderId="0" xfId="0" applyFont="1" applyFill="1" applyBorder="1" applyAlignment="1">
      <alignment vertical="center"/>
    </xf>
    <xf numFmtId="0" fontId="55" fillId="26" borderId="0" xfId="0" applyFont="1" applyFill="1" applyBorder="1" applyAlignment="1">
      <alignment horizontal="right" vertical="center"/>
    </xf>
    <xf numFmtId="0" fontId="55" fillId="26" borderId="11" xfId="0" applyFont="1" applyFill="1" applyBorder="1" applyAlignment="1">
      <alignment horizontal="center" vertical="center"/>
    </xf>
    <xf numFmtId="0" fontId="55" fillId="26" borderId="11" xfId="0" applyFont="1" applyFill="1" applyBorder="1" applyAlignment="1" applyProtection="1">
      <alignment horizontal="left"/>
      <protection locked="0"/>
    </xf>
    <xf numFmtId="0" fontId="55" fillId="26" borderId="0" xfId="0" applyFont="1" applyFill="1" applyBorder="1" applyAlignment="1" applyProtection="1">
      <alignment horizontal="left"/>
      <protection locked="0"/>
    </xf>
    <xf numFmtId="0" fontId="55" fillId="26" borderId="0" xfId="0" applyNumberFormat="1" applyFont="1" applyFill="1" applyBorder="1" applyAlignment="1">
      <alignment horizontal="center" vertical="center"/>
    </xf>
    <xf numFmtId="1" fontId="29" fillId="26" borderId="0" xfId="0" applyNumberFormat="1" applyFont="1" applyFill="1" applyBorder="1" applyAlignment="1">
      <alignment horizontal="right"/>
    </xf>
    <xf numFmtId="1" fontId="29" fillId="26" borderId="88" xfId="0" applyNumberFormat="1" applyFont="1" applyFill="1" applyBorder="1" applyAlignment="1">
      <alignment horizontal="left" vertical="center"/>
    </xf>
    <xf numFmtId="0" fontId="55" fillId="0" borderId="20" xfId="0" applyFont="1" applyFill="1" applyBorder="1"/>
    <xf numFmtId="0" fontId="28" fillId="0" borderId="26" xfId="0" applyFont="1" applyBorder="1" applyAlignment="1">
      <alignment horizontal="center"/>
    </xf>
    <xf numFmtId="0" fontId="55" fillId="0" borderId="16" xfId="0" applyFont="1" applyFill="1" applyBorder="1" applyAlignment="1">
      <alignment vertical="center"/>
    </xf>
    <xf numFmtId="0" fontId="55" fillId="0" borderId="89" xfId="0" applyFont="1" applyFill="1" applyBorder="1" applyAlignment="1">
      <alignment horizontal="center" vertical="center"/>
    </xf>
    <xf numFmtId="0" fontId="29" fillId="26" borderId="16" xfId="0" applyFont="1" applyFill="1" applyBorder="1" applyAlignment="1">
      <alignment horizontal="right"/>
    </xf>
    <xf numFmtId="0" fontId="29" fillId="0" borderId="90" xfId="0" applyNumberFormat="1" applyFont="1" applyFill="1" applyBorder="1" applyAlignment="1">
      <alignment vertical="center"/>
    </xf>
    <xf numFmtId="0" fontId="28" fillId="26" borderId="16" xfId="0" applyNumberFormat="1" applyFont="1" applyFill="1" applyBorder="1" applyAlignment="1"/>
    <xf numFmtId="0" fontId="29" fillId="0" borderId="90" xfId="0" applyFont="1" applyFill="1" applyBorder="1"/>
    <xf numFmtId="0" fontId="29" fillId="0" borderId="90" xfId="0" applyFont="1" applyFill="1" applyBorder="1" applyAlignment="1">
      <alignment vertical="center"/>
    </xf>
    <xf numFmtId="0" fontId="28" fillId="26" borderId="16" xfId="0" applyNumberFormat="1" applyFont="1" applyFill="1" applyBorder="1" applyAlignment="1">
      <alignment vertical="center"/>
    </xf>
    <xf numFmtId="0" fontId="36" fillId="26" borderId="16" xfId="0" applyNumberFormat="1" applyFont="1" applyFill="1" applyBorder="1" applyAlignment="1">
      <alignment vertical="center"/>
    </xf>
    <xf numFmtId="165" fontId="29" fillId="26" borderId="16" xfId="0" applyNumberFormat="1" applyFont="1" applyFill="1" applyBorder="1" applyAlignment="1">
      <alignment horizontal="right" vertical="center"/>
    </xf>
    <xf numFmtId="0" fontId="28" fillId="26" borderId="91" xfId="0" applyNumberFormat="1" applyFont="1" applyFill="1" applyBorder="1"/>
    <xf numFmtId="0" fontId="55" fillId="0" borderId="91" xfId="0" applyFont="1" applyBorder="1"/>
    <xf numFmtId="1" fontId="55" fillId="0" borderId="91" xfId="0" applyNumberFormat="1" applyFont="1" applyBorder="1" applyAlignment="1">
      <alignment horizontal="left"/>
    </xf>
    <xf numFmtId="1" fontId="29" fillId="0" borderId="16" xfId="0" applyNumberFormat="1" applyFont="1" applyFill="1" applyBorder="1" applyAlignment="1">
      <alignment horizontal="right"/>
    </xf>
    <xf numFmtId="0" fontId="29" fillId="0" borderId="16" xfId="0" applyNumberFormat="1" applyFont="1" applyFill="1" applyBorder="1" applyAlignment="1">
      <alignment horizontal="left" vertical="center"/>
    </xf>
    <xf numFmtId="1" fontId="29" fillId="0" borderId="16" xfId="0" applyNumberFormat="1" applyFont="1" applyFill="1" applyBorder="1" applyAlignment="1">
      <alignment horizontal="center" vertical="center"/>
    </xf>
    <xf numFmtId="1" fontId="29" fillId="0" borderId="17" xfId="0" applyNumberFormat="1" applyFont="1" applyFill="1" applyBorder="1" applyAlignment="1">
      <alignment horizontal="left" vertical="center"/>
    </xf>
    <xf numFmtId="0" fontId="55" fillId="30" borderId="27" xfId="0" applyFont="1" applyFill="1" applyBorder="1"/>
    <xf numFmtId="0" fontId="55" fillId="32" borderId="27" xfId="0" applyFont="1" applyFill="1" applyBorder="1"/>
    <xf numFmtId="0" fontId="55" fillId="24" borderId="20" xfId="0" applyFont="1" applyFill="1" applyBorder="1"/>
    <xf numFmtId="0" fontId="55" fillId="0" borderId="18" xfId="0" applyFont="1" applyBorder="1" applyAlignment="1">
      <alignment horizontal="left"/>
    </xf>
    <xf numFmtId="0" fontId="55" fillId="0" borderId="0" xfId="0" applyNumberFormat="1" applyFont="1" applyFill="1" applyBorder="1" applyAlignment="1">
      <alignment horizontal="right" vertical="center"/>
    </xf>
    <xf numFmtId="0" fontId="28" fillId="0" borderId="92" xfId="0" applyFont="1" applyFill="1" applyBorder="1" applyAlignment="1">
      <alignment horizontal="center" vertical="center"/>
    </xf>
    <xf numFmtId="0" fontId="4" fillId="27" borderId="0" xfId="0" applyFont="1" applyFill="1" applyBorder="1" applyAlignment="1">
      <alignment horizontal="right" vertical="center"/>
    </xf>
    <xf numFmtId="0" fontId="52" fillId="0" borderId="93" xfId="0" applyFont="1" applyFill="1" applyBorder="1" applyAlignment="1" applyProtection="1">
      <alignment vertical="center"/>
    </xf>
    <xf numFmtId="0" fontId="55" fillId="27" borderId="0" xfId="0" applyFont="1" applyFill="1" applyBorder="1" applyAlignment="1">
      <alignment vertical="center"/>
    </xf>
    <xf numFmtId="0" fontId="52" fillId="0" borderId="93" xfId="0" applyFont="1" applyFill="1" applyBorder="1"/>
    <xf numFmtId="0" fontId="52" fillId="0" borderId="93" xfId="0" applyFont="1" applyFill="1" applyBorder="1" applyAlignment="1">
      <alignment vertical="center"/>
    </xf>
    <xf numFmtId="0" fontId="55" fillId="27" borderId="0" xfId="0" applyNumberFormat="1" applyFont="1" applyFill="1" applyBorder="1" applyAlignment="1">
      <alignment vertical="center"/>
    </xf>
    <xf numFmtId="0" fontId="52" fillId="0" borderId="94" xfId="0" applyNumberFormat="1" applyFont="1" applyFill="1" applyBorder="1" applyAlignment="1">
      <alignment vertical="center"/>
    </xf>
    <xf numFmtId="165" fontId="4" fillId="27" borderId="0" xfId="0" applyNumberFormat="1" applyFont="1" applyFill="1" applyBorder="1" applyAlignment="1">
      <alignment horizontal="right" vertical="center"/>
    </xf>
    <xf numFmtId="0" fontId="55" fillId="27" borderId="95" xfId="0" applyNumberFormat="1" applyFont="1" applyFill="1" applyBorder="1"/>
    <xf numFmtId="0" fontId="55" fillId="27" borderId="95" xfId="0" applyFont="1" applyFill="1" applyBorder="1"/>
    <xf numFmtId="1" fontId="55" fillId="27" borderId="95" xfId="0" applyNumberFormat="1" applyFont="1" applyFill="1" applyBorder="1" applyAlignment="1">
      <alignment horizontal="left"/>
    </xf>
    <xf numFmtId="1" fontId="29" fillId="0" borderId="87" xfId="0" applyNumberFormat="1" applyFont="1" applyFill="1" applyBorder="1" applyAlignment="1">
      <alignment horizontal="right"/>
    </xf>
    <xf numFmtId="0" fontId="52" fillId="0" borderId="87" xfId="0" applyNumberFormat="1" applyFont="1" applyFill="1" applyBorder="1" applyAlignment="1">
      <alignment horizontal="left" vertical="center"/>
    </xf>
    <xf numFmtId="1" fontId="29" fillId="0" borderId="87" xfId="0" applyNumberFormat="1" applyFont="1" applyFill="1" applyBorder="1" applyAlignment="1">
      <alignment horizontal="center" vertical="center"/>
    </xf>
    <xf numFmtId="1" fontId="29" fillId="0" borderId="96" xfId="0" applyNumberFormat="1" applyFont="1" applyFill="1" applyBorder="1" applyAlignment="1">
      <alignment horizontal="left" vertical="center"/>
    </xf>
    <xf numFmtId="0" fontId="55" fillId="0" borderId="22" xfId="0" applyNumberFormat="1" applyFont="1" applyFill="1" applyBorder="1" applyAlignment="1">
      <alignment vertical="center"/>
    </xf>
    <xf numFmtId="0" fontId="55" fillId="0" borderId="97" xfId="0" applyFont="1" applyFill="1" applyBorder="1" applyAlignment="1">
      <alignment horizontal="center" vertical="center"/>
    </xf>
    <xf numFmtId="0" fontId="55" fillId="27" borderId="98" xfId="0" applyFont="1" applyFill="1" applyBorder="1" applyAlignment="1">
      <alignment vertical="center"/>
    </xf>
    <xf numFmtId="0" fontId="42" fillId="27" borderId="16" xfId="0" applyFont="1" applyFill="1" applyBorder="1" applyAlignment="1">
      <alignment horizontal="right" vertical="center"/>
    </xf>
    <xf numFmtId="0" fontId="36" fillId="0" borderId="90" xfId="0" applyFont="1" applyFill="1" applyBorder="1" applyAlignment="1">
      <alignment vertical="center"/>
    </xf>
    <xf numFmtId="0" fontId="55" fillId="27" borderId="16" xfId="0" applyFont="1" applyFill="1" applyBorder="1" applyAlignment="1">
      <alignment vertical="center"/>
    </xf>
    <xf numFmtId="0" fontId="36" fillId="0" borderId="90" xfId="0" applyFont="1" applyFill="1" applyBorder="1"/>
    <xf numFmtId="0" fontId="28" fillId="27" borderId="16" xfId="0" applyNumberFormat="1" applyFont="1" applyFill="1" applyBorder="1" applyAlignment="1">
      <alignment vertical="center"/>
    </xf>
    <xf numFmtId="0" fontId="36" fillId="0" borderId="89" xfId="0" applyNumberFormat="1" applyFont="1" applyFill="1" applyBorder="1" applyAlignment="1">
      <alignment vertical="center"/>
    </xf>
    <xf numFmtId="0" fontId="36" fillId="27" borderId="16" xfId="0" applyNumberFormat="1" applyFont="1" applyFill="1" applyBorder="1" applyAlignment="1">
      <alignment vertical="center"/>
    </xf>
    <xf numFmtId="166" fontId="42" fillId="27" borderId="16" xfId="0" applyNumberFormat="1" applyFont="1" applyFill="1" applyBorder="1" applyAlignment="1">
      <alignment horizontal="right" vertical="center"/>
    </xf>
    <xf numFmtId="0" fontId="28" fillId="27" borderId="91" xfId="0" applyNumberFormat="1" applyFont="1" applyFill="1" applyBorder="1"/>
    <xf numFmtId="0" fontId="55" fillId="27" borderId="91" xfId="0" applyFont="1" applyFill="1" applyBorder="1"/>
    <xf numFmtId="1" fontId="55" fillId="27" borderId="91" xfId="0" applyNumberFormat="1" applyFont="1" applyFill="1" applyBorder="1" applyAlignment="1">
      <alignment horizontal="left"/>
    </xf>
    <xf numFmtId="1" fontId="29" fillId="0" borderId="0" xfId="0" applyNumberFormat="1" applyFont="1" applyFill="1" applyBorder="1" applyAlignment="1">
      <alignment horizontal="right"/>
    </xf>
    <xf numFmtId="0" fontId="36" fillId="0" borderId="0" xfId="0" applyNumberFormat="1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center" vertical="center"/>
    </xf>
    <xf numFmtId="1" fontId="29" fillId="0" borderId="14" xfId="0" applyNumberFormat="1" applyFont="1" applyFill="1" applyBorder="1" applyAlignment="1">
      <alignment horizontal="left" vertical="center"/>
    </xf>
    <xf numFmtId="0" fontId="29" fillId="0" borderId="0" xfId="0" applyFont="1" applyFill="1" applyBorder="1" applyAlignment="1">
      <alignment vertical="center"/>
    </xf>
    <xf numFmtId="0" fontId="55" fillId="0" borderId="0" xfId="0" applyNumberFormat="1" applyFont="1" applyFill="1" applyBorder="1" applyAlignment="1">
      <alignment vertical="center"/>
    </xf>
    <xf numFmtId="0" fontId="29" fillId="0" borderId="0" xfId="0" applyNumberFormat="1" applyFont="1" applyFill="1" applyBorder="1" applyAlignment="1">
      <alignment horizontal="right" vertical="center"/>
    </xf>
    <xf numFmtId="0" fontId="55" fillId="34" borderId="26" xfId="0" applyFont="1" applyFill="1" applyBorder="1" applyAlignment="1">
      <alignment horizontal="center"/>
    </xf>
    <xf numFmtId="0" fontId="55" fillId="30" borderId="99" xfId="0" applyFont="1" applyFill="1" applyBorder="1"/>
    <xf numFmtId="0" fontId="55" fillId="0" borderId="99" xfId="0" applyNumberFormat="1" applyFont="1" applyFill="1" applyBorder="1" applyAlignment="1">
      <alignment vertical="center"/>
    </xf>
    <xf numFmtId="0" fontId="55" fillId="0" borderId="100" xfId="0" applyFont="1" applyFill="1" applyBorder="1" applyAlignment="1">
      <alignment horizontal="center" vertical="center"/>
    </xf>
    <xf numFmtId="0" fontId="29" fillId="28" borderId="99" xfId="0" applyFont="1" applyFill="1" applyBorder="1" applyAlignment="1">
      <alignment horizontal="right"/>
    </xf>
    <xf numFmtId="0" fontId="29" fillId="0" borderId="101" xfId="0" applyNumberFormat="1" applyFont="1" applyFill="1" applyBorder="1" applyAlignment="1"/>
    <xf numFmtId="0" fontId="31" fillId="28" borderId="99" xfId="0" applyFont="1" applyFill="1" applyBorder="1" applyAlignment="1">
      <alignment vertical="center"/>
    </xf>
    <xf numFmtId="0" fontId="55" fillId="28" borderId="99" xfId="0" applyFont="1" applyFill="1" applyBorder="1"/>
    <xf numFmtId="0" fontId="29" fillId="0" borderId="101" xfId="0" applyFont="1" applyFill="1" applyBorder="1" applyAlignment="1">
      <alignment vertical="center"/>
    </xf>
    <xf numFmtId="0" fontId="28" fillId="28" borderId="99" xfId="0" applyNumberFormat="1" applyFont="1" applyFill="1" applyBorder="1" applyAlignment="1">
      <alignment vertical="center"/>
    </xf>
    <xf numFmtId="0" fontId="31" fillId="0" borderId="101" xfId="0" applyNumberFormat="1" applyFont="1" applyFill="1" applyBorder="1" applyAlignment="1">
      <alignment vertical="center"/>
    </xf>
    <xf numFmtId="0" fontId="36" fillId="28" borderId="99" xfId="0" applyNumberFormat="1" applyFont="1" applyFill="1" applyBorder="1" applyAlignment="1">
      <alignment vertical="center"/>
    </xf>
    <xf numFmtId="0" fontId="29" fillId="28" borderId="99" xfId="0" applyNumberFormat="1" applyFont="1" applyFill="1" applyBorder="1" applyAlignment="1">
      <alignment horizontal="right" vertical="center"/>
    </xf>
    <xf numFmtId="0" fontId="28" fillId="26" borderId="99" xfId="0" applyNumberFormat="1" applyFont="1" applyFill="1" applyBorder="1"/>
    <xf numFmtId="0" fontId="55" fillId="0" borderId="99" xfId="0" applyFont="1" applyBorder="1"/>
    <xf numFmtId="1" fontId="55" fillId="0" borderId="99" xfId="0" applyNumberFormat="1" applyFont="1" applyBorder="1" applyAlignment="1">
      <alignment horizontal="left"/>
    </xf>
    <xf numFmtId="1" fontId="29" fillId="0" borderId="19" xfId="0" applyNumberFormat="1" applyFont="1" applyFill="1" applyBorder="1" applyAlignment="1">
      <alignment horizontal="right"/>
    </xf>
    <xf numFmtId="0" fontId="29" fillId="0" borderId="19" xfId="0" applyNumberFormat="1" applyFont="1" applyFill="1" applyBorder="1" applyAlignment="1">
      <alignment horizontal="left" vertical="center"/>
    </xf>
    <xf numFmtId="1" fontId="29" fillId="0" borderId="19" xfId="0" applyNumberFormat="1" applyFont="1" applyFill="1" applyBorder="1" applyAlignment="1">
      <alignment horizontal="center" vertical="center"/>
    </xf>
    <xf numFmtId="1" fontId="29" fillId="0" borderId="72" xfId="0" applyNumberFormat="1" applyFont="1" applyFill="1" applyBorder="1" applyAlignment="1">
      <alignment horizontal="left" vertical="center"/>
    </xf>
    <xf numFmtId="0" fontId="55" fillId="34" borderId="28" xfId="0" applyFont="1" applyFill="1" applyBorder="1" applyAlignment="1">
      <alignment horizontal="center"/>
    </xf>
    <xf numFmtId="0" fontId="29" fillId="38" borderId="0" xfId="0" applyFont="1" applyFill="1"/>
    <xf numFmtId="0" fontId="55" fillId="38" borderId="26" xfId="0" applyFont="1" applyFill="1" applyBorder="1" applyAlignment="1">
      <alignment horizontal="center"/>
    </xf>
    <xf numFmtId="0" fontId="55" fillId="0" borderId="27" xfId="0" applyFont="1" applyBorder="1" applyAlignment="1">
      <alignment horizontal="center"/>
    </xf>
    <xf numFmtId="0" fontId="55" fillId="0" borderId="15" xfId="0" applyFont="1" applyBorder="1" applyAlignment="1">
      <alignment horizontal="center"/>
    </xf>
    <xf numFmtId="0" fontId="55" fillId="0" borderId="80" xfId="0" applyFont="1" applyBorder="1"/>
    <xf numFmtId="0" fontId="28" fillId="0" borderId="0" xfId="0" applyFont="1" applyBorder="1" applyAlignment="1">
      <alignment vertical="center"/>
    </xf>
    <xf numFmtId="0" fontId="55" fillId="0" borderId="7" xfId="0" applyFont="1" applyBorder="1"/>
    <xf numFmtId="0" fontId="55" fillId="0" borderId="0" xfId="0" applyFont="1" applyBorder="1" applyAlignment="1" applyProtection="1">
      <alignment vertical="center"/>
      <protection locked="0"/>
    </xf>
    <xf numFmtId="0" fontId="7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55" fillId="34" borderId="10" xfId="0" applyFont="1" applyFill="1" applyBorder="1" applyAlignment="1">
      <alignment horizontal="right"/>
    </xf>
    <xf numFmtId="17" fontId="55" fillId="34" borderId="12" xfId="0" applyNumberFormat="1" applyFont="1" applyFill="1" applyBorder="1" applyAlignment="1">
      <alignment horizontal="center"/>
    </xf>
    <xf numFmtId="17" fontId="55" fillId="0" borderId="28" xfId="0" applyNumberFormat="1" applyFont="1" applyFill="1" applyBorder="1" applyAlignment="1">
      <alignment horizontal="center"/>
    </xf>
    <xf numFmtId="164" fontId="55" fillId="0" borderId="0" xfId="0" applyNumberFormat="1" applyFont="1"/>
    <xf numFmtId="0" fontId="28" fillId="0" borderId="28" xfId="0" applyFont="1" applyBorder="1" applyAlignment="1">
      <alignment horizontal="center"/>
    </xf>
    <xf numFmtId="0" fontId="55" fillId="0" borderId="15" xfId="0" applyFont="1" applyFill="1" applyBorder="1"/>
    <xf numFmtId="0" fontId="55" fillId="0" borderId="17" xfId="0" applyFont="1" applyFill="1" applyBorder="1"/>
    <xf numFmtId="0" fontId="55" fillId="40" borderId="26" xfId="0" applyFont="1" applyFill="1" applyBorder="1" applyAlignment="1">
      <alignment horizontal="center"/>
    </xf>
    <xf numFmtId="0" fontId="55" fillId="40" borderId="0" xfId="0" applyFont="1" applyFill="1"/>
    <xf numFmtId="2" fontId="55" fillId="40" borderId="0" xfId="0" applyNumberFormat="1" applyFont="1" applyFill="1" applyBorder="1" applyAlignment="1">
      <alignment horizontal="center"/>
    </xf>
    <xf numFmtId="0" fontId="55" fillId="40" borderId="0" xfId="0" applyFont="1" applyFill="1" applyBorder="1"/>
    <xf numFmtId="0" fontId="55" fillId="40" borderId="28" xfId="0" applyFont="1" applyFill="1" applyBorder="1" applyAlignment="1">
      <alignment horizontal="center"/>
    </xf>
    <xf numFmtId="0" fontId="29" fillId="39" borderId="0" xfId="0" applyFont="1" applyFill="1"/>
    <xf numFmtId="0" fontId="55" fillId="39" borderId="0" xfId="0" applyFont="1" applyFill="1"/>
    <xf numFmtId="0" fontId="55" fillId="39" borderId="26" xfId="0" applyFont="1" applyFill="1" applyBorder="1" applyAlignment="1">
      <alignment horizontal="center"/>
    </xf>
    <xf numFmtId="0" fontId="55" fillId="40" borderId="10" xfId="0" applyFont="1" applyFill="1" applyBorder="1" applyAlignment="1">
      <alignment horizontal="right"/>
    </xf>
    <xf numFmtId="17" fontId="55" fillId="40" borderId="12" xfId="0" applyNumberFormat="1" applyFont="1" applyFill="1" applyBorder="1" applyAlignment="1">
      <alignment horizontal="center"/>
    </xf>
    <xf numFmtId="0" fontId="57" fillId="0" borderId="0" xfId="0" applyFont="1" applyAlignment="1">
      <alignment horizontal="right"/>
    </xf>
    <xf numFmtId="0" fontId="55" fillId="34" borderId="0" xfId="0" applyFont="1" applyFill="1" applyBorder="1" applyAlignment="1">
      <alignment horizontal="center"/>
    </xf>
    <xf numFmtId="0" fontId="55" fillId="40" borderId="0" xfId="0" applyFont="1" applyFill="1" applyBorder="1" applyAlignment="1">
      <alignment horizontal="center"/>
    </xf>
    <xf numFmtId="0" fontId="55" fillId="0" borderId="34" xfId="0" applyFont="1" applyFill="1" applyBorder="1" applyAlignment="1" applyProtection="1">
      <alignment vertical="center"/>
    </xf>
    <xf numFmtId="0" fontId="55" fillId="0" borderId="42" xfId="0" applyFont="1" applyBorder="1" applyAlignment="1" applyProtection="1">
      <alignment vertical="center"/>
    </xf>
    <xf numFmtId="0" fontId="28" fillId="0" borderId="0" xfId="0" applyFont="1" applyBorder="1" applyAlignment="1" applyProtection="1">
      <alignment vertical="center"/>
    </xf>
    <xf numFmtId="0" fontId="55" fillId="33" borderId="18" xfId="0" applyFont="1" applyFill="1" applyBorder="1"/>
    <xf numFmtId="0" fontId="55" fillId="33" borderId="22" xfId="0" applyFont="1" applyFill="1" applyBorder="1"/>
    <xf numFmtId="0" fontId="58" fillId="24" borderId="0" xfId="0" applyFont="1" applyFill="1" applyBorder="1" applyAlignment="1">
      <alignment horizontal="center"/>
    </xf>
    <xf numFmtId="0" fontId="36" fillId="24" borderId="19" xfId="0" applyFont="1" applyFill="1" applyBorder="1" applyAlignment="1">
      <alignment horizontal="center"/>
    </xf>
    <xf numFmtId="0" fontId="58" fillId="24" borderId="19" xfId="0" applyFont="1" applyFill="1" applyBorder="1" applyAlignment="1">
      <alignment horizontal="center"/>
    </xf>
    <xf numFmtId="0" fontId="55" fillId="32" borderId="0" xfId="0" applyFont="1" applyFill="1"/>
    <xf numFmtId="0" fontId="55" fillId="26" borderId="0" xfId="0" applyFont="1" applyFill="1"/>
    <xf numFmtId="49" fontId="4" fillId="0" borderId="0" xfId="0" applyNumberFormat="1" applyFont="1" applyAlignment="1">
      <alignment horizontal="right"/>
    </xf>
    <xf numFmtId="0" fontId="42" fillId="0" borderId="102" xfId="0" applyNumberFormat="1" applyFont="1" applyFill="1" applyBorder="1" applyAlignment="1">
      <alignment vertical="center"/>
    </xf>
    <xf numFmtId="0" fontId="42" fillId="0" borderId="60" xfId="0" applyNumberFormat="1" applyFont="1" applyFill="1" applyBorder="1" applyAlignment="1">
      <alignment horizontal="left" vertical="center"/>
    </xf>
    <xf numFmtId="1" fontId="29" fillId="0" borderId="60" xfId="0" applyNumberFormat="1" applyFont="1" applyFill="1" applyBorder="1" applyAlignment="1">
      <alignment horizontal="center" vertical="center"/>
    </xf>
    <xf numFmtId="1" fontId="29" fillId="0" borderId="60" xfId="0" applyNumberFormat="1" applyFont="1" applyFill="1" applyBorder="1" applyAlignment="1">
      <alignment horizontal="right" vertical="center"/>
    </xf>
    <xf numFmtId="1" fontId="29" fillId="0" borderId="103" xfId="0" applyNumberFormat="1" applyFont="1" applyFill="1" applyBorder="1" applyAlignment="1">
      <alignment horizontal="left"/>
    </xf>
    <xf numFmtId="0" fontId="55" fillId="0" borderId="22" xfId="0" applyFont="1" applyFill="1" applyBorder="1" applyAlignment="1">
      <alignment vertical="center"/>
    </xf>
    <xf numFmtId="0" fontId="55" fillId="0" borderId="25" xfId="0" applyFont="1" applyFill="1" applyBorder="1" applyAlignment="1">
      <alignment horizontal="center" vertical="center"/>
    </xf>
    <xf numFmtId="0" fontId="55" fillId="26" borderId="0" xfId="0" applyFont="1" applyFill="1" applyBorder="1" applyAlignment="1">
      <alignment vertical="center"/>
    </xf>
    <xf numFmtId="49" fontId="4" fillId="0" borderId="0" xfId="0" applyNumberFormat="1" applyFont="1" applyAlignment="1">
      <alignment horizontal="right" vertical="center"/>
    </xf>
    <xf numFmtId="0" fontId="55" fillId="28" borderId="19" xfId="0" applyFont="1" applyFill="1" applyBorder="1"/>
    <xf numFmtId="0" fontId="55" fillId="28" borderId="100" xfId="0" applyFont="1" applyFill="1" applyBorder="1" applyAlignment="1">
      <alignment vertical="center"/>
    </xf>
    <xf numFmtId="0" fontId="31" fillId="26" borderId="104" xfId="0" applyFont="1" applyFill="1" applyBorder="1" applyAlignment="1">
      <alignment vertical="center"/>
    </xf>
    <xf numFmtId="0" fontId="52" fillId="27" borderId="105" xfId="0" applyFont="1" applyFill="1" applyBorder="1" applyAlignment="1" applyProtection="1">
      <alignment vertical="center"/>
    </xf>
    <xf numFmtId="0" fontId="36" fillId="27" borderId="104" xfId="0" applyFont="1" applyFill="1" applyBorder="1" applyAlignment="1">
      <alignment vertical="center"/>
    </xf>
    <xf numFmtId="0" fontId="55" fillId="0" borderId="41" xfId="0" applyFont="1" applyBorder="1" applyAlignment="1" applyProtection="1">
      <alignment horizontal="left" vertical="center"/>
      <protection locked="0"/>
    </xf>
    <xf numFmtId="0" fontId="55" fillId="0" borderId="21" xfId="0" applyFont="1" applyBorder="1" applyAlignment="1" applyProtection="1">
      <alignment horizontal="left" vertical="center"/>
      <protection locked="0"/>
    </xf>
    <xf numFmtId="0" fontId="55" fillId="0" borderId="51" xfId="0" applyFont="1" applyBorder="1" applyAlignment="1" applyProtection="1">
      <alignment horizontal="left" vertical="center"/>
      <protection locked="0"/>
    </xf>
    <xf numFmtId="0" fontId="4" fillId="27" borderId="0" xfId="0" applyFont="1" applyFill="1" applyBorder="1" applyAlignment="1">
      <alignment horizontal="left" vertical="center"/>
    </xf>
    <xf numFmtId="0" fontId="42" fillId="27" borderId="16" xfId="0" applyFont="1" applyFill="1" applyBorder="1" applyAlignment="1">
      <alignment horizontal="left" vertical="center"/>
    </xf>
    <xf numFmtId="0" fontId="29" fillId="0" borderId="106" xfId="0" applyFont="1" applyFill="1" applyBorder="1"/>
    <xf numFmtId="0" fontId="29" fillId="26" borderId="98" xfId="0" applyFont="1" applyFill="1" applyBorder="1"/>
    <xf numFmtId="0" fontId="52" fillId="0" borderId="107" xfId="0" applyFont="1" applyFill="1" applyBorder="1"/>
    <xf numFmtId="0" fontId="52" fillId="27" borderId="108" xfId="0" applyFont="1" applyFill="1" applyBorder="1"/>
    <xf numFmtId="0" fontId="36" fillId="0" borderId="106" xfId="0" applyFont="1" applyFill="1" applyBorder="1"/>
    <xf numFmtId="0" fontId="36" fillId="27" borderId="98" xfId="0" applyFont="1" applyFill="1" applyBorder="1"/>
    <xf numFmtId="0" fontId="36" fillId="0" borderId="109" xfId="0" applyNumberFormat="1" applyFont="1" applyBorder="1" applyAlignment="1">
      <alignment vertical="center"/>
    </xf>
    <xf numFmtId="0" fontId="55" fillId="0" borderId="49" xfId="0" applyFont="1" applyBorder="1" applyAlignment="1" applyProtection="1">
      <alignment vertical="center"/>
    </xf>
    <xf numFmtId="0" fontId="55" fillId="0" borderId="52" xfId="0" applyFont="1" applyBorder="1" applyAlignment="1" applyProtection="1">
      <alignment vertical="center"/>
    </xf>
    <xf numFmtId="0" fontId="28" fillId="0" borderId="28" xfId="0" applyFont="1" applyBorder="1" applyAlignment="1" applyProtection="1">
      <alignment vertical="center"/>
      <protection locked="0"/>
    </xf>
    <xf numFmtId="0" fontId="7" fillId="24" borderId="110" xfId="0" applyFont="1" applyFill="1" applyBorder="1" applyAlignment="1">
      <alignment horizontal="center"/>
    </xf>
    <xf numFmtId="0" fontId="36" fillId="24" borderId="24" xfId="0" applyFont="1" applyFill="1" applyBorder="1" applyAlignment="1">
      <alignment horizontal="center"/>
    </xf>
    <xf numFmtId="0" fontId="28" fillId="24" borderId="24" xfId="0" applyFont="1" applyFill="1" applyBorder="1" applyAlignment="1">
      <alignment horizontal="center"/>
    </xf>
    <xf numFmtId="0" fontId="28" fillId="26" borderId="22" xfId="0" applyFont="1" applyFill="1" applyBorder="1" applyAlignment="1">
      <alignment horizontal="center" vertical="center"/>
    </xf>
    <xf numFmtId="0" fontId="42" fillId="0" borderId="16" xfId="0" applyNumberFormat="1" applyFont="1" applyFill="1" applyBorder="1" applyAlignment="1">
      <alignment vertical="center"/>
    </xf>
    <xf numFmtId="0" fontId="31" fillId="26" borderId="0" xfId="0" applyFont="1" applyFill="1" applyBorder="1" applyAlignment="1">
      <alignment horizontal="left" vertical="center"/>
    </xf>
    <xf numFmtId="0" fontId="55" fillId="26" borderId="16" xfId="0" applyFont="1" applyFill="1" applyBorder="1"/>
    <xf numFmtId="0" fontId="55" fillId="26" borderId="17" xfId="0" applyFont="1" applyFill="1" applyBorder="1" applyAlignment="1">
      <alignment horizontal="right" vertical="center"/>
    </xf>
    <xf numFmtId="170" fontId="55" fillId="0" borderId="0" xfId="0" applyNumberFormat="1" applyFont="1" applyAlignment="1">
      <alignment horizontal="center"/>
    </xf>
    <xf numFmtId="0" fontId="55" fillId="0" borderId="0" xfId="0" applyFont="1" applyAlignment="1"/>
    <xf numFmtId="0" fontId="55" fillId="0" borderId="19" xfId="0" applyFont="1" applyFill="1" applyBorder="1"/>
    <xf numFmtId="0" fontId="36" fillId="0" borderId="19" xfId="0" applyFont="1" applyFill="1" applyBorder="1" applyAlignment="1" applyProtection="1">
      <protection locked="0"/>
    </xf>
    <xf numFmtId="0" fontId="55" fillId="0" borderId="19" xfId="0" applyFont="1" applyBorder="1" applyProtection="1">
      <protection locked="0"/>
    </xf>
    <xf numFmtId="0" fontId="55" fillId="24" borderId="21" xfId="0" applyFont="1" applyFill="1" applyBorder="1"/>
    <xf numFmtId="0" fontId="55" fillId="24" borderId="0" xfId="0" applyFont="1" applyFill="1"/>
    <xf numFmtId="0" fontId="28" fillId="24" borderId="13" xfId="0" applyFont="1" applyFill="1" applyBorder="1" applyAlignment="1">
      <alignment horizontal="right"/>
    </xf>
    <xf numFmtId="0" fontId="7" fillId="0" borderId="0" xfId="0" applyFont="1" applyAlignment="1">
      <alignment horizontal="right"/>
    </xf>
    <xf numFmtId="0" fontId="55" fillId="24" borderId="0" xfId="0" applyFont="1" applyFill="1" applyAlignment="1">
      <alignment horizontal="center"/>
    </xf>
    <xf numFmtId="0" fontId="55" fillId="27" borderId="0" xfId="0" applyFont="1" applyFill="1" applyAlignment="1">
      <alignment horizontal="right"/>
    </xf>
    <xf numFmtId="0" fontId="28" fillId="24" borderId="28" xfId="0" applyFont="1" applyFill="1" applyBorder="1" applyAlignment="1">
      <alignment horizontal="left" vertical="center"/>
    </xf>
    <xf numFmtId="0" fontId="68" fillId="24" borderId="0" xfId="0" applyFont="1" applyFill="1" applyAlignment="1">
      <alignment horizontal="center" vertical="center"/>
    </xf>
    <xf numFmtId="0" fontId="28" fillId="0" borderId="0" xfId="0" applyFont="1" applyFill="1" applyBorder="1" applyAlignment="1">
      <alignment horizontal="left" vertical="center"/>
    </xf>
    <xf numFmtId="0" fontId="69" fillId="0" borderId="28" xfId="0" applyFont="1" applyBorder="1" applyAlignment="1">
      <alignment horizontal="center"/>
    </xf>
    <xf numFmtId="0" fontId="55" fillId="32" borderId="0" xfId="0" applyFont="1" applyFill="1" applyBorder="1" applyAlignment="1">
      <alignment horizontal="center"/>
    </xf>
    <xf numFmtId="0" fontId="55" fillId="30" borderId="14" xfId="0" applyFont="1" applyFill="1" applyBorder="1" applyAlignment="1">
      <alignment horizontal="center"/>
    </xf>
    <xf numFmtId="1" fontId="69" fillId="0" borderId="0" xfId="0" applyNumberFormat="1" applyFont="1" applyBorder="1" applyAlignment="1">
      <alignment horizontal="center" vertical="center"/>
    </xf>
    <xf numFmtId="0" fontId="69" fillId="0" borderId="48" xfId="0" applyFont="1" applyBorder="1" applyAlignment="1">
      <alignment horizontal="center"/>
    </xf>
    <xf numFmtId="0" fontId="69" fillId="0" borderId="111" xfId="0" applyFont="1" applyBorder="1" applyAlignment="1">
      <alignment horizontal="center"/>
    </xf>
    <xf numFmtId="0" fontId="55" fillId="0" borderId="112" xfId="0" applyFont="1" applyBorder="1"/>
    <xf numFmtId="0" fontId="28" fillId="27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55" fillId="0" borderId="0" xfId="0" applyFont="1" applyAlignment="1" applyProtection="1">
      <alignment horizontal="right"/>
    </xf>
    <xf numFmtId="0" fontId="55" fillId="0" borderId="0" xfId="0" applyFont="1" applyProtection="1"/>
    <xf numFmtId="0" fontId="55" fillId="0" borderId="33" xfId="0" applyNumberFormat="1" applyFont="1" applyBorder="1" applyAlignment="1">
      <alignment horizontal="right" vertical="center"/>
    </xf>
    <xf numFmtId="0" fontId="69" fillId="0" borderId="113" xfId="0" applyFont="1" applyFill="1" applyBorder="1" applyAlignment="1" applyProtection="1">
      <alignment vertical="center"/>
      <protection locked="0"/>
    </xf>
    <xf numFmtId="164" fontId="67" fillId="0" borderId="41" xfId="0" applyNumberFormat="1" applyFont="1" applyFill="1" applyBorder="1" applyAlignment="1" applyProtection="1">
      <alignment vertical="center"/>
    </xf>
    <xf numFmtId="0" fontId="56" fillId="0" borderId="33" xfId="0" applyFont="1" applyFill="1" applyBorder="1" applyAlignment="1" applyProtection="1">
      <alignment vertical="center"/>
    </xf>
    <xf numFmtId="1" fontId="29" fillId="0" borderId="114" xfId="0" applyNumberFormat="1" applyFont="1" applyBorder="1" applyAlignment="1">
      <alignment horizontal="right" vertical="center"/>
    </xf>
    <xf numFmtId="164" fontId="69" fillId="0" borderId="36" xfId="0" applyNumberFormat="1" applyFont="1" applyBorder="1" applyAlignment="1">
      <alignment horizontal="right" vertical="center"/>
    </xf>
    <xf numFmtId="1" fontId="29" fillId="0" borderId="36" xfId="0" applyNumberFormat="1" applyFont="1" applyBorder="1" applyAlignment="1">
      <alignment horizontal="left" vertical="center"/>
    </xf>
    <xf numFmtId="1" fontId="55" fillId="0" borderId="36" xfId="0" applyNumberFormat="1" applyFont="1" applyBorder="1" applyAlignment="1">
      <alignment horizontal="left"/>
    </xf>
    <xf numFmtId="164" fontId="67" fillId="0" borderId="36" xfId="0" applyNumberFormat="1" applyFont="1" applyBorder="1" applyAlignment="1">
      <alignment vertical="center"/>
    </xf>
    <xf numFmtId="164" fontId="67" fillId="0" borderId="115" xfId="0" applyNumberFormat="1" applyFont="1" applyBorder="1" applyAlignment="1">
      <alignment vertical="center"/>
    </xf>
    <xf numFmtId="0" fontId="69" fillId="0" borderId="116" xfId="0" applyFont="1" applyBorder="1"/>
    <xf numFmtId="0" fontId="55" fillId="0" borderId="42" xfId="0" applyFont="1" applyBorder="1" applyAlignment="1">
      <alignment vertical="center"/>
    </xf>
    <xf numFmtId="0" fontId="69" fillId="0" borderId="42" xfId="0" applyFont="1" applyFill="1" applyBorder="1" applyAlignment="1" applyProtection="1">
      <alignment vertical="center"/>
      <protection locked="0"/>
    </xf>
    <xf numFmtId="0" fontId="56" fillId="0" borderId="42" xfId="0" applyFont="1" applyFill="1" applyBorder="1" applyAlignment="1" applyProtection="1">
      <alignment vertical="center"/>
    </xf>
    <xf numFmtId="1" fontId="29" fillId="0" borderId="45" xfId="0" applyNumberFormat="1" applyFont="1" applyBorder="1" applyAlignment="1">
      <alignment horizontal="right" vertical="center"/>
    </xf>
    <xf numFmtId="164" fontId="69" fillId="0" borderId="39" xfId="0" applyNumberFormat="1" applyFont="1" applyBorder="1" applyAlignment="1">
      <alignment horizontal="right" vertical="center"/>
    </xf>
    <xf numFmtId="1" fontId="29" fillId="0" borderId="39" xfId="0" applyNumberFormat="1" applyFont="1" applyBorder="1" applyAlignment="1">
      <alignment horizontal="left" vertical="center"/>
    </xf>
    <xf numFmtId="1" fontId="55" fillId="0" borderId="39" xfId="0" applyNumberFormat="1" applyFont="1" applyBorder="1" applyAlignment="1">
      <alignment horizontal="left"/>
    </xf>
    <xf numFmtId="164" fontId="67" fillId="0" borderId="39" xfId="0" applyNumberFormat="1" applyFont="1" applyBorder="1" applyAlignment="1">
      <alignment vertical="center"/>
    </xf>
    <xf numFmtId="164" fontId="67" fillId="0" borderId="117" xfId="0" applyNumberFormat="1" applyFont="1" applyBorder="1" applyAlignment="1">
      <alignment vertical="center"/>
    </xf>
    <xf numFmtId="0" fontId="69" fillId="0" borderId="118" xfId="0" applyFont="1" applyBorder="1"/>
    <xf numFmtId="0" fontId="55" fillId="37" borderId="0" xfId="0" applyFont="1" applyFill="1"/>
    <xf numFmtId="0" fontId="55" fillId="37" borderId="0" xfId="0" applyFont="1" applyFill="1" applyProtection="1">
      <protection locked="0"/>
    </xf>
    <xf numFmtId="0" fontId="55" fillId="37" borderId="0" xfId="0" applyFont="1" applyFill="1" applyBorder="1" applyProtection="1"/>
    <xf numFmtId="0" fontId="55" fillId="37" borderId="0" xfId="0" applyFont="1" applyFill="1" applyBorder="1"/>
    <xf numFmtId="0" fontId="28" fillId="37" borderId="0" xfId="0" applyFont="1" applyFill="1" applyBorder="1"/>
    <xf numFmtId="0" fontId="55" fillId="37" borderId="14" xfId="0" applyFont="1" applyFill="1" applyBorder="1"/>
    <xf numFmtId="0" fontId="55" fillId="37" borderId="13" xfId="0" applyFont="1" applyFill="1" applyBorder="1"/>
    <xf numFmtId="0" fontId="56" fillId="0" borderId="42" xfId="0" applyFont="1" applyBorder="1" applyAlignment="1" applyProtection="1">
      <alignment vertical="center"/>
    </xf>
    <xf numFmtId="0" fontId="28" fillId="0" borderId="49" xfId="0" applyNumberFormat="1" applyFont="1" applyBorder="1" applyAlignment="1">
      <alignment vertical="center"/>
    </xf>
    <xf numFmtId="0" fontId="55" fillId="0" borderId="0" xfId="0" applyFont="1" applyFill="1" applyBorder="1" applyProtection="1">
      <protection locked="0"/>
    </xf>
    <xf numFmtId="0" fontId="55" fillId="0" borderId="0" xfId="0" applyFont="1" applyFill="1" applyProtection="1">
      <protection locked="0"/>
    </xf>
    <xf numFmtId="0" fontId="55" fillId="0" borderId="119" xfId="0" applyFont="1" applyBorder="1" applyAlignment="1">
      <alignment vertical="center"/>
    </xf>
    <xf numFmtId="0" fontId="69" fillId="0" borderId="52" xfId="0" applyFont="1" applyFill="1" applyBorder="1" applyAlignment="1" applyProtection="1">
      <alignment vertical="center"/>
      <protection locked="0"/>
    </xf>
    <xf numFmtId="164" fontId="67" fillId="0" borderId="51" xfId="0" applyNumberFormat="1" applyFont="1" applyFill="1" applyBorder="1" applyAlignment="1" applyProtection="1">
      <alignment vertical="center"/>
    </xf>
    <xf numFmtId="0" fontId="56" fillId="0" borderId="52" xfId="0" applyFont="1" applyBorder="1" applyAlignment="1" applyProtection="1">
      <alignment vertical="center"/>
    </xf>
    <xf numFmtId="0" fontId="55" fillId="0" borderId="120" xfId="0" applyFont="1" applyFill="1" applyBorder="1" applyAlignment="1">
      <alignment vertical="center"/>
    </xf>
    <xf numFmtId="1" fontId="29" fillId="0" borderId="121" xfId="0" applyNumberFormat="1" applyFont="1" applyBorder="1" applyAlignment="1">
      <alignment horizontal="right" vertical="center"/>
    </xf>
    <xf numFmtId="164" fontId="69" fillId="0" borderId="48" xfId="0" applyNumberFormat="1" applyFont="1" applyBorder="1" applyAlignment="1">
      <alignment horizontal="right" vertical="center"/>
    </xf>
    <xf numFmtId="1" fontId="29" fillId="0" borderId="48" xfId="0" applyNumberFormat="1" applyFont="1" applyBorder="1" applyAlignment="1">
      <alignment horizontal="left" vertical="center"/>
    </xf>
    <xf numFmtId="0" fontId="28" fillId="0" borderId="56" xfId="0" applyNumberFormat="1" applyFont="1" applyBorder="1" applyAlignment="1">
      <alignment vertical="center"/>
    </xf>
    <xf numFmtId="1" fontId="55" fillId="0" borderId="48" xfId="0" applyNumberFormat="1" applyFont="1" applyBorder="1" applyAlignment="1">
      <alignment horizontal="left"/>
    </xf>
    <xf numFmtId="164" fontId="67" fillId="0" borderId="56" xfId="0" applyNumberFormat="1" applyFont="1" applyBorder="1" applyAlignment="1">
      <alignment vertical="center"/>
    </xf>
    <xf numFmtId="164" fontId="67" fillId="0" borderId="122" xfId="0" applyNumberFormat="1" applyFont="1" applyBorder="1" applyAlignment="1">
      <alignment vertical="center"/>
    </xf>
    <xf numFmtId="0" fontId="69" fillId="0" borderId="123" xfId="0" applyFont="1" applyBorder="1"/>
    <xf numFmtId="0" fontId="55" fillId="0" borderId="16" xfId="0" applyFont="1" applyFill="1" applyBorder="1" applyProtection="1"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right"/>
    </xf>
    <xf numFmtId="0" fontId="55" fillId="26" borderId="10" xfId="0" applyFont="1" applyFill="1" applyBorder="1" applyAlignment="1">
      <alignment vertical="center"/>
    </xf>
    <xf numFmtId="0" fontId="55" fillId="26" borderId="12" xfId="0" applyFont="1" applyFill="1" applyBorder="1" applyAlignment="1">
      <alignment horizontal="center" vertical="center"/>
    </xf>
    <xf numFmtId="0" fontId="29" fillId="26" borderId="11" xfId="0" applyFont="1" applyFill="1" applyBorder="1" applyAlignment="1">
      <alignment horizontal="left" vertical="center"/>
    </xf>
    <xf numFmtId="0" fontId="28" fillId="26" borderId="18" xfId="0" applyFont="1" applyFill="1" applyBorder="1"/>
    <xf numFmtId="0" fontId="55" fillId="26" borderId="22" xfId="0" applyFont="1" applyFill="1" applyBorder="1" applyAlignment="1">
      <alignment horizontal="right"/>
    </xf>
    <xf numFmtId="0" fontId="28" fillId="37" borderId="25" xfId="0" applyFont="1" applyFill="1" applyBorder="1" applyAlignment="1">
      <alignment vertical="center"/>
    </xf>
    <xf numFmtId="0" fontId="55" fillId="37" borderId="0" xfId="0" applyFont="1" applyFill="1" applyBorder="1" applyAlignment="1">
      <alignment vertical="center"/>
    </xf>
    <xf numFmtId="0" fontId="55" fillId="0" borderId="22" xfId="0" applyFont="1" applyFill="1" applyBorder="1" applyAlignment="1">
      <alignment horizontal="right"/>
    </xf>
    <xf numFmtId="0" fontId="55" fillId="37" borderId="22" xfId="0" applyFont="1" applyFill="1" applyBorder="1" applyAlignment="1">
      <alignment vertical="center"/>
    </xf>
    <xf numFmtId="0" fontId="55" fillId="37" borderId="26" xfId="0" applyFont="1" applyFill="1" applyBorder="1"/>
    <xf numFmtId="0" fontId="55" fillId="26" borderId="18" xfId="0" applyFont="1" applyFill="1" applyBorder="1" applyAlignment="1">
      <alignment vertical="center"/>
    </xf>
    <xf numFmtId="0" fontId="55" fillId="26" borderId="25" xfId="0" applyFont="1" applyFill="1" applyBorder="1" applyAlignment="1">
      <alignment horizontal="center" vertical="center"/>
    </xf>
    <xf numFmtId="0" fontId="29" fillId="26" borderId="18" xfId="0" applyNumberFormat="1" applyFont="1" applyFill="1" applyBorder="1" applyAlignment="1">
      <alignment vertical="center"/>
    </xf>
    <xf numFmtId="1" fontId="29" fillId="26" borderId="102" xfId="0" applyNumberFormat="1" applyFont="1" applyFill="1" applyBorder="1" applyAlignment="1">
      <alignment horizontal="right" vertical="center"/>
    </xf>
    <xf numFmtId="164" fontId="71" fillId="26" borderId="60" xfId="0" applyNumberFormat="1" applyFont="1" applyFill="1" applyBorder="1" applyAlignment="1">
      <alignment horizontal="right" vertical="center"/>
    </xf>
    <xf numFmtId="169" fontId="29" fillId="26" borderId="60" xfId="0" applyNumberFormat="1" applyFont="1" applyFill="1" applyBorder="1" applyAlignment="1">
      <alignment horizontal="center" vertical="center"/>
    </xf>
    <xf numFmtId="1" fontId="29" fillId="26" borderId="60" xfId="0" applyNumberFormat="1" applyFont="1" applyFill="1" applyBorder="1" applyAlignment="1">
      <alignment horizontal="left" vertical="center"/>
    </xf>
    <xf numFmtId="0" fontId="28" fillId="0" borderId="0" xfId="0" applyNumberFormat="1" applyFont="1" applyFill="1" applyBorder="1" applyAlignment="1">
      <alignment vertical="center"/>
    </xf>
    <xf numFmtId="1" fontId="55" fillId="0" borderId="60" xfId="0" applyNumberFormat="1" applyFont="1" applyBorder="1" applyAlignment="1">
      <alignment horizontal="left"/>
    </xf>
    <xf numFmtId="164" fontId="71" fillId="26" borderId="60" xfId="0" applyNumberFormat="1" applyFont="1" applyFill="1" applyBorder="1" applyAlignment="1">
      <alignment vertical="center"/>
    </xf>
    <xf numFmtId="164" fontId="71" fillId="26" borderId="124" xfId="0" applyNumberFormat="1" applyFont="1" applyFill="1" applyBorder="1" applyAlignment="1">
      <alignment vertical="center"/>
    </xf>
    <xf numFmtId="0" fontId="55" fillId="24" borderId="18" xfId="0" applyFont="1" applyFill="1" applyBorder="1"/>
    <xf numFmtId="0" fontId="55" fillId="24" borderId="22" xfId="0" applyFont="1" applyFill="1" applyBorder="1" applyAlignment="1">
      <alignment horizontal="right"/>
    </xf>
    <xf numFmtId="0" fontId="55" fillId="37" borderId="25" xfId="0" applyFont="1" applyFill="1" applyBorder="1"/>
    <xf numFmtId="0" fontId="55" fillId="41" borderId="22" xfId="0" applyFont="1" applyFill="1" applyBorder="1"/>
    <xf numFmtId="0" fontId="55" fillId="41" borderId="0" xfId="0" applyFont="1" applyFill="1"/>
    <xf numFmtId="0" fontId="28" fillId="37" borderId="22" xfId="0" applyFont="1" applyFill="1" applyBorder="1"/>
    <xf numFmtId="0" fontId="55" fillId="37" borderId="22" xfId="0" applyFont="1" applyFill="1" applyBorder="1"/>
    <xf numFmtId="0" fontId="55" fillId="30" borderId="20" xfId="0" applyFont="1" applyFill="1" applyBorder="1"/>
    <xf numFmtId="0" fontId="28" fillId="0" borderId="0" xfId="0" applyFont="1" applyAlignment="1">
      <alignment horizontal="right" vertical="center"/>
    </xf>
    <xf numFmtId="1" fontId="55" fillId="0" borderId="0" xfId="0" applyNumberFormat="1" applyFont="1" applyAlignment="1">
      <alignment horizontal="right" vertical="center"/>
    </xf>
    <xf numFmtId="0" fontId="55" fillId="0" borderId="0" xfId="0" applyFont="1" applyFill="1" applyBorder="1" applyAlignment="1">
      <alignment horizontal="right"/>
    </xf>
    <xf numFmtId="0" fontId="55" fillId="28" borderId="65" xfId="0" applyFont="1" applyFill="1" applyBorder="1" applyAlignment="1">
      <alignment horizontal="right"/>
    </xf>
    <xf numFmtId="0" fontId="55" fillId="0" borderId="0" xfId="0" applyFont="1" applyFill="1" applyAlignment="1">
      <alignment vertical="center"/>
    </xf>
    <xf numFmtId="166" fontId="55" fillId="0" borderId="0" xfId="0" applyNumberFormat="1" applyFont="1" applyAlignment="1">
      <alignment vertical="center"/>
    </xf>
    <xf numFmtId="0" fontId="55" fillId="37" borderId="14" xfId="0" applyNumberFormat="1" applyFont="1" applyFill="1" applyBorder="1"/>
    <xf numFmtId="0" fontId="55" fillId="37" borderId="14" xfId="39" applyNumberFormat="1" applyFont="1" applyFill="1" applyBorder="1"/>
    <xf numFmtId="0" fontId="55" fillId="37" borderId="14" xfId="0" applyFont="1" applyFill="1" applyBorder="1" applyAlignment="1">
      <alignment horizontal="center"/>
    </xf>
    <xf numFmtId="0" fontId="55" fillId="37" borderId="17" xfId="0" applyFont="1" applyFill="1" applyBorder="1"/>
    <xf numFmtId="0" fontId="55" fillId="24" borderId="21" xfId="0" applyFont="1" applyFill="1" applyBorder="1" applyAlignment="1">
      <alignment vertical="center"/>
    </xf>
    <xf numFmtId="0" fontId="55" fillId="24" borderId="28" xfId="0" applyFont="1" applyFill="1" applyBorder="1" applyAlignment="1">
      <alignment vertical="center"/>
    </xf>
    <xf numFmtId="0" fontId="55" fillId="24" borderId="27" xfId="0" applyFont="1" applyFill="1" applyBorder="1" applyAlignment="1">
      <alignment vertical="center"/>
    </xf>
    <xf numFmtId="0" fontId="55" fillId="0" borderId="0" xfId="0" applyNumberFormat="1" applyFont="1" applyAlignment="1">
      <alignment horizontal="left" vertical="center"/>
    </xf>
    <xf numFmtId="0" fontId="55" fillId="0" borderId="0" xfId="0" applyNumberFormat="1" applyFont="1" applyAlignment="1">
      <alignment horizontal="left"/>
    </xf>
    <xf numFmtId="0" fontId="55" fillId="33" borderId="0" xfId="0" applyFont="1" applyFill="1" applyProtection="1">
      <protection locked="0"/>
    </xf>
    <xf numFmtId="0" fontId="55" fillId="0" borderId="13" xfId="0" applyFont="1" applyBorder="1" applyAlignment="1">
      <alignment horizontal="center"/>
    </xf>
    <xf numFmtId="49" fontId="4" fillId="0" borderId="0" xfId="0" quotePrefix="1" applyNumberFormat="1" applyFont="1" applyAlignment="1">
      <alignment horizontal="right"/>
    </xf>
    <xf numFmtId="4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right" vertical="top"/>
    </xf>
    <xf numFmtId="0" fontId="29" fillId="26" borderId="0" xfId="0" applyFont="1" applyFill="1" applyBorder="1" applyAlignment="1">
      <alignment horizontal="right" vertical="center"/>
    </xf>
    <xf numFmtId="164" fontId="31" fillId="26" borderId="0" xfId="0" applyNumberFormat="1" applyFont="1" applyFill="1" applyBorder="1" applyAlignment="1">
      <alignment horizontal="right" vertical="center"/>
    </xf>
    <xf numFmtId="1" fontId="4" fillId="26" borderId="0" xfId="0" applyNumberFormat="1" applyFont="1" applyFill="1" applyBorder="1" applyAlignment="1">
      <alignment horizontal="right" vertical="center"/>
    </xf>
    <xf numFmtId="0" fontId="49" fillId="26" borderId="0" xfId="0" applyFont="1" applyFill="1" applyBorder="1" applyAlignment="1">
      <alignment horizontal="center" vertical="center"/>
    </xf>
    <xf numFmtId="0" fontId="55" fillId="27" borderId="0" xfId="0" applyFont="1" applyFill="1" applyBorder="1" applyAlignment="1">
      <alignment horizontal="left"/>
    </xf>
    <xf numFmtId="0" fontId="55" fillId="33" borderId="0" xfId="0" applyFont="1" applyFill="1" applyProtection="1"/>
    <xf numFmtId="0" fontId="55" fillId="33" borderId="16" xfId="0" applyFont="1" applyFill="1" applyBorder="1" applyProtection="1"/>
    <xf numFmtId="0" fontId="55" fillId="0" borderId="28" xfId="0" applyNumberFormat="1" applyFont="1" applyFill="1" applyBorder="1"/>
    <xf numFmtId="0" fontId="55" fillId="0" borderId="28" xfId="0" applyNumberFormat="1" applyFont="1" applyBorder="1" applyAlignment="1">
      <alignment horizontal="center"/>
    </xf>
    <xf numFmtId="0" fontId="55" fillId="0" borderId="27" xfId="0" applyNumberFormat="1" applyFont="1" applyBorder="1"/>
    <xf numFmtId="0" fontId="55" fillId="0" borderId="20" xfId="0" applyNumberFormat="1" applyFont="1" applyFill="1" applyBorder="1"/>
    <xf numFmtId="0" fontId="55" fillId="0" borderId="11" xfId="0" applyFont="1" applyFill="1" applyBorder="1"/>
    <xf numFmtId="0" fontId="74" fillId="0" borderId="23" xfId="0" applyFont="1" applyBorder="1" applyAlignment="1">
      <alignment horizontal="center" vertical="center"/>
    </xf>
    <xf numFmtId="0" fontId="74" fillId="0" borderId="125" xfId="0" applyFont="1" applyBorder="1" applyAlignment="1">
      <alignment horizontal="center" vertical="center"/>
    </xf>
    <xf numFmtId="0" fontId="57" fillId="0" borderId="0" xfId="0" applyFont="1" applyBorder="1" applyAlignment="1">
      <alignment horizontal="center"/>
    </xf>
    <xf numFmtId="166" fontId="28" fillId="0" borderId="126" xfId="0" applyNumberFormat="1" applyFont="1" applyBorder="1" applyAlignment="1" applyProtection="1">
      <alignment horizontal="center" vertical="center"/>
      <protection locked="0"/>
    </xf>
    <xf numFmtId="0" fontId="28" fillId="0" borderId="18" xfId="0" applyFont="1" applyBorder="1" applyAlignment="1">
      <alignment horizontal="right"/>
    </xf>
    <xf numFmtId="0" fontId="28" fillId="0" borderId="20" xfId="0" applyFont="1" applyBorder="1"/>
    <xf numFmtId="0" fontId="28" fillId="0" borderId="18" xfId="0" applyFont="1" applyFill="1" applyBorder="1"/>
    <xf numFmtId="0" fontId="28" fillId="0" borderId="25" xfId="0" applyFont="1" applyFill="1" applyBorder="1" applyAlignment="1">
      <alignment vertical="center"/>
    </xf>
    <xf numFmtId="170" fontId="57" fillId="0" borderId="0" xfId="0" applyNumberFormat="1" applyFont="1" applyAlignment="1">
      <alignment horizontal="center"/>
    </xf>
    <xf numFmtId="170" fontId="56" fillId="0" borderId="0" xfId="0" applyNumberFormat="1" applyFont="1" applyAlignment="1">
      <alignment horizontal="center"/>
    </xf>
    <xf numFmtId="0" fontId="52" fillId="0" borderId="87" xfId="0" applyNumberFormat="1" applyFont="1" applyFill="1" applyBorder="1" applyAlignment="1">
      <alignment vertical="center"/>
    </xf>
    <xf numFmtId="0" fontId="36" fillId="0" borderId="0" xfId="0" applyNumberFormat="1" applyFont="1" applyFill="1" applyBorder="1" applyAlignment="1">
      <alignment vertical="center"/>
    </xf>
    <xf numFmtId="164" fontId="55" fillId="0" borderId="12" xfId="0" applyNumberFormat="1" applyFont="1" applyBorder="1"/>
    <xf numFmtId="164" fontId="55" fillId="0" borderId="14" xfId="0" applyNumberFormat="1" applyFont="1" applyBorder="1"/>
    <xf numFmtId="0" fontId="4" fillId="27" borderId="0" xfId="0" applyNumberFormat="1" applyFont="1" applyFill="1" applyBorder="1" applyAlignment="1">
      <alignment horizontal="right" vertical="center"/>
    </xf>
    <xf numFmtId="165" fontId="29" fillId="26" borderId="60" xfId="0" applyNumberFormat="1" applyFont="1" applyFill="1" applyBorder="1" applyAlignment="1">
      <alignment horizontal="right" vertical="center"/>
    </xf>
    <xf numFmtId="0" fontId="55" fillId="26" borderId="0" xfId="0" applyFont="1" applyFill="1" applyBorder="1"/>
    <xf numFmtId="0" fontId="55" fillId="30" borderId="16" xfId="0" applyFont="1" applyFill="1" applyBorder="1"/>
    <xf numFmtId="49" fontId="4" fillId="24" borderId="35" xfId="0" applyNumberFormat="1" applyFont="1" applyFill="1" applyBorder="1" applyAlignment="1">
      <alignment horizontal="right" vertical="top"/>
    </xf>
    <xf numFmtId="0" fontId="58" fillId="0" borderId="30" xfId="0" applyFont="1" applyBorder="1" applyAlignment="1">
      <alignment horizontal="center"/>
    </xf>
    <xf numFmtId="0" fontId="49" fillId="26" borderId="0" xfId="0" applyFont="1" applyFill="1" applyBorder="1" applyAlignment="1">
      <alignment horizontal="right"/>
    </xf>
    <xf numFmtId="0" fontId="7" fillId="0" borderId="127" xfId="0" applyFont="1" applyBorder="1" applyAlignment="1">
      <alignment vertical="center"/>
    </xf>
    <xf numFmtId="0" fontId="60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55" fillId="0" borderId="0" xfId="0" applyFont="1" applyFill="1" applyBorder="1" applyProtection="1"/>
    <xf numFmtId="0" fontId="55" fillId="24" borderId="0" xfId="0" applyFont="1" applyFill="1" applyBorder="1" applyAlignment="1">
      <alignment horizontal="left"/>
    </xf>
    <xf numFmtId="0" fontId="55" fillId="27" borderId="0" xfId="0" applyFont="1" applyFill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74" fillId="0" borderId="23" xfId="0" applyFont="1" applyBorder="1" applyAlignment="1">
      <alignment horizontal="center"/>
    </xf>
    <xf numFmtId="1" fontId="63" fillId="0" borderId="36" xfId="0" applyNumberFormat="1" applyFont="1" applyBorder="1" applyAlignment="1">
      <alignment horizontal="center" vertical="center"/>
    </xf>
    <xf numFmtId="1" fontId="63" fillId="0" borderId="39" xfId="0" applyNumberFormat="1" applyFont="1" applyBorder="1" applyAlignment="1">
      <alignment horizontal="center" vertical="center"/>
    </xf>
    <xf numFmtId="1" fontId="63" fillId="0" borderId="48" xfId="0" applyNumberFormat="1" applyFont="1" applyBorder="1" applyAlignment="1">
      <alignment horizontal="center" vertical="center"/>
    </xf>
    <xf numFmtId="0" fontId="55" fillId="28" borderId="22" xfId="0" applyFont="1" applyFill="1" applyBorder="1"/>
    <xf numFmtId="1" fontId="81" fillId="0" borderId="60" xfId="0" applyNumberFormat="1" applyFont="1" applyFill="1" applyBorder="1" applyAlignment="1">
      <alignment horizontal="center" vertical="center"/>
    </xf>
    <xf numFmtId="0" fontId="80" fillId="26" borderId="60" xfId="0" applyNumberFormat="1" applyFont="1" applyFill="1" applyBorder="1" applyAlignment="1">
      <alignment vertical="center"/>
    </xf>
    <xf numFmtId="165" fontId="80" fillId="26" borderId="60" xfId="0" applyNumberFormat="1" applyFont="1" applyFill="1" applyBorder="1" applyAlignment="1">
      <alignment vertical="center"/>
    </xf>
    <xf numFmtId="1" fontId="80" fillId="0" borderId="0" xfId="0" applyNumberFormat="1" applyFont="1" applyBorder="1" applyAlignment="1">
      <alignment vertical="center"/>
    </xf>
    <xf numFmtId="0" fontId="80" fillId="0" borderId="0" xfId="0" applyFont="1" applyBorder="1" applyAlignment="1">
      <alignment vertical="center"/>
    </xf>
    <xf numFmtId="1" fontId="80" fillId="0" borderId="0" xfId="0" applyNumberFormat="1" applyFont="1" applyBorder="1" applyAlignment="1">
      <alignment horizontal="left" vertical="center"/>
    </xf>
    <xf numFmtId="0" fontId="79" fillId="0" borderId="28" xfId="0" applyFont="1" applyBorder="1" applyAlignment="1">
      <alignment horizontal="center"/>
    </xf>
    <xf numFmtId="0" fontId="79" fillId="0" borderId="48" xfId="0" applyFont="1" applyBorder="1" applyAlignment="1">
      <alignment horizontal="center"/>
    </xf>
    <xf numFmtId="0" fontId="79" fillId="0" borderId="111" xfId="0" applyFont="1" applyBorder="1" applyAlignment="1">
      <alignment horizontal="center"/>
    </xf>
    <xf numFmtId="0" fontId="79" fillId="0" borderId="112" xfId="0" applyFont="1" applyBorder="1"/>
    <xf numFmtId="0" fontId="83" fillId="24" borderId="30" xfId="0" applyFont="1" applyFill="1" applyBorder="1" applyAlignment="1">
      <alignment horizontal="center"/>
    </xf>
    <xf numFmtId="1" fontId="79" fillId="0" borderId="0" xfId="0" applyNumberFormat="1" applyFont="1" applyBorder="1" applyAlignment="1">
      <alignment horizontal="center"/>
    </xf>
    <xf numFmtId="1" fontId="79" fillId="0" borderId="0" xfId="0" applyNumberFormat="1" applyFont="1" applyBorder="1" applyAlignment="1"/>
    <xf numFmtId="1" fontId="4" fillId="0" borderId="0" xfId="0" quotePrefix="1" applyNumberFormat="1" applyFont="1" applyAlignment="1">
      <alignment horizontal="left"/>
    </xf>
    <xf numFmtId="0" fontId="29" fillId="24" borderId="16" xfId="0" applyFont="1" applyFill="1" applyBorder="1" applyAlignment="1">
      <alignment horizontal="center"/>
    </xf>
    <xf numFmtId="0" fontId="55" fillId="26" borderId="11" xfId="0" applyFont="1" applyFill="1" applyBorder="1"/>
    <xf numFmtId="0" fontId="80" fillId="26" borderId="16" xfId="0" applyFont="1" applyFill="1" applyBorder="1"/>
    <xf numFmtId="1" fontId="81" fillId="0" borderId="102" xfId="0" applyNumberFormat="1" applyFont="1" applyFill="1" applyBorder="1" applyAlignment="1">
      <alignment horizontal="right" vertical="center"/>
    </xf>
    <xf numFmtId="1" fontId="81" fillId="0" borderId="60" xfId="0" applyNumberFormat="1" applyFont="1" applyFill="1" applyBorder="1" applyAlignment="1">
      <alignment horizontal="left"/>
    </xf>
    <xf numFmtId="171" fontId="79" fillId="0" borderId="21" xfId="0" applyNumberFormat="1" applyFont="1" applyBorder="1" applyAlignment="1" applyProtection="1">
      <alignment vertical="center"/>
      <protection locked="0"/>
    </xf>
    <xf numFmtId="171" fontId="79" fillId="0" borderId="41" xfId="0" applyNumberFormat="1" applyFont="1" applyBorder="1" applyAlignment="1" applyProtection="1">
      <alignment vertical="center"/>
      <protection locked="0"/>
    </xf>
    <xf numFmtId="171" fontId="79" fillId="0" borderId="51" xfId="0" applyNumberFormat="1" applyFont="1" applyBorder="1" applyAlignment="1" applyProtection="1">
      <alignment vertical="center"/>
      <protection locked="0"/>
    </xf>
    <xf numFmtId="171" fontId="79" fillId="0" borderId="36" xfId="0" applyNumberFormat="1" applyFont="1" applyBorder="1" applyAlignment="1">
      <alignment horizontal="left" vertical="center"/>
    </xf>
    <xf numFmtId="171" fontId="79" fillId="0" borderId="39" xfId="0" applyNumberFormat="1" applyFont="1" applyBorder="1" applyAlignment="1">
      <alignment horizontal="left" vertical="center"/>
    </xf>
    <xf numFmtId="171" fontId="79" fillId="0" borderId="48" xfId="0" applyNumberFormat="1" applyFont="1" applyBorder="1" applyAlignment="1">
      <alignment horizontal="left" vertical="center"/>
    </xf>
    <xf numFmtId="171" fontId="56" fillId="26" borderId="0" xfId="0" applyNumberFormat="1" applyFont="1" applyFill="1" applyBorder="1" applyAlignment="1">
      <alignment horizontal="left" vertical="center"/>
    </xf>
    <xf numFmtId="171" fontId="81" fillId="0" borderId="60" xfId="0" applyNumberFormat="1" applyFont="1" applyFill="1" applyBorder="1" applyAlignment="1">
      <alignment horizontal="left" vertical="center"/>
    </xf>
    <xf numFmtId="171" fontId="80" fillId="0" borderId="36" xfId="0" applyNumberFormat="1" applyFont="1" applyBorder="1" applyAlignment="1">
      <alignment vertical="center"/>
    </xf>
    <xf numFmtId="171" fontId="80" fillId="0" borderId="115" xfId="0" applyNumberFormat="1" applyFont="1" applyBorder="1" applyAlignment="1">
      <alignment vertical="center"/>
    </xf>
    <xf numFmtId="171" fontId="80" fillId="0" borderId="116" xfId="0" applyNumberFormat="1" applyFont="1" applyBorder="1"/>
    <xf numFmtId="171" fontId="80" fillId="0" borderId="39" xfId="0" applyNumberFormat="1" applyFont="1" applyBorder="1" applyAlignment="1">
      <alignment vertical="center"/>
    </xf>
    <xf numFmtId="171" fontId="80" fillId="0" borderId="117" xfId="0" applyNumberFormat="1" applyFont="1" applyBorder="1" applyAlignment="1">
      <alignment vertical="center"/>
    </xf>
    <xf numFmtId="171" fontId="80" fillId="0" borderId="118" xfId="0" applyNumberFormat="1" applyFont="1" applyBorder="1"/>
    <xf numFmtId="171" fontId="80" fillId="0" borderId="56" xfId="0" applyNumberFormat="1" applyFont="1" applyBorder="1" applyAlignment="1">
      <alignment vertical="center"/>
    </xf>
    <xf numFmtId="171" fontId="80" fillId="0" borderId="122" xfId="0" applyNumberFormat="1" applyFont="1" applyBorder="1" applyAlignment="1">
      <alignment vertical="center"/>
    </xf>
    <xf numFmtId="171" fontId="80" fillId="0" borderId="123" xfId="0" applyNumberFormat="1" applyFont="1" applyBorder="1"/>
    <xf numFmtId="171" fontId="55" fillId="26" borderId="0" xfId="0" applyNumberFormat="1" applyFont="1" applyFill="1" applyBorder="1" applyAlignment="1">
      <alignment vertical="center"/>
    </xf>
    <xf numFmtId="171" fontId="55" fillId="0" borderId="0" xfId="0" applyNumberFormat="1" applyFont="1"/>
    <xf numFmtId="171" fontId="81" fillId="26" borderId="60" xfId="0" applyNumberFormat="1" applyFont="1" applyFill="1" applyBorder="1" applyAlignment="1">
      <alignment vertical="center"/>
    </xf>
    <xf numFmtId="171" fontId="81" fillId="26" borderId="124" xfId="0" applyNumberFormat="1" applyFont="1" applyFill="1" applyBorder="1" applyAlignment="1">
      <alignment vertical="center"/>
    </xf>
    <xf numFmtId="171" fontId="36" fillId="0" borderId="0" xfId="0" applyNumberFormat="1" applyFont="1" applyFill="1" applyBorder="1"/>
    <xf numFmtId="0" fontId="28" fillId="24" borderId="24" xfId="0" applyFont="1" applyFill="1" applyBorder="1" applyAlignment="1"/>
    <xf numFmtId="0" fontId="55" fillId="0" borderId="52" xfId="0" applyFont="1" applyBorder="1" applyAlignment="1" applyProtection="1">
      <alignment vertical="center"/>
      <protection locked="0"/>
    </xf>
    <xf numFmtId="171" fontId="81" fillId="0" borderId="20" xfId="0" applyNumberFormat="1" applyFont="1" applyFill="1" applyBorder="1" applyAlignment="1">
      <alignment vertical="center"/>
    </xf>
    <xf numFmtId="171" fontId="28" fillId="0" borderId="128" xfId="0" applyNumberFormat="1" applyFont="1" applyBorder="1" applyAlignment="1">
      <alignment horizontal="right" vertical="center"/>
    </xf>
    <xf numFmtId="171" fontId="28" fillId="0" borderId="7" xfId="0" applyNumberFormat="1" applyFont="1" applyBorder="1" applyAlignment="1">
      <alignment vertical="center"/>
    </xf>
    <xf numFmtId="171" fontId="28" fillId="0" borderId="90" xfId="0" applyNumberFormat="1" applyFont="1" applyBorder="1" applyAlignment="1">
      <alignment vertical="center"/>
    </xf>
    <xf numFmtId="171" fontId="28" fillId="26" borderId="11" xfId="0" applyNumberFormat="1" applyFont="1" applyFill="1" applyBorder="1" applyAlignment="1">
      <alignment vertical="center"/>
    </xf>
    <xf numFmtId="171" fontId="28" fillId="0" borderId="97" xfId="0" applyNumberFormat="1" applyFont="1" applyFill="1" applyBorder="1" applyAlignment="1">
      <alignment vertical="center"/>
    </xf>
    <xf numFmtId="171" fontId="28" fillId="26" borderId="87" xfId="0" applyNumberFormat="1" applyFont="1" applyFill="1" applyBorder="1" applyAlignment="1">
      <alignment vertical="center"/>
    </xf>
    <xf numFmtId="171" fontId="28" fillId="0" borderId="89" xfId="0" applyNumberFormat="1" applyFont="1" applyFill="1" applyBorder="1" applyAlignment="1">
      <alignment vertical="center"/>
    </xf>
    <xf numFmtId="171" fontId="28" fillId="0" borderId="97" xfId="0" applyNumberFormat="1" applyFont="1" applyFill="1" applyBorder="1" applyAlignment="1">
      <alignment horizontal="right" vertical="center"/>
    </xf>
    <xf numFmtId="171" fontId="28" fillId="0" borderId="0" xfId="0" applyNumberFormat="1" applyFont="1" applyFill="1" applyBorder="1" applyAlignment="1">
      <alignment horizontal="right" vertical="center"/>
    </xf>
    <xf numFmtId="171" fontId="28" fillId="0" borderId="101" xfId="0" applyNumberFormat="1" applyFont="1" applyFill="1" applyBorder="1" applyAlignment="1">
      <alignment vertical="center"/>
    </xf>
    <xf numFmtId="171" fontId="28" fillId="26" borderId="97" xfId="0" applyNumberFormat="1" applyFont="1" applyFill="1" applyBorder="1" applyAlignment="1">
      <alignment vertical="center"/>
    </xf>
    <xf numFmtId="172" fontId="28" fillId="0" borderId="128" xfId="0" applyNumberFormat="1" applyFont="1" applyBorder="1" applyAlignment="1">
      <alignment horizontal="right" vertical="center"/>
    </xf>
    <xf numFmtId="172" fontId="28" fillId="0" borderId="7" xfId="0" applyNumberFormat="1" applyFont="1" applyBorder="1" applyAlignment="1">
      <alignment vertical="center"/>
    </xf>
    <xf numFmtId="172" fontId="28" fillId="0" borderId="90" xfId="0" applyNumberFormat="1" applyFont="1" applyBorder="1" applyAlignment="1">
      <alignment vertical="center"/>
    </xf>
    <xf numFmtId="172" fontId="28" fillId="26" borderId="11" xfId="0" applyNumberFormat="1" applyFont="1" applyFill="1" applyBorder="1" applyAlignment="1">
      <alignment vertical="center"/>
    </xf>
    <xf numFmtId="172" fontId="28" fillId="26" borderId="97" xfId="0" applyNumberFormat="1" applyFont="1" applyFill="1" applyBorder="1" applyAlignment="1">
      <alignment vertical="center"/>
    </xf>
    <xf numFmtId="172" fontId="28" fillId="0" borderId="97" xfId="0" applyNumberFormat="1" applyFont="1" applyFill="1" applyBorder="1" applyAlignment="1">
      <alignment horizontal="right" vertical="center"/>
    </xf>
    <xf numFmtId="172" fontId="28" fillId="0" borderId="97" xfId="0" applyNumberFormat="1" applyFont="1" applyFill="1" applyBorder="1" applyAlignment="1">
      <alignment vertical="center"/>
    </xf>
    <xf numFmtId="172" fontId="28" fillId="0" borderId="0" xfId="0" applyNumberFormat="1" applyFont="1" applyFill="1" applyBorder="1" applyAlignment="1">
      <alignment horizontal="right" vertical="center"/>
    </xf>
    <xf numFmtId="172" fontId="28" fillId="0" borderId="101" xfId="0" applyNumberFormat="1" applyFont="1" applyFill="1" applyBorder="1" applyAlignment="1">
      <alignment vertical="center"/>
    </xf>
    <xf numFmtId="1" fontId="29" fillId="0" borderId="0" xfId="0" applyNumberFormat="1" applyFont="1" applyFill="1" applyBorder="1" applyAlignment="1">
      <alignment horizontal="left" vertical="center"/>
    </xf>
    <xf numFmtId="1" fontId="29" fillId="0" borderId="53" xfId="0" applyNumberFormat="1" applyFont="1" applyFill="1" applyBorder="1" applyAlignment="1">
      <alignment horizontal="right"/>
    </xf>
    <xf numFmtId="0" fontId="36" fillId="0" borderId="53" xfId="0" applyNumberFormat="1" applyFont="1" applyFill="1" applyBorder="1" applyAlignment="1">
      <alignment horizontal="left" vertical="center"/>
    </xf>
    <xf numFmtId="1" fontId="29" fillId="0" borderId="53" xfId="0" applyNumberFormat="1" applyFont="1" applyFill="1" applyBorder="1" applyAlignment="1">
      <alignment horizontal="center" vertical="center"/>
    </xf>
    <xf numFmtId="1" fontId="29" fillId="0" borderId="81" xfId="0" applyNumberFormat="1" applyFont="1" applyFill="1" applyBorder="1" applyAlignment="1">
      <alignment horizontal="left" vertical="center"/>
    </xf>
    <xf numFmtId="1" fontId="55" fillId="0" borderId="16" xfId="0" applyNumberFormat="1" applyFont="1" applyBorder="1" applyAlignment="1">
      <alignment horizontal="left"/>
    </xf>
    <xf numFmtId="0" fontId="55" fillId="0" borderId="16" xfId="0" applyNumberFormat="1" applyFont="1" applyBorder="1" applyAlignment="1">
      <alignment horizontal="left"/>
    </xf>
    <xf numFmtId="0" fontId="52" fillId="0" borderId="96" xfId="0" applyNumberFormat="1" applyFont="1" applyFill="1" applyBorder="1" applyAlignment="1">
      <alignment vertical="center"/>
    </xf>
    <xf numFmtId="0" fontId="36" fillId="0" borderId="14" xfId="0" applyNumberFormat="1" applyFont="1" applyFill="1" applyBorder="1" applyAlignment="1">
      <alignment vertical="center"/>
    </xf>
    <xf numFmtId="0" fontId="29" fillId="0" borderId="72" xfId="0" applyNumberFormat="1" applyFont="1" applyFill="1" applyBorder="1" applyAlignment="1">
      <alignment horizontal="left" vertical="center"/>
    </xf>
    <xf numFmtId="0" fontId="36" fillId="0" borderId="11" xfId="0" applyNumberFormat="1" applyFont="1" applyFill="1" applyBorder="1" applyAlignment="1">
      <alignment horizontal="left" vertical="center"/>
    </xf>
    <xf numFmtId="1" fontId="29" fillId="0" borderId="11" xfId="0" applyNumberFormat="1" applyFont="1" applyFill="1" applyBorder="1" applyAlignment="1">
      <alignment horizontal="right"/>
    </xf>
    <xf numFmtId="1" fontId="29" fillId="0" borderId="11" xfId="0" applyNumberFormat="1" applyFont="1" applyFill="1" applyBorder="1" applyAlignment="1">
      <alignment horizontal="center" vertical="center"/>
    </xf>
    <xf numFmtId="1" fontId="55" fillId="0" borderId="0" xfId="0" applyNumberFormat="1" applyFont="1" applyFill="1" applyBorder="1" applyAlignment="1">
      <alignment horizontal="left"/>
    </xf>
    <xf numFmtId="1" fontId="29" fillId="0" borderId="11" xfId="0" applyNumberFormat="1" applyFont="1" applyFill="1" applyBorder="1" applyAlignment="1">
      <alignment horizontal="left" vertical="center"/>
    </xf>
    <xf numFmtId="0" fontId="42" fillId="27" borderId="15" xfId="0" applyNumberFormat="1" applyFont="1" applyFill="1" applyBorder="1" applyAlignment="1">
      <alignment horizontal="right" vertical="center"/>
    </xf>
    <xf numFmtId="0" fontId="2" fillId="0" borderId="0" xfId="43" applyFont="1"/>
    <xf numFmtId="0" fontId="25" fillId="0" borderId="0" xfId="43" applyFont="1" applyAlignment="1">
      <alignment horizontal="left"/>
    </xf>
    <xf numFmtId="0" fontId="26" fillId="0" borderId="0" xfId="43" applyFont="1"/>
    <xf numFmtId="0" fontId="27" fillId="0" borderId="0" xfId="43" applyFont="1"/>
    <xf numFmtId="0" fontId="53" fillId="0" borderId="0" xfId="43" applyFont="1"/>
    <xf numFmtId="0" fontId="28" fillId="0" borderId="0" xfId="43" applyFont="1"/>
    <xf numFmtId="0" fontId="28" fillId="0" borderId="0" xfId="43" applyFont="1" applyAlignment="1"/>
    <xf numFmtId="0" fontId="7" fillId="0" borderId="0" xfId="43" applyFont="1" applyAlignment="1"/>
    <xf numFmtId="0" fontId="28" fillId="0" borderId="0" xfId="43" applyFont="1" applyAlignment="1">
      <alignment vertical="top"/>
    </xf>
    <xf numFmtId="0" fontId="85" fillId="0" borderId="0" xfId="44" applyAlignment="1" applyProtection="1"/>
    <xf numFmtId="0" fontId="29" fillId="0" borderId="0" xfId="43" applyFont="1" applyAlignment="1">
      <alignment horizontal="right" vertical="top"/>
    </xf>
    <xf numFmtId="0" fontId="28" fillId="0" borderId="0" xfId="43" applyFont="1" applyFill="1" applyBorder="1"/>
    <xf numFmtId="0" fontId="29" fillId="0" borderId="0" xfId="43" applyFont="1" applyAlignment="1">
      <alignment horizontal="right"/>
    </xf>
    <xf numFmtId="0" fontId="28" fillId="0" borderId="0" xfId="43" applyFont="1" applyFill="1"/>
    <xf numFmtId="0" fontId="29" fillId="0" borderId="0" xfId="43" applyFont="1"/>
    <xf numFmtId="0" fontId="4" fillId="0" borderId="0" xfId="43" applyFont="1" applyFill="1" applyBorder="1"/>
    <xf numFmtId="0" fontId="4" fillId="0" borderId="0" xfId="43" applyFont="1"/>
    <xf numFmtId="0" fontId="28" fillId="25" borderId="0" xfId="43" applyFont="1" applyFill="1"/>
    <xf numFmtId="0" fontId="32" fillId="0" borderId="0" xfId="43" applyFont="1"/>
    <xf numFmtId="0" fontId="28" fillId="24" borderId="0" xfId="43" applyFont="1" applyFill="1"/>
    <xf numFmtId="0" fontId="29" fillId="0" borderId="0" xfId="43" applyFont="1" applyAlignment="1">
      <alignment vertical="center"/>
    </xf>
    <xf numFmtId="0" fontId="33" fillId="0" borderId="0" xfId="43" applyFont="1"/>
    <xf numFmtId="0" fontId="29" fillId="0" borderId="0" xfId="43" applyFont="1" applyFill="1"/>
    <xf numFmtId="0" fontId="4" fillId="0" borderId="0" xfId="43" applyFont="1" applyFill="1"/>
    <xf numFmtId="0" fontId="2" fillId="0" borderId="0" xfId="43" applyFont="1" applyFill="1"/>
    <xf numFmtId="0" fontId="54" fillId="0" borderId="0" xfId="43" applyFont="1"/>
    <xf numFmtId="1" fontId="28" fillId="0" borderId="0" xfId="0" applyNumberFormat="1" applyFont="1" applyAlignment="1">
      <alignment horizontal="left" vertical="center"/>
    </xf>
    <xf numFmtId="1" fontId="28" fillId="0" borderId="0" xfId="0" applyNumberFormat="1" applyFont="1" applyAlignment="1">
      <alignment horizontal="left"/>
    </xf>
    <xf numFmtId="0" fontId="28" fillId="0" borderId="0" xfId="0" applyFont="1" applyAlignment="1">
      <alignment vertical="top"/>
    </xf>
    <xf numFmtId="0" fontId="36" fillId="0" borderId="13" xfId="0" applyFont="1" applyBorder="1" applyAlignment="1" applyProtection="1">
      <alignment horizontal="left"/>
      <protection locked="0"/>
    </xf>
    <xf numFmtId="0" fontId="36" fillId="0" borderId="14" xfId="0" applyFont="1" applyBorder="1" applyAlignment="1" applyProtection="1">
      <alignment horizontal="left"/>
      <protection locked="0"/>
    </xf>
    <xf numFmtId="0" fontId="55" fillId="30" borderId="18" xfId="0" applyFont="1" applyFill="1" applyBorder="1" applyAlignment="1" applyProtection="1">
      <alignment horizontal="center"/>
      <protection locked="0"/>
    </xf>
    <xf numFmtId="0" fontId="55" fillId="30" borderId="22" xfId="0" applyFont="1" applyFill="1" applyBorder="1" applyAlignment="1" applyProtection="1">
      <alignment horizontal="center"/>
      <protection locked="0"/>
    </xf>
    <xf numFmtId="0" fontId="55" fillId="30" borderId="12" xfId="0" applyFont="1" applyFill="1" applyBorder="1" applyAlignment="1" applyProtection="1">
      <alignment horizontal="center"/>
      <protection locked="0"/>
    </xf>
    <xf numFmtId="0" fontId="28" fillId="27" borderId="18" xfId="0" applyFont="1" applyFill="1" applyBorder="1" applyAlignment="1" applyProtection="1">
      <alignment horizontal="center"/>
      <protection locked="0"/>
    </xf>
    <xf numFmtId="0" fontId="28" fillId="27" borderId="22" xfId="0" applyFont="1" applyFill="1" applyBorder="1" applyAlignment="1" applyProtection="1">
      <alignment horizontal="center"/>
      <protection locked="0"/>
    </xf>
    <xf numFmtId="0" fontId="28" fillId="27" borderId="25" xfId="0" applyFont="1" applyFill="1" applyBorder="1" applyAlignment="1" applyProtection="1">
      <alignment horizontal="center"/>
      <protection locked="0"/>
    </xf>
    <xf numFmtId="0" fontId="28" fillId="0" borderId="13" xfId="0" applyFont="1" applyBorder="1" applyAlignment="1" applyProtection="1">
      <alignment horizontal="left"/>
      <protection locked="0"/>
    </xf>
    <xf numFmtId="0" fontId="28" fillId="0" borderId="14" xfId="0" applyFont="1" applyBorder="1" applyAlignment="1" applyProtection="1">
      <alignment horizontal="left"/>
      <protection locked="0"/>
    </xf>
    <xf numFmtId="0" fontId="28" fillId="27" borderId="12" xfId="0" applyFont="1" applyFill="1" applyBorder="1" applyAlignment="1" applyProtection="1">
      <alignment horizontal="center"/>
      <protection locked="0"/>
    </xf>
    <xf numFmtId="0" fontId="4" fillId="0" borderId="32" xfId="0" applyFont="1" applyBorder="1" applyAlignment="1">
      <alignment horizontal="left" vertical="top"/>
    </xf>
    <xf numFmtId="0" fontId="56" fillId="0" borderId="35" xfId="0" applyFont="1" applyBorder="1" applyAlignment="1">
      <alignment horizontal="left" vertical="top"/>
    </xf>
    <xf numFmtId="0" fontId="69" fillId="0" borderId="0" xfId="0" applyFont="1" applyBorder="1" applyAlignment="1">
      <alignment horizontal="center"/>
    </xf>
    <xf numFmtId="0" fontId="69" fillId="0" borderId="14" xfId="0" applyFont="1" applyBorder="1" applyAlignment="1">
      <alignment horizontal="center"/>
    </xf>
    <xf numFmtId="164" fontId="71" fillId="28" borderId="18" xfId="0" applyNumberFormat="1" applyFont="1" applyFill="1" applyBorder="1" applyAlignment="1">
      <alignment horizontal="center" vertical="top"/>
    </xf>
    <xf numFmtId="164" fontId="71" fillId="28" borderId="25" xfId="0" applyNumberFormat="1" applyFont="1" applyFill="1" applyBorder="1" applyAlignment="1">
      <alignment horizontal="center" vertical="top"/>
    </xf>
    <xf numFmtId="1" fontId="69" fillId="0" borderId="0" xfId="0" applyNumberFormat="1" applyFont="1" applyBorder="1" applyAlignment="1">
      <alignment horizontal="center"/>
    </xf>
    <xf numFmtId="0" fontId="79" fillId="0" borderId="0" xfId="0" applyFont="1" applyBorder="1" applyAlignment="1">
      <alignment horizontal="center"/>
    </xf>
    <xf numFmtId="0" fontId="79" fillId="0" borderId="14" xfId="0" applyFont="1" applyBorder="1" applyAlignment="1">
      <alignment horizontal="center"/>
    </xf>
    <xf numFmtId="0" fontId="4" fillId="0" borderId="32" xfId="0" applyFont="1" applyBorder="1" applyAlignment="1">
      <alignment horizontal="center" vertical="top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4" builtinId="8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3"/>
    <cellStyle name="Note" xfId="37" builtinId="10" customBuiltin="1"/>
    <cellStyle name="Output" xfId="38" builtinId="21" customBuiltin="1"/>
    <cellStyle name="Percent" xfId="39" builtinId="5"/>
    <cellStyle name="Title" xfId="40" builtinId="15" customBuiltin="1"/>
    <cellStyle name="Total" xfId="41" builtinId="25" customBuiltin="1"/>
    <cellStyle name="Warning Text" xfId="42" builtinId="11" customBuiltin="1"/>
  </cellStyles>
  <dxfs count="47"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/>
        <i val="0"/>
        <condense val="0"/>
        <extend val="0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 val="0"/>
        <i val="0"/>
        <condense val="0"/>
        <extend val="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/>
        <i val="0"/>
        <condense val="0"/>
        <extend val="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</font>
      <fill>
        <patternFill patternType="solid">
          <bgColor indexed="22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8"/>
      </font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/>
        <i val="0"/>
        <condense val="0"/>
        <extend val="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</font>
      <fill>
        <patternFill patternType="solid"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8"/>
      </font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/>
        <i val="0"/>
        <condense val="0"/>
        <extend val="0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 val="0"/>
        <i val="0"/>
        <condense val="0"/>
        <extend val="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8"/>
      </font>
    </dxf>
    <dxf>
      <fill>
        <patternFill>
          <bgColor indexed="22"/>
        </patternFill>
      </fill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openxmlformats.org/officeDocument/2006/relationships/externalLink" Target="externalLinks/externalLink20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5.xml"/><Relationship Id="rId34" Type="http://schemas.openxmlformats.org/officeDocument/2006/relationships/styles" Target="styles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externalLink" Target="externalLinks/externalLink19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29" Type="http://schemas.openxmlformats.org/officeDocument/2006/relationships/externalLink" Target="externalLinks/externalLink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externalLink" Target="externalLinks/externalLink18.xml"/><Relationship Id="rId32" Type="http://schemas.openxmlformats.org/officeDocument/2006/relationships/externalLink" Target="externalLinks/externalLink26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externalLink" Target="externalLinks/externalLink17.xml"/><Relationship Id="rId28" Type="http://schemas.openxmlformats.org/officeDocument/2006/relationships/externalLink" Target="externalLinks/externalLink22.xml"/><Relationship Id="rId36" Type="http://schemas.openxmlformats.org/officeDocument/2006/relationships/calcChain" Target="calcChain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31" Type="http://schemas.openxmlformats.org/officeDocument/2006/relationships/externalLink" Target="externalLinks/externalLink2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externalLink" Target="externalLinks/externalLink16.xml"/><Relationship Id="rId27" Type="http://schemas.openxmlformats.org/officeDocument/2006/relationships/externalLink" Target="externalLinks/externalLink21.xml"/><Relationship Id="rId30" Type="http://schemas.openxmlformats.org/officeDocument/2006/relationships/externalLink" Target="externalLinks/externalLink24.xml"/><Relationship Id="rId35" Type="http://schemas.openxmlformats.org/officeDocument/2006/relationships/sharedStrings" Target="sharedString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363457760314354E-2"/>
          <c:y val="0.11000017903674973"/>
          <c:w val="0.93123772102161051"/>
          <c:h val="0.86666807725924055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81-42FB-A593-7C13467754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plus"/>
            <c:errValType val="cust"/>
            <c:noEndCap val="1"/>
            <c:plus>
              <c:numRef>
                <c:f>'Original two groups'!$BY$3</c:f>
                <c:numCache>
                  <c:formatCode>General</c:formatCode>
                  <c:ptCount val="1"/>
                  <c:pt idx="0">
                    <c:v>33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'Original two groups'!$BW$3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'Original two groups'!$BX$3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81-42FB-A593-7C13467754F9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groups'!$BW$7:$BW$36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groups'!$BX$7:$BX$36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81-42FB-A593-7C13467754F9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groups'!$BY$39</c:f>
                <c:numCache>
                  <c:formatCode>General</c:formatCode>
                  <c:ptCount val="1"/>
                  <c:pt idx="0">
                    <c:v>5.6767750201864038E-2</c:v>
                  </c:pt>
                </c:numCache>
              </c:numRef>
            </c:plus>
            <c:minus>
              <c:numRef>
                <c:f>'Original two groups'!$BY$39</c:f>
                <c:numCache>
                  <c:formatCode>General</c:formatCode>
                  <c:ptCount val="1"/>
                  <c:pt idx="0">
                    <c:v>5.6767750201864038E-2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'Original two groups'!$BW$39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'Original two groups'!$BX$39</c:f>
              <c:numCache>
                <c:formatCode>General</c:formatCode>
                <c:ptCount val="1"/>
                <c:pt idx="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81-42FB-A593-7C13467754F9}"/>
            </c:ext>
          </c:extLst>
        </c:ser>
        <c:ser>
          <c:idx val="7"/>
          <c:order val="3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groups'!$CU$3:$CU$32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5.0000000000000266E-2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281-42FB-A593-7C13467754F9}"/>
            </c:ext>
          </c:extLst>
        </c:ser>
        <c:ser>
          <c:idx val="8"/>
          <c:order val="4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groups'!$CT$3:$CT$32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81-42FB-A593-7C13467754F9}"/>
            </c:ext>
          </c:extLst>
        </c:ser>
        <c:ser>
          <c:idx val="9"/>
          <c:order val="5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groups'!$CS$3:$CS$32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-4.0000000000000036E-2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281-42FB-A593-7C13467754F9}"/>
            </c:ext>
          </c:extLst>
        </c:ser>
        <c:ser>
          <c:idx val="10"/>
          <c:order val="6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groups'!$CR$3:$CR$32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81-42FB-A593-7C13467754F9}"/>
            </c:ext>
          </c:extLst>
        </c:ser>
        <c:ser>
          <c:idx val="11"/>
          <c:order val="7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groups'!$CQ$3:$CQ$32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-4.0000000000000036E-2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281-42FB-A593-7C13467754F9}"/>
            </c:ext>
          </c:extLst>
        </c:ser>
        <c:ser>
          <c:idx val="12"/>
          <c:order val="8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groups'!$CP$3:$CP$32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0.18000000000000016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281-42FB-A593-7C13467754F9}"/>
            </c:ext>
          </c:extLst>
        </c:ser>
        <c:ser>
          <c:idx val="13"/>
          <c:order val="9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groups'!$CO$3:$CO$32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0.22999999999999998</c:v>
                </c:pt>
                <c:pt idx="4">
                  <c:v>0.10999999999999988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281-42FB-A593-7C13467754F9}"/>
            </c:ext>
          </c:extLst>
        </c:ser>
        <c:ser>
          <c:idx val="14"/>
          <c:order val="10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groups'!$CN$3:$CN$32</c:f>
              <c:numCache>
                <c:formatCode>General</c:formatCode>
                <c:ptCount val="30"/>
                <c:pt idx="0">
                  <c:v>0.22999999999999998</c:v>
                </c:pt>
                <c:pt idx="1">
                  <c:v>0.31000000000000005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0.10000000000000009</c:v>
                </c:pt>
                <c:pt idx="8">
                  <c:v>0.33000000000000007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81-42FB-A593-7C13467754F9}"/>
            </c:ext>
          </c:extLst>
        </c:ser>
        <c:ser>
          <c:idx val="15"/>
          <c:order val="11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groups'!$CM$3:$CM$32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281-42FB-A593-7C13467754F9}"/>
            </c:ext>
          </c:extLst>
        </c:ser>
        <c:ser>
          <c:idx val="36"/>
          <c:order val="1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'Original two groups'!$BW$51:$BW$251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3.4694469519536142E-17</c:v>
                  </c:pt>
                  <c:pt idx="11">
                    <c:v>4.0000000000000382E-3</c:v>
                  </c:pt>
                  <c:pt idx="12">
                    <c:v>8.0000000000000418E-3</c:v>
                  </c:pt>
                  <c:pt idx="13">
                    <c:v>1.2000000000000094E-2</c:v>
                  </c:pt>
                  <c:pt idx="14">
                    <c:v>1.6000000000000049E-2</c:v>
                  </c:pt>
                  <c:pt idx="15">
                    <c:v>2.0000000000000052E-2</c:v>
                  </c:pt>
                  <c:pt idx="16">
                    <c:v>2.4000000000000056E-2</c:v>
                  </c:pt>
                  <c:pt idx="17">
                    <c:v>2.8000000000000101E-2</c:v>
                  </c:pt>
                  <c:pt idx="18">
                    <c:v>3.2000000000000063E-2</c:v>
                  </c:pt>
                  <c:pt idx="19">
                    <c:v>3.6000000000000067E-2</c:v>
                  </c:pt>
                  <c:pt idx="20">
                    <c:v>4.000000000000007E-2</c:v>
                  </c:pt>
                  <c:pt idx="21">
                    <c:v>4.4000000000000129E-2</c:v>
                  </c:pt>
                  <c:pt idx="22">
                    <c:v>4.8000000000000077E-2</c:v>
                  </c:pt>
                  <c:pt idx="23">
                    <c:v>5.2000000000000081E-2</c:v>
                  </c:pt>
                  <c:pt idx="24">
                    <c:v>5.6000000000000084E-2</c:v>
                  </c:pt>
                  <c:pt idx="25">
                    <c:v>6.0000000000000143E-2</c:v>
                  </c:pt>
                  <c:pt idx="26">
                    <c:v>6.4000000000000085E-2</c:v>
                  </c:pt>
                  <c:pt idx="27">
                    <c:v>6.8000000000000088E-2</c:v>
                  </c:pt>
                  <c:pt idx="28">
                    <c:v>7.2000000000000147E-2</c:v>
                  </c:pt>
                  <c:pt idx="29">
                    <c:v>7.6000000000000151E-2</c:v>
                  </c:pt>
                  <c:pt idx="30">
                    <c:v>8.0000000000000154E-2</c:v>
                  </c:pt>
                  <c:pt idx="31">
                    <c:v>8.4000000000000102E-2</c:v>
                  </c:pt>
                  <c:pt idx="32">
                    <c:v>8.8000000000000161E-2</c:v>
                  </c:pt>
                  <c:pt idx="33">
                    <c:v>9.2000000000000165E-2</c:v>
                  </c:pt>
                  <c:pt idx="34">
                    <c:v>9.6000000000000169E-2</c:v>
                  </c:pt>
                  <c:pt idx="35">
                    <c:v>0.10000000000000012</c:v>
                  </c:pt>
                  <c:pt idx="36">
                    <c:v>0.10400000000000012</c:v>
                  </c:pt>
                  <c:pt idx="37">
                    <c:v>0.1080000000000001</c:v>
                  </c:pt>
                  <c:pt idx="38">
                    <c:v>0.1120000000000001</c:v>
                  </c:pt>
                  <c:pt idx="39">
                    <c:v>0.11600000000000005</c:v>
                  </c:pt>
                  <c:pt idx="40">
                    <c:v>0.12000000000000002</c:v>
                  </c:pt>
                  <c:pt idx="41">
                    <c:v>0.12400000000000003</c:v>
                  </c:pt>
                  <c:pt idx="42">
                    <c:v>0.12799999999999997</c:v>
                  </c:pt>
                  <c:pt idx="43">
                    <c:v>0.13199999999999998</c:v>
                  </c:pt>
                  <c:pt idx="44">
                    <c:v>0.13599999999999993</c:v>
                  </c:pt>
                  <c:pt idx="45">
                    <c:v>0.13999999999999993</c:v>
                  </c:pt>
                  <c:pt idx="46">
                    <c:v>0.14399999999999991</c:v>
                  </c:pt>
                  <c:pt idx="47">
                    <c:v>0.14799999999999991</c:v>
                  </c:pt>
                  <c:pt idx="48">
                    <c:v>0.15199999999999986</c:v>
                  </c:pt>
                  <c:pt idx="49">
                    <c:v>0.15599999999999986</c:v>
                  </c:pt>
                  <c:pt idx="50">
                    <c:v>0.15999999999999984</c:v>
                  </c:pt>
                  <c:pt idx="51">
                    <c:v>0.16399999999999984</c:v>
                  </c:pt>
                  <c:pt idx="52">
                    <c:v>0.16799999999999979</c:v>
                  </c:pt>
                  <c:pt idx="53">
                    <c:v>0.17199999999999974</c:v>
                  </c:pt>
                  <c:pt idx="54">
                    <c:v>0.17599999999999974</c:v>
                  </c:pt>
                  <c:pt idx="55">
                    <c:v>0.17999999999999974</c:v>
                  </c:pt>
                  <c:pt idx="56">
                    <c:v>0.18399999999999972</c:v>
                  </c:pt>
                  <c:pt idx="57">
                    <c:v>0.18799999999999967</c:v>
                  </c:pt>
                  <c:pt idx="58">
                    <c:v>0.19199999999999967</c:v>
                  </c:pt>
                  <c:pt idx="59">
                    <c:v>0.19599999999999967</c:v>
                  </c:pt>
                  <c:pt idx="60">
                    <c:v>0.19999999999999965</c:v>
                  </c:pt>
                  <c:pt idx="61">
                    <c:v>0.2039999999999996</c:v>
                  </c:pt>
                  <c:pt idx="62">
                    <c:v>0.2079999999999996</c:v>
                  </c:pt>
                  <c:pt idx="63">
                    <c:v>0.21199999999999955</c:v>
                  </c:pt>
                  <c:pt idx="64">
                    <c:v>0.2159999999999995</c:v>
                  </c:pt>
                  <c:pt idx="65">
                    <c:v>0.2199999999999995</c:v>
                  </c:pt>
                  <c:pt idx="66">
                    <c:v>0.22399999999999951</c:v>
                  </c:pt>
                  <c:pt idx="67">
                    <c:v>0.22799999999999951</c:v>
                  </c:pt>
                  <c:pt idx="68">
                    <c:v>0.23199999999999946</c:v>
                  </c:pt>
                  <c:pt idx="69">
                    <c:v>0.23599999999999946</c:v>
                  </c:pt>
                  <c:pt idx="70">
                    <c:v>0.23999999999999946</c:v>
                  </c:pt>
                  <c:pt idx="71">
                    <c:v>0.24399999999999941</c:v>
                  </c:pt>
                  <c:pt idx="72">
                    <c:v>0.24799999999999936</c:v>
                  </c:pt>
                  <c:pt idx="73">
                    <c:v>0.25199999999999939</c:v>
                  </c:pt>
                  <c:pt idx="74">
                    <c:v>0.25599999999999939</c:v>
                  </c:pt>
                  <c:pt idx="75">
                    <c:v>0.2599999999999994</c:v>
                  </c:pt>
                  <c:pt idx="76">
                    <c:v>0.26399999999999935</c:v>
                  </c:pt>
                  <c:pt idx="77">
                    <c:v>0.26799999999999935</c:v>
                  </c:pt>
                  <c:pt idx="78">
                    <c:v>0.2719999999999993</c:v>
                  </c:pt>
                  <c:pt idx="79">
                    <c:v>0.2759999999999993</c:v>
                  </c:pt>
                  <c:pt idx="80">
                    <c:v>0.27999999999999925</c:v>
                  </c:pt>
                  <c:pt idx="81">
                    <c:v>0.28399999999999925</c:v>
                  </c:pt>
                  <c:pt idx="82">
                    <c:v>0.2879999999999992</c:v>
                  </c:pt>
                  <c:pt idx="83">
                    <c:v>0.2919999999999992</c:v>
                  </c:pt>
                  <c:pt idx="84">
                    <c:v>0.29599999999999921</c:v>
                  </c:pt>
                  <c:pt idx="85">
                    <c:v>0.29999999999999921</c:v>
                  </c:pt>
                  <c:pt idx="86">
                    <c:v>0.30399999999999916</c:v>
                  </c:pt>
                  <c:pt idx="87">
                    <c:v>0.30799999999999911</c:v>
                  </c:pt>
                  <c:pt idx="88">
                    <c:v>0.31199999999999911</c:v>
                  </c:pt>
                  <c:pt idx="89">
                    <c:v>0.31599999999999906</c:v>
                  </c:pt>
                  <c:pt idx="90">
                    <c:v>0.31999999999999906</c:v>
                  </c:pt>
                  <c:pt idx="91">
                    <c:v>0.32399999999999901</c:v>
                  </c:pt>
                  <c:pt idx="92">
                    <c:v>0.32799999999999901</c:v>
                  </c:pt>
                  <c:pt idx="93">
                    <c:v>0.33199999999999902</c:v>
                  </c:pt>
                  <c:pt idx="94">
                    <c:v>0.33599999999999902</c:v>
                  </c:pt>
                  <c:pt idx="95">
                    <c:v>0.33999999999999897</c:v>
                  </c:pt>
                  <c:pt idx="96">
                    <c:v>0.34399999999999897</c:v>
                  </c:pt>
                  <c:pt idx="97">
                    <c:v>0.34799999999999892</c:v>
                  </c:pt>
                  <c:pt idx="98">
                    <c:v>0.35199999999999892</c:v>
                  </c:pt>
                  <c:pt idx="99">
                    <c:v>0.35599999999999887</c:v>
                  </c:pt>
                  <c:pt idx="100">
                    <c:v>0.35999999999999888</c:v>
                  </c:pt>
                  <c:pt idx="101">
                    <c:v>0.35600000000000126</c:v>
                  </c:pt>
                  <c:pt idx="102">
                    <c:v>0.35200000000000126</c:v>
                  </c:pt>
                  <c:pt idx="103">
                    <c:v>0.34800000000000125</c:v>
                  </c:pt>
                  <c:pt idx="104">
                    <c:v>0.3440000000000013</c:v>
                  </c:pt>
                  <c:pt idx="105">
                    <c:v>0.3400000000000013</c:v>
                  </c:pt>
                  <c:pt idx="106">
                    <c:v>0.33600000000000135</c:v>
                  </c:pt>
                  <c:pt idx="107">
                    <c:v>0.33200000000000135</c:v>
                  </c:pt>
                  <c:pt idx="108">
                    <c:v>0.3280000000000014</c:v>
                  </c:pt>
                  <c:pt idx="109">
                    <c:v>0.3240000000000014</c:v>
                  </c:pt>
                  <c:pt idx="110">
                    <c:v>0.32000000000000145</c:v>
                  </c:pt>
                  <c:pt idx="111">
                    <c:v>0.31600000000000145</c:v>
                  </c:pt>
                  <c:pt idx="112">
                    <c:v>0.31200000000000144</c:v>
                  </c:pt>
                  <c:pt idx="113">
                    <c:v>0.30800000000000144</c:v>
                  </c:pt>
                  <c:pt idx="114">
                    <c:v>0.30400000000000149</c:v>
                  </c:pt>
                  <c:pt idx="115">
                    <c:v>0.30000000000000149</c:v>
                  </c:pt>
                  <c:pt idx="116">
                    <c:v>0.29600000000000154</c:v>
                  </c:pt>
                  <c:pt idx="117">
                    <c:v>0.29200000000000159</c:v>
                  </c:pt>
                  <c:pt idx="118">
                    <c:v>0.28800000000000159</c:v>
                  </c:pt>
                  <c:pt idx="119">
                    <c:v>0.28400000000000158</c:v>
                  </c:pt>
                  <c:pt idx="120">
                    <c:v>0.28000000000000164</c:v>
                  </c:pt>
                  <c:pt idx="121">
                    <c:v>0.27600000000000163</c:v>
                  </c:pt>
                  <c:pt idx="122">
                    <c:v>0.27200000000000163</c:v>
                  </c:pt>
                  <c:pt idx="123">
                    <c:v>0.26800000000000168</c:v>
                  </c:pt>
                  <c:pt idx="124">
                    <c:v>0.26400000000000168</c:v>
                  </c:pt>
                  <c:pt idx="125">
                    <c:v>0.26000000000000173</c:v>
                  </c:pt>
                  <c:pt idx="126">
                    <c:v>0.25600000000000173</c:v>
                  </c:pt>
                  <c:pt idx="127">
                    <c:v>0.25200000000000178</c:v>
                  </c:pt>
                  <c:pt idx="128">
                    <c:v>0.24800000000000175</c:v>
                  </c:pt>
                  <c:pt idx="129">
                    <c:v>0.24400000000000174</c:v>
                  </c:pt>
                  <c:pt idx="130">
                    <c:v>0.24000000000000174</c:v>
                  </c:pt>
                  <c:pt idx="131">
                    <c:v>0.23600000000000179</c:v>
                  </c:pt>
                  <c:pt idx="132">
                    <c:v>0.23200000000000184</c:v>
                  </c:pt>
                  <c:pt idx="133">
                    <c:v>0.22800000000000184</c:v>
                  </c:pt>
                  <c:pt idx="134">
                    <c:v>0.22400000000000184</c:v>
                  </c:pt>
                  <c:pt idx="135">
                    <c:v>0.22000000000000189</c:v>
                  </c:pt>
                  <c:pt idx="136">
                    <c:v>0.21600000000000194</c:v>
                  </c:pt>
                  <c:pt idx="137">
                    <c:v>0.21200000000000194</c:v>
                  </c:pt>
                  <c:pt idx="138">
                    <c:v>0.20800000000000191</c:v>
                  </c:pt>
                  <c:pt idx="139">
                    <c:v>0.20400000000000196</c:v>
                  </c:pt>
                  <c:pt idx="140">
                    <c:v>0.20000000000000198</c:v>
                  </c:pt>
                  <c:pt idx="141">
                    <c:v>0.19600000000000198</c:v>
                  </c:pt>
                  <c:pt idx="142">
                    <c:v>0.19200000000000197</c:v>
                  </c:pt>
                  <c:pt idx="143">
                    <c:v>0.18800000000000208</c:v>
                  </c:pt>
                  <c:pt idx="144">
                    <c:v>0.18400000000000208</c:v>
                  </c:pt>
                  <c:pt idx="145">
                    <c:v>0.18000000000000208</c:v>
                  </c:pt>
                  <c:pt idx="146">
                    <c:v>0.1760000000000021</c:v>
                  </c:pt>
                  <c:pt idx="147">
                    <c:v>0.17200000000000215</c:v>
                  </c:pt>
                  <c:pt idx="148">
                    <c:v>0.16800000000000215</c:v>
                  </c:pt>
                  <c:pt idx="149">
                    <c:v>0.16400000000000214</c:v>
                  </c:pt>
                  <c:pt idx="150">
                    <c:v>0.16000000000000217</c:v>
                  </c:pt>
                  <c:pt idx="151">
                    <c:v>0.15600000000000222</c:v>
                  </c:pt>
                  <c:pt idx="152">
                    <c:v>0.15200000000000222</c:v>
                  </c:pt>
                  <c:pt idx="153">
                    <c:v>0.14800000000000227</c:v>
                  </c:pt>
                  <c:pt idx="154">
                    <c:v>0.14400000000000227</c:v>
                  </c:pt>
                  <c:pt idx="155">
                    <c:v>0.14000000000000229</c:v>
                  </c:pt>
                  <c:pt idx="156">
                    <c:v>0.13600000000000229</c:v>
                  </c:pt>
                  <c:pt idx="157">
                    <c:v>0.13200000000000234</c:v>
                  </c:pt>
                  <c:pt idx="158">
                    <c:v>0.12800000000000233</c:v>
                  </c:pt>
                  <c:pt idx="159">
                    <c:v>0.12400000000000236</c:v>
                  </c:pt>
                  <c:pt idx="160">
                    <c:v>0.12000000000000235</c:v>
                  </c:pt>
                  <c:pt idx="161">
                    <c:v>0.11600000000000241</c:v>
                  </c:pt>
                  <c:pt idx="162">
                    <c:v>0.1120000000000024</c:v>
                  </c:pt>
                  <c:pt idx="163">
                    <c:v>0.10800000000000243</c:v>
                  </c:pt>
                  <c:pt idx="164">
                    <c:v>0.10400000000000242</c:v>
                  </c:pt>
                  <c:pt idx="165">
                    <c:v>0.10000000000000248</c:v>
                  </c:pt>
                  <c:pt idx="166">
                    <c:v>9.6000000000002472E-2</c:v>
                  </c:pt>
                  <c:pt idx="167">
                    <c:v>9.2000000000002524E-2</c:v>
                  </c:pt>
                  <c:pt idx="168">
                    <c:v>8.8000000000002548E-2</c:v>
                  </c:pt>
                  <c:pt idx="169">
                    <c:v>8.4000000000002545E-2</c:v>
                  </c:pt>
                  <c:pt idx="170">
                    <c:v>8.0000000000002597E-2</c:v>
                  </c:pt>
                  <c:pt idx="171">
                    <c:v>7.6000000000002593E-2</c:v>
                  </c:pt>
                  <c:pt idx="172">
                    <c:v>7.2000000000002645E-2</c:v>
                  </c:pt>
                  <c:pt idx="173">
                    <c:v>6.8000000000002642E-2</c:v>
                  </c:pt>
                  <c:pt idx="174">
                    <c:v>6.4000000000002666E-2</c:v>
                  </c:pt>
                  <c:pt idx="175">
                    <c:v>6.0000000000002669E-2</c:v>
                  </c:pt>
                  <c:pt idx="176">
                    <c:v>5.6000000000002707E-2</c:v>
                  </c:pt>
                  <c:pt idx="177">
                    <c:v>5.2000000000002704E-2</c:v>
                  </c:pt>
                  <c:pt idx="178">
                    <c:v>4.8000000000002742E-2</c:v>
                  </c:pt>
                  <c:pt idx="179">
                    <c:v>4.4000000000002738E-2</c:v>
                  </c:pt>
                  <c:pt idx="180">
                    <c:v>4.000000000000279E-2</c:v>
                  </c:pt>
                  <c:pt idx="181">
                    <c:v>3.6000000000002787E-2</c:v>
                  </c:pt>
                  <c:pt idx="182">
                    <c:v>3.2000000000002825E-2</c:v>
                  </c:pt>
                  <c:pt idx="183">
                    <c:v>2.8000000000002863E-2</c:v>
                  </c:pt>
                  <c:pt idx="184">
                    <c:v>2.4000000000002859E-2</c:v>
                  </c:pt>
                  <c:pt idx="185">
                    <c:v>2.0000000000002897E-2</c:v>
                  </c:pt>
                  <c:pt idx="186">
                    <c:v>1.6000000000002894E-2</c:v>
                  </c:pt>
                  <c:pt idx="187">
                    <c:v>1.2000000000002932E-2</c:v>
                  </c:pt>
                  <c:pt idx="188">
                    <c:v>8.0000000000029284E-3</c:v>
                  </c:pt>
                  <c:pt idx="189">
                    <c:v>4.0000000000029734E-3</c:v>
                  </c:pt>
                  <c:pt idx="190">
                    <c:v>2.9698465908722937E-15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'Original two groups'!$BW$51:$BW$251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3.4694469519536142E-17</c:v>
                  </c:pt>
                  <c:pt idx="11">
                    <c:v>4.0000000000000382E-3</c:v>
                  </c:pt>
                  <c:pt idx="12">
                    <c:v>8.0000000000000418E-3</c:v>
                  </c:pt>
                  <c:pt idx="13">
                    <c:v>1.2000000000000094E-2</c:v>
                  </c:pt>
                  <c:pt idx="14">
                    <c:v>1.6000000000000049E-2</c:v>
                  </c:pt>
                  <c:pt idx="15">
                    <c:v>2.0000000000000052E-2</c:v>
                  </c:pt>
                  <c:pt idx="16">
                    <c:v>2.4000000000000056E-2</c:v>
                  </c:pt>
                  <c:pt idx="17">
                    <c:v>2.8000000000000101E-2</c:v>
                  </c:pt>
                  <c:pt idx="18">
                    <c:v>3.2000000000000063E-2</c:v>
                  </c:pt>
                  <c:pt idx="19">
                    <c:v>3.6000000000000067E-2</c:v>
                  </c:pt>
                  <c:pt idx="20">
                    <c:v>4.000000000000007E-2</c:v>
                  </c:pt>
                  <c:pt idx="21">
                    <c:v>4.4000000000000129E-2</c:v>
                  </c:pt>
                  <c:pt idx="22">
                    <c:v>4.8000000000000077E-2</c:v>
                  </c:pt>
                  <c:pt idx="23">
                    <c:v>5.2000000000000081E-2</c:v>
                  </c:pt>
                  <c:pt idx="24">
                    <c:v>5.6000000000000084E-2</c:v>
                  </c:pt>
                  <c:pt idx="25">
                    <c:v>6.0000000000000143E-2</c:v>
                  </c:pt>
                  <c:pt idx="26">
                    <c:v>6.4000000000000085E-2</c:v>
                  </c:pt>
                  <c:pt idx="27">
                    <c:v>6.8000000000000088E-2</c:v>
                  </c:pt>
                  <c:pt idx="28">
                    <c:v>7.2000000000000147E-2</c:v>
                  </c:pt>
                  <c:pt idx="29">
                    <c:v>7.6000000000000151E-2</c:v>
                  </c:pt>
                  <c:pt idx="30">
                    <c:v>8.0000000000000154E-2</c:v>
                  </c:pt>
                  <c:pt idx="31">
                    <c:v>8.4000000000000102E-2</c:v>
                  </c:pt>
                  <c:pt idx="32">
                    <c:v>8.8000000000000161E-2</c:v>
                  </c:pt>
                  <c:pt idx="33">
                    <c:v>9.2000000000000165E-2</c:v>
                  </c:pt>
                  <c:pt idx="34">
                    <c:v>9.6000000000000169E-2</c:v>
                  </c:pt>
                  <c:pt idx="35">
                    <c:v>0.10000000000000012</c:v>
                  </c:pt>
                  <c:pt idx="36">
                    <c:v>0.10400000000000012</c:v>
                  </c:pt>
                  <c:pt idx="37">
                    <c:v>0.1080000000000001</c:v>
                  </c:pt>
                  <c:pt idx="38">
                    <c:v>0.1120000000000001</c:v>
                  </c:pt>
                  <c:pt idx="39">
                    <c:v>0.11600000000000005</c:v>
                  </c:pt>
                  <c:pt idx="40">
                    <c:v>0.12000000000000002</c:v>
                  </c:pt>
                  <c:pt idx="41">
                    <c:v>0.12400000000000003</c:v>
                  </c:pt>
                  <c:pt idx="42">
                    <c:v>0.12799999999999997</c:v>
                  </c:pt>
                  <c:pt idx="43">
                    <c:v>0.13199999999999998</c:v>
                  </c:pt>
                  <c:pt idx="44">
                    <c:v>0.13599999999999993</c:v>
                  </c:pt>
                  <c:pt idx="45">
                    <c:v>0.13999999999999993</c:v>
                  </c:pt>
                  <c:pt idx="46">
                    <c:v>0.14399999999999991</c:v>
                  </c:pt>
                  <c:pt idx="47">
                    <c:v>0.14799999999999991</c:v>
                  </c:pt>
                  <c:pt idx="48">
                    <c:v>0.15199999999999986</c:v>
                  </c:pt>
                  <c:pt idx="49">
                    <c:v>0.15599999999999986</c:v>
                  </c:pt>
                  <c:pt idx="50">
                    <c:v>0.15999999999999984</c:v>
                  </c:pt>
                  <c:pt idx="51">
                    <c:v>0.16399999999999984</c:v>
                  </c:pt>
                  <c:pt idx="52">
                    <c:v>0.16799999999999979</c:v>
                  </c:pt>
                  <c:pt idx="53">
                    <c:v>0.17199999999999974</c:v>
                  </c:pt>
                  <c:pt idx="54">
                    <c:v>0.17599999999999974</c:v>
                  </c:pt>
                  <c:pt idx="55">
                    <c:v>0.17999999999999974</c:v>
                  </c:pt>
                  <c:pt idx="56">
                    <c:v>0.18399999999999972</c:v>
                  </c:pt>
                  <c:pt idx="57">
                    <c:v>0.18799999999999967</c:v>
                  </c:pt>
                  <c:pt idx="58">
                    <c:v>0.19199999999999967</c:v>
                  </c:pt>
                  <c:pt idx="59">
                    <c:v>0.19599999999999967</c:v>
                  </c:pt>
                  <c:pt idx="60">
                    <c:v>0.19999999999999965</c:v>
                  </c:pt>
                  <c:pt idx="61">
                    <c:v>0.2039999999999996</c:v>
                  </c:pt>
                  <c:pt idx="62">
                    <c:v>0.2079999999999996</c:v>
                  </c:pt>
                  <c:pt idx="63">
                    <c:v>0.21199999999999955</c:v>
                  </c:pt>
                  <c:pt idx="64">
                    <c:v>0.2159999999999995</c:v>
                  </c:pt>
                  <c:pt idx="65">
                    <c:v>0.2199999999999995</c:v>
                  </c:pt>
                  <c:pt idx="66">
                    <c:v>0.22399999999999951</c:v>
                  </c:pt>
                  <c:pt idx="67">
                    <c:v>0.22799999999999951</c:v>
                  </c:pt>
                  <c:pt idx="68">
                    <c:v>0.23199999999999946</c:v>
                  </c:pt>
                  <c:pt idx="69">
                    <c:v>0.23599999999999946</c:v>
                  </c:pt>
                  <c:pt idx="70">
                    <c:v>0.23999999999999946</c:v>
                  </c:pt>
                  <c:pt idx="71">
                    <c:v>0.24399999999999941</c:v>
                  </c:pt>
                  <c:pt idx="72">
                    <c:v>0.24799999999999936</c:v>
                  </c:pt>
                  <c:pt idx="73">
                    <c:v>0.25199999999999939</c:v>
                  </c:pt>
                  <c:pt idx="74">
                    <c:v>0.25599999999999939</c:v>
                  </c:pt>
                  <c:pt idx="75">
                    <c:v>0.2599999999999994</c:v>
                  </c:pt>
                  <c:pt idx="76">
                    <c:v>0.26399999999999935</c:v>
                  </c:pt>
                  <c:pt idx="77">
                    <c:v>0.26799999999999935</c:v>
                  </c:pt>
                  <c:pt idx="78">
                    <c:v>0.2719999999999993</c:v>
                  </c:pt>
                  <c:pt idx="79">
                    <c:v>0.2759999999999993</c:v>
                  </c:pt>
                  <c:pt idx="80">
                    <c:v>0.27999999999999925</c:v>
                  </c:pt>
                  <c:pt idx="81">
                    <c:v>0.28399999999999925</c:v>
                  </c:pt>
                  <c:pt idx="82">
                    <c:v>0.2879999999999992</c:v>
                  </c:pt>
                  <c:pt idx="83">
                    <c:v>0.2919999999999992</c:v>
                  </c:pt>
                  <c:pt idx="84">
                    <c:v>0.29599999999999921</c:v>
                  </c:pt>
                  <c:pt idx="85">
                    <c:v>0.29999999999999921</c:v>
                  </c:pt>
                  <c:pt idx="86">
                    <c:v>0.30399999999999916</c:v>
                  </c:pt>
                  <c:pt idx="87">
                    <c:v>0.30799999999999911</c:v>
                  </c:pt>
                  <c:pt idx="88">
                    <c:v>0.31199999999999911</c:v>
                  </c:pt>
                  <c:pt idx="89">
                    <c:v>0.31599999999999906</c:v>
                  </c:pt>
                  <c:pt idx="90">
                    <c:v>0.31999999999999906</c:v>
                  </c:pt>
                  <c:pt idx="91">
                    <c:v>0.32399999999999901</c:v>
                  </c:pt>
                  <c:pt idx="92">
                    <c:v>0.32799999999999901</c:v>
                  </c:pt>
                  <c:pt idx="93">
                    <c:v>0.33199999999999902</c:v>
                  </c:pt>
                  <c:pt idx="94">
                    <c:v>0.33599999999999902</c:v>
                  </c:pt>
                  <c:pt idx="95">
                    <c:v>0.33999999999999897</c:v>
                  </c:pt>
                  <c:pt idx="96">
                    <c:v>0.34399999999999897</c:v>
                  </c:pt>
                  <c:pt idx="97">
                    <c:v>0.34799999999999892</c:v>
                  </c:pt>
                  <c:pt idx="98">
                    <c:v>0.35199999999999892</c:v>
                  </c:pt>
                  <c:pt idx="99">
                    <c:v>0.35599999999999887</c:v>
                  </c:pt>
                  <c:pt idx="100">
                    <c:v>0.35999999999999888</c:v>
                  </c:pt>
                  <c:pt idx="101">
                    <c:v>0.35600000000000126</c:v>
                  </c:pt>
                  <c:pt idx="102">
                    <c:v>0.35200000000000126</c:v>
                  </c:pt>
                  <c:pt idx="103">
                    <c:v>0.34800000000000125</c:v>
                  </c:pt>
                  <c:pt idx="104">
                    <c:v>0.3440000000000013</c:v>
                  </c:pt>
                  <c:pt idx="105">
                    <c:v>0.3400000000000013</c:v>
                  </c:pt>
                  <c:pt idx="106">
                    <c:v>0.33600000000000135</c:v>
                  </c:pt>
                  <c:pt idx="107">
                    <c:v>0.33200000000000135</c:v>
                  </c:pt>
                  <c:pt idx="108">
                    <c:v>0.3280000000000014</c:v>
                  </c:pt>
                  <c:pt idx="109">
                    <c:v>0.3240000000000014</c:v>
                  </c:pt>
                  <c:pt idx="110">
                    <c:v>0.32000000000000145</c:v>
                  </c:pt>
                  <c:pt idx="111">
                    <c:v>0.31600000000000145</c:v>
                  </c:pt>
                  <c:pt idx="112">
                    <c:v>0.31200000000000144</c:v>
                  </c:pt>
                  <c:pt idx="113">
                    <c:v>0.30800000000000144</c:v>
                  </c:pt>
                  <c:pt idx="114">
                    <c:v>0.30400000000000149</c:v>
                  </c:pt>
                  <c:pt idx="115">
                    <c:v>0.30000000000000149</c:v>
                  </c:pt>
                  <c:pt idx="116">
                    <c:v>0.29600000000000154</c:v>
                  </c:pt>
                  <c:pt idx="117">
                    <c:v>0.29200000000000159</c:v>
                  </c:pt>
                  <c:pt idx="118">
                    <c:v>0.28800000000000159</c:v>
                  </c:pt>
                  <c:pt idx="119">
                    <c:v>0.28400000000000158</c:v>
                  </c:pt>
                  <c:pt idx="120">
                    <c:v>0.28000000000000164</c:v>
                  </c:pt>
                  <c:pt idx="121">
                    <c:v>0.27600000000000163</c:v>
                  </c:pt>
                  <c:pt idx="122">
                    <c:v>0.27200000000000163</c:v>
                  </c:pt>
                  <c:pt idx="123">
                    <c:v>0.26800000000000168</c:v>
                  </c:pt>
                  <c:pt idx="124">
                    <c:v>0.26400000000000168</c:v>
                  </c:pt>
                  <c:pt idx="125">
                    <c:v>0.26000000000000173</c:v>
                  </c:pt>
                  <c:pt idx="126">
                    <c:v>0.25600000000000173</c:v>
                  </c:pt>
                  <c:pt idx="127">
                    <c:v>0.25200000000000178</c:v>
                  </c:pt>
                  <c:pt idx="128">
                    <c:v>0.24800000000000175</c:v>
                  </c:pt>
                  <c:pt idx="129">
                    <c:v>0.24400000000000174</c:v>
                  </c:pt>
                  <c:pt idx="130">
                    <c:v>0.24000000000000174</c:v>
                  </c:pt>
                  <c:pt idx="131">
                    <c:v>0.23600000000000179</c:v>
                  </c:pt>
                  <c:pt idx="132">
                    <c:v>0.23200000000000184</c:v>
                  </c:pt>
                  <c:pt idx="133">
                    <c:v>0.22800000000000184</c:v>
                  </c:pt>
                  <c:pt idx="134">
                    <c:v>0.22400000000000184</c:v>
                  </c:pt>
                  <c:pt idx="135">
                    <c:v>0.22000000000000189</c:v>
                  </c:pt>
                  <c:pt idx="136">
                    <c:v>0.21600000000000194</c:v>
                  </c:pt>
                  <c:pt idx="137">
                    <c:v>0.21200000000000194</c:v>
                  </c:pt>
                  <c:pt idx="138">
                    <c:v>0.20800000000000191</c:v>
                  </c:pt>
                  <c:pt idx="139">
                    <c:v>0.20400000000000196</c:v>
                  </c:pt>
                  <c:pt idx="140">
                    <c:v>0.20000000000000198</c:v>
                  </c:pt>
                  <c:pt idx="141">
                    <c:v>0.19600000000000198</c:v>
                  </c:pt>
                  <c:pt idx="142">
                    <c:v>0.19200000000000197</c:v>
                  </c:pt>
                  <c:pt idx="143">
                    <c:v>0.18800000000000208</c:v>
                  </c:pt>
                  <c:pt idx="144">
                    <c:v>0.18400000000000208</c:v>
                  </c:pt>
                  <c:pt idx="145">
                    <c:v>0.18000000000000208</c:v>
                  </c:pt>
                  <c:pt idx="146">
                    <c:v>0.1760000000000021</c:v>
                  </c:pt>
                  <c:pt idx="147">
                    <c:v>0.17200000000000215</c:v>
                  </c:pt>
                  <c:pt idx="148">
                    <c:v>0.16800000000000215</c:v>
                  </c:pt>
                  <c:pt idx="149">
                    <c:v>0.16400000000000214</c:v>
                  </c:pt>
                  <c:pt idx="150">
                    <c:v>0.16000000000000217</c:v>
                  </c:pt>
                  <c:pt idx="151">
                    <c:v>0.15600000000000222</c:v>
                  </c:pt>
                  <c:pt idx="152">
                    <c:v>0.15200000000000222</c:v>
                  </c:pt>
                  <c:pt idx="153">
                    <c:v>0.14800000000000227</c:v>
                  </c:pt>
                  <c:pt idx="154">
                    <c:v>0.14400000000000227</c:v>
                  </c:pt>
                  <c:pt idx="155">
                    <c:v>0.14000000000000229</c:v>
                  </c:pt>
                  <c:pt idx="156">
                    <c:v>0.13600000000000229</c:v>
                  </c:pt>
                  <c:pt idx="157">
                    <c:v>0.13200000000000234</c:v>
                  </c:pt>
                  <c:pt idx="158">
                    <c:v>0.12800000000000233</c:v>
                  </c:pt>
                  <c:pt idx="159">
                    <c:v>0.12400000000000236</c:v>
                  </c:pt>
                  <c:pt idx="160">
                    <c:v>0.12000000000000235</c:v>
                  </c:pt>
                  <c:pt idx="161">
                    <c:v>0.11600000000000241</c:v>
                  </c:pt>
                  <c:pt idx="162">
                    <c:v>0.1120000000000024</c:v>
                  </c:pt>
                  <c:pt idx="163">
                    <c:v>0.10800000000000243</c:v>
                  </c:pt>
                  <c:pt idx="164">
                    <c:v>0.10400000000000242</c:v>
                  </c:pt>
                  <c:pt idx="165">
                    <c:v>0.10000000000000248</c:v>
                  </c:pt>
                  <c:pt idx="166">
                    <c:v>9.6000000000002472E-2</c:v>
                  </c:pt>
                  <c:pt idx="167">
                    <c:v>9.2000000000002524E-2</c:v>
                  </c:pt>
                  <c:pt idx="168">
                    <c:v>8.8000000000002548E-2</c:v>
                  </c:pt>
                  <c:pt idx="169">
                    <c:v>8.4000000000002545E-2</c:v>
                  </c:pt>
                  <c:pt idx="170">
                    <c:v>8.0000000000002597E-2</c:v>
                  </c:pt>
                  <c:pt idx="171">
                    <c:v>7.6000000000002593E-2</c:v>
                  </c:pt>
                  <c:pt idx="172">
                    <c:v>7.2000000000002645E-2</c:v>
                  </c:pt>
                  <c:pt idx="173">
                    <c:v>6.8000000000002642E-2</c:v>
                  </c:pt>
                  <c:pt idx="174">
                    <c:v>6.4000000000002666E-2</c:v>
                  </c:pt>
                  <c:pt idx="175">
                    <c:v>6.0000000000002669E-2</c:v>
                  </c:pt>
                  <c:pt idx="176">
                    <c:v>5.6000000000002707E-2</c:v>
                  </c:pt>
                  <c:pt idx="177">
                    <c:v>5.2000000000002704E-2</c:v>
                  </c:pt>
                  <c:pt idx="178">
                    <c:v>4.8000000000002742E-2</c:v>
                  </c:pt>
                  <c:pt idx="179">
                    <c:v>4.4000000000002738E-2</c:v>
                  </c:pt>
                  <c:pt idx="180">
                    <c:v>4.000000000000279E-2</c:v>
                  </c:pt>
                  <c:pt idx="181">
                    <c:v>3.6000000000002787E-2</c:v>
                  </c:pt>
                  <c:pt idx="182">
                    <c:v>3.2000000000002825E-2</c:v>
                  </c:pt>
                  <c:pt idx="183">
                    <c:v>2.8000000000002863E-2</c:v>
                  </c:pt>
                  <c:pt idx="184">
                    <c:v>2.4000000000002859E-2</c:v>
                  </c:pt>
                  <c:pt idx="185">
                    <c:v>2.0000000000002897E-2</c:v>
                  </c:pt>
                  <c:pt idx="186">
                    <c:v>1.6000000000002894E-2</c:v>
                  </c:pt>
                  <c:pt idx="187">
                    <c:v>1.2000000000002932E-2</c:v>
                  </c:pt>
                  <c:pt idx="188">
                    <c:v>8.0000000000029284E-3</c:v>
                  </c:pt>
                  <c:pt idx="189">
                    <c:v>4.0000000000029734E-3</c:v>
                  </c:pt>
                  <c:pt idx="190">
                    <c:v>2.9698465908722937E-15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'Original two groups'!$BU$51:$BU$251</c:f>
              <c:numCache>
                <c:formatCode>General</c:formatCode>
                <c:ptCount val="201"/>
                <c:pt idx="0">
                  <c:v>1.1684732034663005E-2</c:v>
                </c:pt>
                <c:pt idx="1">
                  <c:v>1.2252409536681646E-2</c:v>
                </c:pt>
                <c:pt idx="2">
                  <c:v>1.2820087038700287E-2</c:v>
                </c:pt>
                <c:pt idx="3">
                  <c:v>1.3387764540718928E-2</c:v>
                </c:pt>
                <c:pt idx="4">
                  <c:v>1.3955442042737569E-2</c:v>
                </c:pt>
                <c:pt idx="5">
                  <c:v>1.452311954475621E-2</c:v>
                </c:pt>
                <c:pt idx="6">
                  <c:v>1.5090797046774851E-2</c:v>
                </c:pt>
                <c:pt idx="7">
                  <c:v>1.5658474548793492E-2</c:v>
                </c:pt>
                <c:pt idx="8">
                  <c:v>1.6226152050812133E-2</c:v>
                </c:pt>
                <c:pt idx="9">
                  <c:v>1.6793829552830774E-2</c:v>
                </c:pt>
                <c:pt idx="10">
                  <c:v>1.7361507054849415E-2</c:v>
                </c:pt>
                <c:pt idx="11">
                  <c:v>1.7929184556868056E-2</c:v>
                </c:pt>
                <c:pt idx="12">
                  <c:v>1.8496862058886697E-2</c:v>
                </c:pt>
                <c:pt idx="13">
                  <c:v>1.9064539560905338E-2</c:v>
                </c:pt>
                <c:pt idx="14">
                  <c:v>1.9632217062923979E-2</c:v>
                </c:pt>
                <c:pt idx="15">
                  <c:v>2.019989456494262E-2</c:v>
                </c:pt>
                <c:pt idx="16">
                  <c:v>2.0767572066961261E-2</c:v>
                </c:pt>
                <c:pt idx="17">
                  <c:v>2.1335249568979902E-2</c:v>
                </c:pt>
                <c:pt idx="18">
                  <c:v>2.1902927070998543E-2</c:v>
                </c:pt>
                <c:pt idx="19">
                  <c:v>2.2470604573017184E-2</c:v>
                </c:pt>
                <c:pt idx="20">
                  <c:v>2.3038282075035825E-2</c:v>
                </c:pt>
                <c:pt idx="21">
                  <c:v>2.3605959577054466E-2</c:v>
                </c:pt>
                <c:pt idx="22">
                  <c:v>2.4173637079073107E-2</c:v>
                </c:pt>
                <c:pt idx="23">
                  <c:v>2.4741314581091748E-2</c:v>
                </c:pt>
                <c:pt idx="24">
                  <c:v>2.5308992083110389E-2</c:v>
                </c:pt>
                <c:pt idx="25">
                  <c:v>2.587666958512903E-2</c:v>
                </c:pt>
                <c:pt idx="26">
                  <c:v>2.6444347087147671E-2</c:v>
                </c:pt>
                <c:pt idx="27">
                  <c:v>2.7012024589166312E-2</c:v>
                </c:pt>
                <c:pt idx="28">
                  <c:v>2.7579702091184953E-2</c:v>
                </c:pt>
                <c:pt idx="29">
                  <c:v>2.8147379593203594E-2</c:v>
                </c:pt>
                <c:pt idx="30">
                  <c:v>2.8715057095222235E-2</c:v>
                </c:pt>
                <c:pt idx="31">
                  <c:v>2.9282734597240876E-2</c:v>
                </c:pt>
                <c:pt idx="32">
                  <c:v>2.9850412099259517E-2</c:v>
                </c:pt>
                <c:pt idx="33">
                  <c:v>3.0418089601278158E-2</c:v>
                </c:pt>
                <c:pt idx="34">
                  <c:v>3.0985767103296799E-2</c:v>
                </c:pt>
                <c:pt idx="35">
                  <c:v>3.1553444605315437E-2</c:v>
                </c:pt>
                <c:pt idx="36">
                  <c:v>3.2121122107334074E-2</c:v>
                </c:pt>
                <c:pt idx="37">
                  <c:v>3.2688799609352712E-2</c:v>
                </c:pt>
                <c:pt idx="38">
                  <c:v>3.3256477111371349E-2</c:v>
                </c:pt>
                <c:pt idx="39">
                  <c:v>3.3824154613389987E-2</c:v>
                </c:pt>
                <c:pt idx="40">
                  <c:v>3.4391832115408624E-2</c:v>
                </c:pt>
                <c:pt idx="41">
                  <c:v>3.4959509617427262E-2</c:v>
                </c:pt>
                <c:pt idx="42">
                  <c:v>3.5527187119445899E-2</c:v>
                </c:pt>
                <c:pt idx="43">
                  <c:v>3.6094864621464537E-2</c:v>
                </c:pt>
                <c:pt idx="44">
                  <c:v>3.6662542123483174E-2</c:v>
                </c:pt>
                <c:pt idx="45">
                  <c:v>3.7230219625501812E-2</c:v>
                </c:pt>
                <c:pt idx="46">
                  <c:v>3.779789712752045E-2</c:v>
                </c:pt>
                <c:pt idx="47">
                  <c:v>3.8365574629539087E-2</c:v>
                </c:pt>
                <c:pt idx="48">
                  <c:v>3.8933252131557725E-2</c:v>
                </c:pt>
                <c:pt idx="49">
                  <c:v>3.9500929633576362E-2</c:v>
                </c:pt>
                <c:pt idx="50">
                  <c:v>4.0068607135595E-2</c:v>
                </c:pt>
                <c:pt idx="51">
                  <c:v>4.0636284637613637E-2</c:v>
                </c:pt>
                <c:pt idx="52">
                  <c:v>4.1203962139632275E-2</c:v>
                </c:pt>
                <c:pt idx="53">
                  <c:v>4.1771639641650912E-2</c:v>
                </c:pt>
                <c:pt idx="54">
                  <c:v>4.233931714366955E-2</c:v>
                </c:pt>
                <c:pt idx="55">
                  <c:v>4.2906994645688187E-2</c:v>
                </c:pt>
                <c:pt idx="56">
                  <c:v>4.3474672147706825E-2</c:v>
                </c:pt>
                <c:pt idx="57">
                  <c:v>4.4042349649725462E-2</c:v>
                </c:pt>
                <c:pt idx="58">
                  <c:v>4.46100271517441E-2</c:v>
                </c:pt>
                <c:pt idx="59">
                  <c:v>4.5177704653762737E-2</c:v>
                </c:pt>
                <c:pt idx="60">
                  <c:v>4.5745382155781375E-2</c:v>
                </c:pt>
                <c:pt idx="61">
                  <c:v>4.6313059657800013E-2</c:v>
                </c:pt>
                <c:pt idx="62">
                  <c:v>4.688073715981865E-2</c:v>
                </c:pt>
                <c:pt idx="63">
                  <c:v>4.7448414661837288E-2</c:v>
                </c:pt>
                <c:pt idx="64">
                  <c:v>4.8016092163855925E-2</c:v>
                </c:pt>
                <c:pt idx="65">
                  <c:v>4.8583769665874563E-2</c:v>
                </c:pt>
                <c:pt idx="66">
                  <c:v>4.91514471678932E-2</c:v>
                </c:pt>
                <c:pt idx="67">
                  <c:v>4.9719124669911838E-2</c:v>
                </c:pt>
                <c:pt idx="68">
                  <c:v>5.0286802171930475E-2</c:v>
                </c:pt>
                <c:pt idx="69">
                  <c:v>5.0854479673949113E-2</c:v>
                </c:pt>
                <c:pt idx="70">
                  <c:v>5.142215717596775E-2</c:v>
                </c:pt>
                <c:pt idx="71">
                  <c:v>5.1989834677986388E-2</c:v>
                </c:pt>
                <c:pt idx="72">
                  <c:v>5.2557512180005025E-2</c:v>
                </c:pt>
                <c:pt idx="73">
                  <c:v>5.3125189682023663E-2</c:v>
                </c:pt>
                <c:pt idx="74">
                  <c:v>5.3692867184042301E-2</c:v>
                </c:pt>
                <c:pt idx="75">
                  <c:v>5.4260544686060938E-2</c:v>
                </c:pt>
                <c:pt idx="76">
                  <c:v>5.4828222188079576E-2</c:v>
                </c:pt>
                <c:pt idx="77">
                  <c:v>5.5395899690098213E-2</c:v>
                </c:pt>
                <c:pt idx="78">
                  <c:v>5.5963577192116851E-2</c:v>
                </c:pt>
                <c:pt idx="79">
                  <c:v>5.6531254694135488E-2</c:v>
                </c:pt>
                <c:pt idx="80">
                  <c:v>5.7098932196154126E-2</c:v>
                </c:pt>
                <c:pt idx="81">
                  <c:v>5.7666609698172763E-2</c:v>
                </c:pt>
                <c:pt idx="82">
                  <c:v>5.8234287200191401E-2</c:v>
                </c:pt>
                <c:pt idx="83">
                  <c:v>5.8801964702210038E-2</c:v>
                </c:pt>
                <c:pt idx="84">
                  <c:v>5.9369642204228676E-2</c:v>
                </c:pt>
                <c:pt idx="85">
                  <c:v>5.9937319706247313E-2</c:v>
                </c:pt>
                <c:pt idx="86">
                  <c:v>6.0504997208265951E-2</c:v>
                </c:pt>
                <c:pt idx="87">
                  <c:v>6.1072674710284588E-2</c:v>
                </c:pt>
                <c:pt idx="88">
                  <c:v>6.1640352212303226E-2</c:v>
                </c:pt>
                <c:pt idx="89">
                  <c:v>6.2208029714321864E-2</c:v>
                </c:pt>
                <c:pt idx="90">
                  <c:v>6.2775707216340501E-2</c:v>
                </c:pt>
                <c:pt idx="91">
                  <c:v>6.3343384718359139E-2</c:v>
                </c:pt>
                <c:pt idx="92">
                  <c:v>6.3911062220377776E-2</c:v>
                </c:pt>
                <c:pt idx="93">
                  <c:v>6.4478739722396414E-2</c:v>
                </c:pt>
                <c:pt idx="94">
                  <c:v>6.5046417224415051E-2</c:v>
                </c:pt>
                <c:pt idx="95">
                  <c:v>6.5614094726433689E-2</c:v>
                </c:pt>
                <c:pt idx="96">
                  <c:v>6.6181772228452326E-2</c:v>
                </c:pt>
                <c:pt idx="97">
                  <c:v>6.6749449730470964E-2</c:v>
                </c:pt>
                <c:pt idx="98">
                  <c:v>6.7317127232489601E-2</c:v>
                </c:pt>
                <c:pt idx="99">
                  <c:v>6.7884804734508239E-2</c:v>
                </c:pt>
                <c:pt idx="100">
                  <c:v>6.8452482236526876E-2</c:v>
                </c:pt>
                <c:pt idx="101">
                  <c:v>6.9020159738545514E-2</c:v>
                </c:pt>
                <c:pt idx="102">
                  <c:v>6.9587837240564152E-2</c:v>
                </c:pt>
                <c:pt idx="103">
                  <c:v>7.0155514742582789E-2</c:v>
                </c:pt>
                <c:pt idx="104">
                  <c:v>7.0723192244601427E-2</c:v>
                </c:pt>
                <c:pt idx="105">
                  <c:v>7.1290869746620064E-2</c:v>
                </c:pt>
                <c:pt idx="106">
                  <c:v>7.1858547248638702E-2</c:v>
                </c:pt>
                <c:pt idx="107">
                  <c:v>7.2426224750657339E-2</c:v>
                </c:pt>
                <c:pt idx="108">
                  <c:v>7.2993902252675977E-2</c:v>
                </c:pt>
                <c:pt idx="109">
                  <c:v>7.3561579754694614E-2</c:v>
                </c:pt>
                <c:pt idx="110">
                  <c:v>7.4129257256713252E-2</c:v>
                </c:pt>
                <c:pt idx="111">
                  <c:v>7.4696934758731889E-2</c:v>
                </c:pt>
                <c:pt idx="112">
                  <c:v>7.5264612260750527E-2</c:v>
                </c:pt>
                <c:pt idx="113">
                  <c:v>7.5832289762769164E-2</c:v>
                </c:pt>
                <c:pt idx="114">
                  <c:v>7.6399967264787802E-2</c:v>
                </c:pt>
                <c:pt idx="115">
                  <c:v>7.696764476680644E-2</c:v>
                </c:pt>
                <c:pt idx="116">
                  <c:v>7.7535322268825077E-2</c:v>
                </c:pt>
                <c:pt idx="117">
                  <c:v>7.8102999770843715E-2</c:v>
                </c:pt>
                <c:pt idx="118">
                  <c:v>7.8670677272862352E-2</c:v>
                </c:pt>
                <c:pt idx="119">
                  <c:v>7.923835477488099E-2</c:v>
                </c:pt>
                <c:pt idx="120">
                  <c:v>7.9806032276899627E-2</c:v>
                </c:pt>
                <c:pt idx="121">
                  <c:v>8.0373709778918265E-2</c:v>
                </c:pt>
                <c:pt idx="122">
                  <c:v>8.0941387280936902E-2</c:v>
                </c:pt>
                <c:pt idx="123">
                  <c:v>8.150906478295554E-2</c:v>
                </c:pt>
                <c:pt idx="124">
                  <c:v>8.2076742284974177E-2</c:v>
                </c:pt>
                <c:pt idx="125">
                  <c:v>8.2644419786992815E-2</c:v>
                </c:pt>
                <c:pt idx="126">
                  <c:v>8.3212097289011452E-2</c:v>
                </c:pt>
                <c:pt idx="127">
                  <c:v>8.377977479103009E-2</c:v>
                </c:pt>
                <c:pt idx="128">
                  <c:v>8.4347452293048727E-2</c:v>
                </c:pt>
                <c:pt idx="129">
                  <c:v>8.4915129795067365E-2</c:v>
                </c:pt>
                <c:pt idx="130">
                  <c:v>8.5482807297086003E-2</c:v>
                </c:pt>
                <c:pt idx="131">
                  <c:v>8.605048479910464E-2</c:v>
                </c:pt>
                <c:pt idx="132">
                  <c:v>8.6618162301123278E-2</c:v>
                </c:pt>
                <c:pt idx="133">
                  <c:v>8.7185839803141915E-2</c:v>
                </c:pt>
                <c:pt idx="134">
                  <c:v>8.7753517305160553E-2</c:v>
                </c:pt>
                <c:pt idx="135">
                  <c:v>8.832119480717919E-2</c:v>
                </c:pt>
                <c:pt idx="136">
                  <c:v>8.8888872309197828E-2</c:v>
                </c:pt>
                <c:pt idx="137">
                  <c:v>8.9456549811216465E-2</c:v>
                </c:pt>
                <c:pt idx="138">
                  <c:v>9.0024227313235103E-2</c:v>
                </c:pt>
                <c:pt idx="139">
                  <c:v>9.059190481525374E-2</c:v>
                </c:pt>
                <c:pt idx="140">
                  <c:v>9.1159582317272378E-2</c:v>
                </c:pt>
                <c:pt idx="141">
                  <c:v>9.1727259819291015E-2</c:v>
                </c:pt>
                <c:pt idx="142">
                  <c:v>9.2294937321309653E-2</c:v>
                </c:pt>
                <c:pt idx="143">
                  <c:v>9.2862614823328291E-2</c:v>
                </c:pt>
                <c:pt idx="144">
                  <c:v>9.3430292325346928E-2</c:v>
                </c:pt>
                <c:pt idx="145">
                  <c:v>9.3997969827365566E-2</c:v>
                </c:pt>
                <c:pt idx="146">
                  <c:v>9.4565647329384203E-2</c:v>
                </c:pt>
                <c:pt idx="147">
                  <c:v>9.5133324831402841E-2</c:v>
                </c:pt>
                <c:pt idx="148">
                  <c:v>9.5701002333421478E-2</c:v>
                </c:pt>
                <c:pt idx="149">
                  <c:v>9.6268679835440116E-2</c:v>
                </c:pt>
                <c:pt idx="150">
                  <c:v>9.6836357337458753E-2</c:v>
                </c:pt>
                <c:pt idx="151">
                  <c:v>9.7404034839477391E-2</c:v>
                </c:pt>
                <c:pt idx="152">
                  <c:v>9.7971712341496028E-2</c:v>
                </c:pt>
                <c:pt idx="153">
                  <c:v>9.8539389843514666E-2</c:v>
                </c:pt>
                <c:pt idx="154">
                  <c:v>9.9107067345533303E-2</c:v>
                </c:pt>
                <c:pt idx="155">
                  <c:v>9.9674744847551941E-2</c:v>
                </c:pt>
                <c:pt idx="156">
                  <c:v>0.10024242234957058</c:v>
                </c:pt>
                <c:pt idx="157">
                  <c:v>0.10081009985158922</c:v>
                </c:pt>
                <c:pt idx="158">
                  <c:v>0.10137777735360785</c:v>
                </c:pt>
                <c:pt idx="159">
                  <c:v>0.10194545485562649</c:v>
                </c:pt>
                <c:pt idx="160">
                  <c:v>0.10251313235764513</c:v>
                </c:pt>
                <c:pt idx="161">
                  <c:v>0.10308080985966377</c:v>
                </c:pt>
                <c:pt idx="162">
                  <c:v>0.1036484873616824</c:v>
                </c:pt>
                <c:pt idx="163">
                  <c:v>0.10421616486370104</c:v>
                </c:pt>
                <c:pt idx="164">
                  <c:v>0.10478384236571968</c:v>
                </c:pt>
                <c:pt idx="165">
                  <c:v>0.10535151986773832</c:v>
                </c:pt>
                <c:pt idx="166">
                  <c:v>0.10591919736975695</c:v>
                </c:pt>
                <c:pt idx="167">
                  <c:v>0.10648687487177559</c:v>
                </c:pt>
                <c:pt idx="168">
                  <c:v>0.10705455237379423</c:v>
                </c:pt>
                <c:pt idx="169">
                  <c:v>0.10762222987581287</c:v>
                </c:pt>
                <c:pt idx="170">
                  <c:v>0.1081899073778315</c:v>
                </c:pt>
                <c:pt idx="171">
                  <c:v>0.10875758487985014</c:v>
                </c:pt>
                <c:pt idx="172">
                  <c:v>0.10932526238186878</c:v>
                </c:pt>
                <c:pt idx="173">
                  <c:v>0.10989293988388742</c:v>
                </c:pt>
                <c:pt idx="174">
                  <c:v>0.11046061738590605</c:v>
                </c:pt>
                <c:pt idx="175">
                  <c:v>0.11102829488792469</c:v>
                </c:pt>
                <c:pt idx="176">
                  <c:v>0.11159597238994333</c:v>
                </c:pt>
                <c:pt idx="177">
                  <c:v>0.11216364989196197</c:v>
                </c:pt>
                <c:pt idx="178">
                  <c:v>0.1127313273939806</c:v>
                </c:pt>
                <c:pt idx="179">
                  <c:v>0.11329900489599924</c:v>
                </c:pt>
                <c:pt idx="180">
                  <c:v>0.11386668239801788</c:v>
                </c:pt>
                <c:pt idx="181">
                  <c:v>0.11443435990003652</c:v>
                </c:pt>
                <c:pt idx="182">
                  <c:v>0.11500203740205515</c:v>
                </c:pt>
                <c:pt idx="183">
                  <c:v>0.11556971490407379</c:v>
                </c:pt>
                <c:pt idx="184">
                  <c:v>0.11613739240609243</c:v>
                </c:pt>
                <c:pt idx="185">
                  <c:v>0.11670506990811107</c:v>
                </c:pt>
                <c:pt idx="186">
                  <c:v>0.1172727474101297</c:v>
                </c:pt>
                <c:pt idx="187">
                  <c:v>0.11784042491214834</c:v>
                </c:pt>
                <c:pt idx="188">
                  <c:v>0.11840810241416698</c:v>
                </c:pt>
                <c:pt idx="189">
                  <c:v>0.11897577991618562</c:v>
                </c:pt>
                <c:pt idx="190">
                  <c:v>0.11954345741820425</c:v>
                </c:pt>
                <c:pt idx="191">
                  <c:v>0.12011113492022289</c:v>
                </c:pt>
                <c:pt idx="192">
                  <c:v>0.12067881242224153</c:v>
                </c:pt>
                <c:pt idx="193">
                  <c:v>0.12124648992426017</c:v>
                </c:pt>
                <c:pt idx="194">
                  <c:v>0.1218141674262788</c:v>
                </c:pt>
                <c:pt idx="195">
                  <c:v>0.12238184492829744</c:v>
                </c:pt>
                <c:pt idx="196">
                  <c:v>0.12294952243031608</c:v>
                </c:pt>
                <c:pt idx="197">
                  <c:v>0.12351719993233472</c:v>
                </c:pt>
                <c:pt idx="198">
                  <c:v>0.12408487743435336</c:v>
                </c:pt>
                <c:pt idx="199">
                  <c:v>0.12465255493637199</c:v>
                </c:pt>
                <c:pt idx="200">
                  <c:v>0.12522023243839064</c:v>
                </c:pt>
              </c:numCache>
            </c:numRef>
          </c:xVal>
          <c:yVal>
            <c:numRef>
              <c:f>'Original two groups'!$BV$51:$BV$251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281-42FB-A593-7C13467754F9}"/>
            </c:ext>
          </c:extLst>
        </c:ser>
        <c:ser>
          <c:idx val="34"/>
          <c:order val="1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'Original two groups'!$BW$44:$BW$48</c:f>
              <c:numCache>
                <c:formatCode>General</c:formatCode>
                <c:ptCount val="5"/>
                <c:pt idx="0">
                  <c:v>6.8452482236527043E-2</c:v>
                </c:pt>
                <c:pt idx="1">
                  <c:v>1.1684732034663005E-2</c:v>
                </c:pt>
                <c:pt idx="2">
                  <c:v>6.8452482236527043E-2</c:v>
                </c:pt>
                <c:pt idx="3">
                  <c:v>0.12522023243839109</c:v>
                </c:pt>
                <c:pt idx="4">
                  <c:v>6.8452482236527043E-2</c:v>
                </c:pt>
              </c:numCache>
            </c:numRef>
          </c:xVal>
          <c:yVal>
            <c:numRef>
              <c:f>'Original two groups'!$BX$44:$BX$48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281-42FB-A593-7C1346775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58880"/>
        <c:axId val="209241216"/>
      </c:scatterChart>
      <c:valAx>
        <c:axId val="190458880"/>
        <c:scaling>
          <c:orientation val="minMax"/>
        </c:scaling>
        <c:delete val="0"/>
        <c:axPos val="t"/>
        <c:title>
          <c:tx>
            <c:strRef>
              <c:f>'Original two groups'!$BW$2</c:f>
              <c:strCache>
                <c:ptCount val="1"/>
                <c:pt idx="0">
                  <c:v>Rating difference</c:v>
                </c:pt>
              </c:strCache>
            </c:strRef>
          </c:tx>
          <c:layout>
            <c:manualLayout>
              <c:xMode val="edge"/>
              <c:yMode val="edge"/>
              <c:x val="0.37917485265225942"/>
              <c:y val="1.5000024414102245E-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0" i="0" u="none" strike="noStrike" baseline="0">
                  <a:solidFill>
                    <a:srgbClr val="0000FF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FF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9241216"/>
        <c:crossesAt val="0"/>
        <c:crossBetween val="midCat"/>
      </c:valAx>
      <c:valAx>
        <c:axId val="209241216"/>
        <c:scaling>
          <c:orientation val="maxMin"/>
          <c:max val="32.5"/>
          <c:min val="0"/>
        </c:scaling>
        <c:delete val="0"/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9525">
            <a:noFill/>
          </a:ln>
        </c:spPr>
        <c:crossAx val="190458880"/>
        <c:crossesAt val="0"/>
        <c:crossBetween val="midCat"/>
        <c:majorUnit val="1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38549251837422E-2"/>
          <c:y val="0.23728911749005846"/>
          <c:w val="0.9018639010723386"/>
          <c:h val="0.3389844535572266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'Original two groups'!$CP$41:$CP$50</c:f>
              <c:numCache>
                <c:formatCode>General</c:formatCode>
                <c:ptCount val="10"/>
                <c:pt idx="0">
                  <c:v>0</c:v>
                </c:pt>
                <c:pt idx="1">
                  <c:v>0.36</c:v>
                </c:pt>
                <c:pt idx="2">
                  <c:v>1.96</c:v>
                </c:pt>
                <c:pt idx="3">
                  <c:v>4.1616</c:v>
                </c:pt>
                <c:pt idx="4">
                  <c:v>6.76</c:v>
                </c:pt>
                <c:pt idx="5">
                  <c:v>9.9224999999999994</c:v>
                </c:pt>
                <c:pt idx="6">
                  <c:v>13.69</c:v>
                </c:pt>
                <c:pt idx="7">
                  <c:v>18.0625</c:v>
                </c:pt>
                <c:pt idx="8">
                  <c:v>23.04</c:v>
                </c:pt>
                <c:pt idx="9">
                  <c:v>28.622499999999999</c:v>
                </c:pt>
              </c:numCache>
            </c:numRef>
          </c:xVal>
          <c:yVal>
            <c:numRef>
              <c:f>'Original two groups'!$CQ$41:$CQ$50</c:f>
              <c:numCache>
                <c:formatCode>General</c:formatCode>
                <c:ptCount val="1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0-46F6-BE27-7EE13063F2B6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'Original two groups'!$CK$41:$CK$50</c:f>
              <c:numCache>
                <c:formatCode>General</c:formatCode>
                <c:ptCount val="10"/>
                <c:pt idx="0">
                  <c:v>0</c:v>
                </c:pt>
                <c:pt idx="1">
                  <c:v>1.1599999999999999</c:v>
                </c:pt>
                <c:pt idx="2">
                  <c:v>3.0608</c:v>
                </c:pt>
                <c:pt idx="3">
                  <c:v>5.4607999999999999</c:v>
                </c:pt>
                <c:pt idx="4">
                  <c:v>8.3412499999999987</c:v>
                </c:pt>
                <c:pt idx="5">
                  <c:v>11.806249999999999</c:v>
                </c:pt>
                <c:pt idx="6">
                  <c:v>15.876249999999999</c:v>
                </c:pt>
                <c:pt idx="7">
                  <c:v>20.55125</c:v>
                </c:pt>
                <c:pt idx="8">
                  <c:v>25.831249999999997</c:v>
                </c:pt>
                <c:pt idx="9">
                  <c:v>28.622499999999999</c:v>
                </c:pt>
              </c:numCache>
            </c:numRef>
          </c:xVal>
          <c:yVal>
            <c:numRef>
              <c:f>'Original two groups'!$CL$41:$CL$50</c:f>
              <c:numCache>
                <c:formatCode>General</c:formatCode>
                <c:ptCount val="1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0-46F6-BE27-7EE13063F2B6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339966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'Original two groups'!$CP$41:$CP$50</c:f>
              <c:numCache>
                <c:formatCode>General</c:formatCode>
                <c:ptCount val="10"/>
                <c:pt idx="0">
                  <c:v>0</c:v>
                </c:pt>
                <c:pt idx="1">
                  <c:v>0.36</c:v>
                </c:pt>
                <c:pt idx="2">
                  <c:v>1.96</c:v>
                </c:pt>
                <c:pt idx="3">
                  <c:v>4.1616</c:v>
                </c:pt>
                <c:pt idx="4">
                  <c:v>6.76</c:v>
                </c:pt>
                <c:pt idx="5">
                  <c:v>9.9224999999999994</c:v>
                </c:pt>
                <c:pt idx="6">
                  <c:v>13.69</c:v>
                </c:pt>
                <c:pt idx="7">
                  <c:v>18.0625</c:v>
                </c:pt>
                <c:pt idx="8">
                  <c:v>23.04</c:v>
                </c:pt>
                <c:pt idx="9">
                  <c:v>28.622499999999999</c:v>
                </c:pt>
              </c:numCache>
            </c:numRef>
          </c:xVal>
          <c:yVal>
            <c:numRef>
              <c:f>'Original two groups'!$CQ$41:$CQ$50</c:f>
              <c:numCache>
                <c:formatCode>General</c:formatCode>
                <c:ptCount val="1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50-46F6-BE27-7EE13063F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06400"/>
        <c:axId val="212008320"/>
      </c:scatterChart>
      <c:valAx>
        <c:axId val="21200640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008320"/>
        <c:crosses val="autoZero"/>
        <c:crossBetween val="midCat"/>
      </c:valAx>
      <c:valAx>
        <c:axId val="212008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0064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294185229368176E-2"/>
          <c:y val="0.12062268268053367"/>
          <c:w val="0.9313743324416599"/>
          <c:h val="0.85214088732376991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plus"/>
            <c:errValType val="cust"/>
            <c:noEndCap val="1"/>
            <c:plus>
              <c:numRef>
                <c:f>'Original two groups'!$BZ$3</c:f>
                <c:numCache>
                  <c:formatCode>General</c:formatCode>
                  <c:ptCount val="1"/>
                  <c:pt idx="0">
                    <c:v>12.5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'Original two groups'!$BW$3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'Original two groups'!$BX$3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5-4989-87FC-5FAF10D15A61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groups'!$CK$7:$CK$36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groups'!$CL$7:$CL$36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35-4989-87FC-5FAF10D15A61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groups'!$BY$39</c:f>
                <c:numCache>
                  <c:formatCode>General</c:formatCode>
                  <c:ptCount val="1"/>
                  <c:pt idx="0">
                    <c:v>5.6767750201864038E-2</c:v>
                  </c:pt>
                </c:numCache>
              </c:numRef>
            </c:plus>
            <c:minus>
              <c:numRef>
                <c:f>'Original two groups'!$BY$39</c:f>
                <c:numCache>
                  <c:formatCode>General</c:formatCode>
                  <c:ptCount val="1"/>
                  <c:pt idx="0">
                    <c:v>5.6767750201864038E-2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'Original two groups'!$BW$39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'Original two groups'!$CL$38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35-4989-87FC-5FAF10D15A61}"/>
            </c:ext>
          </c:extLst>
        </c:ser>
        <c:ser>
          <c:idx val="7"/>
          <c:order val="3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groups'!$DE$3:$DE$32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5.0000000000000266E-2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35-4989-87FC-5FAF10D15A61}"/>
            </c:ext>
          </c:extLst>
        </c:ser>
        <c:ser>
          <c:idx val="8"/>
          <c:order val="4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groups'!$DD$3:$DD$32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5-4989-87FC-5FAF10D15A61}"/>
            </c:ext>
          </c:extLst>
        </c:ser>
        <c:ser>
          <c:idx val="9"/>
          <c:order val="5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groups'!$DC$3:$DC$32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-4.0000000000000036E-2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B35-4989-87FC-5FAF10D15A61}"/>
            </c:ext>
          </c:extLst>
        </c:ser>
        <c:ser>
          <c:idx val="10"/>
          <c:order val="6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groups'!$DB$3:$DB$32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B35-4989-87FC-5FAF10D15A61}"/>
            </c:ext>
          </c:extLst>
        </c:ser>
        <c:ser>
          <c:idx val="11"/>
          <c:order val="7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groups'!$DA$3:$DA$32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-4.0000000000000036E-2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B35-4989-87FC-5FAF10D15A61}"/>
            </c:ext>
          </c:extLst>
        </c:ser>
        <c:ser>
          <c:idx val="12"/>
          <c:order val="8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groups'!$CZ$3:$CZ$32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0.18000000000000016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B35-4989-87FC-5FAF10D15A61}"/>
            </c:ext>
          </c:extLst>
        </c:ser>
        <c:ser>
          <c:idx val="13"/>
          <c:order val="9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groups'!$CY$3:$CY$32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0.22999999999999998</c:v>
                </c:pt>
                <c:pt idx="4">
                  <c:v>0.10999999999999988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B35-4989-87FC-5FAF10D15A61}"/>
            </c:ext>
          </c:extLst>
        </c:ser>
        <c:ser>
          <c:idx val="14"/>
          <c:order val="10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groups'!$CX$3:$CX$32</c:f>
              <c:numCache>
                <c:formatCode>General</c:formatCode>
                <c:ptCount val="30"/>
                <c:pt idx="0">
                  <c:v>0.22999999999999998</c:v>
                </c:pt>
                <c:pt idx="1">
                  <c:v>0.31000000000000005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0.10000000000000009</c:v>
                </c:pt>
                <c:pt idx="8">
                  <c:v>0.33000000000000007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B35-4989-87FC-5FAF10D15A61}"/>
            </c:ext>
          </c:extLst>
        </c:ser>
        <c:ser>
          <c:idx val="15"/>
          <c:order val="11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groups'!$CW$3:$CW$32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B35-4989-87FC-5FAF10D15A61}"/>
            </c:ext>
          </c:extLst>
        </c:ser>
        <c:ser>
          <c:idx val="36"/>
          <c:order val="1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'Original two groups'!$BW$51:$BW$251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3.4694469519536142E-17</c:v>
                  </c:pt>
                  <c:pt idx="11">
                    <c:v>4.0000000000000382E-3</c:v>
                  </c:pt>
                  <c:pt idx="12">
                    <c:v>8.0000000000000418E-3</c:v>
                  </c:pt>
                  <c:pt idx="13">
                    <c:v>1.2000000000000094E-2</c:v>
                  </c:pt>
                  <c:pt idx="14">
                    <c:v>1.6000000000000049E-2</c:v>
                  </c:pt>
                  <c:pt idx="15">
                    <c:v>2.0000000000000052E-2</c:v>
                  </c:pt>
                  <c:pt idx="16">
                    <c:v>2.4000000000000056E-2</c:v>
                  </c:pt>
                  <c:pt idx="17">
                    <c:v>2.8000000000000101E-2</c:v>
                  </c:pt>
                  <c:pt idx="18">
                    <c:v>3.2000000000000063E-2</c:v>
                  </c:pt>
                  <c:pt idx="19">
                    <c:v>3.6000000000000067E-2</c:v>
                  </c:pt>
                  <c:pt idx="20">
                    <c:v>4.000000000000007E-2</c:v>
                  </c:pt>
                  <c:pt idx="21">
                    <c:v>4.4000000000000129E-2</c:v>
                  </c:pt>
                  <c:pt idx="22">
                    <c:v>4.8000000000000077E-2</c:v>
                  </c:pt>
                  <c:pt idx="23">
                    <c:v>5.2000000000000081E-2</c:v>
                  </c:pt>
                  <c:pt idx="24">
                    <c:v>5.6000000000000084E-2</c:v>
                  </c:pt>
                  <c:pt idx="25">
                    <c:v>6.0000000000000143E-2</c:v>
                  </c:pt>
                  <c:pt idx="26">
                    <c:v>6.4000000000000085E-2</c:v>
                  </c:pt>
                  <c:pt idx="27">
                    <c:v>6.8000000000000088E-2</c:v>
                  </c:pt>
                  <c:pt idx="28">
                    <c:v>7.2000000000000147E-2</c:v>
                  </c:pt>
                  <c:pt idx="29">
                    <c:v>7.6000000000000151E-2</c:v>
                  </c:pt>
                  <c:pt idx="30">
                    <c:v>8.0000000000000154E-2</c:v>
                  </c:pt>
                  <c:pt idx="31">
                    <c:v>8.4000000000000102E-2</c:v>
                  </c:pt>
                  <c:pt idx="32">
                    <c:v>8.8000000000000161E-2</c:v>
                  </c:pt>
                  <c:pt idx="33">
                    <c:v>9.2000000000000165E-2</c:v>
                  </c:pt>
                  <c:pt idx="34">
                    <c:v>9.6000000000000169E-2</c:v>
                  </c:pt>
                  <c:pt idx="35">
                    <c:v>0.10000000000000012</c:v>
                  </c:pt>
                  <c:pt idx="36">
                    <c:v>0.10400000000000012</c:v>
                  </c:pt>
                  <c:pt idx="37">
                    <c:v>0.1080000000000001</c:v>
                  </c:pt>
                  <c:pt idx="38">
                    <c:v>0.1120000000000001</c:v>
                  </c:pt>
                  <c:pt idx="39">
                    <c:v>0.11600000000000005</c:v>
                  </c:pt>
                  <c:pt idx="40">
                    <c:v>0.12000000000000002</c:v>
                  </c:pt>
                  <c:pt idx="41">
                    <c:v>0.12400000000000003</c:v>
                  </c:pt>
                  <c:pt idx="42">
                    <c:v>0.12799999999999997</c:v>
                  </c:pt>
                  <c:pt idx="43">
                    <c:v>0.13199999999999998</c:v>
                  </c:pt>
                  <c:pt idx="44">
                    <c:v>0.13599999999999993</c:v>
                  </c:pt>
                  <c:pt idx="45">
                    <c:v>0.13999999999999993</c:v>
                  </c:pt>
                  <c:pt idx="46">
                    <c:v>0.14399999999999991</c:v>
                  </c:pt>
                  <c:pt idx="47">
                    <c:v>0.14799999999999991</c:v>
                  </c:pt>
                  <c:pt idx="48">
                    <c:v>0.15199999999999986</c:v>
                  </c:pt>
                  <c:pt idx="49">
                    <c:v>0.15599999999999986</c:v>
                  </c:pt>
                  <c:pt idx="50">
                    <c:v>0.15999999999999984</c:v>
                  </c:pt>
                  <c:pt idx="51">
                    <c:v>0.16399999999999984</c:v>
                  </c:pt>
                  <c:pt idx="52">
                    <c:v>0.16799999999999979</c:v>
                  </c:pt>
                  <c:pt idx="53">
                    <c:v>0.17199999999999974</c:v>
                  </c:pt>
                  <c:pt idx="54">
                    <c:v>0.17599999999999974</c:v>
                  </c:pt>
                  <c:pt idx="55">
                    <c:v>0.17999999999999974</c:v>
                  </c:pt>
                  <c:pt idx="56">
                    <c:v>0.18399999999999972</c:v>
                  </c:pt>
                  <c:pt idx="57">
                    <c:v>0.18799999999999967</c:v>
                  </c:pt>
                  <c:pt idx="58">
                    <c:v>0.19199999999999967</c:v>
                  </c:pt>
                  <c:pt idx="59">
                    <c:v>0.19599999999999967</c:v>
                  </c:pt>
                  <c:pt idx="60">
                    <c:v>0.19999999999999965</c:v>
                  </c:pt>
                  <c:pt idx="61">
                    <c:v>0.2039999999999996</c:v>
                  </c:pt>
                  <c:pt idx="62">
                    <c:v>0.2079999999999996</c:v>
                  </c:pt>
                  <c:pt idx="63">
                    <c:v>0.21199999999999955</c:v>
                  </c:pt>
                  <c:pt idx="64">
                    <c:v>0.2159999999999995</c:v>
                  </c:pt>
                  <c:pt idx="65">
                    <c:v>0.2199999999999995</c:v>
                  </c:pt>
                  <c:pt idx="66">
                    <c:v>0.22399999999999951</c:v>
                  </c:pt>
                  <c:pt idx="67">
                    <c:v>0.22799999999999951</c:v>
                  </c:pt>
                  <c:pt idx="68">
                    <c:v>0.23199999999999946</c:v>
                  </c:pt>
                  <c:pt idx="69">
                    <c:v>0.23599999999999946</c:v>
                  </c:pt>
                  <c:pt idx="70">
                    <c:v>0.23999999999999946</c:v>
                  </c:pt>
                  <c:pt idx="71">
                    <c:v>0.24399999999999941</c:v>
                  </c:pt>
                  <c:pt idx="72">
                    <c:v>0.24799999999999936</c:v>
                  </c:pt>
                  <c:pt idx="73">
                    <c:v>0.25199999999999939</c:v>
                  </c:pt>
                  <c:pt idx="74">
                    <c:v>0.25599999999999939</c:v>
                  </c:pt>
                  <c:pt idx="75">
                    <c:v>0.2599999999999994</c:v>
                  </c:pt>
                  <c:pt idx="76">
                    <c:v>0.26399999999999935</c:v>
                  </c:pt>
                  <c:pt idx="77">
                    <c:v>0.26799999999999935</c:v>
                  </c:pt>
                  <c:pt idx="78">
                    <c:v>0.2719999999999993</c:v>
                  </c:pt>
                  <c:pt idx="79">
                    <c:v>0.2759999999999993</c:v>
                  </c:pt>
                  <c:pt idx="80">
                    <c:v>0.27999999999999925</c:v>
                  </c:pt>
                  <c:pt idx="81">
                    <c:v>0.28399999999999925</c:v>
                  </c:pt>
                  <c:pt idx="82">
                    <c:v>0.2879999999999992</c:v>
                  </c:pt>
                  <c:pt idx="83">
                    <c:v>0.2919999999999992</c:v>
                  </c:pt>
                  <c:pt idx="84">
                    <c:v>0.29599999999999921</c:v>
                  </c:pt>
                  <c:pt idx="85">
                    <c:v>0.29999999999999921</c:v>
                  </c:pt>
                  <c:pt idx="86">
                    <c:v>0.30399999999999916</c:v>
                  </c:pt>
                  <c:pt idx="87">
                    <c:v>0.30799999999999911</c:v>
                  </c:pt>
                  <c:pt idx="88">
                    <c:v>0.31199999999999911</c:v>
                  </c:pt>
                  <c:pt idx="89">
                    <c:v>0.31599999999999906</c:v>
                  </c:pt>
                  <c:pt idx="90">
                    <c:v>0.31999999999999906</c:v>
                  </c:pt>
                  <c:pt idx="91">
                    <c:v>0.32399999999999901</c:v>
                  </c:pt>
                  <c:pt idx="92">
                    <c:v>0.32799999999999901</c:v>
                  </c:pt>
                  <c:pt idx="93">
                    <c:v>0.33199999999999902</c:v>
                  </c:pt>
                  <c:pt idx="94">
                    <c:v>0.33599999999999902</c:v>
                  </c:pt>
                  <c:pt idx="95">
                    <c:v>0.33999999999999897</c:v>
                  </c:pt>
                  <c:pt idx="96">
                    <c:v>0.34399999999999897</c:v>
                  </c:pt>
                  <c:pt idx="97">
                    <c:v>0.34799999999999892</c:v>
                  </c:pt>
                  <c:pt idx="98">
                    <c:v>0.35199999999999892</c:v>
                  </c:pt>
                  <c:pt idx="99">
                    <c:v>0.35599999999999887</c:v>
                  </c:pt>
                  <c:pt idx="100">
                    <c:v>0.35999999999999888</c:v>
                  </c:pt>
                  <c:pt idx="101">
                    <c:v>0.35600000000000126</c:v>
                  </c:pt>
                  <c:pt idx="102">
                    <c:v>0.35200000000000126</c:v>
                  </c:pt>
                  <c:pt idx="103">
                    <c:v>0.34800000000000125</c:v>
                  </c:pt>
                  <c:pt idx="104">
                    <c:v>0.3440000000000013</c:v>
                  </c:pt>
                  <c:pt idx="105">
                    <c:v>0.3400000000000013</c:v>
                  </c:pt>
                  <c:pt idx="106">
                    <c:v>0.33600000000000135</c:v>
                  </c:pt>
                  <c:pt idx="107">
                    <c:v>0.33200000000000135</c:v>
                  </c:pt>
                  <c:pt idx="108">
                    <c:v>0.3280000000000014</c:v>
                  </c:pt>
                  <c:pt idx="109">
                    <c:v>0.3240000000000014</c:v>
                  </c:pt>
                  <c:pt idx="110">
                    <c:v>0.32000000000000145</c:v>
                  </c:pt>
                  <c:pt idx="111">
                    <c:v>0.31600000000000145</c:v>
                  </c:pt>
                  <c:pt idx="112">
                    <c:v>0.31200000000000144</c:v>
                  </c:pt>
                  <c:pt idx="113">
                    <c:v>0.30800000000000144</c:v>
                  </c:pt>
                  <c:pt idx="114">
                    <c:v>0.30400000000000149</c:v>
                  </c:pt>
                  <c:pt idx="115">
                    <c:v>0.30000000000000149</c:v>
                  </c:pt>
                  <c:pt idx="116">
                    <c:v>0.29600000000000154</c:v>
                  </c:pt>
                  <c:pt idx="117">
                    <c:v>0.29200000000000159</c:v>
                  </c:pt>
                  <c:pt idx="118">
                    <c:v>0.28800000000000159</c:v>
                  </c:pt>
                  <c:pt idx="119">
                    <c:v>0.28400000000000158</c:v>
                  </c:pt>
                  <c:pt idx="120">
                    <c:v>0.28000000000000164</c:v>
                  </c:pt>
                  <c:pt idx="121">
                    <c:v>0.27600000000000163</c:v>
                  </c:pt>
                  <c:pt idx="122">
                    <c:v>0.27200000000000163</c:v>
                  </c:pt>
                  <c:pt idx="123">
                    <c:v>0.26800000000000168</c:v>
                  </c:pt>
                  <c:pt idx="124">
                    <c:v>0.26400000000000168</c:v>
                  </c:pt>
                  <c:pt idx="125">
                    <c:v>0.26000000000000173</c:v>
                  </c:pt>
                  <c:pt idx="126">
                    <c:v>0.25600000000000173</c:v>
                  </c:pt>
                  <c:pt idx="127">
                    <c:v>0.25200000000000178</c:v>
                  </c:pt>
                  <c:pt idx="128">
                    <c:v>0.24800000000000175</c:v>
                  </c:pt>
                  <c:pt idx="129">
                    <c:v>0.24400000000000174</c:v>
                  </c:pt>
                  <c:pt idx="130">
                    <c:v>0.24000000000000174</c:v>
                  </c:pt>
                  <c:pt idx="131">
                    <c:v>0.23600000000000179</c:v>
                  </c:pt>
                  <c:pt idx="132">
                    <c:v>0.23200000000000184</c:v>
                  </c:pt>
                  <c:pt idx="133">
                    <c:v>0.22800000000000184</c:v>
                  </c:pt>
                  <c:pt idx="134">
                    <c:v>0.22400000000000184</c:v>
                  </c:pt>
                  <c:pt idx="135">
                    <c:v>0.22000000000000189</c:v>
                  </c:pt>
                  <c:pt idx="136">
                    <c:v>0.21600000000000194</c:v>
                  </c:pt>
                  <c:pt idx="137">
                    <c:v>0.21200000000000194</c:v>
                  </c:pt>
                  <c:pt idx="138">
                    <c:v>0.20800000000000191</c:v>
                  </c:pt>
                  <c:pt idx="139">
                    <c:v>0.20400000000000196</c:v>
                  </c:pt>
                  <c:pt idx="140">
                    <c:v>0.20000000000000198</c:v>
                  </c:pt>
                  <c:pt idx="141">
                    <c:v>0.19600000000000198</c:v>
                  </c:pt>
                  <c:pt idx="142">
                    <c:v>0.19200000000000197</c:v>
                  </c:pt>
                  <c:pt idx="143">
                    <c:v>0.18800000000000208</c:v>
                  </c:pt>
                  <c:pt idx="144">
                    <c:v>0.18400000000000208</c:v>
                  </c:pt>
                  <c:pt idx="145">
                    <c:v>0.18000000000000208</c:v>
                  </c:pt>
                  <c:pt idx="146">
                    <c:v>0.1760000000000021</c:v>
                  </c:pt>
                  <c:pt idx="147">
                    <c:v>0.17200000000000215</c:v>
                  </c:pt>
                  <c:pt idx="148">
                    <c:v>0.16800000000000215</c:v>
                  </c:pt>
                  <c:pt idx="149">
                    <c:v>0.16400000000000214</c:v>
                  </c:pt>
                  <c:pt idx="150">
                    <c:v>0.16000000000000217</c:v>
                  </c:pt>
                  <c:pt idx="151">
                    <c:v>0.15600000000000222</c:v>
                  </c:pt>
                  <c:pt idx="152">
                    <c:v>0.15200000000000222</c:v>
                  </c:pt>
                  <c:pt idx="153">
                    <c:v>0.14800000000000227</c:v>
                  </c:pt>
                  <c:pt idx="154">
                    <c:v>0.14400000000000227</c:v>
                  </c:pt>
                  <c:pt idx="155">
                    <c:v>0.14000000000000229</c:v>
                  </c:pt>
                  <c:pt idx="156">
                    <c:v>0.13600000000000229</c:v>
                  </c:pt>
                  <c:pt idx="157">
                    <c:v>0.13200000000000234</c:v>
                  </c:pt>
                  <c:pt idx="158">
                    <c:v>0.12800000000000233</c:v>
                  </c:pt>
                  <c:pt idx="159">
                    <c:v>0.12400000000000236</c:v>
                  </c:pt>
                  <c:pt idx="160">
                    <c:v>0.12000000000000235</c:v>
                  </c:pt>
                  <c:pt idx="161">
                    <c:v>0.11600000000000241</c:v>
                  </c:pt>
                  <c:pt idx="162">
                    <c:v>0.1120000000000024</c:v>
                  </c:pt>
                  <c:pt idx="163">
                    <c:v>0.10800000000000243</c:v>
                  </c:pt>
                  <c:pt idx="164">
                    <c:v>0.10400000000000242</c:v>
                  </c:pt>
                  <c:pt idx="165">
                    <c:v>0.10000000000000248</c:v>
                  </c:pt>
                  <c:pt idx="166">
                    <c:v>9.6000000000002472E-2</c:v>
                  </c:pt>
                  <c:pt idx="167">
                    <c:v>9.2000000000002524E-2</c:v>
                  </c:pt>
                  <c:pt idx="168">
                    <c:v>8.8000000000002548E-2</c:v>
                  </c:pt>
                  <c:pt idx="169">
                    <c:v>8.4000000000002545E-2</c:v>
                  </c:pt>
                  <c:pt idx="170">
                    <c:v>8.0000000000002597E-2</c:v>
                  </c:pt>
                  <c:pt idx="171">
                    <c:v>7.6000000000002593E-2</c:v>
                  </c:pt>
                  <c:pt idx="172">
                    <c:v>7.2000000000002645E-2</c:v>
                  </c:pt>
                  <c:pt idx="173">
                    <c:v>6.8000000000002642E-2</c:v>
                  </c:pt>
                  <c:pt idx="174">
                    <c:v>6.4000000000002666E-2</c:v>
                  </c:pt>
                  <c:pt idx="175">
                    <c:v>6.0000000000002669E-2</c:v>
                  </c:pt>
                  <c:pt idx="176">
                    <c:v>5.6000000000002707E-2</c:v>
                  </c:pt>
                  <c:pt idx="177">
                    <c:v>5.2000000000002704E-2</c:v>
                  </c:pt>
                  <c:pt idx="178">
                    <c:v>4.8000000000002742E-2</c:v>
                  </c:pt>
                  <c:pt idx="179">
                    <c:v>4.4000000000002738E-2</c:v>
                  </c:pt>
                  <c:pt idx="180">
                    <c:v>4.000000000000279E-2</c:v>
                  </c:pt>
                  <c:pt idx="181">
                    <c:v>3.6000000000002787E-2</c:v>
                  </c:pt>
                  <c:pt idx="182">
                    <c:v>3.2000000000002825E-2</c:v>
                  </c:pt>
                  <c:pt idx="183">
                    <c:v>2.8000000000002863E-2</c:v>
                  </c:pt>
                  <c:pt idx="184">
                    <c:v>2.4000000000002859E-2</c:v>
                  </c:pt>
                  <c:pt idx="185">
                    <c:v>2.0000000000002897E-2</c:v>
                  </c:pt>
                  <c:pt idx="186">
                    <c:v>1.6000000000002894E-2</c:v>
                  </c:pt>
                  <c:pt idx="187">
                    <c:v>1.2000000000002932E-2</c:v>
                  </c:pt>
                  <c:pt idx="188">
                    <c:v>8.0000000000029284E-3</c:v>
                  </c:pt>
                  <c:pt idx="189">
                    <c:v>4.0000000000029734E-3</c:v>
                  </c:pt>
                  <c:pt idx="190">
                    <c:v>2.9698465908722937E-15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'Original two groups'!$BW$51:$BW$251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3.4694469519536142E-17</c:v>
                  </c:pt>
                  <c:pt idx="11">
                    <c:v>4.0000000000000382E-3</c:v>
                  </c:pt>
                  <c:pt idx="12">
                    <c:v>8.0000000000000418E-3</c:v>
                  </c:pt>
                  <c:pt idx="13">
                    <c:v>1.2000000000000094E-2</c:v>
                  </c:pt>
                  <c:pt idx="14">
                    <c:v>1.6000000000000049E-2</c:v>
                  </c:pt>
                  <c:pt idx="15">
                    <c:v>2.0000000000000052E-2</c:v>
                  </c:pt>
                  <c:pt idx="16">
                    <c:v>2.4000000000000056E-2</c:v>
                  </c:pt>
                  <c:pt idx="17">
                    <c:v>2.8000000000000101E-2</c:v>
                  </c:pt>
                  <c:pt idx="18">
                    <c:v>3.2000000000000063E-2</c:v>
                  </c:pt>
                  <c:pt idx="19">
                    <c:v>3.6000000000000067E-2</c:v>
                  </c:pt>
                  <c:pt idx="20">
                    <c:v>4.000000000000007E-2</c:v>
                  </c:pt>
                  <c:pt idx="21">
                    <c:v>4.4000000000000129E-2</c:v>
                  </c:pt>
                  <c:pt idx="22">
                    <c:v>4.8000000000000077E-2</c:v>
                  </c:pt>
                  <c:pt idx="23">
                    <c:v>5.2000000000000081E-2</c:v>
                  </c:pt>
                  <c:pt idx="24">
                    <c:v>5.6000000000000084E-2</c:v>
                  </c:pt>
                  <c:pt idx="25">
                    <c:v>6.0000000000000143E-2</c:v>
                  </c:pt>
                  <c:pt idx="26">
                    <c:v>6.4000000000000085E-2</c:v>
                  </c:pt>
                  <c:pt idx="27">
                    <c:v>6.8000000000000088E-2</c:v>
                  </c:pt>
                  <c:pt idx="28">
                    <c:v>7.2000000000000147E-2</c:v>
                  </c:pt>
                  <c:pt idx="29">
                    <c:v>7.6000000000000151E-2</c:v>
                  </c:pt>
                  <c:pt idx="30">
                    <c:v>8.0000000000000154E-2</c:v>
                  </c:pt>
                  <c:pt idx="31">
                    <c:v>8.4000000000000102E-2</c:v>
                  </c:pt>
                  <c:pt idx="32">
                    <c:v>8.8000000000000161E-2</c:v>
                  </c:pt>
                  <c:pt idx="33">
                    <c:v>9.2000000000000165E-2</c:v>
                  </c:pt>
                  <c:pt idx="34">
                    <c:v>9.6000000000000169E-2</c:v>
                  </c:pt>
                  <c:pt idx="35">
                    <c:v>0.10000000000000012</c:v>
                  </c:pt>
                  <c:pt idx="36">
                    <c:v>0.10400000000000012</c:v>
                  </c:pt>
                  <c:pt idx="37">
                    <c:v>0.1080000000000001</c:v>
                  </c:pt>
                  <c:pt idx="38">
                    <c:v>0.1120000000000001</c:v>
                  </c:pt>
                  <c:pt idx="39">
                    <c:v>0.11600000000000005</c:v>
                  </c:pt>
                  <c:pt idx="40">
                    <c:v>0.12000000000000002</c:v>
                  </c:pt>
                  <c:pt idx="41">
                    <c:v>0.12400000000000003</c:v>
                  </c:pt>
                  <c:pt idx="42">
                    <c:v>0.12799999999999997</c:v>
                  </c:pt>
                  <c:pt idx="43">
                    <c:v>0.13199999999999998</c:v>
                  </c:pt>
                  <c:pt idx="44">
                    <c:v>0.13599999999999993</c:v>
                  </c:pt>
                  <c:pt idx="45">
                    <c:v>0.13999999999999993</c:v>
                  </c:pt>
                  <c:pt idx="46">
                    <c:v>0.14399999999999991</c:v>
                  </c:pt>
                  <c:pt idx="47">
                    <c:v>0.14799999999999991</c:v>
                  </c:pt>
                  <c:pt idx="48">
                    <c:v>0.15199999999999986</c:v>
                  </c:pt>
                  <c:pt idx="49">
                    <c:v>0.15599999999999986</c:v>
                  </c:pt>
                  <c:pt idx="50">
                    <c:v>0.15999999999999984</c:v>
                  </c:pt>
                  <c:pt idx="51">
                    <c:v>0.16399999999999984</c:v>
                  </c:pt>
                  <c:pt idx="52">
                    <c:v>0.16799999999999979</c:v>
                  </c:pt>
                  <c:pt idx="53">
                    <c:v>0.17199999999999974</c:v>
                  </c:pt>
                  <c:pt idx="54">
                    <c:v>0.17599999999999974</c:v>
                  </c:pt>
                  <c:pt idx="55">
                    <c:v>0.17999999999999974</c:v>
                  </c:pt>
                  <c:pt idx="56">
                    <c:v>0.18399999999999972</c:v>
                  </c:pt>
                  <c:pt idx="57">
                    <c:v>0.18799999999999967</c:v>
                  </c:pt>
                  <c:pt idx="58">
                    <c:v>0.19199999999999967</c:v>
                  </c:pt>
                  <c:pt idx="59">
                    <c:v>0.19599999999999967</c:v>
                  </c:pt>
                  <c:pt idx="60">
                    <c:v>0.19999999999999965</c:v>
                  </c:pt>
                  <c:pt idx="61">
                    <c:v>0.2039999999999996</c:v>
                  </c:pt>
                  <c:pt idx="62">
                    <c:v>0.2079999999999996</c:v>
                  </c:pt>
                  <c:pt idx="63">
                    <c:v>0.21199999999999955</c:v>
                  </c:pt>
                  <c:pt idx="64">
                    <c:v>0.2159999999999995</c:v>
                  </c:pt>
                  <c:pt idx="65">
                    <c:v>0.2199999999999995</c:v>
                  </c:pt>
                  <c:pt idx="66">
                    <c:v>0.22399999999999951</c:v>
                  </c:pt>
                  <c:pt idx="67">
                    <c:v>0.22799999999999951</c:v>
                  </c:pt>
                  <c:pt idx="68">
                    <c:v>0.23199999999999946</c:v>
                  </c:pt>
                  <c:pt idx="69">
                    <c:v>0.23599999999999946</c:v>
                  </c:pt>
                  <c:pt idx="70">
                    <c:v>0.23999999999999946</c:v>
                  </c:pt>
                  <c:pt idx="71">
                    <c:v>0.24399999999999941</c:v>
                  </c:pt>
                  <c:pt idx="72">
                    <c:v>0.24799999999999936</c:v>
                  </c:pt>
                  <c:pt idx="73">
                    <c:v>0.25199999999999939</c:v>
                  </c:pt>
                  <c:pt idx="74">
                    <c:v>0.25599999999999939</c:v>
                  </c:pt>
                  <c:pt idx="75">
                    <c:v>0.2599999999999994</c:v>
                  </c:pt>
                  <c:pt idx="76">
                    <c:v>0.26399999999999935</c:v>
                  </c:pt>
                  <c:pt idx="77">
                    <c:v>0.26799999999999935</c:v>
                  </c:pt>
                  <c:pt idx="78">
                    <c:v>0.2719999999999993</c:v>
                  </c:pt>
                  <c:pt idx="79">
                    <c:v>0.2759999999999993</c:v>
                  </c:pt>
                  <c:pt idx="80">
                    <c:v>0.27999999999999925</c:v>
                  </c:pt>
                  <c:pt idx="81">
                    <c:v>0.28399999999999925</c:v>
                  </c:pt>
                  <c:pt idx="82">
                    <c:v>0.2879999999999992</c:v>
                  </c:pt>
                  <c:pt idx="83">
                    <c:v>0.2919999999999992</c:v>
                  </c:pt>
                  <c:pt idx="84">
                    <c:v>0.29599999999999921</c:v>
                  </c:pt>
                  <c:pt idx="85">
                    <c:v>0.29999999999999921</c:v>
                  </c:pt>
                  <c:pt idx="86">
                    <c:v>0.30399999999999916</c:v>
                  </c:pt>
                  <c:pt idx="87">
                    <c:v>0.30799999999999911</c:v>
                  </c:pt>
                  <c:pt idx="88">
                    <c:v>0.31199999999999911</c:v>
                  </c:pt>
                  <c:pt idx="89">
                    <c:v>0.31599999999999906</c:v>
                  </c:pt>
                  <c:pt idx="90">
                    <c:v>0.31999999999999906</c:v>
                  </c:pt>
                  <c:pt idx="91">
                    <c:v>0.32399999999999901</c:v>
                  </c:pt>
                  <c:pt idx="92">
                    <c:v>0.32799999999999901</c:v>
                  </c:pt>
                  <c:pt idx="93">
                    <c:v>0.33199999999999902</c:v>
                  </c:pt>
                  <c:pt idx="94">
                    <c:v>0.33599999999999902</c:v>
                  </c:pt>
                  <c:pt idx="95">
                    <c:v>0.33999999999999897</c:v>
                  </c:pt>
                  <c:pt idx="96">
                    <c:v>0.34399999999999897</c:v>
                  </c:pt>
                  <c:pt idx="97">
                    <c:v>0.34799999999999892</c:v>
                  </c:pt>
                  <c:pt idx="98">
                    <c:v>0.35199999999999892</c:v>
                  </c:pt>
                  <c:pt idx="99">
                    <c:v>0.35599999999999887</c:v>
                  </c:pt>
                  <c:pt idx="100">
                    <c:v>0.35999999999999888</c:v>
                  </c:pt>
                  <c:pt idx="101">
                    <c:v>0.35600000000000126</c:v>
                  </c:pt>
                  <c:pt idx="102">
                    <c:v>0.35200000000000126</c:v>
                  </c:pt>
                  <c:pt idx="103">
                    <c:v>0.34800000000000125</c:v>
                  </c:pt>
                  <c:pt idx="104">
                    <c:v>0.3440000000000013</c:v>
                  </c:pt>
                  <c:pt idx="105">
                    <c:v>0.3400000000000013</c:v>
                  </c:pt>
                  <c:pt idx="106">
                    <c:v>0.33600000000000135</c:v>
                  </c:pt>
                  <c:pt idx="107">
                    <c:v>0.33200000000000135</c:v>
                  </c:pt>
                  <c:pt idx="108">
                    <c:v>0.3280000000000014</c:v>
                  </c:pt>
                  <c:pt idx="109">
                    <c:v>0.3240000000000014</c:v>
                  </c:pt>
                  <c:pt idx="110">
                    <c:v>0.32000000000000145</c:v>
                  </c:pt>
                  <c:pt idx="111">
                    <c:v>0.31600000000000145</c:v>
                  </c:pt>
                  <c:pt idx="112">
                    <c:v>0.31200000000000144</c:v>
                  </c:pt>
                  <c:pt idx="113">
                    <c:v>0.30800000000000144</c:v>
                  </c:pt>
                  <c:pt idx="114">
                    <c:v>0.30400000000000149</c:v>
                  </c:pt>
                  <c:pt idx="115">
                    <c:v>0.30000000000000149</c:v>
                  </c:pt>
                  <c:pt idx="116">
                    <c:v>0.29600000000000154</c:v>
                  </c:pt>
                  <c:pt idx="117">
                    <c:v>0.29200000000000159</c:v>
                  </c:pt>
                  <c:pt idx="118">
                    <c:v>0.28800000000000159</c:v>
                  </c:pt>
                  <c:pt idx="119">
                    <c:v>0.28400000000000158</c:v>
                  </c:pt>
                  <c:pt idx="120">
                    <c:v>0.28000000000000164</c:v>
                  </c:pt>
                  <c:pt idx="121">
                    <c:v>0.27600000000000163</c:v>
                  </c:pt>
                  <c:pt idx="122">
                    <c:v>0.27200000000000163</c:v>
                  </c:pt>
                  <c:pt idx="123">
                    <c:v>0.26800000000000168</c:v>
                  </c:pt>
                  <c:pt idx="124">
                    <c:v>0.26400000000000168</c:v>
                  </c:pt>
                  <c:pt idx="125">
                    <c:v>0.26000000000000173</c:v>
                  </c:pt>
                  <c:pt idx="126">
                    <c:v>0.25600000000000173</c:v>
                  </c:pt>
                  <c:pt idx="127">
                    <c:v>0.25200000000000178</c:v>
                  </c:pt>
                  <c:pt idx="128">
                    <c:v>0.24800000000000175</c:v>
                  </c:pt>
                  <c:pt idx="129">
                    <c:v>0.24400000000000174</c:v>
                  </c:pt>
                  <c:pt idx="130">
                    <c:v>0.24000000000000174</c:v>
                  </c:pt>
                  <c:pt idx="131">
                    <c:v>0.23600000000000179</c:v>
                  </c:pt>
                  <c:pt idx="132">
                    <c:v>0.23200000000000184</c:v>
                  </c:pt>
                  <c:pt idx="133">
                    <c:v>0.22800000000000184</c:v>
                  </c:pt>
                  <c:pt idx="134">
                    <c:v>0.22400000000000184</c:v>
                  </c:pt>
                  <c:pt idx="135">
                    <c:v>0.22000000000000189</c:v>
                  </c:pt>
                  <c:pt idx="136">
                    <c:v>0.21600000000000194</c:v>
                  </c:pt>
                  <c:pt idx="137">
                    <c:v>0.21200000000000194</c:v>
                  </c:pt>
                  <c:pt idx="138">
                    <c:v>0.20800000000000191</c:v>
                  </c:pt>
                  <c:pt idx="139">
                    <c:v>0.20400000000000196</c:v>
                  </c:pt>
                  <c:pt idx="140">
                    <c:v>0.20000000000000198</c:v>
                  </c:pt>
                  <c:pt idx="141">
                    <c:v>0.19600000000000198</c:v>
                  </c:pt>
                  <c:pt idx="142">
                    <c:v>0.19200000000000197</c:v>
                  </c:pt>
                  <c:pt idx="143">
                    <c:v>0.18800000000000208</c:v>
                  </c:pt>
                  <c:pt idx="144">
                    <c:v>0.18400000000000208</c:v>
                  </c:pt>
                  <c:pt idx="145">
                    <c:v>0.18000000000000208</c:v>
                  </c:pt>
                  <c:pt idx="146">
                    <c:v>0.1760000000000021</c:v>
                  </c:pt>
                  <c:pt idx="147">
                    <c:v>0.17200000000000215</c:v>
                  </c:pt>
                  <c:pt idx="148">
                    <c:v>0.16800000000000215</c:v>
                  </c:pt>
                  <c:pt idx="149">
                    <c:v>0.16400000000000214</c:v>
                  </c:pt>
                  <c:pt idx="150">
                    <c:v>0.16000000000000217</c:v>
                  </c:pt>
                  <c:pt idx="151">
                    <c:v>0.15600000000000222</c:v>
                  </c:pt>
                  <c:pt idx="152">
                    <c:v>0.15200000000000222</c:v>
                  </c:pt>
                  <c:pt idx="153">
                    <c:v>0.14800000000000227</c:v>
                  </c:pt>
                  <c:pt idx="154">
                    <c:v>0.14400000000000227</c:v>
                  </c:pt>
                  <c:pt idx="155">
                    <c:v>0.14000000000000229</c:v>
                  </c:pt>
                  <c:pt idx="156">
                    <c:v>0.13600000000000229</c:v>
                  </c:pt>
                  <c:pt idx="157">
                    <c:v>0.13200000000000234</c:v>
                  </c:pt>
                  <c:pt idx="158">
                    <c:v>0.12800000000000233</c:v>
                  </c:pt>
                  <c:pt idx="159">
                    <c:v>0.12400000000000236</c:v>
                  </c:pt>
                  <c:pt idx="160">
                    <c:v>0.12000000000000235</c:v>
                  </c:pt>
                  <c:pt idx="161">
                    <c:v>0.11600000000000241</c:v>
                  </c:pt>
                  <c:pt idx="162">
                    <c:v>0.1120000000000024</c:v>
                  </c:pt>
                  <c:pt idx="163">
                    <c:v>0.10800000000000243</c:v>
                  </c:pt>
                  <c:pt idx="164">
                    <c:v>0.10400000000000242</c:v>
                  </c:pt>
                  <c:pt idx="165">
                    <c:v>0.10000000000000248</c:v>
                  </c:pt>
                  <c:pt idx="166">
                    <c:v>9.6000000000002472E-2</c:v>
                  </c:pt>
                  <c:pt idx="167">
                    <c:v>9.2000000000002524E-2</c:v>
                  </c:pt>
                  <c:pt idx="168">
                    <c:v>8.8000000000002548E-2</c:v>
                  </c:pt>
                  <c:pt idx="169">
                    <c:v>8.4000000000002545E-2</c:v>
                  </c:pt>
                  <c:pt idx="170">
                    <c:v>8.0000000000002597E-2</c:v>
                  </c:pt>
                  <c:pt idx="171">
                    <c:v>7.6000000000002593E-2</c:v>
                  </c:pt>
                  <c:pt idx="172">
                    <c:v>7.2000000000002645E-2</c:v>
                  </c:pt>
                  <c:pt idx="173">
                    <c:v>6.8000000000002642E-2</c:v>
                  </c:pt>
                  <c:pt idx="174">
                    <c:v>6.4000000000002666E-2</c:v>
                  </c:pt>
                  <c:pt idx="175">
                    <c:v>6.0000000000002669E-2</c:v>
                  </c:pt>
                  <c:pt idx="176">
                    <c:v>5.6000000000002707E-2</c:v>
                  </c:pt>
                  <c:pt idx="177">
                    <c:v>5.2000000000002704E-2</c:v>
                  </c:pt>
                  <c:pt idx="178">
                    <c:v>4.8000000000002742E-2</c:v>
                  </c:pt>
                  <c:pt idx="179">
                    <c:v>4.4000000000002738E-2</c:v>
                  </c:pt>
                  <c:pt idx="180">
                    <c:v>4.000000000000279E-2</c:v>
                  </c:pt>
                  <c:pt idx="181">
                    <c:v>3.6000000000002787E-2</c:v>
                  </c:pt>
                  <c:pt idx="182">
                    <c:v>3.2000000000002825E-2</c:v>
                  </c:pt>
                  <c:pt idx="183">
                    <c:v>2.8000000000002863E-2</c:v>
                  </c:pt>
                  <c:pt idx="184">
                    <c:v>2.4000000000002859E-2</c:v>
                  </c:pt>
                  <c:pt idx="185">
                    <c:v>2.0000000000002897E-2</c:v>
                  </c:pt>
                  <c:pt idx="186">
                    <c:v>1.6000000000002894E-2</c:v>
                  </c:pt>
                  <c:pt idx="187">
                    <c:v>1.2000000000002932E-2</c:v>
                  </c:pt>
                  <c:pt idx="188">
                    <c:v>8.0000000000029284E-3</c:v>
                  </c:pt>
                  <c:pt idx="189">
                    <c:v>4.0000000000029734E-3</c:v>
                  </c:pt>
                  <c:pt idx="190">
                    <c:v>2.9698465908722937E-15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'Original two groups'!$BU$51:$BU$251</c:f>
              <c:numCache>
                <c:formatCode>General</c:formatCode>
                <c:ptCount val="201"/>
                <c:pt idx="0">
                  <c:v>1.1684732034663005E-2</c:v>
                </c:pt>
                <c:pt idx="1">
                  <c:v>1.2252409536681646E-2</c:v>
                </c:pt>
                <c:pt idx="2">
                  <c:v>1.2820087038700287E-2</c:v>
                </c:pt>
                <c:pt idx="3">
                  <c:v>1.3387764540718928E-2</c:v>
                </c:pt>
                <c:pt idx="4">
                  <c:v>1.3955442042737569E-2</c:v>
                </c:pt>
                <c:pt idx="5">
                  <c:v>1.452311954475621E-2</c:v>
                </c:pt>
                <c:pt idx="6">
                  <c:v>1.5090797046774851E-2</c:v>
                </c:pt>
                <c:pt idx="7">
                  <c:v>1.5658474548793492E-2</c:v>
                </c:pt>
                <c:pt idx="8">
                  <c:v>1.6226152050812133E-2</c:v>
                </c:pt>
                <c:pt idx="9">
                  <c:v>1.6793829552830774E-2</c:v>
                </c:pt>
                <c:pt idx="10">
                  <c:v>1.7361507054849415E-2</c:v>
                </c:pt>
                <c:pt idx="11">
                  <c:v>1.7929184556868056E-2</c:v>
                </c:pt>
                <c:pt idx="12">
                  <c:v>1.8496862058886697E-2</c:v>
                </c:pt>
                <c:pt idx="13">
                  <c:v>1.9064539560905338E-2</c:v>
                </c:pt>
                <c:pt idx="14">
                  <c:v>1.9632217062923979E-2</c:v>
                </c:pt>
                <c:pt idx="15">
                  <c:v>2.019989456494262E-2</c:v>
                </c:pt>
                <c:pt idx="16">
                  <c:v>2.0767572066961261E-2</c:v>
                </c:pt>
                <c:pt idx="17">
                  <c:v>2.1335249568979902E-2</c:v>
                </c:pt>
                <c:pt idx="18">
                  <c:v>2.1902927070998543E-2</c:v>
                </c:pt>
                <c:pt idx="19">
                  <c:v>2.2470604573017184E-2</c:v>
                </c:pt>
                <c:pt idx="20">
                  <c:v>2.3038282075035825E-2</c:v>
                </c:pt>
                <c:pt idx="21">
                  <c:v>2.3605959577054466E-2</c:v>
                </c:pt>
                <c:pt idx="22">
                  <c:v>2.4173637079073107E-2</c:v>
                </c:pt>
                <c:pt idx="23">
                  <c:v>2.4741314581091748E-2</c:v>
                </c:pt>
                <c:pt idx="24">
                  <c:v>2.5308992083110389E-2</c:v>
                </c:pt>
                <c:pt idx="25">
                  <c:v>2.587666958512903E-2</c:v>
                </c:pt>
                <c:pt idx="26">
                  <c:v>2.6444347087147671E-2</c:v>
                </c:pt>
                <c:pt idx="27">
                  <c:v>2.7012024589166312E-2</c:v>
                </c:pt>
                <c:pt idx="28">
                  <c:v>2.7579702091184953E-2</c:v>
                </c:pt>
                <c:pt idx="29">
                  <c:v>2.8147379593203594E-2</c:v>
                </c:pt>
                <c:pt idx="30">
                  <c:v>2.8715057095222235E-2</c:v>
                </c:pt>
                <c:pt idx="31">
                  <c:v>2.9282734597240876E-2</c:v>
                </c:pt>
                <c:pt idx="32">
                  <c:v>2.9850412099259517E-2</c:v>
                </c:pt>
                <c:pt idx="33">
                  <c:v>3.0418089601278158E-2</c:v>
                </c:pt>
                <c:pt idx="34">
                  <c:v>3.0985767103296799E-2</c:v>
                </c:pt>
                <c:pt idx="35">
                  <c:v>3.1553444605315437E-2</c:v>
                </c:pt>
                <c:pt idx="36">
                  <c:v>3.2121122107334074E-2</c:v>
                </c:pt>
                <c:pt idx="37">
                  <c:v>3.2688799609352712E-2</c:v>
                </c:pt>
                <c:pt idx="38">
                  <c:v>3.3256477111371349E-2</c:v>
                </c:pt>
                <c:pt idx="39">
                  <c:v>3.3824154613389987E-2</c:v>
                </c:pt>
                <c:pt idx="40">
                  <c:v>3.4391832115408624E-2</c:v>
                </c:pt>
                <c:pt idx="41">
                  <c:v>3.4959509617427262E-2</c:v>
                </c:pt>
                <c:pt idx="42">
                  <c:v>3.5527187119445899E-2</c:v>
                </c:pt>
                <c:pt idx="43">
                  <c:v>3.6094864621464537E-2</c:v>
                </c:pt>
                <c:pt idx="44">
                  <c:v>3.6662542123483174E-2</c:v>
                </c:pt>
                <c:pt idx="45">
                  <c:v>3.7230219625501812E-2</c:v>
                </c:pt>
                <c:pt idx="46">
                  <c:v>3.779789712752045E-2</c:v>
                </c:pt>
                <c:pt idx="47">
                  <c:v>3.8365574629539087E-2</c:v>
                </c:pt>
                <c:pt idx="48">
                  <c:v>3.8933252131557725E-2</c:v>
                </c:pt>
                <c:pt idx="49">
                  <c:v>3.9500929633576362E-2</c:v>
                </c:pt>
                <c:pt idx="50">
                  <c:v>4.0068607135595E-2</c:v>
                </c:pt>
                <c:pt idx="51">
                  <c:v>4.0636284637613637E-2</c:v>
                </c:pt>
                <c:pt idx="52">
                  <c:v>4.1203962139632275E-2</c:v>
                </c:pt>
                <c:pt idx="53">
                  <c:v>4.1771639641650912E-2</c:v>
                </c:pt>
                <c:pt idx="54">
                  <c:v>4.233931714366955E-2</c:v>
                </c:pt>
                <c:pt idx="55">
                  <c:v>4.2906994645688187E-2</c:v>
                </c:pt>
                <c:pt idx="56">
                  <c:v>4.3474672147706825E-2</c:v>
                </c:pt>
                <c:pt idx="57">
                  <c:v>4.4042349649725462E-2</c:v>
                </c:pt>
                <c:pt idx="58">
                  <c:v>4.46100271517441E-2</c:v>
                </c:pt>
                <c:pt idx="59">
                  <c:v>4.5177704653762737E-2</c:v>
                </c:pt>
                <c:pt idx="60">
                  <c:v>4.5745382155781375E-2</c:v>
                </c:pt>
                <c:pt idx="61">
                  <c:v>4.6313059657800013E-2</c:v>
                </c:pt>
                <c:pt idx="62">
                  <c:v>4.688073715981865E-2</c:v>
                </c:pt>
                <c:pt idx="63">
                  <c:v>4.7448414661837288E-2</c:v>
                </c:pt>
                <c:pt idx="64">
                  <c:v>4.8016092163855925E-2</c:v>
                </c:pt>
                <c:pt idx="65">
                  <c:v>4.8583769665874563E-2</c:v>
                </c:pt>
                <c:pt idx="66">
                  <c:v>4.91514471678932E-2</c:v>
                </c:pt>
                <c:pt idx="67">
                  <c:v>4.9719124669911838E-2</c:v>
                </c:pt>
                <c:pt idx="68">
                  <c:v>5.0286802171930475E-2</c:v>
                </c:pt>
                <c:pt idx="69">
                  <c:v>5.0854479673949113E-2</c:v>
                </c:pt>
                <c:pt idx="70">
                  <c:v>5.142215717596775E-2</c:v>
                </c:pt>
                <c:pt idx="71">
                  <c:v>5.1989834677986388E-2</c:v>
                </c:pt>
                <c:pt idx="72">
                  <c:v>5.2557512180005025E-2</c:v>
                </c:pt>
                <c:pt idx="73">
                  <c:v>5.3125189682023663E-2</c:v>
                </c:pt>
                <c:pt idx="74">
                  <c:v>5.3692867184042301E-2</c:v>
                </c:pt>
                <c:pt idx="75">
                  <c:v>5.4260544686060938E-2</c:v>
                </c:pt>
                <c:pt idx="76">
                  <c:v>5.4828222188079576E-2</c:v>
                </c:pt>
                <c:pt idx="77">
                  <c:v>5.5395899690098213E-2</c:v>
                </c:pt>
                <c:pt idx="78">
                  <c:v>5.5963577192116851E-2</c:v>
                </c:pt>
                <c:pt idx="79">
                  <c:v>5.6531254694135488E-2</c:v>
                </c:pt>
                <c:pt idx="80">
                  <c:v>5.7098932196154126E-2</c:v>
                </c:pt>
                <c:pt idx="81">
                  <c:v>5.7666609698172763E-2</c:v>
                </c:pt>
                <c:pt idx="82">
                  <c:v>5.8234287200191401E-2</c:v>
                </c:pt>
                <c:pt idx="83">
                  <c:v>5.8801964702210038E-2</c:v>
                </c:pt>
                <c:pt idx="84">
                  <c:v>5.9369642204228676E-2</c:v>
                </c:pt>
                <c:pt idx="85">
                  <c:v>5.9937319706247313E-2</c:v>
                </c:pt>
                <c:pt idx="86">
                  <c:v>6.0504997208265951E-2</c:v>
                </c:pt>
                <c:pt idx="87">
                  <c:v>6.1072674710284588E-2</c:v>
                </c:pt>
                <c:pt idx="88">
                  <c:v>6.1640352212303226E-2</c:v>
                </c:pt>
                <c:pt idx="89">
                  <c:v>6.2208029714321864E-2</c:v>
                </c:pt>
                <c:pt idx="90">
                  <c:v>6.2775707216340501E-2</c:v>
                </c:pt>
                <c:pt idx="91">
                  <c:v>6.3343384718359139E-2</c:v>
                </c:pt>
                <c:pt idx="92">
                  <c:v>6.3911062220377776E-2</c:v>
                </c:pt>
                <c:pt idx="93">
                  <c:v>6.4478739722396414E-2</c:v>
                </c:pt>
                <c:pt idx="94">
                  <c:v>6.5046417224415051E-2</c:v>
                </c:pt>
                <c:pt idx="95">
                  <c:v>6.5614094726433689E-2</c:v>
                </c:pt>
                <c:pt idx="96">
                  <c:v>6.6181772228452326E-2</c:v>
                </c:pt>
                <c:pt idx="97">
                  <c:v>6.6749449730470964E-2</c:v>
                </c:pt>
                <c:pt idx="98">
                  <c:v>6.7317127232489601E-2</c:v>
                </c:pt>
                <c:pt idx="99">
                  <c:v>6.7884804734508239E-2</c:v>
                </c:pt>
                <c:pt idx="100">
                  <c:v>6.8452482236526876E-2</c:v>
                </c:pt>
                <c:pt idx="101">
                  <c:v>6.9020159738545514E-2</c:v>
                </c:pt>
                <c:pt idx="102">
                  <c:v>6.9587837240564152E-2</c:v>
                </c:pt>
                <c:pt idx="103">
                  <c:v>7.0155514742582789E-2</c:v>
                </c:pt>
                <c:pt idx="104">
                  <c:v>7.0723192244601427E-2</c:v>
                </c:pt>
                <c:pt idx="105">
                  <c:v>7.1290869746620064E-2</c:v>
                </c:pt>
                <c:pt idx="106">
                  <c:v>7.1858547248638702E-2</c:v>
                </c:pt>
                <c:pt idx="107">
                  <c:v>7.2426224750657339E-2</c:v>
                </c:pt>
                <c:pt idx="108">
                  <c:v>7.2993902252675977E-2</c:v>
                </c:pt>
                <c:pt idx="109">
                  <c:v>7.3561579754694614E-2</c:v>
                </c:pt>
                <c:pt idx="110">
                  <c:v>7.4129257256713252E-2</c:v>
                </c:pt>
                <c:pt idx="111">
                  <c:v>7.4696934758731889E-2</c:v>
                </c:pt>
                <c:pt idx="112">
                  <c:v>7.5264612260750527E-2</c:v>
                </c:pt>
                <c:pt idx="113">
                  <c:v>7.5832289762769164E-2</c:v>
                </c:pt>
                <c:pt idx="114">
                  <c:v>7.6399967264787802E-2</c:v>
                </c:pt>
                <c:pt idx="115">
                  <c:v>7.696764476680644E-2</c:v>
                </c:pt>
                <c:pt idx="116">
                  <c:v>7.7535322268825077E-2</c:v>
                </c:pt>
                <c:pt idx="117">
                  <c:v>7.8102999770843715E-2</c:v>
                </c:pt>
                <c:pt idx="118">
                  <c:v>7.8670677272862352E-2</c:v>
                </c:pt>
                <c:pt idx="119">
                  <c:v>7.923835477488099E-2</c:v>
                </c:pt>
                <c:pt idx="120">
                  <c:v>7.9806032276899627E-2</c:v>
                </c:pt>
                <c:pt idx="121">
                  <c:v>8.0373709778918265E-2</c:v>
                </c:pt>
                <c:pt idx="122">
                  <c:v>8.0941387280936902E-2</c:v>
                </c:pt>
                <c:pt idx="123">
                  <c:v>8.150906478295554E-2</c:v>
                </c:pt>
                <c:pt idx="124">
                  <c:v>8.2076742284974177E-2</c:v>
                </c:pt>
                <c:pt idx="125">
                  <c:v>8.2644419786992815E-2</c:v>
                </c:pt>
                <c:pt idx="126">
                  <c:v>8.3212097289011452E-2</c:v>
                </c:pt>
                <c:pt idx="127">
                  <c:v>8.377977479103009E-2</c:v>
                </c:pt>
                <c:pt idx="128">
                  <c:v>8.4347452293048727E-2</c:v>
                </c:pt>
                <c:pt idx="129">
                  <c:v>8.4915129795067365E-2</c:v>
                </c:pt>
                <c:pt idx="130">
                  <c:v>8.5482807297086003E-2</c:v>
                </c:pt>
                <c:pt idx="131">
                  <c:v>8.605048479910464E-2</c:v>
                </c:pt>
                <c:pt idx="132">
                  <c:v>8.6618162301123278E-2</c:v>
                </c:pt>
                <c:pt idx="133">
                  <c:v>8.7185839803141915E-2</c:v>
                </c:pt>
                <c:pt idx="134">
                  <c:v>8.7753517305160553E-2</c:v>
                </c:pt>
                <c:pt idx="135">
                  <c:v>8.832119480717919E-2</c:v>
                </c:pt>
                <c:pt idx="136">
                  <c:v>8.8888872309197828E-2</c:v>
                </c:pt>
                <c:pt idx="137">
                  <c:v>8.9456549811216465E-2</c:v>
                </c:pt>
                <c:pt idx="138">
                  <c:v>9.0024227313235103E-2</c:v>
                </c:pt>
                <c:pt idx="139">
                  <c:v>9.059190481525374E-2</c:v>
                </c:pt>
                <c:pt idx="140">
                  <c:v>9.1159582317272378E-2</c:v>
                </c:pt>
                <c:pt idx="141">
                  <c:v>9.1727259819291015E-2</c:v>
                </c:pt>
                <c:pt idx="142">
                  <c:v>9.2294937321309653E-2</c:v>
                </c:pt>
                <c:pt idx="143">
                  <c:v>9.2862614823328291E-2</c:v>
                </c:pt>
                <c:pt idx="144">
                  <c:v>9.3430292325346928E-2</c:v>
                </c:pt>
                <c:pt idx="145">
                  <c:v>9.3997969827365566E-2</c:v>
                </c:pt>
                <c:pt idx="146">
                  <c:v>9.4565647329384203E-2</c:v>
                </c:pt>
                <c:pt idx="147">
                  <c:v>9.5133324831402841E-2</c:v>
                </c:pt>
                <c:pt idx="148">
                  <c:v>9.5701002333421478E-2</c:v>
                </c:pt>
                <c:pt idx="149">
                  <c:v>9.6268679835440116E-2</c:v>
                </c:pt>
                <c:pt idx="150">
                  <c:v>9.6836357337458753E-2</c:v>
                </c:pt>
                <c:pt idx="151">
                  <c:v>9.7404034839477391E-2</c:v>
                </c:pt>
                <c:pt idx="152">
                  <c:v>9.7971712341496028E-2</c:v>
                </c:pt>
                <c:pt idx="153">
                  <c:v>9.8539389843514666E-2</c:v>
                </c:pt>
                <c:pt idx="154">
                  <c:v>9.9107067345533303E-2</c:v>
                </c:pt>
                <c:pt idx="155">
                  <c:v>9.9674744847551941E-2</c:v>
                </c:pt>
                <c:pt idx="156">
                  <c:v>0.10024242234957058</c:v>
                </c:pt>
                <c:pt idx="157">
                  <c:v>0.10081009985158922</c:v>
                </c:pt>
                <c:pt idx="158">
                  <c:v>0.10137777735360785</c:v>
                </c:pt>
                <c:pt idx="159">
                  <c:v>0.10194545485562649</c:v>
                </c:pt>
                <c:pt idx="160">
                  <c:v>0.10251313235764513</c:v>
                </c:pt>
                <c:pt idx="161">
                  <c:v>0.10308080985966377</c:v>
                </c:pt>
                <c:pt idx="162">
                  <c:v>0.1036484873616824</c:v>
                </c:pt>
                <c:pt idx="163">
                  <c:v>0.10421616486370104</c:v>
                </c:pt>
                <c:pt idx="164">
                  <c:v>0.10478384236571968</c:v>
                </c:pt>
                <c:pt idx="165">
                  <c:v>0.10535151986773832</c:v>
                </c:pt>
                <c:pt idx="166">
                  <c:v>0.10591919736975695</c:v>
                </c:pt>
                <c:pt idx="167">
                  <c:v>0.10648687487177559</c:v>
                </c:pt>
                <c:pt idx="168">
                  <c:v>0.10705455237379423</c:v>
                </c:pt>
                <c:pt idx="169">
                  <c:v>0.10762222987581287</c:v>
                </c:pt>
                <c:pt idx="170">
                  <c:v>0.1081899073778315</c:v>
                </c:pt>
                <c:pt idx="171">
                  <c:v>0.10875758487985014</c:v>
                </c:pt>
                <c:pt idx="172">
                  <c:v>0.10932526238186878</c:v>
                </c:pt>
                <c:pt idx="173">
                  <c:v>0.10989293988388742</c:v>
                </c:pt>
                <c:pt idx="174">
                  <c:v>0.11046061738590605</c:v>
                </c:pt>
                <c:pt idx="175">
                  <c:v>0.11102829488792469</c:v>
                </c:pt>
                <c:pt idx="176">
                  <c:v>0.11159597238994333</c:v>
                </c:pt>
                <c:pt idx="177">
                  <c:v>0.11216364989196197</c:v>
                </c:pt>
                <c:pt idx="178">
                  <c:v>0.1127313273939806</c:v>
                </c:pt>
                <c:pt idx="179">
                  <c:v>0.11329900489599924</c:v>
                </c:pt>
                <c:pt idx="180">
                  <c:v>0.11386668239801788</c:v>
                </c:pt>
                <c:pt idx="181">
                  <c:v>0.11443435990003652</c:v>
                </c:pt>
                <c:pt idx="182">
                  <c:v>0.11500203740205515</c:v>
                </c:pt>
                <c:pt idx="183">
                  <c:v>0.11556971490407379</c:v>
                </c:pt>
                <c:pt idx="184">
                  <c:v>0.11613739240609243</c:v>
                </c:pt>
                <c:pt idx="185">
                  <c:v>0.11670506990811107</c:v>
                </c:pt>
                <c:pt idx="186">
                  <c:v>0.1172727474101297</c:v>
                </c:pt>
                <c:pt idx="187">
                  <c:v>0.11784042491214834</c:v>
                </c:pt>
                <c:pt idx="188">
                  <c:v>0.11840810241416698</c:v>
                </c:pt>
                <c:pt idx="189">
                  <c:v>0.11897577991618562</c:v>
                </c:pt>
                <c:pt idx="190">
                  <c:v>0.11954345741820425</c:v>
                </c:pt>
                <c:pt idx="191">
                  <c:v>0.12011113492022289</c:v>
                </c:pt>
                <c:pt idx="192">
                  <c:v>0.12067881242224153</c:v>
                </c:pt>
                <c:pt idx="193">
                  <c:v>0.12124648992426017</c:v>
                </c:pt>
                <c:pt idx="194">
                  <c:v>0.1218141674262788</c:v>
                </c:pt>
                <c:pt idx="195">
                  <c:v>0.12238184492829744</c:v>
                </c:pt>
                <c:pt idx="196">
                  <c:v>0.12294952243031608</c:v>
                </c:pt>
                <c:pt idx="197">
                  <c:v>0.12351719993233472</c:v>
                </c:pt>
                <c:pt idx="198">
                  <c:v>0.12408487743435336</c:v>
                </c:pt>
                <c:pt idx="199">
                  <c:v>0.12465255493637199</c:v>
                </c:pt>
                <c:pt idx="200">
                  <c:v>0.12522023243839064</c:v>
                </c:pt>
              </c:numCache>
            </c:numRef>
          </c:xVal>
          <c:yVal>
            <c:numRef>
              <c:f>'Original two groups'!$BX$51:$BX$251</c:f>
              <c:numCache>
                <c:formatCode>General</c:formatCode>
                <c:ptCount val="201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12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12</c:v>
                </c:pt>
                <c:pt idx="118">
                  <c:v>12</c:v>
                </c:pt>
                <c:pt idx="119">
                  <c:v>12</c:v>
                </c:pt>
                <c:pt idx="120">
                  <c:v>12</c:v>
                </c:pt>
                <c:pt idx="121">
                  <c:v>12</c:v>
                </c:pt>
                <c:pt idx="122">
                  <c:v>12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12</c:v>
                </c:pt>
                <c:pt idx="133">
                  <c:v>12</c:v>
                </c:pt>
                <c:pt idx="134">
                  <c:v>12</c:v>
                </c:pt>
                <c:pt idx="135">
                  <c:v>12</c:v>
                </c:pt>
                <c:pt idx="136">
                  <c:v>12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12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</c:v>
                </c:pt>
                <c:pt idx="161">
                  <c:v>12</c:v>
                </c:pt>
                <c:pt idx="162">
                  <c:v>12</c:v>
                </c:pt>
                <c:pt idx="163">
                  <c:v>12</c:v>
                </c:pt>
                <c:pt idx="164">
                  <c:v>12</c:v>
                </c:pt>
                <c:pt idx="165">
                  <c:v>12</c:v>
                </c:pt>
                <c:pt idx="166">
                  <c:v>12</c:v>
                </c:pt>
                <c:pt idx="167">
                  <c:v>12</c:v>
                </c:pt>
                <c:pt idx="168">
                  <c:v>12</c:v>
                </c:pt>
                <c:pt idx="169">
                  <c:v>12</c:v>
                </c:pt>
                <c:pt idx="170">
                  <c:v>12</c:v>
                </c:pt>
                <c:pt idx="171">
                  <c:v>12</c:v>
                </c:pt>
                <c:pt idx="172">
                  <c:v>12</c:v>
                </c:pt>
                <c:pt idx="173">
                  <c:v>12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12</c:v>
                </c:pt>
                <c:pt idx="179">
                  <c:v>12</c:v>
                </c:pt>
                <c:pt idx="180">
                  <c:v>12</c:v>
                </c:pt>
                <c:pt idx="181">
                  <c:v>12</c:v>
                </c:pt>
                <c:pt idx="182">
                  <c:v>12</c:v>
                </c:pt>
                <c:pt idx="183">
                  <c:v>12</c:v>
                </c:pt>
                <c:pt idx="184">
                  <c:v>12</c:v>
                </c:pt>
                <c:pt idx="185">
                  <c:v>12</c:v>
                </c:pt>
                <c:pt idx="186">
                  <c:v>12</c:v>
                </c:pt>
                <c:pt idx="187">
                  <c:v>12</c:v>
                </c:pt>
                <c:pt idx="188">
                  <c:v>12</c:v>
                </c:pt>
                <c:pt idx="189">
                  <c:v>12</c:v>
                </c:pt>
                <c:pt idx="190">
                  <c:v>12</c:v>
                </c:pt>
                <c:pt idx="191">
                  <c:v>12</c:v>
                </c:pt>
                <c:pt idx="192">
                  <c:v>12</c:v>
                </c:pt>
                <c:pt idx="193">
                  <c:v>12</c:v>
                </c:pt>
                <c:pt idx="194">
                  <c:v>12</c:v>
                </c:pt>
                <c:pt idx="195">
                  <c:v>12</c:v>
                </c:pt>
                <c:pt idx="196">
                  <c:v>12</c:v>
                </c:pt>
                <c:pt idx="197">
                  <c:v>12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B35-4989-87FC-5FAF10D15A61}"/>
            </c:ext>
          </c:extLst>
        </c:ser>
        <c:ser>
          <c:idx val="34"/>
          <c:order val="1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'Original two groups'!$BW$44:$BW$48</c:f>
              <c:numCache>
                <c:formatCode>General</c:formatCode>
                <c:ptCount val="5"/>
                <c:pt idx="0">
                  <c:v>6.8452482236527043E-2</c:v>
                </c:pt>
                <c:pt idx="1">
                  <c:v>1.1684732034663005E-2</c:v>
                </c:pt>
                <c:pt idx="2">
                  <c:v>6.8452482236527043E-2</c:v>
                </c:pt>
                <c:pt idx="3">
                  <c:v>0.12522023243839109</c:v>
                </c:pt>
                <c:pt idx="4">
                  <c:v>6.8452482236527043E-2</c:v>
                </c:pt>
              </c:numCache>
            </c:numRef>
          </c:xVal>
          <c:yVal>
            <c:numRef>
              <c:f>'Original two groups'!$BY$44:$BY$48</c:f>
              <c:numCache>
                <c:formatCode>General</c:formatCode>
                <c:ptCount val="5"/>
                <c:pt idx="0">
                  <c:v>12.4</c:v>
                </c:pt>
                <c:pt idx="1">
                  <c:v>12</c:v>
                </c:pt>
                <c:pt idx="2">
                  <c:v>11.6</c:v>
                </c:pt>
                <c:pt idx="3">
                  <c:v>12</c:v>
                </c:pt>
                <c:pt idx="4">
                  <c:v>12.4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B35-4989-87FC-5FAF10D15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52160"/>
        <c:axId val="279934080"/>
      </c:scatterChart>
      <c:valAx>
        <c:axId val="279852160"/>
        <c:scaling>
          <c:orientation val="minMax"/>
        </c:scaling>
        <c:delete val="0"/>
        <c:axPos val="t"/>
        <c:title>
          <c:tx>
            <c:strRef>
              <c:f>'Original two groups'!$BW$2</c:f>
              <c:strCache>
                <c:ptCount val="1"/>
                <c:pt idx="0">
                  <c:v>Rating difference</c:v>
                </c:pt>
              </c:strCache>
            </c:strRef>
          </c:tx>
          <c:layout>
            <c:manualLayout>
              <c:xMode val="edge"/>
              <c:yMode val="edge"/>
              <c:x val="0.37843209718155874"/>
              <c:y val="9.7276357000430341E-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0" i="0" u="none" strike="noStrike" baseline="0">
                  <a:solidFill>
                    <a:srgbClr val="0000FF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FF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9934080"/>
        <c:crossesAt val="0"/>
        <c:crossBetween val="midCat"/>
      </c:valAx>
      <c:valAx>
        <c:axId val="279934080"/>
        <c:scaling>
          <c:orientation val="maxMin"/>
          <c:min val="0"/>
        </c:scaling>
        <c:delete val="0"/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279852160"/>
        <c:crossesAt val="0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53521190312356E-2"/>
          <c:y val="8.7649516062723129E-2"/>
          <c:w val="0.93234473678697549"/>
          <c:h val="0.8937594592456467"/>
        </c:manualLayout>
      </c:layout>
      <c:scatterChart>
        <c:scatterStyle val="lineMarker"/>
        <c:varyColors val="0"/>
        <c:ser>
          <c:idx val="45"/>
          <c:order val="0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Subsets!$BL$12:$BL$13</c:f>
              <c:numCache>
                <c:formatCode>General</c:formatCode>
                <c:ptCount val="2"/>
                <c:pt idx="0">
                  <c:v>3.2436981189514734E-2</c:v>
                </c:pt>
                <c:pt idx="1">
                  <c:v>3.2436981189514734E-2</c:v>
                </c:pt>
              </c:numCache>
            </c:numRef>
          </c:xVal>
          <c:yVal>
            <c:numRef>
              <c:f>Subsets!$BM$12:$BM$13</c:f>
              <c:numCache>
                <c:formatCode>General</c:formatCode>
                <c:ptCount val="2"/>
                <c:pt idx="0">
                  <c:v>33</c:v>
                </c:pt>
                <c:pt idx="1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BA-4EEE-B6B7-E7D2614A0440}"/>
            </c:ext>
          </c:extLst>
        </c:ser>
        <c:ser>
          <c:idx val="44"/>
          <c:order val="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Subsets!$BL$10:$BL$11</c:f>
              <c:numCache>
                <c:formatCode>General</c:formatCode>
                <c:ptCount val="2"/>
                <c:pt idx="0">
                  <c:v>0.21663309576896628</c:v>
                </c:pt>
                <c:pt idx="1">
                  <c:v>0.21663309576896628</c:v>
                </c:pt>
              </c:numCache>
            </c:numRef>
          </c:xVal>
          <c:yVal>
            <c:numRef>
              <c:f>Subsets!$BM$10:$BM$11</c:f>
              <c:numCache>
                <c:formatCode>General</c:formatCode>
                <c:ptCount val="2"/>
                <c:pt idx="0">
                  <c:v>34</c:v>
                </c:pt>
                <c:pt idx="1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BA-4EEE-B6B7-E7D2614A0440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Subsets!$CB$4</c:f>
                <c:numCache>
                  <c:formatCode>General</c:formatCode>
                  <c:ptCount val="1"/>
                  <c:pt idx="0">
                    <c:v>33.85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11</c:v>
                </c:pt>
              </c:numLit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Subsets!$BZ$4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Subsets!$CA$4</c:f>
              <c:numCache>
                <c:formatCode>General</c:formatCode>
                <c:ptCount val="1"/>
                <c:pt idx="0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BA-4EEE-B6B7-E7D2614A0440}"/>
            </c:ext>
          </c:extLst>
        </c:ser>
        <c:ser>
          <c:idx val="0"/>
          <c:order val="3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Subsets!$BZ$8:$BZ$37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Subsets!$CA$8:$CA$37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BA-4EEE-B6B7-E7D2614A0440}"/>
            </c:ext>
          </c:extLst>
        </c:ser>
        <c:ser>
          <c:idx val="1"/>
          <c:order val="4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Subsets!$CB$39</c:f>
                <c:numCache>
                  <c:formatCode>General</c:formatCode>
                  <c:ptCount val="1"/>
                  <c:pt idx="0">
                    <c:v>7.933389010939608E-2</c:v>
                  </c:pt>
                </c:numCache>
              </c:numRef>
            </c:plus>
            <c:minus>
              <c:numRef>
                <c:f>Subsets!$CB$39</c:f>
                <c:numCache>
                  <c:formatCode>General</c:formatCode>
                  <c:ptCount val="1"/>
                  <c:pt idx="0">
                    <c:v>7.933389010939608E-2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Subsets!$BZ$39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Subsets!$CA$39</c:f>
              <c:numCache>
                <c:formatCode>General</c:formatCode>
                <c:ptCount val="1"/>
                <c:pt idx="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BA-4EEE-B6B7-E7D2614A0440}"/>
            </c:ext>
          </c:extLst>
        </c:ser>
        <c:ser>
          <c:idx val="7"/>
          <c:order val="5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Subsets!$CU$8:$CU$37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5BA-4EEE-B6B7-E7D2614A0440}"/>
            </c:ext>
          </c:extLst>
        </c:ser>
        <c:ser>
          <c:idx val="8"/>
          <c:order val="6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Subsets!$CT$8:$CT$37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5BA-4EEE-B6B7-E7D2614A0440}"/>
            </c:ext>
          </c:extLst>
        </c:ser>
        <c:ser>
          <c:idx val="9"/>
          <c:order val="7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Subsets!$CS$8:$CS$37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5BA-4EEE-B6B7-E7D2614A0440}"/>
            </c:ext>
          </c:extLst>
        </c:ser>
        <c:ser>
          <c:idx val="10"/>
          <c:order val="8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Subsets!$CR$8:$CR$37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5BA-4EEE-B6B7-E7D2614A0440}"/>
            </c:ext>
          </c:extLst>
        </c:ser>
        <c:ser>
          <c:idx val="11"/>
          <c:order val="9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Subsets!$CQ$8:$CQ$37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5BA-4EEE-B6B7-E7D2614A0440}"/>
            </c:ext>
          </c:extLst>
        </c:ser>
        <c:ser>
          <c:idx val="12"/>
          <c:order val="10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Subsets!$CP$8:$CP$37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BA-4EEE-B6B7-E7D2614A0440}"/>
            </c:ext>
          </c:extLst>
        </c:ser>
        <c:ser>
          <c:idx val="13"/>
          <c:order val="11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Subsets!$CO$8:$CO$37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5BA-4EEE-B6B7-E7D2614A0440}"/>
            </c:ext>
          </c:extLst>
        </c:ser>
        <c:ser>
          <c:idx val="14"/>
          <c:order val="12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Subsets!$CN$8:$CN$37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5BA-4EEE-B6B7-E7D2614A0440}"/>
            </c:ext>
          </c:extLst>
        </c:ser>
        <c:ser>
          <c:idx val="15"/>
          <c:order val="13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0.297758125003731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Subsets!$CM$8:$CM$37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5BA-4EEE-B6B7-E7D2614A0440}"/>
            </c:ext>
          </c:extLst>
        </c:ser>
        <c:ser>
          <c:idx val="17"/>
          <c:order val="14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Subsets!$CU$82:$CU$111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0.18000000000000016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5BA-4EEE-B6B7-E7D2614A0440}"/>
            </c:ext>
          </c:extLst>
        </c:ser>
        <c:ser>
          <c:idx val="36"/>
          <c:order val="15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Subsets!$DO$11:$DO$211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1.7347234759768071E-17</c:v>
                  </c:pt>
                  <c:pt idx="6">
                    <c:v>4.0000000000000209E-3</c:v>
                  </c:pt>
                  <c:pt idx="7">
                    <c:v>7.9999999999999828E-3</c:v>
                  </c:pt>
                  <c:pt idx="8">
                    <c:v>1.1999999999999986E-2</c:v>
                  </c:pt>
                  <c:pt idx="9">
                    <c:v>1.6000000000000032E-2</c:v>
                  </c:pt>
                  <c:pt idx="10">
                    <c:v>1.9999999999999993E-2</c:v>
                  </c:pt>
                  <c:pt idx="11">
                    <c:v>2.3999999999999997E-2</c:v>
                  </c:pt>
                  <c:pt idx="12">
                    <c:v>2.8000000000000001E-2</c:v>
                  </c:pt>
                  <c:pt idx="13">
                    <c:v>3.2000000000000042E-2</c:v>
                  </c:pt>
                  <c:pt idx="14">
                    <c:v>3.6000000000000004E-2</c:v>
                  </c:pt>
                  <c:pt idx="15">
                    <c:v>3.9999999999999966E-2</c:v>
                  </c:pt>
                  <c:pt idx="16">
                    <c:v>4.4000000000000011E-2</c:v>
                  </c:pt>
                  <c:pt idx="17">
                    <c:v>4.8000000000000057E-2</c:v>
                  </c:pt>
                  <c:pt idx="18">
                    <c:v>5.2000000000000018E-2</c:v>
                  </c:pt>
                  <c:pt idx="19">
                    <c:v>5.599999999999998E-2</c:v>
                  </c:pt>
                  <c:pt idx="20">
                    <c:v>6.0000000000000026E-2</c:v>
                  </c:pt>
                  <c:pt idx="21">
                    <c:v>6.4000000000000029E-2</c:v>
                  </c:pt>
                  <c:pt idx="22">
                    <c:v>6.8000000000000033E-2</c:v>
                  </c:pt>
                  <c:pt idx="23">
                    <c:v>7.2000000000000036E-2</c:v>
                  </c:pt>
                  <c:pt idx="24">
                    <c:v>7.5999999999999998E-2</c:v>
                  </c:pt>
                  <c:pt idx="25">
                    <c:v>0.08</c:v>
                  </c:pt>
                  <c:pt idx="26">
                    <c:v>8.4000000000000005E-2</c:v>
                  </c:pt>
                  <c:pt idx="27">
                    <c:v>8.8000000000000009E-2</c:v>
                  </c:pt>
                  <c:pt idx="28">
                    <c:v>9.2000000000000012E-2</c:v>
                  </c:pt>
                  <c:pt idx="29">
                    <c:v>9.6000000000000016E-2</c:v>
                  </c:pt>
                  <c:pt idx="30">
                    <c:v>0.10000000000000002</c:v>
                  </c:pt>
                  <c:pt idx="31">
                    <c:v>0.10400000000000002</c:v>
                  </c:pt>
                  <c:pt idx="32">
                    <c:v>0.10800000000000003</c:v>
                  </c:pt>
                  <c:pt idx="33">
                    <c:v>0.11200000000000003</c:v>
                  </c:pt>
                  <c:pt idx="34">
                    <c:v>0.11600000000000003</c:v>
                  </c:pt>
                  <c:pt idx="35">
                    <c:v>0.12000000000000004</c:v>
                  </c:pt>
                  <c:pt idx="36">
                    <c:v>0.12400000000000004</c:v>
                  </c:pt>
                  <c:pt idx="37">
                    <c:v>0.12800000000000006</c:v>
                  </c:pt>
                  <c:pt idx="38">
                    <c:v>0.13200000000000006</c:v>
                  </c:pt>
                  <c:pt idx="39">
                    <c:v>0.13600000000000004</c:v>
                  </c:pt>
                  <c:pt idx="40">
                    <c:v>0.14000000000000004</c:v>
                  </c:pt>
                  <c:pt idx="41">
                    <c:v>0.14400000000000004</c:v>
                  </c:pt>
                  <c:pt idx="42">
                    <c:v>0.14800000000000005</c:v>
                  </c:pt>
                  <c:pt idx="43">
                    <c:v>0.15200000000000005</c:v>
                  </c:pt>
                  <c:pt idx="44">
                    <c:v>0.15600000000000006</c:v>
                  </c:pt>
                  <c:pt idx="45">
                    <c:v>0.16000000000000006</c:v>
                  </c:pt>
                  <c:pt idx="46">
                    <c:v>0.16400000000000006</c:v>
                  </c:pt>
                  <c:pt idx="47">
                    <c:v>0.16800000000000007</c:v>
                  </c:pt>
                  <c:pt idx="48">
                    <c:v>0.17200000000000007</c:v>
                  </c:pt>
                  <c:pt idx="49">
                    <c:v>0.17600000000000007</c:v>
                  </c:pt>
                  <c:pt idx="50">
                    <c:v>0.18000000000000008</c:v>
                  </c:pt>
                  <c:pt idx="51">
                    <c:v>0.18400000000000002</c:v>
                  </c:pt>
                  <c:pt idx="52">
                    <c:v>0.18800000000000003</c:v>
                  </c:pt>
                  <c:pt idx="53">
                    <c:v>0.19200000000000003</c:v>
                  </c:pt>
                  <c:pt idx="54">
                    <c:v>0.19600000000000004</c:v>
                  </c:pt>
                  <c:pt idx="55">
                    <c:v>0.20000000000000004</c:v>
                  </c:pt>
                  <c:pt idx="56">
                    <c:v>0.20400000000000004</c:v>
                  </c:pt>
                  <c:pt idx="57">
                    <c:v>0.20800000000000005</c:v>
                  </c:pt>
                  <c:pt idx="58">
                    <c:v>0.21200000000000005</c:v>
                  </c:pt>
                  <c:pt idx="59">
                    <c:v>0.21600000000000005</c:v>
                  </c:pt>
                  <c:pt idx="60">
                    <c:v>0.22000000000000006</c:v>
                  </c:pt>
                  <c:pt idx="61">
                    <c:v>0.22400000000000006</c:v>
                  </c:pt>
                  <c:pt idx="62">
                    <c:v>0.22799999999999998</c:v>
                  </c:pt>
                  <c:pt idx="63">
                    <c:v>0.23199999999999996</c:v>
                  </c:pt>
                  <c:pt idx="64">
                    <c:v>0.2359999999999999</c:v>
                  </c:pt>
                  <c:pt idx="65">
                    <c:v>0.23999999999999991</c:v>
                  </c:pt>
                  <c:pt idx="66">
                    <c:v>0.24399999999999986</c:v>
                  </c:pt>
                  <c:pt idx="67">
                    <c:v>0.2479999999999998</c:v>
                  </c:pt>
                  <c:pt idx="68">
                    <c:v>0.25199999999999978</c:v>
                  </c:pt>
                  <c:pt idx="69">
                    <c:v>0.25599999999999973</c:v>
                  </c:pt>
                  <c:pt idx="70">
                    <c:v>0.25999999999999973</c:v>
                  </c:pt>
                  <c:pt idx="71">
                    <c:v>0.26399999999999968</c:v>
                  </c:pt>
                  <c:pt idx="72">
                    <c:v>0.26799999999999963</c:v>
                  </c:pt>
                  <c:pt idx="73">
                    <c:v>0.27199999999999958</c:v>
                  </c:pt>
                  <c:pt idx="74">
                    <c:v>0.27599999999999952</c:v>
                  </c:pt>
                  <c:pt idx="75">
                    <c:v>0.27999999999999958</c:v>
                  </c:pt>
                  <c:pt idx="76">
                    <c:v>0.28399999999999948</c:v>
                  </c:pt>
                  <c:pt idx="77">
                    <c:v>0.28799999999999948</c:v>
                  </c:pt>
                  <c:pt idx="78">
                    <c:v>0.29199999999999943</c:v>
                  </c:pt>
                  <c:pt idx="79">
                    <c:v>0.29599999999999937</c:v>
                  </c:pt>
                  <c:pt idx="80">
                    <c:v>0.29999999999999938</c:v>
                  </c:pt>
                  <c:pt idx="81">
                    <c:v>0.30399999999999933</c:v>
                  </c:pt>
                  <c:pt idx="82">
                    <c:v>0.30799999999999933</c:v>
                  </c:pt>
                  <c:pt idx="83">
                    <c:v>0.31199999999999922</c:v>
                  </c:pt>
                  <c:pt idx="84">
                    <c:v>0.31599999999999923</c:v>
                  </c:pt>
                  <c:pt idx="85">
                    <c:v>0.31999999999999917</c:v>
                  </c:pt>
                  <c:pt idx="86">
                    <c:v>0.32399999999999918</c:v>
                  </c:pt>
                  <c:pt idx="87">
                    <c:v>0.32799999999999913</c:v>
                  </c:pt>
                  <c:pt idx="88">
                    <c:v>0.33199999999999907</c:v>
                  </c:pt>
                  <c:pt idx="89">
                    <c:v>0.33599999999999902</c:v>
                  </c:pt>
                  <c:pt idx="90">
                    <c:v>0.33999999999999903</c:v>
                  </c:pt>
                  <c:pt idx="91">
                    <c:v>0.34399999999999897</c:v>
                  </c:pt>
                  <c:pt idx="92">
                    <c:v>0.34799999999999898</c:v>
                  </c:pt>
                  <c:pt idx="93">
                    <c:v>0.35199999999999892</c:v>
                  </c:pt>
                  <c:pt idx="94">
                    <c:v>0.35599999999999887</c:v>
                  </c:pt>
                  <c:pt idx="95">
                    <c:v>0.35999999999999882</c:v>
                  </c:pt>
                  <c:pt idx="96">
                    <c:v>0.36399999999999882</c:v>
                  </c:pt>
                  <c:pt idx="97">
                    <c:v>0.36799999999999877</c:v>
                  </c:pt>
                  <c:pt idx="98">
                    <c:v>0.37199999999999878</c:v>
                  </c:pt>
                  <c:pt idx="99">
                    <c:v>0.37599999999999872</c:v>
                  </c:pt>
                  <c:pt idx="100">
                    <c:v>0.37999999999999867</c:v>
                  </c:pt>
                  <c:pt idx="101">
                    <c:v>0.37600000000000139</c:v>
                  </c:pt>
                  <c:pt idx="102">
                    <c:v>0.37200000000000144</c:v>
                  </c:pt>
                  <c:pt idx="103">
                    <c:v>0.36800000000000144</c:v>
                  </c:pt>
                  <c:pt idx="104">
                    <c:v>0.36400000000000143</c:v>
                  </c:pt>
                  <c:pt idx="105">
                    <c:v>0.36000000000000149</c:v>
                  </c:pt>
                  <c:pt idx="106">
                    <c:v>0.35600000000000154</c:v>
                  </c:pt>
                  <c:pt idx="107">
                    <c:v>0.35200000000000159</c:v>
                  </c:pt>
                  <c:pt idx="108">
                    <c:v>0.34800000000000164</c:v>
                  </c:pt>
                  <c:pt idx="109">
                    <c:v>0.34400000000000164</c:v>
                  </c:pt>
                  <c:pt idx="110">
                    <c:v>0.34000000000000163</c:v>
                  </c:pt>
                  <c:pt idx="111">
                    <c:v>0.33600000000000169</c:v>
                  </c:pt>
                  <c:pt idx="112">
                    <c:v>0.33200000000000174</c:v>
                  </c:pt>
                  <c:pt idx="113">
                    <c:v>0.32800000000000179</c:v>
                  </c:pt>
                  <c:pt idx="114">
                    <c:v>0.32400000000000184</c:v>
                  </c:pt>
                  <c:pt idx="115">
                    <c:v>0.32000000000000184</c:v>
                  </c:pt>
                  <c:pt idx="116">
                    <c:v>0.31600000000000189</c:v>
                  </c:pt>
                  <c:pt idx="117">
                    <c:v>0.31200000000000189</c:v>
                  </c:pt>
                  <c:pt idx="118">
                    <c:v>0.30800000000000194</c:v>
                  </c:pt>
                  <c:pt idx="119">
                    <c:v>0.30400000000000199</c:v>
                  </c:pt>
                  <c:pt idx="120">
                    <c:v>0.30000000000000204</c:v>
                  </c:pt>
                  <c:pt idx="121">
                    <c:v>0.29600000000000204</c:v>
                  </c:pt>
                  <c:pt idx="122">
                    <c:v>0.29200000000000209</c:v>
                  </c:pt>
                  <c:pt idx="123">
                    <c:v>0.28800000000000214</c:v>
                  </c:pt>
                  <c:pt idx="124">
                    <c:v>0.28400000000000214</c:v>
                  </c:pt>
                  <c:pt idx="125">
                    <c:v>0.28000000000000219</c:v>
                  </c:pt>
                  <c:pt idx="126">
                    <c:v>0.27600000000000219</c:v>
                  </c:pt>
                  <c:pt idx="127">
                    <c:v>0.27200000000000224</c:v>
                  </c:pt>
                  <c:pt idx="128">
                    <c:v>0.26800000000000229</c:v>
                  </c:pt>
                  <c:pt idx="129">
                    <c:v>0.26400000000000229</c:v>
                  </c:pt>
                  <c:pt idx="130">
                    <c:v>0.2600000000000024</c:v>
                  </c:pt>
                  <c:pt idx="131">
                    <c:v>0.25600000000000239</c:v>
                  </c:pt>
                  <c:pt idx="132">
                    <c:v>0.25200000000000239</c:v>
                  </c:pt>
                  <c:pt idx="133">
                    <c:v>0.24800000000000247</c:v>
                  </c:pt>
                  <c:pt idx="134">
                    <c:v>0.24400000000000252</c:v>
                  </c:pt>
                  <c:pt idx="135">
                    <c:v>0.24000000000000257</c:v>
                  </c:pt>
                  <c:pt idx="136">
                    <c:v>0.23600000000000257</c:v>
                  </c:pt>
                  <c:pt idx="137">
                    <c:v>0.23200000000000262</c:v>
                  </c:pt>
                  <c:pt idx="138">
                    <c:v>0.22800000000000264</c:v>
                  </c:pt>
                  <c:pt idx="139">
                    <c:v>0.22400000000000264</c:v>
                  </c:pt>
                  <c:pt idx="140">
                    <c:v>0.22000000000000264</c:v>
                  </c:pt>
                  <c:pt idx="141">
                    <c:v>0.21600000000000272</c:v>
                  </c:pt>
                  <c:pt idx="142">
                    <c:v>0.21200000000000271</c:v>
                  </c:pt>
                  <c:pt idx="143">
                    <c:v>0.20800000000000277</c:v>
                  </c:pt>
                  <c:pt idx="144">
                    <c:v>0.20400000000000279</c:v>
                  </c:pt>
                  <c:pt idx="145">
                    <c:v>0.20000000000000279</c:v>
                  </c:pt>
                  <c:pt idx="146">
                    <c:v>0.19600000000000287</c:v>
                  </c:pt>
                  <c:pt idx="147">
                    <c:v>0.19200000000000286</c:v>
                  </c:pt>
                  <c:pt idx="148">
                    <c:v>0.18800000000000297</c:v>
                  </c:pt>
                  <c:pt idx="149">
                    <c:v>0.18400000000000297</c:v>
                  </c:pt>
                  <c:pt idx="150">
                    <c:v>0.18000000000000299</c:v>
                  </c:pt>
                  <c:pt idx="151">
                    <c:v>0.17600000000000304</c:v>
                  </c:pt>
                  <c:pt idx="152">
                    <c:v>0.17200000000000307</c:v>
                  </c:pt>
                  <c:pt idx="153">
                    <c:v>0.16800000000000312</c:v>
                  </c:pt>
                  <c:pt idx="154">
                    <c:v>0.16400000000000312</c:v>
                  </c:pt>
                  <c:pt idx="155">
                    <c:v>0.16000000000000317</c:v>
                  </c:pt>
                  <c:pt idx="156">
                    <c:v>0.15600000000000319</c:v>
                  </c:pt>
                  <c:pt idx="157">
                    <c:v>0.15200000000000324</c:v>
                  </c:pt>
                  <c:pt idx="158">
                    <c:v>0.14800000000000327</c:v>
                  </c:pt>
                  <c:pt idx="159">
                    <c:v>0.14400000000000332</c:v>
                  </c:pt>
                  <c:pt idx="160">
                    <c:v>0.14000000000000332</c:v>
                  </c:pt>
                  <c:pt idx="161">
                    <c:v>0.13600000000000337</c:v>
                  </c:pt>
                  <c:pt idx="162">
                    <c:v>0.13200000000000339</c:v>
                  </c:pt>
                  <c:pt idx="163">
                    <c:v>0.12800000000000344</c:v>
                  </c:pt>
                  <c:pt idx="164">
                    <c:v>0.12400000000000345</c:v>
                  </c:pt>
                  <c:pt idx="165">
                    <c:v>0.12000000000000351</c:v>
                  </c:pt>
                  <c:pt idx="166">
                    <c:v>0.11600000000000353</c:v>
                  </c:pt>
                  <c:pt idx="167">
                    <c:v>0.11200000000000353</c:v>
                  </c:pt>
                  <c:pt idx="168">
                    <c:v>0.10800000000000358</c:v>
                  </c:pt>
                  <c:pt idx="169">
                    <c:v>0.10400000000000362</c:v>
                  </c:pt>
                  <c:pt idx="170">
                    <c:v>0.10000000000000366</c:v>
                  </c:pt>
                  <c:pt idx="171">
                    <c:v>9.6000000000003707E-2</c:v>
                  </c:pt>
                  <c:pt idx="172">
                    <c:v>9.2000000000003745E-2</c:v>
                  </c:pt>
                  <c:pt idx="173">
                    <c:v>8.8000000000003784E-2</c:v>
                  </c:pt>
                  <c:pt idx="174">
                    <c:v>8.400000000000378E-2</c:v>
                  </c:pt>
                  <c:pt idx="175">
                    <c:v>8.0000000000003818E-2</c:v>
                  </c:pt>
                  <c:pt idx="176">
                    <c:v>7.6000000000003856E-2</c:v>
                  </c:pt>
                  <c:pt idx="177">
                    <c:v>7.2000000000003908E-2</c:v>
                  </c:pt>
                  <c:pt idx="178">
                    <c:v>6.8000000000003946E-2</c:v>
                  </c:pt>
                  <c:pt idx="179">
                    <c:v>6.4000000000003984E-2</c:v>
                  </c:pt>
                  <c:pt idx="180">
                    <c:v>6.0000000000004022E-2</c:v>
                  </c:pt>
                  <c:pt idx="181">
                    <c:v>5.6000000000004019E-2</c:v>
                  </c:pt>
                  <c:pt idx="182">
                    <c:v>5.2000000000004057E-2</c:v>
                  </c:pt>
                  <c:pt idx="183">
                    <c:v>4.8000000000004095E-2</c:v>
                  </c:pt>
                  <c:pt idx="184">
                    <c:v>4.4000000000004147E-2</c:v>
                  </c:pt>
                  <c:pt idx="185">
                    <c:v>4.0000000000004185E-2</c:v>
                  </c:pt>
                  <c:pt idx="186">
                    <c:v>3.6000000000004223E-2</c:v>
                  </c:pt>
                  <c:pt idx="187">
                    <c:v>3.200000000000422E-2</c:v>
                  </c:pt>
                  <c:pt idx="188">
                    <c:v>2.8000000000004261E-2</c:v>
                  </c:pt>
                  <c:pt idx="189">
                    <c:v>2.4000000000004306E-2</c:v>
                  </c:pt>
                  <c:pt idx="190">
                    <c:v>2.0000000000004344E-2</c:v>
                  </c:pt>
                  <c:pt idx="191">
                    <c:v>1.6000000000004382E-2</c:v>
                  </c:pt>
                  <c:pt idx="192">
                    <c:v>1.2000000000004427E-2</c:v>
                  </c:pt>
                  <c:pt idx="193">
                    <c:v>8.0000000000044653E-3</c:v>
                  </c:pt>
                  <c:pt idx="194">
                    <c:v>4.0000000000044618E-3</c:v>
                  </c:pt>
                  <c:pt idx="195">
                    <c:v>4.5033421436357912E-15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Subsets!$DO$11:$DO$211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1.7347234759768071E-17</c:v>
                  </c:pt>
                  <c:pt idx="6">
                    <c:v>4.0000000000000209E-3</c:v>
                  </c:pt>
                  <c:pt idx="7">
                    <c:v>7.9999999999999828E-3</c:v>
                  </c:pt>
                  <c:pt idx="8">
                    <c:v>1.1999999999999986E-2</c:v>
                  </c:pt>
                  <c:pt idx="9">
                    <c:v>1.6000000000000032E-2</c:v>
                  </c:pt>
                  <c:pt idx="10">
                    <c:v>1.9999999999999993E-2</c:v>
                  </c:pt>
                  <c:pt idx="11">
                    <c:v>2.3999999999999997E-2</c:v>
                  </c:pt>
                  <c:pt idx="12">
                    <c:v>2.8000000000000001E-2</c:v>
                  </c:pt>
                  <c:pt idx="13">
                    <c:v>3.2000000000000042E-2</c:v>
                  </c:pt>
                  <c:pt idx="14">
                    <c:v>3.6000000000000004E-2</c:v>
                  </c:pt>
                  <c:pt idx="15">
                    <c:v>3.9999999999999966E-2</c:v>
                  </c:pt>
                  <c:pt idx="16">
                    <c:v>4.4000000000000011E-2</c:v>
                  </c:pt>
                  <c:pt idx="17">
                    <c:v>4.8000000000000057E-2</c:v>
                  </c:pt>
                  <c:pt idx="18">
                    <c:v>5.2000000000000018E-2</c:v>
                  </c:pt>
                  <c:pt idx="19">
                    <c:v>5.599999999999998E-2</c:v>
                  </c:pt>
                  <c:pt idx="20">
                    <c:v>6.0000000000000026E-2</c:v>
                  </c:pt>
                  <c:pt idx="21">
                    <c:v>6.4000000000000029E-2</c:v>
                  </c:pt>
                  <c:pt idx="22">
                    <c:v>6.8000000000000033E-2</c:v>
                  </c:pt>
                  <c:pt idx="23">
                    <c:v>7.2000000000000036E-2</c:v>
                  </c:pt>
                  <c:pt idx="24">
                    <c:v>7.5999999999999998E-2</c:v>
                  </c:pt>
                  <c:pt idx="25">
                    <c:v>0.08</c:v>
                  </c:pt>
                  <c:pt idx="26">
                    <c:v>8.4000000000000005E-2</c:v>
                  </c:pt>
                  <c:pt idx="27">
                    <c:v>8.8000000000000009E-2</c:v>
                  </c:pt>
                  <c:pt idx="28">
                    <c:v>9.2000000000000012E-2</c:v>
                  </c:pt>
                  <c:pt idx="29">
                    <c:v>9.6000000000000016E-2</c:v>
                  </c:pt>
                  <c:pt idx="30">
                    <c:v>0.10000000000000002</c:v>
                  </c:pt>
                  <c:pt idx="31">
                    <c:v>0.10400000000000002</c:v>
                  </c:pt>
                  <c:pt idx="32">
                    <c:v>0.10800000000000003</c:v>
                  </c:pt>
                  <c:pt idx="33">
                    <c:v>0.11200000000000003</c:v>
                  </c:pt>
                  <c:pt idx="34">
                    <c:v>0.11600000000000003</c:v>
                  </c:pt>
                  <c:pt idx="35">
                    <c:v>0.12000000000000004</c:v>
                  </c:pt>
                  <c:pt idx="36">
                    <c:v>0.12400000000000004</c:v>
                  </c:pt>
                  <c:pt idx="37">
                    <c:v>0.12800000000000006</c:v>
                  </c:pt>
                  <c:pt idx="38">
                    <c:v>0.13200000000000006</c:v>
                  </c:pt>
                  <c:pt idx="39">
                    <c:v>0.13600000000000004</c:v>
                  </c:pt>
                  <c:pt idx="40">
                    <c:v>0.14000000000000004</c:v>
                  </c:pt>
                  <c:pt idx="41">
                    <c:v>0.14400000000000004</c:v>
                  </c:pt>
                  <c:pt idx="42">
                    <c:v>0.14800000000000005</c:v>
                  </c:pt>
                  <c:pt idx="43">
                    <c:v>0.15200000000000005</c:v>
                  </c:pt>
                  <c:pt idx="44">
                    <c:v>0.15600000000000006</c:v>
                  </c:pt>
                  <c:pt idx="45">
                    <c:v>0.16000000000000006</c:v>
                  </c:pt>
                  <c:pt idx="46">
                    <c:v>0.16400000000000006</c:v>
                  </c:pt>
                  <c:pt idx="47">
                    <c:v>0.16800000000000007</c:v>
                  </c:pt>
                  <c:pt idx="48">
                    <c:v>0.17200000000000007</c:v>
                  </c:pt>
                  <c:pt idx="49">
                    <c:v>0.17600000000000007</c:v>
                  </c:pt>
                  <c:pt idx="50">
                    <c:v>0.18000000000000008</c:v>
                  </c:pt>
                  <c:pt idx="51">
                    <c:v>0.18400000000000002</c:v>
                  </c:pt>
                  <c:pt idx="52">
                    <c:v>0.18800000000000003</c:v>
                  </c:pt>
                  <c:pt idx="53">
                    <c:v>0.19200000000000003</c:v>
                  </c:pt>
                  <c:pt idx="54">
                    <c:v>0.19600000000000004</c:v>
                  </c:pt>
                  <c:pt idx="55">
                    <c:v>0.20000000000000004</c:v>
                  </c:pt>
                  <c:pt idx="56">
                    <c:v>0.20400000000000004</c:v>
                  </c:pt>
                  <c:pt idx="57">
                    <c:v>0.20800000000000005</c:v>
                  </c:pt>
                  <c:pt idx="58">
                    <c:v>0.21200000000000005</c:v>
                  </c:pt>
                  <c:pt idx="59">
                    <c:v>0.21600000000000005</c:v>
                  </c:pt>
                  <c:pt idx="60">
                    <c:v>0.22000000000000006</c:v>
                  </c:pt>
                  <c:pt idx="61">
                    <c:v>0.22400000000000006</c:v>
                  </c:pt>
                  <c:pt idx="62">
                    <c:v>0.22799999999999998</c:v>
                  </c:pt>
                  <c:pt idx="63">
                    <c:v>0.23199999999999996</c:v>
                  </c:pt>
                  <c:pt idx="64">
                    <c:v>0.2359999999999999</c:v>
                  </c:pt>
                  <c:pt idx="65">
                    <c:v>0.23999999999999991</c:v>
                  </c:pt>
                  <c:pt idx="66">
                    <c:v>0.24399999999999986</c:v>
                  </c:pt>
                  <c:pt idx="67">
                    <c:v>0.2479999999999998</c:v>
                  </c:pt>
                  <c:pt idx="68">
                    <c:v>0.25199999999999978</c:v>
                  </c:pt>
                  <c:pt idx="69">
                    <c:v>0.25599999999999973</c:v>
                  </c:pt>
                  <c:pt idx="70">
                    <c:v>0.25999999999999973</c:v>
                  </c:pt>
                  <c:pt idx="71">
                    <c:v>0.26399999999999968</c:v>
                  </c:pt>
                  <c:pt idx="72">
                    <c:v>0.26799999999999963</c:v>
                  </c:pt>
                  <c:pt idx="73">
                    <c:v>0.27199999999999958</c:v>
                  </c:pt>
                  <c:pt idx="74">
                    <c:v>0.27599999999999952</c:v>
                  </c:pt>
                  <c:pt idx="75">
                    <c:v>0.27999999999999958</c:v>
                  </c:pt>
                  <c:pt idx="76">
                    <c:v>0.28399999999999948</c:v>
                  </c:pt>
                  <c:pt idx="77">
                    <c:v>0.28799999999999948</c:v>
                  </c:pt>
                  <c:pt idx="78">
                    <c:v>0.29199999999999943</c:v>
                  </c:pt>
                  <c:pt idx="79">
                    <c:v>0.29599999999999937</c:v>
                  </c:pt>
                  <c:pt idx="80">
                    <c:v>0.29999999999999938</c:v>
                  </c:pt>
                  <c:pt idx="81">
                    <c:v>0.30399999999999933</c:v>
                  </c:pt>
                  <c:pt idx="82">
                    <c:v>0.30799999999999933</c:v>
                  </c:pt>
                  <c:pt idx="83">
                    <c:v>0.31199999999999922</c:v>
                  </c:pt>
                  <c:pt idx="84">
                    <c:v>0.31599999999999923</c:v>
                  </c:pt>
                  <c:pt idx="85">
                    <c:v>0.31999999999999917</c:v>
                  </c:pt>
                  <c:pt idx="86">
                    <c:v>0.32399999999999918</c:v>
                  </c:pt>
                  <c:pt idx="87">
                    <c:v>0.32799999999999913</c:v>
                  </c:pt>
                  <c:pt idx="88">
                    <c:v>0.33199999999999907</c:v>
                  </c:pt>
                  <c:pt idx="89">
                    <c:v>0.33599999999999902</c:v>
                  </c:pt>
                  <c:pt idx="90">
                    <c:v>0.33999999999999903</c:v>
                  </c:pt>
                  <c:pt idx="91">
                    <c:v>0.34399999999999897</c:v>
                  </c:pt>
                  <c:pt idx="92">
                    <c:v>0.34799999999999898</c:v>
                  </c:pt>
                  <c:pt idx="93">
                    <c:v>0.35199999999999892</c:v>
                  </c:pt>
                  <c:pt idx="94">
                    <c:v>0.35599999999999887</c:v>
                  </c:pt>
                  <c:pt idx="95">
                    <c:v>0.35999999999999882</c:v>
                  </c:pt>
                  <c:pt idx="96">
                    <c:v>0.36399999999999882</c:v>
                  </c:pt>
                  <c:pt idx="97">
                    <c:v>0.36799999999999877</c:v>
                  </c:pt>
                  <c:pt idx="98">
                    <c:v>0.37199999999999878</c:v>
                  </c:pt>
                  <c:pt idx="99">
                    <c:v>0.37599999999999872</c:v>
                  </c:pt>
                  <c:pt idx="100">
                    <c:v>0.37999999999999867</c:v>
                  </c:pt>
                  <c:pt idx="101">
                    <c:v>0.37600000000000139</c:v>
                  </c:pt>
                  <c:pt idx="102">
                    <c:v>0.37200000000000144</c:v>
                  </c:pt>
                  <c:pt idx="103">
                    <c:v>0.36800000000000144</c:v>
                  </c:pt>
                  <c:pt idx="104">
                    <c:v>0.36400000000000143</c:v>
                  </c:pt>
                  <c:pt idx="105">
                    <c:v>0.36000000000000149</c:v>
                  </c:pt>
                  <c:pt idx="106">
                    <c:v>0.35600000000000154</c:v>
                  </c:pt>
                  <c:pt idx="107">
                    <c:v>0.35200000000000159</c:v>
                  </c:pt>
                  <c:pt idx="108">
                    <c:v>0.34800000000000164</c:v>
                  </c:pt>
                  <c:pt idx="109">
                    <c:v>0.34400000000000164</c:v>
                  </c:pt>
                  <c:pt idx="110">
                    <c:v>0.34000000000000163</c:v>
                  </c:pt>
                  <c:pt idx="111">
                    <c:v>0.33600000000000169</c:v>
                  </c:pt>
                  <c:pt idx="112">
                    <c:v>0.33200000000000174</c:v>
                  </c:pt>
                  <c:pt idx="113">
                    <c:v>0.32800000000000179</c:v>
                  </c:pt>
                  <c:pt idx="114">
                    <c:v>0.32400000000000184</c:v>
                  </c:pt>
                  <c:pt idx="115">
                    <c:v>0.32000000000000184</c:v>
                  </c:pt>
                  <c:pt idx="116">
                    <c:v>0.31600000000000189</c:v>
                  </c:pt>
                  <c:pt idx="117">
                    <c:v>0.31200000000000189</c:v>
                  </c:pt>
                  <c:pt idx="118">
                    <c:v>0.30800000000000194</c:v>
                  </c:pt>
                  <c:pt idx="119">
                    <c:v>0.30400000000000199</c:v>
                  </c:pt>
                  <c:pt idx="120">
                    <c:v>0.30000000000000204</c:v>
                  </c:pt>
                  <c:pt idx="121">
                    <c:v>0.29600000000000204</c:v>
                  </c:pt>
                  <c:pt idx="122">
                    <c:v>0.29200000000000209</c:v>
                  </c:pt>
                  <c:pt idx="123">
                    <c:v>0.28800000000000214</c:v>
                  </c:pt>
                  <c:pt idx="124">
                    <c:v>0.28400000000000214</c:v>
                  </c:pt>
                  <c:pt idx="125">
                    <c:v>0.28000000000000219</c:v>
                  </c:pt>
                  <c:pt idx="126">
                    <c:v>0.27600000000000219</c:v>
                  </c:pt>
                  <c:pt idx="127">
                    <c:v>0.27200000000000224</c:v>
                  </c:pt>
                  <c:pt idx="128">
                    <c:v>0.26800000000000229</c:v>
                  </c:pt>
                  <c:pt idx="129">
                    <c:v>0.26400000000000229</c:v>
                  </c:pt>
                  <c:pt idx="130">
                    <c:v>0.2600000000000024</c:v>
                  </c:pt>
                  <c:pt idx="131">
                    <c:v>0.25600000000000239</c:v>
                  </c:pt>
                  <c:pt idx="132">
                    <c:v>0.25200000000000239</c:v>
                  </c:pt>
                  <c:pt idx="133">
                    <c:v>0.24800000000000247</c:v>
                  </c:pt>
                  <c:pt idx="134">
                    <c:v>0.24400000000000252</c:v>
                  </c:pt>
                  <c:pt idx="135">
                    <c:v>0.24000000000000257</c:v>
                  </c:pt>
                  <c:pt idx="136">
                    <c:v>0.23600000000000257</c:v>
                  </c:pt>
                  <c:pt idx="137">
                    <c:v>0.23200000000000262</c:v>
                  </c:pt>
                  <c:pt idx="138">
                    <c:v>0.22800000000000264</c:v>
                  </c:pt>
                  <c:pt idx="139">
                    <c:v>0.22400000000000264</c:v>
                  </c:pt>
                  <c:pt idx="140">
                    <c:v>0.22000000000000264</c:v>
                  </c:pt>
                  <c:pt idx="141">
                    <c:v>0.21600000000000272</c:v>
                  </c:pt>
                  <c:pt idx="142">
                    <c:v>0.21200000000000271</c:v>
                  </c:pt>
                  <c:pt idx="143">
                    <c:v>0.20800000000000277</c:v>
                  </c:pt>
                  <c:pt idx="144">
                    <c:v>0.20400000000000279</c:v>
                  </c:pt>
                  <c:pt idx="145">
                    <c:v>0.20000000000000279</c:v>
                  </c:pt>
                  <c:pt idx="146">
                    <c:v>0.19600000000000287</c:v>
                  </c:pt>
                  <c:pt idx="147">
                    <c:v>0.19200000000000286</c:v>
                  </c:pt>
                  <c:pt idx="148">
                    <c:v>0.18800000000000297</c:v>
                  </c:pt>
                  <c:pt idx="149">
                    <c:v>0.18400000000000297</c:v>
                  </c:pt>
                  <c:pt idx="150">
                    <c:v>0.18000000000000299</c:v>
                  </c:pt>
                  <c:pt idx="151">
                    <c:v>0.17600000000000304</c:v>
                  </c:pt>
                  <c:pt idx="152">
                    <c:v>0.17200000000000307</c:v>
                  </c:pt>
                  <c:pt idx="153">
                    <c:v>0.16800000000000312</c:v>
                  </c:pt>
                  <c:pt idx="154">
                    <c:v>0.16400000000000312</c:v>
                  </c:pt>
                  <c:pt idx="155">
                    <c:v>0.16000000000000317</c:v>
                  </c:pt>
                  <c:pt idx="156">
                    <c:v>0.15600000000000319</c:v>
                  </c:pt>
                  <c:pt idx="157">
                    <c:v>0.15200000000000324</c:v>
                  </c:pt>
                  <c:pt idx="158">
                    <c:v>0.14800000000000327</c:v>
                  </c:pt>
                  <c:pt idx="159">
                    <c:v>0.14400000000000332</c:v>
                  </c:pt>
                  <c:pt idx="160">
                    <c:v>0.14000000000000332</c:v>
                  </c:pt>
                  <c:pt idx="161">
                    <c:v>0.13600000000000337</c:v>
                  </c:pt>
                  <c:pt idx="162">
                    <c:v>0.13200000000000339</c:v>
                  </c:pt>
                  <c:pt idx="163">
                    <c:v>0.12800000000000344</c:v>
                  </c:pt>
                  <c:pt idx="164">
                    <c:v>0.12400000000000345</c:v>
                  </c:pt>
                  <c:pt idx="165">
                    <c:v>0.12000000000000351</c:v>
                  </c:pt>
                  <c:pt idx="166">
                    <c:v>0.11600000000000353</c:v>
                  </c:pt>
                  <c:pt idx="167">
                    <c:v>0.11200000000000353</c:v>
                  </c:pt>
                  <c:pt idx="168">
                    <c:v>0.10800000000000358</c:v>
                  </c:pt>
                  <c:pt idx="169">
                    <c:v>0.10400000000000362</c:v>
                  </c:pt>
                  <c:pt idx="170">
                    <c:v>0.10000000000000366</c:v>
                  </c:pt>
                  <c:pt idx="171">
                    <c:v>9.6000000000003707E-2</c:v>
                  </c:pt>
                  <c:pt idx="172">
                    <c:v>9.2000000000003745E-2</c:v>
                  </c:pt>
                  <c:pt idx="173">
                    <c:v>8.8000000000003784E-2</c:v>
                  </c:pt>
                  <c:pt idx="174">
                    <c:v>8.400000000000378E-2</c:v>
                  </c:pt>
                  <c:pt idx="175">
                    <c:v>8.0000000000003818E-2</c:v>
                  </c:pt>
                  <c:pt idx="176">
                    <c:v>7.6000000000003856E-2</c:v>
                  </c:pt>
                  <c:pt idx="177">
                    <c:v>7.2000000000003908E-2</c:v>
                  </c:pt>
                  <c:pt idx="178">
                    <c:v>6.8000000000003946E-2</c:v>
                  </c:pt>
                  <c:pt idx="179">
                    <c:v>6.4000000000003984E-2</c:v>
                  </c:pt>
                  <c:pt idx="180">
                    <c:v>6.0000000000004022E-2</c:v>
                  </c:pt>
                  <c:pt idx="181">
                    <c:v>5.6000000000004019E-2</c:v>
                  </c:pt>
                  <c:pt idx="182">
                    <c:v>5.2000000000004057E-2</c:v>
                  </c:pt>
                  <c:pt idx="183">
                    <c:v>4.8000000000004095E-2</c:v>
                  </c:pt>
                  <c:pt idx="184">
                    <c:v>4.4000000000004147E-2</c:v>
                  </c:pt>
                  <c:pt idx="185">
                    <c:v>4.0000000000004185E-2</c:v>
                  </c:pt>
                  <c:pt idx="186">
                    <c:v>3.6000000000004223E-2</c:v>
                  </c:pt>
                  <c:pt idx="187">
                    <c:v>3.200000000000422E-2</c:v>
                  </c:pt>
                  <c:pt idx="188">
                    <c:v>2.8000000000004261E-2</c:v>
                  </c:pt>
                  <c:pt idx="189">
                    <c:v>2.4000000000004306E-2</c:v>
                  </c:pt>
                  <c:pt idx="190">
                    <c:v>2.0000000000004344E-2</c:v>
                  </c:pt>
                  <c:pt idx="191">
                    <c:v>1.6000000000004382E-2</c:v>
                  </c:pt>
                  <c:pt idx="192">
                    <c:v>1.2000000000004427E-2</c:v>
                  </c:pt>
                  <c:pt idx="193">
                    <c:v>8.0000000000044653E-3</c:v>
                  </c:pt>
                  <c:pt idx="194">
                    <c:v>4.0000000000044618E-3</c:v>
                  </c:pt>
                  <c:pt idx="195">
                    <c:v>4.5033421436357912E-15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Subsets!$DL$11:$DL$211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Subsets!$DN$11:$DN$211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5BA-4EEE-B6B7-E7D2614A0440}"/>
            </c:ext>
          </c:extLst>
        </c:ser>
        <c:ser>
          <c:idx val="3"/>
          <c:order val="16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Subsets!$BZ$45:$BZ$74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Subsets!$CA$45:$CA$74</c:f>
              <c:numCache>
                <c:formatCode>General</c:formatCode>
                <c:ptCount val="30"/>
                <c:pt idx="0">
                  <c:v>1</c:v>
                </c:pt>
                <c:pt idx="1">
                  <c:v>#N/A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5BA-4EEE-B6B7-E7D2614A0440}"/>
            </c:ext>
          </c:extLst>
        </c:ser>
        <c:ser>
          <c:idx val="4"/>
          <c:order val="17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Subsets!$BZ$82:$BZ$111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Subsets!$CA$82:$CA$111</c:f>
              <c:numCache>
                <c:formatCode>General</c:formatCode>
                <c:ptCount val="30"/>
                <c:pt idx="0">
                  <c:v>#N/A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5BA-4EEE-B6B7-E7D2614A0440}"/>
            </c:ext>
          </c:extLst>
        </c:ser>
        <c:ser>
          <c:idx val="5"/>
          <c:order val="18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Subsets!$CU$45:$CU$74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5.0000000000000266E-2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5BA-4EEE-B6B7-E7D2614A0440}"/>
            </c:ext>
          </c:extLst>
        </c:ser>
        <c:ser>
          <c:idx val="6"/>
          <c:order val="19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Subsets!$CT$45:$CT$74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5BA-4EEE-B6B7-E7D2614A0440}"/>
            </c:ext>
          </c:extLst>
        </c:ser>
        <c:ser>
          <c:idx val="16"/>
          <c:order val="20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Subsets!$CS$45:$CS$74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-4.0000000000000036E-2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5BA-4EEE-B6B7-E7D2614A0440}"/>
            </c:ext>
          </c:extLst>
        </c:ser>
        <c:ser>
          <c:idx val="18"/>
          <c:order val="21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Subsets!$CT$82:$CT$111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5BA-4EEE-B6B7-E7D2614A0440}"/>
            </c:ext>
          </c:extLst>
        </c:ser>
        <c:ser>
          <c:idx val="19"/>
          <c:order val="22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Subsets!$CR$82:$CR$111</c:f>
              <c:numCache>
                <c:formatCode>General</c:formatCode>
                <c:ptCount val="30"/>
                <c:pt idx="0">
                  <c:v>#N/A</c:v>
                </c:pt>
                <c:pt idx="1">
                  <c:v>0.31000000000000005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5BA-4EEE-B6B7-E7D2614A0440}"/>
            </c:ext>
          </c:extLst>
        </c:ser>
        <c:ser>
          <c:idx val="20"/>
          <c:order val="23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Subsets!$CS$82:$CS$111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5BA-4EEE-B6B7-E7D2614A0440}"/>
            </c:ext>
          </c:extLst>
        </c:ser>
        <c:ser>
          <c:idx val="21"/>
          <c:order val="24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Subsets!$CR$45:$CR$74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5BA-4EEE-B6B7-E7D2614A0440}"/>
            </c:ext>
          </c:extLst>
        </c:ser>
        <c:ser>
          <c:idx val="22"/>
          <c:order val="25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Subsets!$CQ$45:$CQ$74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-4.0000000000000036E-2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5BA-4EEE-B6B7-E7D2614A0440}"/>
            </c:ext>
          </c:extLst>
        </c:ser>
        <c:ser>
          <c:idx val="23"/>
          <c:order val="26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Subsets!$CP$45:$CP$74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5BA-4EEE-B6B7-E7D2614A0440}"/>
            </c:ext>
          </c:extLst>
        </c:ser>
        <c:ser>
          <c:idx val="24"/>
          <c:order val="27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Subsets!$CO$45:$CO$74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0.22999999999999998</c:v>
                </c:pt>
                <c:pt idx="4">
                  <c:v>0.10999999999999988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5BA-4EEE-B6B7-E7D2614A0440}"/>
            </c:ext>
          </c:extLst>
        </c:ser>
        <c:ser>
          <c:idx val="25"/>
          <c:order val="28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Subsets!$CN$45:$CN$74</c:f>
              <c:numCache>
                <c:formatCode>General</c:formatCode>
                <c:ptCount val="30"/>
                <c:pt idx="0">
                  <c:v>0.22999999999999998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BA-4EEE-B6B7-E7D2614A0440}"/>
            </c:ext>
          </c:extLst>
        </c:ser>
        <c:ser>
          <c:idx val="26"/>
          <c:order val="29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0.3968079126141989</c:v>
                  </c:pt>
                  <c:pt idx="1">
                    <c:v>#N/A</c:v>
                  </c:pt>
                  <c:pt idx="2">
                    <c:v>0.16728821907031571</c:v>
                  </c:pt>
                  <c:pt idx="3">
                    <c:v>0.25654073767646002</c:v>
                  </c:pt>
                  <c:pt idx="4">
                    <c:v>0.27615918441766368</c:v>
                  </c:pt>
                  <c:pt idx="5">
                    <c:v>0.12301099692042901</c:v>
                  </c:pt>
                  <c:pt idx="6">
                    <c:v>9.5271993543603634E-2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Subsets!$CM$45:$CM$74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5BA-4EEE-B6B7-E7D2614A0440}"/>
            </c:ext>
          </c:extLst>
        </c:ser>
        <c:ser>
          <c:idx val="27"/>
          <c:order val="30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Subsets!$CQ$82:$CQ$111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0.10000000000000009</c:v>
                </c:pt>
                <c:pt idx="8">
                  <c:v>0.33000000000000007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5BA-4EEE-B6B7-E7D2614A0440}"/>
            </c:ext>
          </c:extLst>
        </c:ser>
        <c:ser>
          <c:idx val="28"/>
          <c:order val="3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Subsets!$CP$82:$CP$111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5BA-4EEE-B6B7-E7D2614A0440}"/>
            </c:ext>
          </c:extLst>
        </c:ser>
        <c:ser>
          <c:idx val="29"/>
          <c:order val="32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Subsets!$CO$82:$CO$111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5BA-4EEE-B6B7-E7D2614A0440}"/>
            </c:ext>
          </c:extLst>
        </c:ser>
        <c:ser>
          <c:idx val="30"/>
          <c:order val="33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Subsets!$CN$82:$CN$111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5BA-4EEE-B6B7-E7D2614A0440}"/>
            </c:ext>
          </c:extLst>
        </c:ser>
        <c:ser>
          <c:idx val="31"/>
          <c:order val="34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0.297758125003731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0.31147064429470156</c:v>
                  </c:pt>
                  <c:pt idx="8">
                    <c:v>0.31910145180667826</c:v>
                  </c:pt>
                  <c:pt idx="9">
                    <c:v>0.18975962047801079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Subsets!$CM$82:$CM$111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5BA-4EEE-B6B7-E7D2614A0440}"/>
            </c:ext>
          </c:extLst>
        </c:ser>
        <c:ser>
          <c:idx val="32"/>
          <c:order val="35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Subsets!$CB$76</c:f>
                <c:numCache>
                  <c:formatCode>General</c:formatCode>
                  <c:ptCount val="1"/>
                  <c:pt idx="0">
                    <c:v>6.3291621314051361E-2</c:v>
                  </c:pt>
                </c:numCache>
              </c:numRef>
            </c:plus>
            <c:minus>
              <c:numRef>
                <c:f>Subsets!$CB$76</c:f>
                <c:numCache>
                  <c:formatCode>General</c:formatCode>
                  <c:ptCount val="1"/>
                  <c:pt idx="0">
                    <c:v>6.3291621314051361E-2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Subsets!$BZ$76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Subsets!$CA$76</c:f>
              <c:numCache>
                <c:formatCode>General</c:formatCode>
                <c:ptCount val="1"/>
                <c:pt idx="0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5BA-4EEE-B6B7-E7D2614A0440}"/>
            </c:ext>
          </c:extLst>
        </c:ser>
        <c:ser>
          <c:idx val="33"/>
          <c:order val="36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Subsets!$CB$113</c:f>
                <c:numCache>
                  <c:formatCode>General</c:formatCode>
                  <c:ptCount val="1"/>
                  <c:pt idx="0">
                    <c:v>0.12837994483580017</c:v>
                  </c:pt>
                </c:numCache>
              </c:numRef>
            </c:plus>
            <c:minus>
              <c:numRef>
                <c:f>Subsets!$CB$113</c:f>
                <c:numCache>
                  <c:formatCode>General</c:formatCode>
                  <c:ptCount val="1"/>
                  <c:pt idx="0">
                    <c:v>0.12837994483580017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Subsets!$BZ$113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Subsets!$CA$113</c:f>
              <c:numCache>
                <c:formatCode>General</c:formatCode>
                <c:ptCount val="1"/>
                <c:pt idx="0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5BA-4EEE-B6B7-E7D2614A0440}"/>
            </c:ext>
          </c:extLst>
        </c:ser>
        <c:ser>
          <c:idx val="39"/>
          <c:order val="37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Subsets!$DT$11:$DT$211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1.7347234759768071E-17</c:v>
                  </c:pt>
                  <c:pt idx="6">
                    <c:v>3.9999999999999793E-3</c:v>
                  </c:pt>
                  <c:pt idx="7">
                    <c:v>7.9999999999999377E-3</c:v>
                  </c:pt>
                  <c:pt idx="8">
                    <c:v>1.1999999999999986E-2</c:v>
                  </c:pt>
                  <c:pt idx="9">
                    <c:v>1.599999999999999E-2</c:v>
                  </c:pt>
                  <c:pt idx="10">
                    <c:v>1.9999999999999952E-2</c:v>
                  </c:pt>
                  <c:pt idx="11">
                    <c:v>2.3999999999999955E-2</c:v>
                  </c:pt>
                  <c:pt idx="12">
                    <c:v>2.7999999999999959E-2</c:v>
                  </c:pt>
                  <c:pt idx="13">
                    <c:v>3.1999999999999959E-2</c:v>
                  </c:pt>
                  <c:pt idx="14">
                    <c:v>3.5999999999999921E-2</c:v>
                  </c:pt>
                  <c:pt idx="15">
                    <c:v>3.9999999999999925E-2</c:v>
                  </c:pt>
                  <c:pt idx="16">
                    <c:v>4.3999999999999928E-2</c:v>
                  </c:pt>
                  <c:pt idx="17">
                    <c:v>4.7999999999999932E-2</c:v>
                  </c:pt>
                  <c:pt idx="18">
                    <c:v>5.1999999999999935E-2</c:v>
                  </c:pt>
                  <c:pt idx="19">
                    <c:v>5.5999999999999897E-2</c:v>
                  </c:pt>
                  <c:pt idx="20">
                    <c:v>5.9999999999999901E-2</c:v>
                  </c:pt>
                  <c:pt idx="21">
                    <c:v>6.3999999999999946E-2</c:v>
                  </c:pt>
                  <c:pt idx="22">
                    <c:v>6.7999999999999908E-2</c:v>
                  </c:pt>
                  <c:pt idx="23">
                    <c:v>7.1999999999999856E-2</c:v>
                  </c:pt>
                  <c:pt idx="24">
                    <c:v>7.5999999999999915E-2</c:v>
                  </c:pt>
                  <c:pt idx="25">
                    <c:v>7.9999999999999918E-2</c:v>
                  </c:pt>
                  <c:pt idx="26">
                    <c:v>8.3999999999999866E-2</c:v>
                  </c:pt>
                  <c:pt idx="27">
                    <c:v>8.799999999999987E-2</c:v>
                  </c:pt>
                  <c:pt idx="28">
                    <c:v>9.1999999999999874E-2</c:v>
                  </c:pt>
                  <c:pt idx="29">
                    <c:v>9.5999999999999877E-2</c:v>
                  </c:pt>
                  <c:pt idx="30">
                    <c:v>9.9999999999999881E-2</c:v>
                  </c:pt>
                  <c:pt idx="31">
                    <c:v>0.10399999999999984</c:v>
                  </c:pt>
                  <c:pt idx="32">
                    <c:v>0.10799999999999986</c:v>
                  </c:pt>
                  <c:pt idx="33">
                    <c:v>0.11199999999999989</c:v>
                  </c:pt>
                  <c:pt idx="34">
                    <c:v>0.11599999999999987</c:v>
                  </c:pt>
                  <c:pt idx="35">
                    <c:v>0.11999999999999982</c:v>
                  </c:pt>
                  <c:pt idx="36">
                    <c:v>0.12399999999999987</c:v>
                  </c:pt>
                  <c:pt idx="37">
                    <c:v>0.12799999999999989</c:v>
                  </c:pt>
                  <c:pt idx="38">
                    <c:v>0.13199999999999984</c:v>
                  </c:pt>
                  <c:pt idx="39">
                    <c:v>0.1359999999999999</c:v>
                  </c:pt>
                  <c:pt idx="40">
                    <c:v>0.13999999999999985</c:v>
                  </c:pt>
                  <c:pt idx="41">
                    <c:v>0.14399999999999985</c:v>
                  </c:pt>
                  <c:pt idx="42">
                    <c:v>0.14799999999999985</c:v>
                  </c:pt>
                  <c:pt idx="43">
                    <c:v>0.15199999999999986</c:v>
                  </c:pt>
                  <c:pt idx="44">
                    <c:v>0.15599999999999986</c:v>
                  </c:pt>
                  <c:pt idx="45">
                    <c:v>0.15999999999999986</c:v>
                  </c:pt>
                  <c:pt idx="46">
                    <c:v>0.16399999999999987</c:v>
                  </c:pt>
                  <c:pt idx="47">
                    <c:v>0.16799999999999987</c:v>
                  </c:pt>
                  <c:pt idx="48">
                    <c:v>0.17199999999999985</c:v>
                  </c:pt>
                  <c:pt idx="49">
                    <c:v>0.17599999999999988</c:v>
                  </c:pt>
                  <c:pt idx="50">
                    <c:v>0.17999999999999988</c:v>
                  </c:pt>
                  <c:pt idx="51">
                    <c:v>0.18399999999999986</c:v>
                  </c:pt>
                  <c:pt idx="52">
                    <c:v>0.18799999999999986</c:v>
                  </c:pt>
                  <c:pt idx="53">
                    <c:v>0.19199999999999987</c:v>
                  </c:pt>
                  <c:pt idx="54">
                    <c:v>0.19599999999999987</c:v>
                  </c:pt>
                  <c:pt idx="55">
                    <c:v>0.19999999999999987</c:v>
                  </c:pt>
                  <c:pt idx="56">
                    <c:v>0.20399999999999988</c:v>
                  </c:pt>
                  <c:pt idx="57">
                    <c:v>0.20799999999999988</c:v>
                  </c:pt>
                  <c:pt idx="58">
                    <c:v>0.21199999999999988</c:v>
                  </c:pt>
                  <c:pt idx="59">
                    <c:v>0.21599999999999989</c:v>
                  </c:pt>
                  <c:pt idx="60">
                    <c:v>0.21999999999999989</c:v>
                  </c:pt>
                  <c:pt idx="61">
                    <c:v>0.22399999999999989</c:v>
                  </c:pt>
                  <c:pt idx="62">
                    <c:v>0.2279999999999999</c:v>
                  </c:pt>
                  <c:pt idx="63">
                    <c:v>0.2319999999999999</c:v>
                  </c:pt>
                  <c:pt idx="64">
                    <c:v>0.2359999999999999</c:v>
                  </c:pt>
                  <c:pt idx="65">
                    <c:v>0.23999999999999991</c:v>
                  </c:pt>
                  <c:pt idx="66">
                    <c:v>0.24399999999999986</c:v>
                  </c:pt>
                  <c:pt idx="67">
                    <c:v>0.24799999999999986</c:v>
                  </c:pt>
                  <c:pt idx="68">
                    <c:v>0.25199999999999984</c:v>
                  </c:pt>
                  <c:pt idx="69">
                    <c:v>0.25599999999999978</c:v>
                  </c:pt>
                  <c:pt idx="70">
                    <c:v>0.25999999999999979</c:v>
                  </c:pt>
                  <c:pt idx="71">
                    <c:v>0.26399999999999979</c:v>
                  </c:pt>
                  <c:pt idx="72">
                    <c:v>0.26799999999999979</c:v>
                  </c:pt>
                  <c:pt idx="73">
                    <c:v>0.2719999999999998</c:v>
                  </c:pt>
                  <c:pt idx="74">
                    <c:v>0.2759999999999998</c:v>
                  </c:pt>
                  <c:pt idx="75">
                    <c:v>0.2799999999999998</c:v>
                  </c:pt>
                  <c:pt idx="76">
                    <c:v>0.28399999999999981</c:v>
                  </c:pt>
                  <c:pt idx="77">
                    <c:v>0.28799999999999981</c:v>
                  </c:pt>
                  <c:pt idx="78">
                    <c:v>0.29199999999999982</c:v>
                  </c:pt>
                  <c:pt idx="79">
                    <c:v>0.29599999999999982</c:v>
                  </c:pt>
                  <c:pt idx="80">
                    <c:v>0.29999999999999982</c:v>
                  </c:pt>
                  <c:pt idx="81">
                    <c:v>0.30399999999999977</c:v>
                  </c:pt>
                  <c:pt idx="82">
                    <c:v>0.30799999999999977</c:v>
                  </c:pt>
                  <c:pt idx="83">
                    <c:v>0.31199999999999978</c:v>
                  </c:pt>
                  <c:pt idx="84">
                    <c:v>0.31599999999999978</c:v>
                  </c:pt>
                  <c:pt idx="85">
                    <c:v>0.31999999999999978</c:v>
                  </c:pt>
                  <c:pt idx="86">
                    <c:v>0.32399999999999979</c:v>
                  </c:pt>
                  <c:pt idx="87">
                    <c:v>0.32799999999999979</c:v>
                  </c:pt>
                  <c:pt idx="88">
                    <c:v>0.33199999999999974</c:v>
                  </c:pt>
                  <c:pt idx="89">
                    <c:v>0.33599999999999974</c:v>
                  </c:pt>
                  <c:pt idx="90">
                    <c:v>0.33999999999999975</c:v>
                  </c:pt>
                  <c:pt idx="91">
                    <c:v>0.34399999999999975</c:v>
                  </c:pt>
                  <c:pt idx="92">
                    <c:v>0.3479999999999997</c:v>
                  </c:pt>
                  <c:pt idx="93">
                    <c:v>0.3519999999999997</c:v>
                  </c:pt>
                  <c:pt idx="94">
                    <c:v>0.35599999999999971</c:v>
                  </c:pt>
                  <c:pt idx="95">
                    <c:v>0.35999999999999971</c:v>
                  </c:pt>
                  <c:pt idx="96">
                    <c:v>0.36399999999999971</c:v>
                  </c:pt>
                  <c:pt idx="97">
                    <c:v>0.36799999999999972</c:v>
                  </c:pt>
                  <c:pt idx="98">
                    <c:v>0.37199999999999966</c:v>
                  </c:pt>
                  <c:pt idx="99">
                    <c:v>0.37599999999999972</c:v>
                  </c:pt>
                  <c:pt idx="100">
                    <c:v>0.37999999999999973</c:v>
                  </c:pt>
                  <c:pt idx="101">
                    <c:v>0.37600000000000028</c:v>
                  </c:pt>
                  <c:pt idx="102">
                    <c:v>0.37200000000000022</c:v>
                  </c:pt>
                  <c:pt idx="103">
                    <c:v>0.36800000000000022</c:v>
                  </c:pt>
                  <c:pt idx="104">
                    <c:v>0.36400000000000021</c:v>
                  </c:pt>
                  <c:pt idx="105">
                    <c:v>0.36000000000000015</c:v>
                  </c:pt>
                  <c:pt idx="106">
                    <c:v>0.35600000000000015</c:v>
                  </c:pt>
                  <c:pt idx="107">
                    <c:v>0.35200000000000015</c:v>
                  </c:pt>
                  <c:pt idx="108">
                    <c:v>0.34800000000000009</c:v>
                  </c:pt>
                  <c:pt idx="109">
                    <c:v>0.34400000000000008</c:v>
                  </c:pt>
                  <c:pt idx="110">
                    <c:v>0.34000000000000008</c:v>
                  </c:pt>
                  <c:pt idx="111">
                    <c:v>0.33600000000000008</c:v>
                  </c:pt>
                  <c:pt idx="112">
                    <c:v>0.33200000000000007</c:v>
                  </c:pt>
                  <c:pt idx="113">
                    <c:v>0.32800000000000007</c:v>
                  </c:pt>
                  <c:pt idx="114">
                    <c:v>0.32400000000000007</c:v>
                  </c:pt>
                  <c:pt idx="115">
                    <c:v>0.32</c:v>
                  </c:pt>
                  <c:pt idx="116">
                    <c:v>0.316</c:v>
                  </c:pt>
                  <c:pt idx="117">
                    <c:v>0.31199999999999994</c:v>
                  </c:pt>
                  <c:pt idx="118">
                    <c:v>0.30799999999999994</c:v>
                  </c:pt>
                  <c:pt idx="119">
                    <c:v>0.30399999999999994</c:v>
                  </c:pt>
                  <c:pt idx="120">
                    <c:v>0.29999999999999993</c:v>
                  </c:pt>
                  <c:pt idx="121">
                    <c:v>0.29599999999999987</c:v>
                  </c:pt>
                  <c:pt idx="122">
                    <c:v>0.29199999999999987</c:v>
                  </c:pt>
                  <c:pt idx="123">
                    <c:v>0.28799999999999987</c:v>
                  </c:pt>
                  <c:pt idx="124">
                    <c:v>0.28399999999999981</c:v>
                  </c:pt>
                  <c:pt idx="125">
                    <c:v>0.2799999999999998</c:v>
                  </c:pt>
                  <c:pt idx="126">
                    <c:v>0.2759999999999998</c:v>
                  </c:pt>
                  <c:pt idx="127">
                    <c:v>0.2719999999999998</c:v>
                  </c:pt>
                  <c:pt idx="128">
                    <c:v>0.26799999999999974</c:v>
                  </c:pt>
                  <c:pt idx="129">
                    <c:v>0.26399999999999973</c:v>
                  </c:pt>
                  <c:pt idx="130">
                    <c:v>0.25999999999999973</c:v>
                  </c:pt>
                  <c:pt idx="131">
                    <c:v>0.25599999999999973</c:v>
                  </c:pt>
                  <c:pt idx="132">
                    <c:v>0.25199999999999972</c:v>
                  </c:pt>
                  <c:pt idx="133">
                    <c:v>0.24799999999999975</c:v>
                  </c:pt>
                  <c:pt idx="134">
                    <c:v>0.24399999999999969</c:v>
                  </c:pt>
                  <c:pt idx="135">
                    <c:v>0.23999999999999969</c:v>
                  </c:pt>
                  <c:pt idx="136">
                    <c:v>0.23599999999999963</c:v>
                  </c:pt>
                  <c:pt idx="137">
                    <c:v>0.23199999999999962</c:v>
                  </c:pt>
                  <c:pt idx="138">
                    <c:v>0.22799999999999962</c:v>
                  </c:pt>
                  <c:pt idx="139">
                    <c:v>0.22399999999999962</c:v>
                  </c:pt>
                  <c:pt idx="140">
                    <c:v>0.21999999999999961</c:v>
                  </c:pt>
                  <c:pt idx="141">
                    <c:v>0.21599999999999955</c:v>
                  </c:pt>
                  <c:pt idx="142">
                    <c:v>0.21199999999999952</c:v>
                  </c:pt>
                  <c:pt idx="143">
                    <c:v>0.20799999999999952</c:v>
                  </c:pt>
                  <c:pt idx="144">
                    <c:v>0.20399999999999952</c:v>
                  </c:pt>
                  <c:pt idx="145">
                    <c:v>0.19999999999999951</c:v>
                  </c:pt>
                  <c:pt idx="146">
                    <c:v>0.19599999999999951</c:v>
                  </c:pt>
                  <c:pt idx="147">
                    <c:v>0.19199999999999945</c:v>
                  </c:pt>
                  <c:pt idx="148">
                    <c:v>0.1879999999999995</c:v>
                  </c:pt>
                  <c:pt idx="149">
                    <c:v>0.1839999999999995</c:v>
                  </c:pt>
                  <c:pt idx="150">
                    <c:v>0.17999999999999944</c:v>
                  </c:pt>
                  <c:pt idx="151">
                    <c:v>0.17599999999999943</c:v>
                  </c:pt>
                  <c:pt idx="152">
                    <c:v>0.17199999999999943</c:v>
                  </c:pt>
                  <c:pt idx="153">
                    <c:v>0.1679999999999994</c:v>
                  </c:pt>
                  <c:pt idx="154">
                    <c:v>0.1639999999999994</c:v>
                  </c:pt>
                  <c:pt idx="155">
                    <c:v>0.15999999999999939</c:v>
                  </c:pt>
                  <c:pt idx="156">
                    <c:v>0.15599999999999933</c:v>
                  </c:pt>
                  <c:pt idx="157">
                    <c:v>0.15199999999999933</c:v>
                  </c:pt>
                  <c:pt idx="158">
                    <c:v>0.14799999999999933</c:v>
                  </c:pt>
                  <c:pt idx="159">
                    <c:v>0.14399999999999927</c:v>
                  </c:pt>
                  <c:pt idx="160">
                    <c:v>0.13999999999999926</c:v>
                  </c:pt>
                  <c:pt idx="161">
                    <c:v>0.13599999999999926</c:v>
                  </c:pt>
                  <c:pt idx="162">
                    <c:v>0.13199999999999923</c:v>
                  </c:pt>
                  <c:pt idx="163">
                    <c:v>0.12799999999999923</c:v>
                  </c:pt>
                  <c:pt idx="164">
                    <c:v>0.12399999999999921</c:v>
                  </c:pt>
                  <c:pt idx="165">
                    <c:v>0.11999999999999915</c:v>
                  </c:pt>
                  <c:pt idx="166">
                    <c:v>0.11599999999999915</c:v>
                  </c:pt>
                  <c:pt idx="167">
                    <c:v>0.11199999999999914</c:v>
                  </c:pt>
                  <c:pt idx="168">
                    <c:v>0.10799999999999908</c:v>
                  </c:pt>
                  <c:pt idx="169">
                    <c:v>0.10399999999999909</c:v>
                  </c:pt>
                  <c:pt idx="170">
                    <c:v>9.999999999999909E-2</c:v>
                  </c:pt>
                  <c:pt idx="171">
                    <c:v>9.5999999999999086E-2</c:v>
                  </c:pt>
                  <c:pt idx="172">
                    <c:v>9.1999999999999041E-2</c:v>
                  </c:pt>
                  <c:pt idx="173">
                    <c:v>8.7999999999999037E-2</c:v>
                  </c:pt>
                  <c:pt idx="174">
                    <c:v>8.3999999999999034E-2</c:v>
                  </c:pt>
                  <c:pt idx="175">
                    <c:v>7.9999999999998975E-2</c:v>
                  </c:pt>
                  <c:pt idx="176">
                    <c:v>7.5999999999998971E-2</c:v>
                  </c:pt>
                  <c:pt idx="177">
                    <c:v>7.1999999999998968E-2</c:v>
                  </c:pt>
                  <c:pt idx="178">
                    <c:v>6.7999999999998922E-2</c:v>
                  </c:pt>
                  <c:pt idx="179">
                    <c:v>6.3999999999998919E-2</c:v>
                  </c:pt>
                  <c:pt idx="180">
                    <c:v>5.9999999999998915E-2</c:v>
                  </c:pt>
                  <c:pt idx="181">
                    <c:v>5.599999999999887E-2</c:v>
                  </c:pt>
                  <c:pt idx="182">
                    <c:v>5.1999999999998867E-2</c:v>
                  </c:pt>
                  <c:pt idx="183">
                    <c:v>4.7999999999998863E-2</c:v>
                  </c:pt>
                  <c:pt idx="184">
                    <c:v>4.3999999999998818E-2</c:v>
                  </c:pt>
                  <c:pt idx="185">
                    <c:v>3.9999999999998814E-2</c:v>
                  </c:pt>
                  <c:pt idx="186">
                    <c:v>3.5999999999998811E-2</c:v>
                  </c:pt>
                  <c:pt idx="187">
                    <c:v>3.1999999999998807E-2</c:v>
                  </c:pt>
                  <c:pt idx="188">
                    <c:v>2.7999999999998759E-2</c:v>
                  </c:pt>
                  <c:pt idx="189">
                    <c:v>2.3999999999998755E-2</c:v>
                  </c:pt>
                  <c:pt idx="190">
                    <c:v>1.9999999999998751E-2</c:v>
                  </c:pt>
                  <c:pt idx="191">
                    <c:v>1.5999999999998699E-2</c:v>
                  </c:pt>
                  <c:pt idx="192">
                    <c:v>1.1999999999998696E-2</c:v>
                  </c:pt>
                  <c:pt idx="193">
                    <c:v>7.9999999999986922E-3</c:v>
                  </c:pt>
                  <c:pt idx="194">
                    <c:v>3.999999999998647E-3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Subsets!$DT$11:$DT$211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1.7347234759768071E-17</c:v>
                  </c:pt>
                  <c:pt idx="6">
                    <c:v>3.9999999999999793E-3</c:v>
                  </c:pt>
                  <c:pt idx="7">
                    <c:v>7.9999999999999377E-3</c:v>
                  </c:pt>
                  <c:pt idx="8">
                    <c:v>1.1999999999999986E-2</c:v>
                  </c:pt>
                  <c:pt idx="9">
                    <c:v>1.599999999999999E-2</c:v>
                  </c:pt>
                  <c:pt idx="10">
                    <c:v>1.9999999999999952E-2</c:v>
                  </c:pt>
                  <c:pt idx="11">
                    <c:v>2.3999999999999955E-2</c:v>
                  </c:pt>
                  <c:pt idx="12">
                    <c:v>2.7999999999999959E-2</c:v>
                  </c:pt>
                  <c:pt idx="13">
                    <c:v>3.1999999999999959E-2</c:v>
                  </c:pt>
                  <c:pt idx="14">
                    <c:v>3.5999999999999921E-2</c:v>
                  </c:pt>
                  <c:pt idx="15">
                    <c:v>3.9999999999999925E-2</c:v>
                  </c:pt>
                  <c:pt idx="16">
                    <c:v>4.3999999999999928E-2</c:v>
                  </c:pt>
                  <c:pt idx="17">
                    <c:v>4.7999999999999932E-2</c:v>
                  </c:pt>
                  <c:pt idx="18">
                    <c:v>5.1999999999999935E-2</c:v>
                  </c:pt>
                  <c:pt idx="19">
                    <c:v>5.5999999999999897E-2</c:v>
                  </c:pt>
                  <c:pt idx="20">
                    <c:v>5.9999999999999901E-2</c:v>
                  </c:pt>
                  <c:pt idx="21">
                    <c:v>6.3999999999999946E-2</c:v>
                  </c:pt>
                  <c:pt idx="22">
                    <c:v>6.7999999999999908E-2</c:v>
                  </c:pt>
                  <c:pt idx="23">
                    <c:v>7.1999999999999856E-2</c:v>
                  </c:pt>
                  <c:pt idx="24">
                    <c:v>7.5999999999999915E-2</c:v>
                  </c:pt>
                  <c:pt idx="25">
                    <c:v>7.9999999999999918E-2</c:v>
                  </c:pt>
                  <c:pt idx="26">
                    <c:v>8.3999999999999866E-2</c:v>
                  </c:pt>
                  <c:pt idx="27">
                    <c:v>8.799999999999987E-2</c:v>
                  </c:pt>
                  <c:pt idx="28">
                    <c:v>9.1999999999999874E-2</c:v>
                  </c:pt>
                  <c:pt idx="29">
                    <c:v>9.5999999999999877E-2</c:v>
                  </c:pt>
                  <c:pt idx="30">
                    <c:v>9.9999999999999881E-2</c:v>
                  </c:pt>
                  <c:pt idx="31">
                    <c:v>0.10399999999999984</c:v>
                  </c:pt>
                  <c:pt idx="32">
                    <c:v>0.10799999999999986</c:v>
                  </c:pt>
                  <c:pt idx="33">
                    <c:v>0.11199999999999989</c:v>
                  </c:pt>
                  <c:pt idx="34">
                    <c:v>0.11599999999999987</c:v>
                  </c:pt>
                  <c:pt idx="35">
                    <c:v>0.11999999999999982</c:v>
                  </c:pt>
                  <c:pt idx="36">
                    <c:v>0.12399999999999987</c:v>
                  </c:pt>
                  <c:pt idx="37">
                    <c:v>0.12799999999999989</c:v>
                  </c:pt>
                  <c:pt idx="38">
                    <c:v>0.13199999999999984</c:v>
                  </c:pt>
                  <c:pt idx="39">
                    <c:v>0.1359999999999999</c:v>
                  </c:pt>
                  <c:pt idx="40">
                    <c:v>0.13999999999999985</c:v>
                  </c:pt>
                  <c:pt idx="41">
                    <c:v>0.14399999999999985</c:v>
                  </c:pt>
                  <c:pt idx="42">
                    <c:v>0.14799999999999985</c:v>
                  </c:pt>
                  <c:pt idx="43">
                    <c:v>0.15199999999999986</c:v>
                  </c:pt>
                  <c:pt idx="44">
                    <c:v>0.15599999999999986</c:v>
                  </c:pt>
                  <c:pt idx="45">
                    <c:v>0.15999999999999986</c:v>
                  </c:pt>
                  <c:pt idx="46">
                    <c:v>0.16399999999999987</c:v>
                  </c:pt>
                  <c:pt idx="47">
                    <c:v>0.16799999999999987</c:v>
                  </c:pt>
                  <c:pt idx="48">
                    <c:v>0.17199999999999985</c:v>
                  </c:pt>
                  <c:pt idx="49">
                    <c:v>0.17599999999999988</c:v>
                  </c:pt>
                  <c:pt idx="50">
                    <c:v>0.17999999999999988</c:v>
                  </c:pt>
                  <c:pt idx="51">
                    <c:v>0.18399999999999986</c:v>
                  </c:pt>
                  <c:pt idx="52">
                    <c:v>0.18799999999999986</c:v>
                  </c:pt>
                  <c:pt idx="53">
                    <c:v>0.19199999999999987</c:v>
                  </c:pt>
                  <c:pt idx="54">
                    <c:v>0.19599999999999987</c:v>
                  </c:pt>
                  <c:pt idx="55">
                    <c:v>0.19999999999999987</c:v>
                  </c:pt>
                  <c:pt idx="56">
                    <c:v>0.20399999999999988</c:v>
                  </c:pt>
                  <c:pt idx="57">
                    <c:v>0.20799999999999988</c:v>
                  </c:pt>
                  <c:pt idx="58">
                    <c:v>0.21199999999999988</c:v>
                  </c:pt>
                  <c:pt idx="59">
                    <c:v>0.21599999999999989</c:v>
                  </c:pt>
                  <c:pt idx="60">
                    <c:v>0.21999999999999989</c:v>
                  </c:pt>
                  <c:pt idx="61">
                    <c:v>0.22399999999999989</c:v>
                  </c:pt>
                  <c:pt idx="62">
                    <c:v>0.2279999999999999</c:v>
                  </c:pt>
                  <c:pt idx="63">
                    <c:v>0.2319999999999999</c:v>
                  </c:pt>
                  <c:pt idx="64">
                    <c:v>0.2359999999999999</c:v>
                  </c:pt>
                  <c:pt idx="65">
                    <c:v>0.23999999999999991</c:v>
                  </c:pt>
                  <c:pt idx="66">
                    <c:v>0.24399999999999986</c:v>
                  </c:pt>
                  <c:pt idx="67">
                    <c:v>0.24799999999999986</c:v>
                  </c:pt>
                  <c:pt idx="68">
                    <c:v>0.25199999999999984</c:v>
                  </c:pt>
                  <c:pt idx="69">
                    <c:v>0.25599999999999978</c:v>
                  </c:pt>
                  <c:pt idx="70">
                    <c:v>0.25999999999999979</c:v>
                  </c:pt>
                  <c:pt idx="71">
                    <c:v>0.26399999999999979</c:v>
                  </c:pt>
                  <c:pt idx="72">
                    <c:v>0.26799999999999979</c:v>
                  </c:pt>
                  <c:pt idx="73">
                    <c:v>0.2719999999999998</c:v>
                  </c:pt>
                  <c:pt idx="74">
                    <c:v>0.2759999999999998</c:v>
                  </c:pt>
                  <c:pt idx="75">
                    <c:v>0.2799999999999998</c:v>
                  </c:pt>
                  <c:pt idx="76">
                    <c:v>0.28399999999999981</c:v>
                  </c:pt>
                  <c:pt idx="77">
                    <c:v>0.28799999999999981</c:v>
                  </c:pt>
                  <c:pt idx="78">
                    <c:v>0.29199999999999982</c:v>
                  </c:pt>
                  <c:pt idx="79">
                    <c:v>0.29599999999999982</c:v>
                  </c:pt>
                  <c:pt idx="80">
                    <c:v>0.29999999999999982</c:v>
                  </c:pt>
                  <c:pt idx="81">
                    <c:v>0.30399999999999977</c:v>
                  </c:pt>
                  <c:pt idx="82">
                    <c:v>0.30799999999999977</c:v>
                  </c:pt>
                  <c:pt idx="83">
                    <c:v>0.31199999999999978</c:v>
                  </c:pt>
                  <c:pt idx="84">
                    <c:v>0.31599999999999978</c:v>
                  </c:pt>
                  <c:pt idx="85">
                    <c:v>0.31999999999999978</c:v>
                  </c:pt>
                  <c:pt idx="86">
                    <c:v>0.32399999999999979</c:v>
                  </c:pt>
                  <c:pt idx="87">
                    <c:v>0.32799999999999979</c:v>
                  </c:pt>
                  <c:pt idx="88">
                    <c:v>0.33199999999999974</c:v>
                  </c:pt>
                  <c:pt idx="89">
                    <c:v>0.33599999999999974</c:v>
                  </c:pt>
                  <c:pt idx="90">
                    <c:v>0.33999999999999975</c:v>
                  </c:pt>
                  <c:pt idx="91">
                    <c:v>0.34399999999999975</c:v>
                  </c:pt>
                  <c:pt idx="92">
                    <c:v>0.3479999999999997</c:v>
                  </c:pt>
                  <c:pt idx="93">
                    <c:v>0.3519999999999997</c:v>
                  </c:pt>
                  <c:pt idx="94">
                    <c:v>0.35599999999999971</c:v>
                  </c:pt>
                  <c:pt idx="95">
                    <c:v>0.35999999999999971</c:v>
                  </c:pt>
                  <c:pt idx="96">
                    <c:v>0.36399999999999971</c:v>
                  </c:pt>
                  <c:pt idx="97">
                    <c:v>0.36799999999999972</c:v>
                  </c:pt>
                  <c:pt idx="98">
                    <c:v>0.37199999999999966</c:v>
                  </c:pt>
                  <c:pt idx="99">
                    <c:v>0.37599999999999972</c:v>
                  </c:pt>
                  <c:pt idx="100">
                    <c:v>0.37999999999999973</c:v>
                  </c:pt>
                  <c:pt idx="101">
                    <c:v>0.37600000000000028</c:v>
                  </c:pt>
                  <c:pt idx="102">
                    <c:v>0.37200000000000022</c:v>
                  </c:pt>
                  <c:pt idx="103">
                    <c:v>0.36800000000000022</c:v>
                  </c:pt>
                  <c:pt idx="104">
                    <c:v>0.36400000000000021</c:v>
                  </c:pt>
                  <c:pt idx="105">
                    <c:v>0.36000000000000015</c:v>
                  </c:pt>
                  <c:pt idx="106">
                    <c:v>0.35600000000000015</c:v>
                  </c:pt>
                  <c:pt idx="107">
                    <c:v>0.35200000000000015</c:v>
                  </c:pt>
                  <c:pt idx="108">
                    <c:v>0.34800000000000009</c:v>
                  </c:pt>
                  <c:pt idx="109">
                    <c:v>0.34400000000000008</c:v>
                  </c:pt>
                  <c:pt idx="110">
                    <c:v>0.34000000000000008</c:v>
                  </c:pt>
                  <c:pt idx="111">
                    <c:v>0.33600000000000008</c:v>
                  </c:pt>
                  <c:pt idx="112">
                    <c:v>0.33200000000000007</c:v>
                  </c:pt>
                  <c:pt idx="113">
                    <c:v>0.32800000000000007</c:v>
                  </c:pt>
                  <c:pt idx="114">
                    <c:v>0.32400000000000007</c:v>
                  </c:pt>
                  <c:pt idx="115">
                    <c:v>0.32</c:v>
                  </c:pt>
                  <c:pt idx="116">
                    <c:v>0.316</c:v>
                  </c:pt>
                  <c:pt idx="117">
                    <c:v>0.31199999999999994</c:v>
                  </c:pt>
                  <c:pt idx="118">
                    <c:v>0.30799999999999994</c:v>
                  </c:pt>
                  <c:pt idx="119">
                    <c:v>0.30399999999999994</c:v>
                  </c:pt>
                  <c:pt idx="120">
                    <c:v>0.29999999999999993</c:v>
                  </c:pt>
                  <c:pt idx="121">
                    <c:v>0.29599999999999987</c:v>
                  </c:pt>
                  <c:pt idx="122">
                    <c:v>0.29199999999999987</c:v>
                  </c:pt>
                  <c:pt idx="123">
                    <c:v>0.28799999999999987</c:v>
                  </c:pt>
                  <c:pt idx="124">
                    <c:v>0.28399999999999981</c:v>
                  </c:pt>
                  <c:pt idx="125">
                    <c:v>0.2799999999999998</c:v>
                  </c:pt>
                  <c:pt idx="126">
                    <c:v>0.2759999999999998</c:v>
                  </c:pt>
                  <c:pt idx="127">
                    <c:v>0.2719999999999998</c:v>
                  </c:pt>
                  <c:pt idx="128">
                    <c:v>0.26799999999999974</c:v>
                  </c:pt>
                  <c:pt idx="129">
                    <c:v>0.26399999999999973</c:v>
                  </c:pt>
                  <c:pt idx="130">
                    <c:v>0.25999999999999973</c:v>
                  </c:pt>
                  <c:pt idx="131">
                    <c:v>0.25599999999999973</c:v>
                  </c:pt>
                  <c:pt idx="132">
                    <c:v>0.25199999999999972</c:v>
                  </c:pt>
                  <c:pt idx="133">
                    <c:v>0.24799999999999975</c:v>
                  </c:pt>
                  <c:pt idx="134">
                    <c:v>0.24399999999999969</c:v>
                  </c:pt>
                  <c:pt idx="135">
                    <c:v>0.23999999999999969</c:v>
                  </c:pt>
                  <c:pt idx="136">
                    <c:v>0.23599999999999963</c:v>
                  </c:pt>
                  <c:pt idx="137">
                    <c:v>0.23199999999999962</c:v>
                  </c:pt>
                  <c:pt idx="138">
                    <c:v>0.22799999999999962</c:v>
                  </c:pt>
                  <c:pt idx="139">
                    <c:v>0.22399999999999962</c:v>
                  </c:pt>
                  <c:pt idx="140">
                    <c:v>0.21999999999999961</c:v>
                  </c:pt>
                  <c:pt idx="141">
                    <c:v>0.21599999999999955</c:v>
                  </c:pt>
                  <c:pt idx="142">
                    <c:v>0.21199999999999952</c:v>
                  </c:pt>
                  <c:pt idx="143">
                    <c:v>0.20799999999999952</c:v>
                  </c:pt>
                  <c:pt idx="144">
                    <c:v>0.20399999999999952</c:v>
                  </c:pt>
                  <c:pt idx="145">
                    <c:v>0.19999999999999951</c:v>
                  </c:pt>
                  <c:pt idx="146">
                    <c:v>0.19599999999999951</c:v>
                  </c:pt>
                  <c:pt idx="147">
                    <c:v>0.19199999999999945</c:v>
                  </c:pt>
                  <c:pt idx="148">
                    <c:v>0.1879999999999995</c:v>
                  </c:pt>
                  <c:pt idx="149">
                    <c:v>0.1839999999999995</c:v>
                  </c:pt>
                  <c:pt idx="150">
                    <c:v>0.17999999999999944</c:v>
                  </c:pt>
                  <c:pt idx="151">
                    <c:v>0.17599999999999943</c:v>
                  </c:pt>
                  <c:pt idx="152">
                    <c:v>0.17199999999999943</c:v>
                  </c:pt>
                  <c:pt idx="153">
                    <c:v>0.1679999999999994</c:v>
                  </c:pt>
                  <c:pt idx="154">
                    <c:v>0.1639999999999994</c:v>
                  </c:pt>
                  <c:pt idx="155">
                    <c:v>0.15999999999999939</c:v>
                  </c:pt>
                  <c:pt idx="156">
                    <c:v>0.15599999999999933</c:v>
                  </c:pt>
                  <c:pt idx="157">
                    <c:v>0.15199999999999933</c:v>
                  </c:pt>
                  <c:pt idx="158">
                    <c:v>0.14799999999999933</c:v>
                  </c:pt>
                  <c:pt idx="159">
                    <c:v>0.14399999999999927</c:v>
                  </c:pt>
                  <c:pt idx="160">
                    <c:v>0.13999999999999926</c:v>
                  </c:pt>
                  <c:pt idx="161">
                    <c:v>0.13599999999999926</c:v>
                  </c:pt>
                  <c:pt idx="162">
                    <c:v>0.13199999999999923</c:v>
                  </c:pt>
                  <c:pt idx="163">
                    <c:v>0.12799999999999923</c:v>
                  </c:pt>
                  <c:pt idx="164">
                    <c:v>0.12399999999999921</c:v>
                  </c:pt>
                  <c:pt idx="165">
                    <c:v>0.11999999999999915</c:v>
                  </c:pt>
                  <c:pt idx="166">
                    <c:v>0.11599999999999915</c:v>
                  </c:pt>
                  <c:pt idx="167">
                    <c:v>0.11199999999999914</c:v>
                  </c:pt>
                  <c:pt idx="168">
                    <c:v>0.10799999999999908</c:v>
                  </c:pt>
                  <c:pt idx="169">
                    <c:v>0.10399999999999909</c:v>
                  </c:pt>
                  <c:pt idx="170">
                    <c:v>9.999999999999909E-2</c:v>
                  </c:pt>
                  <c:pt idx="171">
                    <c:v>9.5999999999999086E-2</c:v>
                  </c:pt>
                  <c:pt idx="172">
                    <c:v>9.1999999999999041E-2</c:v>
                  </c:pt>
                  <c:pt idx="173">
                    <c:v>8.7999999999999037E-2</c:v>
                  </c:pt>
                  <c:pt idx="174">
                    <c:v>8.3999999999999034E-2</c:v>
                  </c:pt>
                  <c:pt idx="175">
                    <c:v>7.9999999999998975E-2</c:v>
                  </c:pt>
                  <c:pt idx="176">
                    <c:v>7.5999999999998971E-2</c:v>
                  </c:pt>
                  <c:pt idx="177">
                    <c:v>7.1999999999998968E-2</c:v>
                  </c:pt>
                  <c:pt idx="178">
                    <c:v>6.7999999999998922E-2</c:v>
                  </c:pt>
                  <c:pt idx="179">
                    <c:v>6.3999999999998919E-2</c:v>
                  </c:pt>
                  <c:pt idx="180">
                    <c:v>5.9999999999998915E-2</c:v>
                  </c:pt>
                  <c:pt idx="181">
                    <c:v>5.599999999999887E-2</c:v>
                  </c:pt>
                  <c:pt idx="182">
                    <c:v>5.1999999999998867E-2</c:v>
                  </c:pt>
                  <c:pt idx="183">
                    <c:v>4.7999999999998863E-2</c:v>
                  </c:pt>
                  <c:pt idx="184">
                    <c:v>4.3999999999998818E-2</c:v>
                  </c:pt>
                  <c:pt idx="185">
                    <c:v>3.9999999999998814E-2</c:v>
                  </c:pt>
                  <c:pt idx="186">
                    <c:v>3.5999999999998811E-2</c:v>
                  </c:pt>
                  <c:pt idx="187">
                    <c:v>3.1999999999998807E-2</c:v>
                  </c:pt>
                  <c:pt idx="188">
                    <c:v>2.7999999999998759E-2</c:v>
                  </c:pt>
                  <c:pt idx="189">
                    <c:v>2.3999999999998755E-2</c:v>
                  </c:pt>
                  <c:pt idx="190">
                    <c:v>1.9999999999998751E-2</c:v>
                  </c:pt>
                  <c:pt idx="191">
                    <c:v>1.5999999999998699E-2</c:v>
                  </c:pt>
                  <c:pt idx="192">
                    <c:v>1.1999999999998696E-2</c:v>
                  </c:pt>
                  <c:pt idx="193">
                    <c:v>7.9999999999986922E-3</c:v>
                  </c:pt>
                  <c:pt idx="194">
                    <c:v>3.999999999998647E-3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Subsets!$DQ$11:$DQ$211</c:f>
              <c:numCache>
                <c:formatCode>General</c:formatCode>
                <c:ptCount val="201"/>
                <c:pt idx="0">
                  <c:v>-3.0854640124536627E-2</c:v>
                </c:pt>
                <c:pt idx="1">
                  <c:v>-3.0221723911396114E-2</c:v>
                </c:pt>
                <c:pt idx="2">
                  <c:v>-2.9588807698255601E-2</c:v>
                </c:pt>
                <c:pt idx="3">
                  <c:v>-2.8955891485115088E-2</c:v>
                </c:pt>
                <c:pt idx="4">
                  <c:v>-2.8322975271974575E-2</c:v>
                </c:pt>
                <c:pt idx="5">
                  <c:v>-2.7690059058834062E-2</c:v>
                </c:pt>
                <c:pt idx="6">
                  <c:v>-2.7057142845693549E-2</c:v>
                </c:pt>
                <c:pt idx="7">
                  <c:v>-2.6424226632553036E-2</c:v>
                </c:pt>
                <c:pt idx="8">
                  <c:v>-2.5791310419412523E-2</c:v>
                </c:pt>
                <c:pt idx="9">
                  <c:v>-2.515839420627201E-2</c:v>
                </c:pt>
                <c:pt idx="10">
                  <c:v>-2.4525477993131498E-2</c:v>
                </c:pt>
                <c:pt idx="11">
                  <c:v>-2.3892561779990985E-2</c:v>
                </c:pt>
                <c:pt idx="12">
                  <c:v>-2.3259645566850472E-2</c:v>
                </c:pt>
                <c:pt idx="13">
                  <c:v>-2.2626729353709959E-2</c:v>
                </c:pt>
                <c:pt idx="14">
                  <c:v>-2.1993813140569446E-2</c:v>
                </c:pt>
                <c:pt idx="15">
                  <c:v>-2.1360896927428933E-2</c:v>
                </c:pt>
                <c:pt idx="16">
                  <c:v>-2.072798071428842E-2</c:v>
                </c:pt>
                <c:pt idx="17">
                  <c:v>-2.0095064501147907E-2</c:v>
                </c:pt>
                <c:pt idx="18">
                  <c:v>-1.9462148288007394E-2</c:v>
                </c:pt>
                <c:pt idx="19">
                  <c:v>-1.8829232074866881E-2</c:v>
                </c:pt>
                <c:pt idx="20">
                  <c:v>-1.8196315861726368E-2</c:v>
                </c:pt>
                <c:pt idx="21">
                  <c:v>-1.7563399648585856E-2</c:v>
                </c:pt>
                <c:pt idx="22">
                  <c:v>-1.6930483435445343E-2</c:v>
                </c:pt>
                <c:pt idx="23">
                  <c:v>-1.629756722230483E-2</c:v>
                </c:pt>
                <c:pt idx="24">
                  <c:v>-1.5664651009164317E-2</c:v>
                </c:pt>
                <c:pt idx="25">
                  <c:v>-1.5031734796023804E-2</c:v>
                </c:pt>
                <c:pt idx="26">
                  <c:v>-1.4398818582883291E-2</c:v>
                </c:pt>
                <c:pt idx="27">
                  <c:v>-1.3765902369742778E-2</c:v>
                </c:pt>
                <c:pt idx="28">
                  <c:v>-1.3132986156602265E-2</c:v>
                </c:pt>
                <c:pt idx="29">
                  <c:v>-1.2500069943461752E-2</c:v>
                </c:pt>
                <c:pt idx="30">
                  <c:v>-1.1867153730321239E-2</c:v>
                </c:pt>
                <c:pt idx="31">
                  <c:v>-1.1234237517180726E-2</c:v>
                </c:pt>
                <c:pt idx="32">
                  <c:v>-1.0601321304040214E-2</c:v>
                </c:pt>
                <c:pt idx="33">
                  <c:v>-9.9684050908997006E-3</c:v>
                </c:pt>
                <c:pt idx="34">
                  <c:v>-9.3354888777591877E-3</c:v>
                </c:pt>
                <c:pt idx="35">
                  <c:v>-8.7025726646186748E-3</c:v>
                </c:pt>
                <c:pt idx="36">
                  <c:v>-8.0696564514781619E-3</c:v>
                </c:pt>
                <c:pt idx="37">
                  <c:v>-7.4367402383376481E-3</c:v>
                </c:pt>
                <c:pt idx="38">
                  <c:v>-6.8038240251971343E-3</c:v>
                </c:pt>
                <c:pt idx="39">
                  <c:v>-6.1709078120566205E-3</c:v>
                </c:pt>
                <c:pt idx="40">
                  <c:v>-5.5379915989161067E-3</c:v>
                </c:pt>
                <c:pt idx="41">
                  <c:v>-4.905075385775593E-3</c:v>
                </c:pt>
                <c:pt idx="42">
                  <c:v>-4.2721591726350792E-3</c:v>
                </c:pt>
                <c:pt idx="43">
                  <c:v>-3.6392429594945654E-3</c:v>
                </c:pt>
                <c:pt idx="44">
                  <c:v>-3.0063267463540516E-3</c:v>
                </c:pt>
                <c:pt idx="45">
                  <c:v>-2.3734105332135378E-3</c:v>
                </c:pt>
                <c:pt idx="46">
                  <c:v>-1.7404943200730243E-3</c:v>
                </c:pt>
                <c:pt idx="47">
                  <c:v>-1.1075781069325107E-3</c:v>
                </c:pt>
                <c:pt idx="48">
                  <c:v>-4.7466189379199715E-4</c:v>
                </c:pt>
                <c:pt idx="49">
                  <c:v>1.5825431934851641E-4</c:v>
                </c:pt>
                <c:pt idx="50">
                  <c:v>7.9117053248902998E-4</c:v>
                </c:pt>
                <c:pt idx="51">
                  <c:v>1.4240867456295435E-3</c:v>
                </c:pt>
                <c:pt idx="52">
                  <c:v>2.0570029587700569E-3</c:v>
                </c:pt>
                <c:pt idx="53">
                  <c:v>2.6899191719105707E-3</c:v>
                </c:pt>
                <c:pt idx="54">
                  <c:v>3.3228353850510844E-3</c:v>
                </c:pt>
                <c:pt idx="55">
                  <c:v>3.9557515981915982E-3</c:v>
                </c:pt>
                <c:pt idx="56">
                  <c:v>4.588667811332112E-3</c:v>
                </c:pt>
                <c:pt idx="57">
                  <c:v>5.2215840244726258E-3</c:v>
                </c:pt>
                <c:pt idx="58">
                  <c:v>5.8545002376131396E-3</c:v>
                </c:pt>
                <c:pt idx="59">
                  <c:v>6.4874164507536533E-3</c:v>
                </c:pt>
                <c:pt idx="60">
                  <c:v>7.1203326638941671E-3</c:v>
                </c:pt>
                <c:pt idx="61">
                  <c:v>7.7532488770346809E-3</c:v>
                </c:pt>
                <c:pt idx="62">
                  <c:v>8.3861650901751947E-3</c:v>
                </c:pt>
                <c:pt idx="63">
                  <c:v>9.0190813033157076E-3</c:v>
                </c:pt>
                <c:pt idx="64">
                  <c:v>9.6519975164562205E-3</c:v>
                </c:pt>
                <c:pt idx="65">
                  <c:v>1.0284913729596733E-2</c:v>
                </c:pt>
                <c:pt idx="66">
                  <c:v>1.0917829942737246E-2</c:v>
                </c:pt>
                <c:pt idx="67">
                  <c:v>1.1550746155877759E-2</c:v>
                </c:pt>
                <c:pt idx="68">
                  <c:v>1.2183662369018272E-2</c:v>
                </c:pt>
                <c:pt idx="69">
                  <c:v>1.2816578582158785E-2</c:v>
                </c:pt>
                <c:pt idx="70">
                  <c:v>1.3449494795299298E-2</c:v>
                </c:pt>
                <c:pt idx="71">
                  <c:v>1.4082411008439811E-2</c:v>
                </c:pt>
                <c:pt idx="72">
                  <c:v>1.4715327221580324E-2</c:v>
                </c:pt>
                <c:pt idx="73">
                  <c:v>1.5348243434720837E-2</c:v>
                </c:pt>
                <c:pt idx="74">
                  <c:v>1.598115964786135E-2</c:v>
                </c:pt>
                <c:pt idx="75">
                  <c:v>1.6614075861001863E-2</c:v>
                </c:pt>
                <c:pt idx="76">
                  <c:v>1.7246992074142375E-2</c:v>
                </c:pt>
                <c:pt idx="77">
                  <c:v>1.7879908287282888E-2</c:v>
                </c:pt>
                <c:pt idx="78">
                  <c:v>1.8512824500423401E-2</c:v>
                </c:pt>
                <c:pt idx="79">
                  <c:v>1.9145740713563914E-2</c:v>
                </c:pt>
                <c:pt idx="80">
                  <c:v>1.9778656926704427E-2</c:v>
                </c:pt>
                <c:pt idx="81">
                  <c:v>2.041157313984494E-2</c:v>
                </c:pt>
                <c:pt idx="82">
                  <c:v>2.1044489352985453E-2</c:v>
                </c:pt>
                <c:pt idx="83">
                  <c:v>2.1677405566125966E-2</c:v>
                </c:pt>
                <c:pt idx="84">
                  <c:v>2.2310321779266479E-2</c:v>
                </c:pt>
                <c:pt idx="85">
                  <c:v>2.2943237992406992E-2</c:v>
                </c:pt>
                <c:pt idx="86">
                  <c:v>2.3576154205547505E-2</c:v>
                </c:pt>
                <c:pt idx="87">
                  <c:v>2.4209070418688017E-2</c:v>
                </c:pt>
                <c:pt idx="88">
                  <c:v>2.484198663182853E-2</c:v>
                </c:pt>
                <c:pt idx="89">
                  <c:v>2.5474902844969043E-2</c:v>
                </c:pt>
                <c:pt idx="90">
                  <c:v>2.6107819058109556E-2</c:v>
                </c:pt>
                <c:pt idx="91">
                  <c:v>2.6740735271250069E-2</c:v>
                </c:pt>
                <c:pt idx="92">
                  <c:v>2.7373651484390582E-2</c:v>
                </c:pt>
                <c:pt idx="93">
                  <c:v>2.8006567697531095E-2</c:v>
                </c:pt>
                <c:pt idx="94">
                  <c:v>2.8639483910671608E-2</c:v>
                </c:pt>
                <c:pt idx="95">
                  <c:v>2.9272400123812121E-2</c:v>
                </c:pt>
                <c:pt idx="96">
                  <c:v>2.9905316336952634E-2</c:v>
                </c:pt>
                <c:pt idx="97">
                  <c:v>3.0538232550093147E-2</c:v>
                </c:pt>
                <c:pt idx="98">
                  <c:v>3.117114876323366E-2</c:v>
                </c:pt>
                <c:pt idx="99">
                  <c:v>3.1804064976374176E-2</c:v>
                </c:pt>
                <c:pt idx="100">
                  <c:v>3.2436981189514692E-2</c:v>
                </c:pt>
                <c:pt idx="101">
                  <c:v>3.3069897402655209E-2</c:v>
                </c:pt>
                <c:pt idx="102">
                  <c:v>3.3702813615795725E-2</c:v>
                </c:pt>
                <c:pt idx="103">
                  <c:v>3.4335729828936241E-2</c:v>
                </c:pt>
                <c:pt idx="104">
                  <c:v>3.4968646042076758E-2</c:v>
                </c:pt>
                <c:pt idx="105">
                  <c:v>3.5601562255217274E-2</c:v>
                </c:pt>
                <c:pt idx="106">
                  <c:v>3.6234478468357791E-2</c:v>
                </c:pt>
                <c:pt idx="107">
                  <c:v>3.6867394681498307E-2</c:v>
                </c:pt>
                <c:pt idx="108">
                  <c:v>3.7500310894638823E-2</c:v>
                </c:pt>
                <c:pt idx="109">
                  <c:v>3.813322710777934E-2</c:v>
                </c:pt>
                <c:pt idx="110">
                  <c:v>3.8766143320919856E-2</c:v>
                </c:pt>
                <c:pt idx="111">
                  <c:v>3.9399059534060372E-2</c:v>
                </c:pt>
                <c:pt idx="112">
                  <c:v>4.0031975747200889E-2</c:v>
                </c:pt>
                <c:pt idx="113">
                  <c:v>4.0664891960341405E-2</c:v>
                </c:pt>
                <c:pt idx="114">
                  <c:v>4.1297808173481922E-2</c:v>
                </c:pt>
                <c:pt idx="115">
                  <c:v>4.1930724386622438E-2</c:v>
                </c:pt>
                <c:pt idx="116">
                  <c:v>4.2563640599762954E-2</c:v>
                </c:pt>
                <c:pt idx="117">
                  <c:v>4.3196556812903471E-2</c:v>
                </c:pt>
                <c:pt idx="118">
                  <c:v>4.3829473026043987E-2</c:v>
                </c:pt>
                <c:pt idx="119">
                  <c:v>4.4462389239184504E-2</c:v>
                </c:pt>
                <c:pt idx="120">
                  <c:v>4.509530545232502E-2</c:v>
                </c:pt>
                <c:pt idx="121">
                  <c:v>4.5728221665465536E-2</c:v>
                </c:pt>
                <c:pt idx="122">
                  <c:v>4.6361137878606053E-2</c:v>
                </c:pt>
                <c:pt idx="123">
                  <c:v>4.6994054091746569E-2</c:v>
                </c:pt>
                <c:pt idx="124">
                  <c:v>4.7626970304887085E-2</c:v>
                </c:pt>
                <c:pt idx="125">
                  <c:v>4.8259886518027602E-2</c:v>
                </c:pt>
                <c:pt idx="126">
                  <c:v>4.8892802731168118E-2</c:v>
                </c:pt>
                <c:pt idx="127">
                  <c:v>4.9525718944308635E-2</c:v>
                </c:pt>
                <c:pt idx="128">
                  <c:v>5.0158635157449151E-2</c:v>
                </c:pt>
                <c:pt idx="129">
                  <c:v>5.0791551370589667E-2</c:v>
                </c:pt>
                <c:pt idx="130">
                  <c:v>5.1424467583730184E-2</c:v>
                </c:pt>
                <c:pt idx="131">
                  <c:v>5.20573837968707E-2</c:v>
                </c:pt>
                <c:pt idx="132">
                  <c:v>5.2690300010011216E-2</c:v>
                </c:pt>
                <c:pt idx="133">
                  <c:v>5.3323216223151733E-2</c:v>
                </c:pt>
                <c:pt idx="134">
                  <c:v>5.3956132436292249E-2</c:v>
                </c:pt>
                <c:pt idx="135">
                  <c:v>5.4589048649432766E-2</c:v>
                </c:pt>
                <c:pt idx="136">
                  <c:v>5.5221964862573282E-2</c:v>
                </c:pt>
                <c:pt idx="137">
                  <c:v>5.5854881075713798E-2</c:v>
                </c:pt>
                <c:pt idx="138">
                  <c:v>5.6487797288854315E-2</c:v>
                </c:pt>
                <c:pt idx="139">
                  <c:v>5.7120713501994831E-2</c:v>
                </c:pt>
                <c:pt idx="140">
                  <c:v>5.7753629715135348E-2</c:v>
                </c:pt>
                <c:pt idx="141">
                  <c:v>5.8386545928275864E-2</c:v>
                </c:pt>
                <c:pt idx="142">
                  <c:v>5.901946214141638E-2</c:v>
                </c:pt>
                <c:pt idx="143">
                  <c:v>5.9652378354556897E-2</c:v>
                </c:pt>
                <c:pt idx="144">
                  <c:v>6.0285294567697413E-2</c:v>
                </c:pt>
                <c:pt idx="145">
                  <c:v>6.0918210780837929E-2</c:v>
                </c:pt>
                <c:pt idx="146">
                  <c:v>6.1551126993978446E-2</c:v>
                </c:pt>
                <c:pt idx="147">
                  <c:v>6.2184043207118962E-2</c:v>
                </c:pt>
                <c:pt idx="148">
                  <c:v>6.2816959420259472E-2</c:v>
                </c:pt>
                <c:pt idx="149">
                  <c:v>6.3449875633399988E-2</c:v>
                </c:pt>
                <c:pt idx="150">
                  <c:v>6.4082791846540504E-2</c:v>
                </c:pt>
                <c:pt idx="151">
                  <c:v>6.4715708059681021E-2</c:v>
                </c:pt>
                <c:pt idx="152">
                  <c:v>6.5348624272821537E-2</c:v>
                </c:pt>
                <c:pt idx="153">
                  <c:v>6.5981540485962054E-2</c:v>
                </c:pt>
                <c:pt idx="154">
                  <c:v>6.661445669910257E-2</c:v>
                </c:pt>
                <c:pt idx="155">
                  <c:v>6.7247372912243086E-2</c:v>
                </c:pt>
                <c:pt idx="156">
                  <c:v>6.7880289125383603E-2</c:v>
                </c:pt>
                <c:pt idx="157">
                  <c:v>6.8513205338524119E-2</c:v>
                </c:pt>
                <c:pt idx="158">
                  <c:v>6.9146121551664635E-2</c:v>
                </c:pt>
                <c:pt idx="159">
                  <c:v>6.9779037764805152E-2</c:v>
                </c:pt>
                <c:pt idx="160">
                  <c:v>7.0411953977945668E-2</c:v>
                </c:pt>
                <c:pt idx="161">
                  <c:v>7.1044870191086185E-2</c:v>
                </c:pt>
                <c:pt idx="162">
                  <c:v>7.1677786404226701E-2</c:v>
                </c:pt>
                <c:pt idx="163">
                  <c:v>7.2310702617367217E-2</c:v>
                </c:pt>
                <c:pt idx="164">
                  <c:v>7.2943618830507734E-2</c:v>
                </c:pt>
                <c:pt idx="165">
                  <c:v>7.357653504364825E-2</c:v>
                </c:pt>
                <c:pt idx="166">
                  <c:v>7.4209451256788767E-2</c:v>
                </c:pt>
                <c:pt idx="167">
                  <c:v>7.4842367469929283E-2</c:v>
                </c:pt>
                <c:pt idx="168">
                  <c:v>7.5475283683069799E-2</c:v>
                </c:pt>
                <c:pt idx="169">
                  <c:v>7.6108199896210316E-2</c:v>
                </c:pt>
                <c:pt idx="170">
                  <c:v>7.6741116109350832E-2</c:v>
                </c:pt>
                <c:pt idx="171">
                  <c:v>7.7374032322491348E-2</c:v>
                </c:pt>
                <c:pt idx="172">
                  <c:v>7.8006948535631865E-2</c:v>
                </c:pt>
                <c:pt idx="173">
                  <c:v>7.8639864748772381E-2</c:v>
                </c:pt>
                <c:pt idx="174">
                  <c:v>7.9272780961912898E-2</c:v>
                </c:pt>
                <c:pt idx="175">
                  <c:v>7.9905697175053414E-2</c:v>
                </c:pt>
                <c:pt idx="176">
                  <c:v>8.053861338819393E-2</c:v>
                </c:pt>
                <c:pt idx="177">
                  <c:v>8.1171529601334447E-2</c:v>
                </c:pt>
                <c:pt idx="178">
                  <c:v>8.1804445814474963E-2</c:v>
                </c:pt>
                <c:pt idx="179">
                  <c:v>8.2437362027615479E-2</c:v>
                </c:pt>
                <c:pt idx="180">
                  <c:v>8.3070278240755996E-2</c:v>
                </c:pt>
                <c:pt idx="181">
                  <c:v>8.3703194453896512E-2</c:v>
                </c:pt>
                <c:pt idx="182">
                  <c:v>8.4336110667037029E-2</c:v>
                </c:pt>
                <c:pt idx="183">
                  <c:v>8.4969026880177545E-2</c:v>
                </c:pt>
                <c:pt idx="184">
                  <c:v>8.5601943093318061E-2</c:v>
                </c:pt>
                <c:pt idx="185">
                  <c:v>8.6234859306458578E-2</c:v>
                </c:pt>
                <c:pt idx="186">
                  <c:v>8.6867775519599094E-2</c:v>
                </c:pt>
                <c:pt idx="187">
                  <c:v>8.7500691732739611E-2</c:v>
                </c:pt>
                <c:pt idx="188">
                  <c:v>8.8133607945880127E-2</c:v>
                </c:pt>
                <c:pt idx="189">
                  <c:v>8.8766524159020643E-2</c:v>
                </c:pt>
                <c:pt idx="190">
                  <c:v>8.939944037216116E-2</c:v>
                </c:pt>
                <c:pt idx="191">
                  <c:v>9.0032356585301676E-2</c:v>
                </c:pt>
                <c:pt idx="192">
                  <c:v>9.0665272798442192E-2</c:v>
                </c:pt>
                <c:pt idx="193">
                  <c:v>9.1298189011582709E-2</c:v>
                </c:pt>
                <c:pt idx="194">
                  <c:v>9.1931105224723225E-2</c:v>
                </c:pt>
                <c:pt idx="195">
                  <c:v>9.2564021437863742E-2</c:v>
                </c:pt>
                <c:pt idx="196">
                  <c:v>9.3196937651004258E-2</c:v>
                </c:pt>
                <c:pt idx="197">
                  <c:v>9.3829853864144774E-2</c:v>
                </c:pt>
                <c:pt idx="198">
                  <c:v>9.4462770077285291E-2</c:v>
                </c:pt>
                <c:pt idx="199">
                  <c:v>9.5095686290425807E-2</c:v>
                </c:pt>
                <c:pt idx="200">
                  <c:v>9.5728602503566324E-2</c:v>
                </c:pt>
              </c:numCache>
            </c:numRef>
          </c:xVal>
          <c:yVal>
            <c:numRef>
              <c:f>Subsets!$DS$11:$DS$211</c:f>
              <c:numCache>
                <c:formatCode>General</c:formatCode>
                <c:ptCount val="201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  <c:pt idx="5">
                  <c:v>33</c:v>
                </c:pt>
                <c:pt idx="6">
                  <c:v>33</c:v>
                </c:pt>
                <c:pt idx="7">
                  <c:v>33</c:v>
                </c:pt>
                <c:pt idx="8">
                  <c:v>33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33</c:v>
                </c:pt>
                <c:pt idx="19">
                  <c:v>33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33</c:v>
                </c:pt>
                <c:pt idx="25">
                  <c:v>33</c:v>
                </c:pt>
                <c:pt idx="26">
                  <c:v>33</c:v>
                </c:pt>
                <c:pt idx="27">
                  <c:v>33</c:v>
                </c:pt>
                <c:pt idx="28">
                  <c:v>33</c:v>
                </c:pt>
                <c:pt idx="29">
                  <c:v>33</c:v>
                </c:pt>
                <c:pt idx="30">
                  <c:v>33</c:v>
                </c:pt>
                <c:pt idx="31">
                  <c:v>33</c:v>
                </c:pt>
                <c:pt idx="32">
                  <c:v>33</c:v>
                </c:pt>
                <c:pt idx="33">
                  <c:v>33</c:v>
                </c:pt>
                <c:pt idx="34">
                  <c:v>33</c:v>
                </c:pt>
                <c:pt idx="35">
                  <c:v>33</c:v>
                </c:pt>
                <c:pt idx="36">
                  <c:v>33</c:v>
                </c:pt>
                <c:pt idx="37">
                  <c:v>33</c:v>
                </c:pt>
                <c:pt idx="38">
                  <c:v>33</c:v>
                </c:pt>
                <c:pt idx="39">
                  <c:v>33</c:v>
                </c:pt>
                <c:pt idx="40">
                  <c:v>33</c:v>
                </c:pt>
                <c:pt idx="41">
                  <c:v>33</c:v>
                </c:pt>
                <c:pt idx="42">
                  <c:v>33</c:v>
                </c:pt>
                <c:pt idx="43">
                  <c:v>33</c:v>
                </c:pt>
                <c:pt idx="44">
                  <c:v>33</c:v>
                </c:pt>
                <c:pt idx="45">
                  <c:v>33</c:v>
                </c:pt>
                <c:pt idx="46">
                  <c:v>33</c:v>
                </c:pt>
                <c:pt idx="47">
                  <c:v>33</c:v>
                </c:pt>
                <c:pt idx="48">
                  <c:v>33</c:v>
                </c:pt>
                <c:pt idx="49">
                  <c:v>33</c:v>
                </c:pt>
                <c:pt idx="50">
                  <c:v>33</c:v>
                </c:pt>
                <c:pt idx="51">
                  <c:v>33</c:v>
                </c:pt>
                <c:pt idx="52">
                  <c:v>33</c:v>
                </c:pt>
                <c:pt idx="53">
                  <c:v>33</c:v>
                </c:pt>
                <c:pt idx="54">
                  <c:v>33</c:v>
                </c:pt>
                <c:pt idx="55">
                  <c:v>33</c:v>
                </c:pt>
                <c:pt idx="56">
                  <c:v>33</c:v>
                </c:pt>
                <c:pt idx="57">
                  <c:v>33</c:v>
                </c:pt>
                <c:pt idx="58">
                  <c:v>33</c:v>
                </c:pt>
                <c:pt idx="59">
                  <c:v>33</c:v>
                </c:pt>
                <c:pt idx="60">
                  <c:v>33</c:v>
                </c:pt>
                <c:pt idx="61">
                  <c:v>33</c:v>
                </c:pt>
                <c:pt idx="62">
                  <c:v>33</c:v>
                </c:pt>
                <c:pt idx="63">
                  <c:v>33</c:v>
                </c:pt>
                <c:pt idx="64">
                  <c:v>33</c:v>
                </c:pt>
                <c:pt idx="65">
                  <c:v>33</c:v>
                </c:pt>
                <c:pt idx="66">
                  <c:v>33</c:v>
                </c:pt>
                <c:pt idx="67">
                  <c:v>33</c:v>
                </c:pt>
                <c:pt idx="68">
                  <c:v>33</c:v>
                </c:pt>
                <c:pt idx="69">
                  <c:v>33</c:v>
                </c:pt>
                <c:pt idx="70">
                  <c:v>33</c:v>
                </c:pt>
                <c:pt idx="71">
                  <c:v>33</c:v>
                </c:pt>
                <c:pt idx="72">
                  <c:v>33</c:v>
                </c:pt>
                <c:pt idx="73">
                  <c:v>33</c:v>
                </c:pt>
                <c:pt idx="74">
                  <c:v>33</c:v>
                </c:pt>
                <c:pt idx="75">
                  <c:v>33</c:v>
                </c:pt>
                <c:pt idx="76">
                  <c:v>33</c:v>
                </c:pt>
                <c:pt idx="77">
                  <c:v>33</c:v>
                </c:pt>
                <c:pt idx="78">
                  <c:v>33</c:v>
                </c:pt>
                <c:pt idx="79">
                  <c:v>33</c:v>
                </c:pt>
                <c:pt idx="80">
                  <c:v>33</c:v>
                </c:pt>
                <c:pt idx="81">
                  <c:v>33</c:v>
                </c:pt>
                <c:pt idx="82">
                  <c:v>33</c:v>
                </c:pt>
                <c:pt idx="83">
                  <c:v>33</c:v>
                </c:pt>
                <c:pt idx="84">
                  <c:v>33</c:v>
                </c:pt>
                <c:pt idx="85">
                  <c:v>33</c:v>
                </c:pt>
                <c:pt idx="86">
                  <c:v>33</c:v>
                </c:pt>
                <c:pt idx="87">
                  <c:v>33</c:v>
                </c:pt>
                <c:pt idx="88">
                  <c:v>33</c:v>
                </c:pt>
                <c:pt idx="89">
                  <c:v>33</c:v>
                </c:pt>
                <c:pt idx="90">
                  <c:v>33</c:v>
                </c:pt>
                <c:pt idx="91">
                  <c:v>33</c:v>
                </c:pt>
                <c:pt idx="92">
                  <c:v>33</c:v>
                </c:pt>
                <c:pt idx="93">
                  <c:v>33</c:v>
                </c:pt>
                <c:pt idx="94">
                  <c:v>33</c:v>
                </c:pt>
                <c:pt idx="95">
                  <c:v>33</c:v>
                </c:pt>
                <c:pt idx="96">
                  <c:v>33</c:v>
                </c:pt>
                <c:pt idx="97">
                  <c:v>33</c:v>
                </c:pt>
                <c:pt idx="98">
                  <c:v>33</c:v>
                </c:pt>
                <c:pt idx="99">
                  <c:v>33</c:v>
                </c:pt>
                <c:pt idx="100">
                  <c:v>33</c:v>
                </c:pt>
                <c:pt idx="101">
                  <c:v>33</c:v>
                </c:pt>
                <c:pt idx="102">
                  <c:v>33</c:v>
                </c:pt>
                <c:pt idx="103">
                  <c:v>33</c:v>
                </c:pt>
                <c:pt idx="104">
                  <c:v>33</c:v>
                </c:pt>
                <c:pt idx="105">
                  <c:v>33</c:v>
                </c:pt>
                <c:pt idx="106">
                  <c:v>33</c:v>
                </c:pt>
                <c:pt idx="107">
                  <c:v>33</c:v>
                </c:pt>
                <c:pt idx="108">
                  <c:v>33</c:v>
                </c:pt>
                <c:pt idx="109">
                  <c:v>33</c:v>
                </c:pt>
                <c:pt idx="110">
                  <c:v>33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33</c:v>
                </c:pt>
                <c:pt idx="115">
                  <c:v>33</c:v>
                </c:pt>
                <c:pt idx="116">
                  <c:v>33</c:v>
                </c:pt>
                <c:pt idx="117">
                  <c:v>33</c:v>
                </c:pt>
                <c:pt idx="118">
                  <c:v>33</c:v>
                </c:pt>
                <c:pt idx="119">
                  <c:v>33</c:v>
                </c:pt>
                <c:pt idx="120">
                  <c:v>33</c:v>
                </c:pt>
                <c:pt idx="121">
                  <c:v>33</c:v>
                </c:pt>
                <c:pt idx="122">
                  <c:v>33</c:v>
                </c:pt>
                <c:pt idx="123">
                  <c:v>33</c:v>
                </c:pt>
                <c:pt idx="124">
                  <c:v>33</c:v>
                </c:pt>
                <c:pt idx="125">
                  <c:v>33</c:v>
                </c:pt>
                <c:pt idx="126">
                  <c:v>33</c:v>
                </c:pt>
                <c:pt idx="127">
                  <c:v>33</c:v>
                </c:pt>
                <c:pt idx="128">
                  <c:v>33</c:v>
                </c:pt>
                <c:pt idx="129">
                  <c:v>33</c:v>
                </c:pt>
                <c:pt idx="130">
                  <c:v>33</c:v>
                </c:pt>
                <c:pt idx="131">
                  <c:v>33</c:v>
                </c:pt>
                <c:pt idx="132">
                  <c:v>33</c:v>
                </c:pt>
                <c:pt idx="133">
                  <c:v>33</c:v>
                </c:pt>
                <c:pt idx="134">
                  <c:v>33</c:v>
                </c:pt>
                <c:pt idx="135">
                  <c:v>33</c:v>
                </c:pt>
                <c:pt idx="136">
                  <c:v>33</c:v>
                </c:pt>
                <c:pt idx="137">
                  <c:v>33</c:v>
                </c:pt>
                <c:pt idx="138">
                  <c:v>33</c:v>
                </c:pt>
                <c:pt idx="139">
                  <c:v>33</c:v>
                </c:pt>
                <c:pt idx="140">
                  <c:v>33</c:v>
                </c:pt>
                <c:pt idx="141">
                  <c:v>33</c:v>
                </c:pt>
                <c:pt idx="142">
                  <c:v>33</c:v>
                </c:pt>
                <c:pt idx="143">
                  <c:v>33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33</c:v>
                </c:pt>
                <c:pt idx="148">
                  <c:v>33</c:v>
                </c:pt>
                <c:pt idx="149">
                  <c:v>33</c:v>
                </c:pt>
                <c:pt idx="150">
                  <c:v>33</c:v>
                </c:pt>
                <c:pt idx="151">
                  <c:v>33</c:v>
                </c:pt>
                <c:pt idx="152">
                  <c:v>33</c:v>
                </c:pt>
                <c:pt idx="153">
                  <c:v>33</c:v>
                </c:pt>
                <c:pt idx="154">
                  <c:v>33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33</c:v>
                </c:pt>
                <c:pt idx="159">
                  <c:v>33</c:v>
                </c:pt>
                <c:pt idx="160">
                  <c:v>33</c:v>
                </c:pt>
                <c:pt idx="161">
                  <c:v>33</c:v>
                </c:pt>
                <c:pt idx="162">
                  <c:v>33</c:v>
                </c:pt>
                <c:pt idx="163">
                  <c:v>33</c:v>
                </c:pt>
                <c:pt idx="164">
                  <c:v>33</c:v>
                </c:pt>
                <c:pt idx="165">
                  <c:v>33</c:v>
                </c:pt>
                <c:pt idx="166">
                  <c:v>33</c:v>
                </c:pt>
                <c:pt idx="167">
                  <c:v>33</c:v>
                </c:pt>
                <c:pt idx="168">
                  <c:v>33</c:v>
                </c:pt>
                <c:pt idx="169">
                  <c:v>33</c:v>
                </c:pt>
                <c:pt idx="170">
                  <c:v>33</c:v>
                </c:pt>
                <c:pt idx="171">
                  <c:v>33</c:v>
                </c:pt>
                <c:pt idx="172">
                  <c:v>33</c:v>
                </c:pt>
                <c:pt idx="173">
                  <c:v>33</c:v>
                </c:pt>
                <c:pt idx="174">
                  <c:v>33</c:v>
                </c:pt>
                <c:pt idx="175">
                  <c:v>33</c:v>
                </c:pt>
                <c:pt idx="176">
                  <c:v>33</c:v>
                </c:pt>
                <c:pt idx="177">
                  <c:v>33</c:v>
                </c:pt>
                <c:pt idx="178">
                  <c:v>33</c:v>
                </c:pt>
                <c:pt idx="179">
                  <c:v>33</c:v>
                </c:pt>
                <c:pt idx="180">
                  <c:v>33</c:v>
                </c:pt>
                <c:pt idx="181">
                  <c:v>33</c:v>
                </c:pt>
                <c:pt idx="182">
                  <c:v>33</c:v>
                </c:pt>
                <c:pt idx="183">
                  <c:v>33</c:v>
                </c:pt>
                <c:pt idx="184">
                  <c:v>33</c:v>
                </c:pt>
                <c:pt idx="185">
                  <c:v>33</c:v>
                </c:pt>
                <c:pt idx="186">
                  <c:v>33</c:v>
                </c:pt>
                <c:pt idx="187">
                  <c:v>33</c:v>
                </c:pt>
                <c:pt idx="188">
                  <c:v>33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33</c:v>
                </c:pt>
                <c:pt idx="196">
                  <c:v>33</c:v>
                </c:pt>
                <c:pt idx="197">
                  <c:v>33</c:v>
                </c:pt>
                <c:pt idx="198">
                  <c:v>33</c:v>
                </c:pt>
                <c:pt idx="199">
                  <c:v>33</c:v>
                </c:pt>
                <c:pt idx="200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B5BA-4EEE-B6B7-E7D2614A0440}"/>
            </c:ext>
          </c:extLst>
        </c:ser>
        <c:ser>
          <c:idx val="35"/>
          <c:order val="38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C0C0C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Subsets!$CB$39</c:f>
                <c:numCache>
                  <c:formatCode>General</c:formatCode>
                  <c:ptCount val="1"/>
                  <c:pt idx="0">
                    <c:v>7.933389010939608E-2</c:v>
                  </c:pt>
                </c:numCache>
              </c:numRef>
            </c:plus>
            <c:minus>
              <c:numRef>
                <c:f>Subsets!$CB$39</c:f>
                <c:numCache>
                  <c:formatCode>General</c:formatCode>
                  <c:ptCount val="1"/>
                  <c:pt idx="0">
                    <c:v>7.933389010939608E-2</c:v>
                  </c:pt>
                </c:numCache>
              </c:numRef>
            </c:minus>
            <c:spPr>
              <a:ln w="25400">
                <a:solidFill>
                  <a:srgbClr val="333333"/>
                </a:solidFill>
                <a:prstDash val="solid"/>
              </a:ln>
            </c:spPr>
          </c:errBars>
          <c:xVal>
            <c:numRef>
              <c:f>Subsets!$BZ$40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Subsets!$CA$40</c:f>
              <c:numCache>
                <c:formatCode>General</c:formatCode>
                <c:ptCount val="1"/>
                <c:pt idx="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5BA-4EEE-B6B7-E7D2614A0440}"/>
            </c:ext>
          </c:extLst>
        </c:ser>
        <c:ser>
          <c:idx val="37"/>
          <c:order val="39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Subsets!$DO$11:$DO$211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1.7347234759768071E-17</c:v>
                  </c:pt>
                  <c:pt idx="6">
                    <c:v>4.0000000000000209E-3</c:v>
                  </c:pt>
                  <c:pt idx="7">
                    <c:v>7.9999999999999828E-3</c:v>
                  </c:pt>
                  <c:pt idx="8">
                    <c:v>1.1999999999999986E-2</c:v>
                  </c:pt>
                  <c:pt idx="9">
                    <c:v>1.6000000000000032E-2</c:v>
                  </c:pt>
                  <c:pt idx="10">
                    <c:v>1.9999999999999993E-2</c:v>
                  </c:pt>
                  <c:pt idx="11">
                    <c:v>2.3999999999999997E-2</c:v>
                  </c:pt>
                  <c:pt idx="12">
                    <c:v>2.8000000000000001E-2</c:v>
                  </c:pt>
                  <c:pt idx="13">
                    <c:v>3.2000000000000042E-2</c:v>
                  </c:pt>
                  <c:pt idx="14">
                    <c:v>3.6000000000000004E-2</c:v>
                  </c:pt>
                  <c:pt idx="15">
                    <c:v>3.9999999999999966E-2</c:v>
                  </c:pt>
                  <c:pt idx="16">
                    <c:v>4.4000000000000011E-2</c:v>
                  </c:pt>
                  <c:pt idx="17">
                    <c:v>4.8000000000000057E-2</c:v>
                  </c:pt>
                  <c:pt idx="18">
                    <c:v>5.2000000000000018E-2</c:v>
                  </c:pt>
                  <c:pt idx="19">
                    <c:v>5.599999999999998E-2</c:v>
                  </c:pt>
                  <c:pt idx="20">
                    <c:v>6.0000000000000026E-2</c:v>
                  </c:pt>
                  <c:pt idx="21">
                    <c:v>6.4000000000000029E-2</c:v>
                  </c:pt>
                  <c:pt idx="22">
                    <c:v>6.8000000000000033E-2</c:v>
                  </c:pt>
                  <c:pt idx="23">
                    <c:v>7.2000000000000036E-2</c:v>
                  </c:pt>
                  <c:pt idx="24">
                    <c:v>7.5999999999999998E-2</c:v>
                  </c:pt>
                  <c:pt idx="25">
                    <c:v>0.08</c:v>
                  </c:pt>
                  <c:pt idx="26">
                    <c:v>8.4000000000000005E-2</c:v>
                  </c:pt>
                  <c:pt idx="27">
                    <c:v>8.8000000000000009E-2</c:v>
                  </c:pt>
                  <c:pt idx="28">
                    <c:v>9.2000000000000012E-2</c:v>
                  </c:pt>
                  <c:pt idx="29">
                    <c:v>9.6000000000000016E-2</c:v>
                  </c:pt>
                  <c:pt idx="30">
                    <c:v>0.10000000000000002</c:v>
                  </c:pt>
                  <c:pt idx="31">
                    <c:v>0.10400000000000002</c:v>
                  </c:pt>
                  <c:pt idx="32">
                    <c:v>0.10800000000000003</c:v>
                  </c:pt>
                  <c:pt idx="33">
                    <c:v>0.11200000000000003</c:v>
                  </c:pt>
                  <c:pt idx="34">
                    <c:v>0.11600000000000003</c:v>
                  </c:pt>
                  <c:pt idx="35">
                    <c:v>0.12000000000000004</c:v>
                  </c:pt>
                  <c:pt idx="36">
                    <c:v>0.12400000000000004</c:v>
                  </c:pt>
                  <c:pt idx="37">
                    <c:v>0.12800000000000006</c:v>
                  </c:pt>
                  <c:pt idx="38">
                    <c:v>0.13200000000000006</c:v>
                  </c:pt>
                  <c:pt idx="39">
                    <c:v>0.13600000000000004</c:v>
                  </c:pt>
                  <c:pt idx="40">
                    <c:v>0.14000000000000004</c:v>
                  </c:pt>
                  <c:pt idx="41">
                    <c:v>0.14400000000000004</c:v>
                  </c:pt>
                  <c:pt idx="42">
                    <c:v>0.14800000000000005</c:v>
                  </c:pt>
                  <c:pt idx="43">
                    <c:v>0.15200000000000005</c:v>
                  </c:pt>
                  <c:pt idx="44">
                    <c:v>0.15600000000000006</c:v>
                  </c:pt>
                  <c:pt idx="45">
                    <c:v>0.16000000000000006</c:v>
                  </c:pt>
                  <c:pt idx="46">
                    <c:v>0.16400000000000006</c:v>
                  </c:pt>
                  <c:pt idx="47">
                    <c:v>0.16800000000000007</c:v>
                  </c:pt>
                  <c:pt idx="48">
                    <c:v>0.17200000000000007</c:v>
                  </c:pt>
                  <c:pt idx="49">
                    <c:v>0.17600000000000007</c:v>
                  </c:pt>
                  <c:pt idx="50">
                    <c:v>0.18000000000000008</c:v>
                  </c:pt>
                  <c:pt idx="51">
                    <c:v>0.18400000000000002</c:v>
                  </c:pt>
                  <c:pt idx="52">
                    <c:v>0.18800000000000003</c:v>
                  </c:pt>
                  <c:pt idx="53">
                    <c:v>0.19200000000000003</c:v>
                  </c:pt>
                  <c:pt idx="54">
                    <c:v>0.19600000000000004</c:v>
                  </c:pt>
                  <c:pt idx="55">
                    <c:v>0.20000000000000004</c:v>
                  </c:pt>
                  <c:pt idx="56">
                    <c:v>0.20400000000000004</c:v>
                  </c:pt>
                  <c:pt idx="57">
                    <c:v>0.20800000000000005</c:v>
                  </c:pt>
                  <c:pt idx="58">
                    <c:v>0.21200000000000005</c:v>
                  </c:pt>
                  <c:pt idx="59">
                    <c:v>0.21600000000000005</c:v>
                  </c:pt>
                  <c:pt idx="60">
                    <c:v>0.22000000000000006</c:v>
                  </c:pt>
                  <c:pt idx="61">
                    <c:v>0.22400000000000006</c:v>
                  </c:pt>
                  <c:pt idx="62">
                    <c:v>0.22799999999999998</c:v>
                  </c:pt>
                  <c:pt idx="63">
                    <c:v>0.23199999999999996</c:v>
                  </c:pt>
                  <c:pt idx="64">
                    <c:v>0.2359999999999999</c:v>
                  </c:pt>
                  <c:pt idx="65">
                    <c:v>0.23999999999999991</c:v>
                  </c:pt>
                  <c:pt idx="66">
                    <c:v>0.24399999999999986</c:v>
                  </c:pt>
                  <c:pt idx="67">
                    <c:v>0.2479999999999998</c:v>
                  </c:pt>
                  <c:pt idx="68">
                    <c:v>0.25199999999999978</c:v>
                  </c:pt>
                  <c:pt idx="69">
                    <c:v>0.25599999999999973</c:v>
                  </c:pt>
                  <c:pt idx="70">
                    <c:v>0.25999999999999973</c:v>
                  </c:pt>
                  <c:pt idx="71">
                    <c:v>0.26399999999999968</c:v>
                  </c:pt>
                  <c:pt idx="72">
                    <c:v>0.26799999999999963</c:v>
                  </c:pt>
                  <c:pt idx="73">
                    <c:v>0.27199999999999958</c:v>
                  </c:pt>
                  <c:pt idx="74">
                    <c:v>0.27599999999999952</c:v>
                  </c:pt>
                  <c:pt idx="75">
                    <c:v>0.27999999999999958</c:v>
                  </c:pt>
                  <c:pt idx="76">
                    <c:v>0.28399999999999948</c:v>
                  </c:pt>
                  <c:pt idx="77">
                    <c:v>0.28799999999999948</c:v>
                  </c:pt>
                  <c:pt idx="78">
                    <c:v>0.29199999999999943</c:v>
                  </c:pt>
                  <c:pt idx="79">
                    <c:v>0.29599999999999937</c:v>
                  </c:pt>
                  <c:pt idx="80">
                    <c:v>0.29999999999999938</c:v>
                  </c:pt>
                  <c:pt idx="81">
                    <c:v>0.30399999999999933</c:v>
                  </c:pt>
                  <c:pt idx="82">
                    <c:v>0.30799999999999933</c:v>
                  </c:pt>
                  <c:pt idx="83">
                    <c:v>0.31199999999999922</c:v>
                  </c:pt>
                  <c:pt idx="84">
                    <c:v>0.31599999999999923</c:v>
                  </c:pt>
                  <c:pt idx="85">
                    <c:v>0.31999999999999917</c:v>
                  </c:pt>
                  <c:pt idx="86">
                    <c:v>0.32399999999999918</c:v>
                  </c:pt>
                  <c:pt idx="87">
                    <c:v>0.32799999999999913</c:v>
                  </c:pt>
                  <c:pt idx="88">
                    <c:v>0.33199999999999907</c:v>
                  </c:pt>
                  <c:pt idx="89">
                    <c:v>0.33599999999999902</c:v>
                  </c:pt>
                  <c:pt idx="90">
                    <c:v>0.33999999999999903</c:v>
                  </c:pt>
                  <c:pt idx="91">
                    <c:v>0.34399999999999897</c:v>
                  </c:pt>
                  <c:pt idx="92">
                    <c:v>0.34799999999999898</c:v>
                  </c:pt>
                  <c:pt idx="93">
                    <c:v>0.35199999999999892</c:v>
                  </c:pt>
                  <c:pt idx="94">
                    <c:v>0.35599999999999887</c:v>
                  </c:pt>
                  <c:pt idx="95">
                    <c:v>0.35999999999999882</c:v>
                  </c:pt>
                  <c:pt idx="96">
                    <c:v>0.36399999999999882</c:v>
                  </c:pt>
                  <c:pt idx="97">
                    <c:v>0.36799999999999877</c:v>
                  </c:pt>
                  <c:pt idx="98">
                    <c:v>0.37199999999999878</c:v>
                  </c:pt>
                  <c:pt idx="99">
                    <c:v>0.37599999999999872</c:v>
                  </c:pt>
                  <c:pt idx="100">
                    <c:v>0.37999999999999867</c:v>
                  </c:pt>
                  <c:pt idx="101">
                    <c:v>0.37600000000000139</c:v>
                  </c:pt>
                  <c:pt idx="102">
                    <c:v>0.37200000000000144</c:v>
                  </c:pt>
                  <c:pt idx="103">
                    <c:v>0.36800000000000144</c:v>
                  </c:pt>
                  <c:pt idx="104">
                    <c:v>0.36400000000000143</c:v>
                  </c:pt>
                  <c:pt idx="105">
                    <c:v>0.36000000000000149</c:v>
                  </c:pt>
                  <c:pt idx="106">
                    <c:v>0.35600000000000154</c:v>
                  </c:pt>
                  <c:pt idx="107">
                    <c:v>0.35200000000000159</c:v>
                  </c:pt>
                  <c:pt idx="108">
                    <c:v>0.34800000000000164</c:v>
                  </c:pt>
                  <c:pt idx="109">
                    <c:v>0.34400000000000164</c:v>
                  </c:pt>
                  <c:pt idx="110">
                    <c:v>0.34000000000000163</c:v>
                  </c:pt>
                  <c:pt idx="111">
                    <c:v>0.33600000000000169</c:v>
                  </c:pt>
                  <c:pt idx="112">
                    <c:v>0.33200000000000174</c:v>
                  </c:pt>
                  <c:pt idx="113">
                    <c:v>0.32800000000000179</c:v>
                  </c:pt>
                  <c:pt idx="114">
                    <c:v>0.32400000000000184</c:v>
                  </c:pt>
                  <c:pt idx="115">
                    <c:v>0.32000000000000184</c:v>
                  </c:pt>
                  <c:pt idx="116">
                    <c:v>0.31600000000000189</c:v>
                  </c:pt>
                  <c:pt idx="117">
                    <c:v>0.31200000000000189</c:v>
                  </c:pt>
                  <c:pt idx="118">
                    <c:v>0.30800000000000194</c:v>
                  </c:pt>
                  <c:pt idx="119">
                    <c:v>0.30400000000000199</c:v>
                  </c:pt>
                  <c:pt idx="120">
                    <c:v>0.30000000000000204</c:v>
                  </c:pt>
                  <c:pt idx="121">
                    <c:v>0.29600000000000204</c:v>
                  </c:pt>
                  <c:pt idx="122">
                    <c:v>0.29200000000000209</c:v>
                  </c:pt>
                  <c:pt idx="123">
                    <c:v>0.28800000000000214</c:v>
                  </c:pt>
                  <c:pt idx="124">
                    <c:v>0.28400000000000214</c:v>
                  </c:pt>
                  <c:pt idx="125">
                    <c:v>0.28000000000000219</c:v>
                  </c:pt>
                  <c:pt idx="126">
                    <c:v>0.27600000000000219</c:v>
                  </c:pt>
                  <c:pt idx="127">
                    <c:v>0.27200000000000224</c:v>
                  </c:pt>
                  <c:pt idx="128">
                    <c:v>0.26800000000000229</c:v>
                  </c:pt>
                  <c:pt idx="129">
                    <c:v>0.26400000000000229</c:v>
                  </c:pt>
                  <c:pt idx="130">
                    <c:v>0.2600000000000024</c:v>
                  </c:pt>
                  <c:pt idx="131">
                    <c:v>0.25600000000000239</c:v>
                  </c:pt>
                  <c:pt idx="132">
                    <c:v>0.25200000000000239</c:v>
                  </c:pt>
                  <c:pt idx="133">
                    <c:v>0.24800000000000247</c:v>
                  </c:pt>
                  <c:pt idx="134">
                    <c:v>0.24400000000000252</c:v>
                  </c:pt>
                  <c:pt idx="135">
                    <c:v>0.24000000000000257</c:v>
                  </c:pt>
                  <c:pt idx="136">
                    <c:v>0.23600000000000257</c:v>
                  </c:pt>
                  <c:pt idx="137">
                    <c:v>0.23200000000000262</c:v>
                  </c:pt>
                  <c:pt idx="138">
                    <c:v>0.22800000000000264</c:v>
                  </c:pt>
                  <c:pt idx="139">
                    <c:v>0.22400000000000264</c:v>
                  </c:pt>
                  <c:pt idx="140">
                    <c:v>0.22000000000000264</c:v>
                  </c:pt>
                  <c:pt idx="141">
                    <c:v>0.21600000000000272</c:v>
                  </c:pt>
                  <c:pt idx="142">
                    <c:v>0.21200000000000271</c:v>
                  </c:pt>
                  <c:pt idx="143">
                    <c:v>0.20800000000000277</c:v>
                  </c:pt>
                  <c:pt idx="144">
                    <c:v>0.20400000000000279</c:v>
                  </c:pt>
                  <c:pt idx="145">
                    <c:v>0.20000000000000279</c:v>
                  </c:pt>
                  <c:pt idx="146">
                    <c:v>0.19600000000000287</c:v>
                  </c:pt>
                  <c:pt idx="147">
                    <c:v>0.19200000000000286</c:v>
                  </c:pt>
                  <c:pt idx="148">
                    <c:v>0.18800000000000297</c:v>
                  </c:pt>
                  <c:pt idx="149">
                    <c:v>0.18400000000000297</c:v>
                  </c:pt>
                  <c:pt idx="150">
                    <c:v>0.18000000000000299</c:v>
                  </c:pt>
                  <c:pt idx="151">
                    <c:v>0.17600000000000304</c:v>
                  </c:pt>
                  <c:pt idx="152">
                    <c:v>0.17200000000000307</c:v>
                  </c:pt>
                  <c:pt idx="153">
                    <c:v>0.16800000000000312</c:v>
                  </c:pt>
                  <c:pt idx="154">
                    <c:v>0.16400000000000312</c:v>
                  </c:pt>
                  <c:pt idx="155">
                    <c:v>0.16000000000000317</c:v>
                  </c:pt>
                  <c:pt idx="156">
                    <c:v>0.15600000000000319</c:v>
                  </c:pt>
                  <c:pt idx="157">
                    <c:v>0.15200000000000324</c:v>
                  </c:pt>
                  <c:pt idx="158">
                    <c:v>0.14800000000000327</c:v>
                  </c:pt>
                  <c:pt idx="159">
                    <c:v>0.14400000000000332</c:v>
                  </c:pt>
                  <c:pt idx="160">
                    <c:v>0.14000000000000332</c:v>
                  </c:pt>
                  <c:pt idx="161">
                    <c:v>0.13600000000000337</c:v>
                  </c:pt>
                  <c:pt idx="162">
                    <c:v>0.13200000000000339</c:v>
                  </c:pt>
                  <c:pt idx="163">
                    <c:v>0.12800000000000344</c:v>
                  </c:pt>
                  <c:pt idx="164">
                    <c:v>0.12400000000000345</c:v>
                  </c:pt>
                  <c:pt idx="165">
                    <c:v>0.12000000000000351</c:v>
                  </c:pt>
                  <c:pt idx="166">
                    <c:v>0.11600000000000353</c:v>
                  </c:pt>
                  <c:pt idx="167">
                    <c:v>0.11200000000000353</c:v>
                  </c:pt>
                  <c:pt idx="168">
                    <c:v>0.10800000000000358</c:v>
                  </c:pt>
                  <c:pt idx="169">
                    <c:v>0.10400000000000362</c:v>
                  </c:pt>
                  <c:pt idx="170">
                    <c:v>0.10000000000000366</c:v>
                  </c:pt>
                  <c:pt idx="171">
                    <c:v>9.6000000000003707E-2</c:v>
                  </c:pt>
                  <c:pt idx="172">
                    <c:v>9.2000000000003745E-2</c:v>
                  </c:pt>
                  <c:pt idx="173">
                    <c:v>8.8000000000003784E-2</c:v>
                  </c:pt>
                  <c:pt idx="174">
                    <c:v>8.400000000000378E-2</c:v>
                  </c:pt>
                  <c:pt idx="175">
                    <c:v>8.0000000000003818E-2</c:v>
                  </c:pt>
                  <c:pt idx="176">
                    <c:v>7.6000000000003856E-2</c:v>
                  </c:pt>
                  <c:pt idx="177">
                    <c:v>7.2000000000003908E-2</c:v>
                  </c:pt>
                  <c:pt idx="178">
                    <c:v>6.8000000000003946E-2</c:v>
                  </c:pt>
                  <c:pt idx="179">
                    <c:v>6.4000000000003984E-2</c:v>
                  </c:pt>
                  <c:pt idx="180">
                    <c:v>6.0000000000004022E-2</c:v>
                  </c:pt>
                  <c:pt idx="181">
                    <c:v>5.6000000000004019E-2</c:v>
                  </c:pt>
                  <c:pt idx="182">
                    <c:v>5.2000000000004057E-2</c:v>
                  </c:pt>
                  <c:pt idx="183">
                    <c:v>4.8000000000004095E-2</c:v>
                  </c:pt>
                  <c:pt idx="184">
                    <c:v>4.4000000000004147E-2</c:v>
                  </c:pt>
                  <c:pt idx="185">
                    <c:v>4.0000000000004185E-2</c:v>
                  </c:pt>
                  <c:pt idx="186">
                    <c:v>3.6000000000004223E-2</c:v>
                  </c:pt>
                  <c:pt idx="187">
                    <c:v>3.200000000000422E-2</c:v>
                  </c:pt>
                  <c:pt idx="188">
                    <c:v>2.8000000000004261E-2</c:v>
                  </c:pt>
                  <c:pt idx="189">
                    <c:v>2.4000000000004306E-2</c:v>
                  </c:pt>
                  <c:pt idx="190">
                    <c:v>2.0000000000004344E-2</c:v>
                  </c:pt>
                  <c:pt idx="191">
                    <c:v>1.6000000000004382E-2</c:v>
                  </c:pt>
                  <c:pt idx="192">
                    <c:v>1.2000000000004427E-2</c:v>
                  </c:pt>
                  <c:pt idx="193">
                    <c:v>8.0000000000044653E-3</c:v>
                  </c:pt>
                  <c:pt idx="194">
                    <c:v>4.0000000000044618E-3</c:v>
                  </c:pt>
                  <c:pt idx="195">
                    <c:v>4.5033421436357912E-15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Subsets!$DO$11:$DO$211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1.7347234759768071E-17</c:v>
                  </c:pt>
                  <c:pt idx="6">
                    <c:v>4.0000000000000209E-3</c:v>
                  </c:pt>
                  <c:pt idx="7">
                    <c:v>7.9999999999999828E-3</c:v>
                  </c:pt>
                  <c:pt idx="8">
                    <c:v>1.1999999999999986E-2</c:v>
                  </c:pt>
                  <c:pt idx="9">
                    <c:v>1.6000000000000032E-2</c:v>
                  </c:pt>
                  <c:pt idx="10">
                    <c:v>1.9999999999999993E-2</c:v>
                  </c:pt>
                  <c:pt idx="11">
                    <c:v>2.3999999999999997E-2</c:v>
                  </c:pt>
                  <c:pt idx="12">
                    <c:v>2.8000000000000001E-2</c:v>
                  </c:pt>
                  <c:pt idx="13">
                    <c:v>3.2000000000000042E-2</c:v>
                  </c:pt>
                  <c:pt idx="14">
                    <c:v>3.6000000000000004E-2</c:v>
                  </c:pt>
                  <c:pt idx="15">
                    <c:v>3.9999999999999966E-2</c:v>
                  </c:pt>
                  <c:pt idx="16">
                    <c:v>4.4000000000000011E-2</c:v>
                  </c:pt>
                  <c:pt idx="17">
                    <c:v>4.8000000000000057E-2</c:v>
                  </c:pt>
                  <c:pt idx="18">
                    <c:v>5.2000000000000018E-2</c:v>
                  </c:pt>
                  <c:pt idx="19">
                    <c:v>5.599999999999998E-2</c:v>
                  </c:pt>
                  <c:pt idx="20">
                    <c:v>6.0000000000000026E-2</c:v>
                  </c:pt>
                  <c:pt idx="21">
                    <c:v>6.4000000000000029E-2</c:v>
                  </c:pt>
                  <c:pt idx="22">
                    <c:v>6.8000000000000033E-2</c:v>
                  </c:pt>
                  <c:pt idx="23">
                    <c:v>7.2000000000000036E-2</c:v>
                  </c:pt>
                  <c:pt idx="24">
                    <c:v>7.5999999999999998E-2</c:v>
                  </c:pt>
                  <c:pt idx="25">
                    <c:v>0.08</c:v>
                  </c:pt>
                  <c:pt idx="26">
                    <c:v>8.4000000000000005E-2</c:v>
                  </c:pt>
                  <c:pt idx="27">
                    <c:v>8.8000000000000009E-2</c:v>
                  </c:pt>
                  <c:pt idx="28">
                    <c:v>9.2000000000000012E-2</c:v>
                  </c:pt>
                  <c:pt idx="29">
                    <c:v>9.6000000000000016E-2</c:v>
                  </c:pt>
                  <c:pt idx="30">
                    <c:v>0.10000000000000002</c:v>
                  </c:pt>
                  <c:pt idx="31">
                    <c:v>0.10400000000000002</c:v>
                  </c:pt>
                  <c:pt idx="32">
                    <c:v>0.10800000000000003</c:v>
                  </c:pt>
                  <c:pt idx="33">
                    <c:v>0.11200000000000003</c:v>
                  </c:pt>
                  <c:pt idx="34">
                    <c:v>0.11600000000000003</c:v>
                  </c:pt>
                  <c:pt idx="35">
                    <c:v>0.12000000000000004</c:v>
                  </c:pt>
                  <c:pt idx="36">
                    <c:v>0.12400000000000004</c:v>
                  </c:pt>
                  <c:pt idx="37">
                    <c:v>0.12800000000000006</c:v>
                  </c:pt>
                  <c:pt idx="38">
                    <c:v>0.13200000000000006</c:v>
                  </c:pt>
                  <c:pt idx="39">
                    <c:v>0.13600000000000004</c:v>
                  </c:pt>
                  <c:pt idx="40">
                    <c:v>0.14000000000000004</c:v>
                  </c:pt>
                  <c:pt idx="41">
                    <c:v>0.14400000000000004</c:v>
                  </c:pt>
                  <c:pt idx="42">
                    <c:v>0.14800000000000005</c:v>
                  </c:pt>
                  <c:pt idx="43">
                    <c:v>0.15200000000000005</c:v>
                  </c:pt>
                  <c:pt idx="44">
                    <c:v>0.15600000000000006</c:v>
                  </c:pt>
                  <c:pt idx="45">
                    <c:v>0.16000000000000006</c:v>
                  </c:pt>
                  <c:pt idx="46">
                    <c:v>0.16400000000000006</c:v>
                  </c:pt>
                  <c:pt idx="47">
                    <c:v>0.16800000000000007</c:v>
                  </c:pt>
                  <c:pt idx="48">
                    <c:v>0.17200000000000007</c:v>
                  </c:pt>
                  <c:pt idx="49">
                    <c:v>0.17600000000000007</c:v>
                  </c:pt>
                  <c:pt idx="50">
                    <c:v>0.18000000000000008</c:v>
                  </c:pt>
                  <c:pt idx="51">
                    <c:v>0.18400000000000002</c:v>
                  </c:pt>
                  <c:pt idx="52">
                    <c:v>0.18800000000000003</c:v>
                  </c:pt>
                  <c:pt idx="53">
                    <c:v>0.19200000000000003</c:v>
                  </c:pt>
                  <c:pt idx="54">
                    <c:v>0.19600000000000004</c:v>
                  </c:pt>
                  <c:pt idx="55">
                    <c:v>0.20000000000000004</c:v>
                  </c:pt>
                  <c:pt idx="56">
                    <c:v>0.20400000000000004</c:v>
                  </c:pt>
                  <c:pt idx="57">
                    <c:v>0.20800000000000005</c:v>
                  </c:pt>
                  <c:pt idx="58">
                    <c:v>0.21200000000000005</c:v>
                  </c:pt>
                  <c:pt idx="59">
                    <c:v>0.21600000000000005</c:v>
                  </c:pt>
                  <c:pt idx="60">
                    <c:v>0.22000000000000006</c:v>
                  </c:pt>
                  <c:pt idx="61">
                    <c:v>0.22400000000000006</c:v>
                  </c:pt>
                  <c:pt idx="62">
                    <c:v>0.22799999999999998</c:v>
                  </c:pt>
                  <c:pt idx="63">
                    <c:v>0.23199999999999996</c:v>
                  </c:pt>
                  <c:pt idx="64">
                    <c:v>0.2359999999999999</c:v>
                  </c:pt>
                  <c:pt idx="65">
                    <c:v>0.23999999999999991</c:v>
                  </c:pt>
                  <c:pt idx="66">
                    <c:v>0.24399999999999986</c:v>
                  </c:pt>
                  <c:pt idx="67">
                    <c:v>0.2479999999999998</c:v>
                  </c:pt>
                  <c:pt idx="68">
                    <c:v>0.25199999999999978</c:v>
                  </c:pt>
                  <c:pt idx="69">
                    <c:v>0.25599999999999973</c:v>
                  </c:pt>
                  <c:pt idx="70">
                    <c:v>0.25999999999999973</c:v>
                  </c:pt>
                  <c:pt idx="71">
                    <c:v>0.26399999999999968</c:v>
                  </c:pt>
                  <c:pt idx="72">
                    <c:v>0.26799999999999963</c:v>
                  </c:pt>
                  <c:pt idx="73">
                    <c:v>0.27199999999999958</c:v>
                  </c:pt>
                  <c:pt idx="74">
                    <c:v>0.27599999999999952</c:v>
                  </c:pt>
                  <c:pt idx="75">
                    <c:v>0.27999999999999958</c:v>
                  </c:pt>
                  <c:pt idx="76">
                    <c:v>0.28399999999999948</c:v>
                  </c:pt>
                  <c:pt idx="77">
                    <c:v>0.28799999999999948</c:v>
                  </c:pt>
                  <c:pt idx="78">
                    <c:v>0.29199999999999943</c:v>
                  </c:pt>
                  <c:pt idx="79">
                    <c:v>0.29599999999999937</c:v>
                  </c:pt>
                  <c:pt idx="80">
                    <c:v>0.29999999999999938</c:v>
                  </c:pt>
                  <c:pt idx="81">
                    <c:v>0.30399999999999933</c:v>
                  </c:pt>
                  <c:pt idx="82">
                    <c:v>0.30799999999999933</c:v>
                  </c:pt>
                  <c:pt idx="83">
                    <c:v>0.31199999999999922</c:v>
                  </c:pt>
                  <c:pt idx="84">
                    <c:v>0.31599999999999923</c:v>
                  </c:pt>
                  <c:pt idx="85">
                    <c:v>0.31999999999999917</c:v>
                  </c:pt>
                  <c:pt idx="86">
                    <c:v>0.32399999999999918</c:v>
                  </c:pt>
                  <c:pt idx="87">
                    <c:v>0.32799999999999913</c:v>
                  </c:pt>
                  <c:pt idx="88">
                    <c:v>0.33199999999999907</c:v>
                  </c:pt>
                  <c:pt idx="89">
                    <c:v>0.33599999999999902</c:v>
                  </c:pt>
                  <c:pt idx="90">
                    <c:v>0.33999999999999903</c:v>
                  </c:pt>
                  <c:pt idx="91">
                    <c:v>0.34399999999999897</c:v>
                  </c:pt>
                  <c:pt idx="92">
                    <c:v>0.34799999999999898</c:v>
                  </c:pt>
                  <c:pt idx="93">
                    <c:v>0.35199999999999892</c:v>
                  </c:pt>
                  <c:pt idx="94">
                    <c:v>0.35599999999999887</c:v>
                  </c:pt>
                  <c:pt idx="95">
                    <c:v>0.35999999999999882</c:v>
                  </c:pt>
                  <c:pt idx="96">
                    <c:v>0.36399999999999882</c:v>
                  </c:pt>
                  <c:pt idx="97">
                    <c:v>0.36799999999999877</c:v>
                  </c:pt>
                  <c:pt idx="98">
                    <c:v>0.37199999999999878</c:v>
                  </c:pt>
                  <c:pt idx="99">
                    <c:v>0.37599999999999872</c:v>
                  </c:pt>
                  <c:pt idx="100">
                    <c:v>0.37999999999999867</c:v>
                  </c:pt>
                  <c:pt idx="101">
                    <c:v>0.37600000000000139</c:v>
                  </c:pt>
                  <c:pt idx="102">
                    <c:v>0.37200000000000144</c:v>
                  </c:pt>
                  <c:pt idx="103">
                    <c:v>0.36800000000000144</c:v>
                  </c:pt>
                  <c:pt idx="104">
                    <c:v>0.36400000000000143</c:v>
                  </c:pt>
                  <c:pt idx="105">
                    <c:v>0.36000000000000149</c:v>
                  </c:pt>
                  <c:pt idx="106">
                    <c:v>0.35600000000000154</c:v>
                  </c:pt>
                  <c:pt idx="107">
                    <c:v>0.35200000000000159</c:v>
                  </c:pt>
                  <c:pt idx="108">
                    <c:v>0.34800000000000164</c:v>
                  </c:pt>
                  <c:pt idx="109">
                    <c:v>0.34400000000000164</c:v>
                  </c:pt>
                  <c:pt idx="110">
                    <c:v>0.34000000000000163</c:v>
                  </c:pt>
                  <c:pt idx="111">
                    <c:v>0.33600000000000169</c:v>
                  </c:pt>
                  <c:pt idx="112">
                    <c:v>0.33200000000000174</c:v>
                  </c:pt>
                  <c:pt idx="113">
                    <c:v>0.32800000000000179</c:v>
                  </c:pt>
                  <c:pt idx="114">
                    <c:v>0.32400000000000184</c:v>
                  </c:pt>
                  <c:pt idx="115">
                    <c:v>0.32000000000000184</c:v>
                  </c:pt>
                  <c:pt idx="116">
                    <c:v>0.31600000000000189</c:v>
                  </c:pt>
                  <c:pt idx="117">
                    <c:v>0.31200000000000189</c:v>
                  </c:pt>
                  <c:pt idx="118">
                    <c:v>0.30800000000000194</c:v>
                  </c:pt>
                  <c:pt idx="119">
                    <c:v>0.30400000000000199</c:v>
                  </c:pt>
                  <c:pt idx="120">
                    <c:v>0.30000000000000204</c:v>
                  </c:pt>
                  <c:pt idx="121">
                    <c:v>0.29600000000000204</c:v>
                  </c:pt>
                  <c:pt idx="122">
                    <c:v>0.29200000000000209</c:v>
                  </c:pt>
                  <c:pt idx="123">
                    <c:v>0.28800000000000214</c:v>
                  </c:pt>
                  <c:pt idx="124">
                    <c:v>0.28400000000000214</c:v>
                  </c:pt>
                  <c:pt idx="125">
                    <c:v>0.28000000000000219</c:v>
                  </c:pt>
                  <c:pt idx="126">
                    <c:v>0.27600000000000219</c:v>
                  </c:pt>
                  <c:pt idx="127">
                    <c:v>0.27200000000000224</c:v>
                  </c:pt>
                  <c:pt idx="128">
                    <c:v>0.26800000000000229</c:v>
                  </c:pt>
                  <c:pt idx="129">
                    <c:v>0.26400000000000229</c:v>
                  </c:pt>
                  <c:pt idx="130">
                    <c:v>0.2600000000000024</c:v>
                  </c:pt>
                  <c:pt idx="131">
                    <c:v>0.25600000000000239</c:v>
                  </c:pt>
                  <c:pt idx="132">
                    <c:v>0.25200000000000239</c:v>
                  </c:pt>
                  <c:pt idx="133">
                    <c:v>0.24800000000000247</c:v>
                  </c:pt>
                  <c:pt idx="134">
                    <c:v>0.24400000000000252</c:v>
                  </c:pt>
                  <c:pt idx="135">
                    <c:v>0.24000000000000257</c:v>
                  </c:pt>
                  <c:pt idx="136">
                    <c:v>0.23600000000000257</c:v>
                  </c:pt>
                  <c:pt idx="137">
                    <c:v>0.23200000000000262</c:v>
                  </c:pt>
                  <c:pt idx="138">
                    <c:v>0.22800000000000264</c:v>
                  </c:pt>
                  <c:pt idx="139">
                    <c:v>0.22400000000000264</c:v>
                  </c:pt>
                  <c:pt idx="140">
                    <c:v>0.22000000000000264</c:v>
                  </c:pt>
                  <c:pt idx="141">
                    <c:v>0.21600000000000272</c:v>
                  </c:pt>
                  <c:pt idx="142">
                    <c:v>0.21200000000000271</c:v>
                  </c:pt>
                  <c:pt idx="143">
                    <c:v>0.20800000000000277</c:v>
                  </c:pt>
                  <c:pt idx="144">
                    <c:v>0.20400000000000279</c:v>
                  </c:pt>
                  <c:pt idx="145">
                    <c:v>0.20000000000000279</c:v>
                  </c:pt>
                  <c:pt idx="146">
                    <c:v>0.19600000000000287</c:v>
                  </c:pt>
                  <c:pt idx="147">
                    <c:v>0.19200000000000286</c:v>
                  </c:pt>
                  <c:pt idx="148">
                    <c:v>0.18800000000000297</c:v>
                  </c:pt>
                  <c:pt idx="149">
                    <c:v>0.18400000000000297</c:v>
                  </c:pt>
                  <c:pt idx="150">
                    <c:v>0.18000000000000299</c:v>
                  </c:pt>
                  <c:pt idx="151">
                    <c:v>0.17600000000000304</c:v>
                  </c:pt>
                  <c:pt idx="152">
                    <c:v>0.17200000000000307</c:v>
                  </c:pt>
                  <c:pt idx="153">
                    <c:v>0.16800000000000312</c:v>
                  </c:pt>
                  <c:pt idx="154">
                    <c:v>0.16400000000000312</c:v>
                  </c:pt>
                  <c:pt idx="155">
                    <c:v>0.16000000000000317</c:v>
                  </c:pt>
                  <c:pt idx="156">
                    <c:v>0.15600000000000319</c:v>
                  </c:pt>
                  <c:pt idx="157">
                    <c:v>0.15200000000000324</c:v>
                  </c:pt>
                  <c:pt idx="158">
                    <c:v>0.14800000000000327</c:v>
                  </c:pt>
                  <c:pt idx="159">
                    <c:v>0.14400000000000332</c:v>
                  </c:pt>
                  <c:pt idx="160">
                    <c:v>0.14000000000000332</c:v>
                  </c:pt>
                  <c:pt idx="161">
                    <c:v>0.13600000000000337</c:v>
                  </c:pt>
                  <c:pt idx="162">
                    <c:v>0.13200000000000339</c:v>
                  </c:pt>
                  <c:pt idx="163">
                    <c:v>0.12800000000000344</c:v>
                  </c:pt>
                  <c:pt idx="164">
                    <c:v>0.12400000000000345</c:v>
                  </c:pt>
                  <c:pt idx="165">
                    <c:v>0.12000000000000351</c:v>
                  </c:pt>
                  <c:pt idx="166">
                    <c:v>0.11600000000000353</c:v>
                  </c:pt>
                  <c:pt idx="167">
                    <c:v>0.11200000000000353</c:v>
                  </c:pt>
                  <c:pt idx="168">
                    <c:v>0.10800000000000358</c:v>
                  </c:pt>
                  <c:pt idx="169">
                    <c:v>0.10400000000000362</c:v>
                  </c:pt>
                  <c:pt idx="170">
                    <c:v>0.10000000000000366</c:v>
                  </c:pt>
                  <c:pt idx="171">
                    <c:v>9.6000000000003707E-2</c:v>
                  </c:pt>
                  <c:pt idx="172">
                    <c:v>9.2000000000003745E-2</c:v>
                  </c:pt>
                  <c:pt idx="173">
                    <c:v>8.8000000000003784E-2</c:v>
                  </c:pt>
                  <c:pt idx="174">
                    <c:v>8.400000000000378E-2</c:v>
                  </c:pt>
                  <c:pt idx="175">
                    <c:v>8.0000000000003818E-2</c:v>
                  </c:pt>
                  <c:pt idx="176">
                    <c:v>7.6000000000003856E-2</c:v>
                  </c:pt>
                  <c:pt idx="177">
                    <c:v>7.2000000000003908E-2</c:v>
                  </c:pt>
                  <c:pt idx="178">
                    <c:v>6.8000000000003946E-2</c:v>
                  </c:pt>
                  <c:pt idx="179">
                    <c:v>6.4000000000003984E-2</c:v>
                  </c:pt>
                  <c:pt idx="180">
                    <c:v>6.0000000000004022E-2</c:v>
                  </c:pt>
                  <c:pt idx="181">
                    <c:v>5.6000000000004019E-2</c:v>
                  </c:pt>
                  <c:pt idx="182">
                    <c:v>5.2000000000004057E-2</c:v>
                  </c:pt>
                  <c:pt idx="183">
                    <c:v>4.8000000000004095E-2</c:v>
                  </c:pt>
                  <c:pt idx="184">
                    <c:v>4.4000000000004147E-2</c:v>
                  </c:pt>
                  <c:pt idx="185">
                    <c:v>4.0000000000004185E-2</c:v>
                  </c:pt>
                  <c:pt idx="186">
                    <c:v>3.6000000000004223E-2</c:v>
                  </c:pt>
                  <c:pt idx="187">
                    <c:v>3.200000000000422E-2</c:v>
                  </c:pt>
                  <c:pt idx="188">
                    <c:v>2.8000000000004261E-2</c:v>
                  </c:pt>
                  <c:pt idx="189">
                    <c:v>2.4000000000004306E-2</c:v>
                  </c:pt>
                  <c:pt idx="190">
                    <c:v>2.0000000000004344E-2</c:v>
                  </c:pt>
                  <c:pt idx="191">
                    <c:v>1.6000000000004382E-2</c:v>
                  </c:pt>
                  <c:pt idx="192">
                    <c:v>1.2000000000004427E-2</c:v>
                  </c:pt>
                  <c:pt idx="193">
                    <c:v>8.0000000000044653E-3</c:v>
                  </c:pt>
                  <c:pt idx="194">
                    <c:v>4.0000000000044618E-3</c:v>
                  </c:pt>
                  <c:pt idx="195">
                    <c:v>4.5033421436357912E-15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C0C0C0"/>
                </a:solidFill>
                <a:prstDash val="solid"/>
              </a:ln>
            </c:spPr>
          </c:errBars>
          <c:xVal>
            <c:numRef>
              <c:f>Subsets!$DK$11:$DK$211</c:f>
              <c:numCache>
                <c:formatCode>General</c:formatCode>
                <c:ptCount val="201"/>
                <c:pt idx="0">
                  <c:v>1.4982434435436218E-2</c:v>
                </c:pt>
                <c:pt idx="1">
                  <c:v>1.5775773336530179E-2</c:v>
                </c:pt>
                <c:pt idx="2">
                  <c:v>1.656911223762414E-2</c:v>
                </c:pt>
                <c:pt idx="3">
                  <c:v>1.73624511387181E-2</c:v>
                </c:pt>
                <c:pt idx="4">
                  <c:v>1.8155790039812061E-2</c:v>
                </c:pt>
                <c:pt idx="5">
                  <c:v>1.8949128940906022E-2</c:v>
                </c:pt>
                <c:pt idx="6">
                  <c:v>1.9742467841999983E-2</c:v>
                </c:pt>
                <c:pt idx="7">
                  <c:v>2.0535806743093944E-2</c:v>
                </c:pt>
                <c:pt idx="8">
                  <c:v>2.1329145644187905E-2</c:v>
                </c:pt>
                <c:pt idx="9">
                  <c:v>2.2122484545281866E-2</c:v>
                </c:pt>
                <c:pt idx="10">
                  <c:v>2.2915823446375827E-2</c:v>
                </c:pt>
                <c:pt idx="11">
                  <c:v>2.3709162347469788E-2</c:v>
                </c:pt>
                <c:pt idx="12">
                  <c:v>2.4502501248563749E-2</c:v>
                </c:pt>
                <c:pt idx="13">
                  <c:v>2.529584014965771E-2</c:v>
                </c:pt>
                <c:pt idx="14">
                  <c:v>2.6089179050751671E-2</c:v>
                </c:pt>
                <c:pt idx="15">
                  <c:v>2.6882517951845632E-2</c:v>
                </c:pt>
                <c:pt idx="16">
                  <c:v>2.7675856852939593E-2</c:v>
                </c:pt>
                <c:pt idx="17">
                  <c:v>2.8469195754033554E-2</c:v>
                </c:pt>
                <c:pt idx="18">
                  <c:v>2.9262534655127515E-2</c:v>
                </c:pt>
                <c:pt idx="19">
                  <c:v>3.0055873556221475E-2</c:v>
                </c:pt>
                <c:pt idx="20">
                  <c:v>3.0849212457315436E-2</c:v>
                </c:pt>
                <c:pt idx="21">
                  <c:v>3.1642551358409397E-2</c:v>
                </c:pt>
                <c:pt idx="22">
                  <c:v>3.2435890259503358E-2</c:v>
                </c:pt>
                <c:pt idx="23">
                  <c:v>3.3229229160597319E-2</c:v>
                </c:pt>
                <c:pt idx="24">
                  <c:v>3.402256806169128E-2</c:v>
                </c:pt>
                <c:pt idx="25">
                  <c:v>3.4815906962785241E-2</c:v>
                </c:pt>
                <c:pt idx="26">
                  <c:v>3.5609245863879202E-2</c:v>
                </c:pt>
                <c:pt idx="27">
                  <c:v>3.6402584764973163E-2</c:v>
                </c:pt>
                <c:pt idx="28">
                  <c:v>3.7195923666067124E-2</c:v>
                </c:pt>
                <c:pt idx="29">
                  <c:v>3.7989262567161085E-2</c:v>
                </c:pt>
                <c:pt idx="30">
                  <c:v>3.8782601468255046E-2</c:v>
                </c:pt>
                <c:pt idx="31">
                  <c:v>3.9575940369349007E-2</c:v>
                </c:pt>
                <c:pt idx="32">
                  <c:v>4.0369279270442968E-2</c:v>
                </c:pt>
                <c:pt idx="33">
                  <c:v>4.1162618171536929E-2</c:v>
                </c:pt>
                <c:pt idx="34">
                  <c:v>4.1955957072630889E-2</c:v>
                </c:pt>
                <c:pt idx="35">
                  <c:v>4.274929597372485E-2</c:v>
                </c:pt>
                <c:pt idx="36">
                  <c:v>4.3542634874818811E-2</c:v>
                </c:pt>
                <c:pt idx="37">
                  <c:v>4.4335973775912772E-2</c:v>
                </c:pt>
                <c:pt idx="38">
                  <c:v>4.5129312677006733E-2</c:v>
                </c:pt>
                <c:pt idx="39">
                  <c:v>4.5922651578100694E-2</c:v>
                </c:pt>
                <c:pt idx="40">
                  <c:v>4.6715990479194655E-2</c:v>
                </c:pt>
                <c:pt idx="41">
                  <c:v>4.7509329380288616E-2</c:v>
                </c:pt>
                <c:pt idx="42">
                  <c:v>4.8302668281382577E-2</c:v>
                </c:pt>
                <c:pt idx="43">
                  <c:v>4.9096007182476538E-2</c:v>
                </c:pt>
                <c:pt idx="44">
                  <c:v>4.9889346083570499E-2</c:v>
                </c:pt>
                <c:pt idx="45">
                  <c:v>5.068268498466446E-2</c:v>
                </c:pt>
                <c:pt idx="46">
                  <c:v>5.1476023885758421E-2</c:v>
                </c:pt>
                <c:pt idx="47">
                  <c:v>5.2269362786852382E-2</c:v>
                </c:pt>
                <c:pt idx="48">
                  <c:v>5.3062701687946343E-2</c:v>
                </c:pt>
                <c:pt idx="49">
                  <c:v>5.3856040589040304E-2</c:v>
                </c:pt>
                <c:pt idx="50">
                  <c:v>5.4649379490134264E-2</c:v>
                </c:pt>
                <c:pt idx="51">
                  <c:v>5.5442718391228225E-2</c:v>
                </c:pt>
                <c:pt idx="52">
                  <c:v>5.6236057292322186E-2</c:v>
                </c:pt>
                <c:pt idx="53">
                  <c:v>5.7029396193416147E-2</c:v>
                </c:pt>
                <c:pt idx="54">
                  <c:v>5.7822735094510108E-2</c:v>
                </c:pt>
                <c:pt idx="55">
                  <c:v>5.8616073995604069E-2</c:v>
                </c:pt>
                <c:pt idx="56">
                  <c:v>5.940941289669803E-2</c:v>
                </c:pt>
                <c:pt idx="57">
                  <c:v>6.0202751797791991E-2</c:v>
                </c:pt>
                <c:pt idx="58">
                  <c:v>6.0996090698885952E-2</c:v>
                </c:pt>
                <c:pt idx="59">
                  <c:v>6.1789429599979913E-2</c:v>
                </c:pt>
                <c:pt idx="60">
                  <c:v>6.2582768501073874E-2</c:v>
                </c:pt>
                <c:pt idx="61">
                  <c:v>6.3376107402167828E-2</c:v>
                </c:pt>
                <c:pt idx="62">
                  <c:v>6.4169446303261782E-2</c:v>
                </c:pt>
                <c:pt idx="63">
                  <c:v>6.4962785204355736E-2</c:v>
                </c:pt>
                <c:pt idx="64">
                  <c:v>6.575612410544969E-2</c:v>
                </c:pt>
                <c:pt idx="65">
                  <c:v>6.6549463006543644E-2</c:v>
                </c:pt>
                <c:pt idx="66">
                  <c:v>6.7342801907637598E-2</c:v>
                </c:pt>
                <c:pt idx="67">
                  <c:v>6.8136140808731552E-2</c:v>
                </c:pt>
                <c:pt idx="68">
                  <c:v>6.8929479709825506E-2</c:v>
                </c:pt>
                <c:pt idx="69">
                  <c:v>6.972281861091946E-2</c:v>
                </c:pt>
                <c:pt idx="70">
                  <c:v>7.0516157512013414E-2</c:v>
                </c:pt>
                <c:pt idx="71">
                  <c:v>7.1309496413107368E-2</c:v>
                </c:pt>
                <c:pt idx="72">
                  <c:v>7.2102835314201322E-2</c:v>
                </c:pt>
                <c:pt idx="73">
                  <c:v>7.2896174215295276E-2</c:v>
                </c:pt>
                <c:pt idx="74">
                  <c:v>7.368951311638923E-2</c:v>
                </c:pt>
                <c:pt idx="75">
                  <c:v>7.4482852017483184E-2</c:v>
                </c:pt>
                <c:pt idx="76">
                  <c:v>7.5276190918577138E-2</c:v>
                </c:pt>
                <c:pt idx="77">
                  <c:v>7.6069529819671092E-2</c:v>
                </c:pt>
                <c:pt idx="78">
                  <c:v>7.6862868720765046E-2</c:v>
                </c:pt>
                <c:pt idx="79">
                  <c:v>7.7656207621859E-2</c:v>
                </c:pt>
                <c:pt idx="80">
                  <c:v>7.8449546522952954E-2</c:v>
                </c:pt>
                <c:pt idx="81">
                  <c:v>7.9242885424046908E-2</c:v>
                </c:pt>
                <c:pt idx="82">
                  <c:v>8.0036224325140862E-2</c:v>
                </c:pt>
                <c:pt idx="83">
                  <c:v>8.0829563226234816E-2</c:v>
                </c:pt>
                <c:pt idx="84">
                  <c:v>8.162290212732877E-2</c:v>
                </c:pt>
                <c:pt idx="85">
                  <c:v>8.2416241028422724E-2</c:v>
                </c:pt>
                <c:pt idx="86">
                  <c:v>8.3209579929516678E-2</c:v>
                </c:pt>
                <c:pt idx="87">
                  <c:v>8.4002918830610632E-2</c:v>
                </c:pt>
                <c:pt idx="88">
                  <c:v>8.4796257731704586E-2</c:v>
                </c:pt>
                <c:pt idx="89">
                  <c:v>8.558959663279854E-2</c:v>
                </c:pt>
                <c:pt idx="90">
                  <c:v>8.6382935533892494E-2</c:v>
                </c:pt>
                <c:pt idx="91">
                  <c:v>8.7176274434986448E-2</c:v>
                </c:pt>
                <c:pt idx="92">
                  <c:v>8.7969613336080402E-2</c:v>
                </c:pt>
                <c:pt idx="93">
                  <c:v>8.8762952237174356E-2</c:v>
                </c:pt>
                <c:pt idx="94">
                  <c:v>8.955629113826831E-2</c:v>
                </c:pt>
                <c:pt idx="95">
                  <c:v>9.0349630039362264E-2</c:v>
                </c:pt>
                <c:pt idx="96">
                  <c:v>9.1142968940456218E-2</c:v>
                </c:pt>
                <c:pt idx="97">
                  <c:v>9.1936307841550172E-2</c:v>
                </c:pt>
                <c:pt idx="98">
                  <c:v>9.2729646742644126E-2</c:v>
                </c:pt>
                <c:pt idx="99">
                  <c:v>9.352298564373808E-2</c:v>
                </c:pt>
                <c:pt idx="100">
                  <c:v>9.4316324544832034E-2</c:v>
                </c:pt>
                <c:pt idx="101">
                  <c:v>9.5109663445925988E-2</c:v>
                </c:pt>
                <c:pt idx="102">
                  <c:v>9.5903002347019942E-2</c:v>
                </c:pt>
                <c:pt idx="103">
                  <c:v>9.6696341248113896E-2</c:v>
                </c:pt>
                <c:pt idx="104">
                  <c:v>9.748968014920785E-2</c:v>
                </c:pt>
                <c:pt idx="105">
                  <c:v>9.8283019050301804E-2</c:v>
                </c:pt>
                <c:pt idx="106">
                  <c:v>9.9076357951395758E-2</c:v>
                </c:pt>
                <c:pt idx="107">
                  <c:v>9.9869696852489712E-2</c:v>
                </c:pt>
                <c:pt idx="108">
                  <c:v>0.10066303575358367</c:v>
                </c:pt>
                <c:pt idx="109">
                  <c:v>0.10145637465467762</c:v>
                </c:pt>
                <c:pt idx="110">
                  <c:v>0.10224971355577157</c:v>
                </c:pt>
                <c:pt idx="111">
                  <c:v>0.10304305245686553</c:v>
                </c:pt>
                <c:pt idx="112">
                  <c:v>0.10383639135795948</c:v>
                </c:pt>
                <c:pt idx="113">
                  <c:v>0.10462973025905344</c:v>
                </c:pt>
                <c:pt idx="114">
                  <c:v>0.10542306916014739</c:v>
                </c:pt>
                <c:pt idx="115">
                  <c:v>0.10621640806124134</c:v>
                </c:pt>
                <c:pt idx="116">
                  <c:v>0.1070097469623353</c:v>
                </c:pt>
                <c:pt idx="117">
                  <c:v>0.10780308586342925</c:v>
                </c:pt>
                <c:pt idx="118">
                  <c:v>0.10859642476452321</c:v>
                </c:pt>
                <c:pt idx="119">
                  <c:v>0.10938976366561716</c:v>
                </c:pt>
                <c:pt idx="120">
                  <c:v>0.11018310256671111</c:v>
                </c:pt>
                <c:pt idx="121">
                  <c:v>0.11097644146780507</c:v>
                </c:pt>
                <c:pt idx="122">
                  <c:v>0.11176978036889902</c:v>
                </c:pt>
                <c:pt idx="123">
                  <c:v>0.11256311926999298</c:v>
                </c:pt>
                <c:pt idx="124">
                  <c:v>0.11335645817108693</c:v>
                </c:pt>
                <c:pt idx="125">
                  <c:v>0.11414979707218088</c:v>
                </c:pt>
                <c:pt idx="126">
                  <c:v>0.11494313597327484</c:v>
                </c:pt>
                <c:pt idx="127">
                  <c:v>0.11573647487436879</c:v>
                </c:pt>
                <c:pt idx="128">
                  <c:v>0.11652981377546275</c:v>
                </c:pt>
                <c:pt idx="129">
                  <c:v>0.1173231526765567</c:v>
                </c:pt>
                <c:pt idx="130">
                  <c:v>0.11811649157765065</c:v>
                </c:pt>
                <c:pt idx="131">
                  <c:v>0.11890983047874461</c:v>
                </c:pt>
                <c:pt idx="132">
                  <c:v>0.11970316937983856</c:v>
                </c:pt>
                <c:pt idx="133">
                  <c:v>0.12049650828093252</c:v>
                </c:pt>
                <c:pt idx="134">
                  <c:v>0.12128984718202647</c:v>
                </c:pt>
                <c:pt idx="135">
                  <c:v>0.12208318608312042</c:v>
                </c:pt>
                <c:pt idx="136">
                  <c:v>0.12287652498421438</c:v>
                </c:pt>
                <c:pt idx="137">
                  <c:v>0.12366986388530833</c:v>
                </c:pt>
                <c:pt idx="138">
                  <c:v>0.12446320278640229</c:v>
                </c:pt>
                <c:pt idx="139">
                  <c:v>0.12525654168749625</c:v>
                </c:pt>
                <c:pt idx="140">
                  <c:v>0.12604988058859021</c:v>
                </c:pt>
                <c:pt idx="141">
                  <c:v>0.12684321948968416</c:v>
                </c:pt>
                <c:pt idx="142">
                  <c:v>0.12763655839077812</c:v>
                </c:pt>
                <c:pt idx="143">
                  <c:v>0.12842989729187207</c:v>
                </c:pt>
                <c:pt idx="144">
                  <c:v>0.12922323619296602</c:v>
                </c:pt>
                <c:pt idx="145">
                  <c:v>0.13001657509405998</c:v>
                </c:pt>
                <c:pt idx="146">
                  <c:v>0.13080991399515393</c:v>
                </c:pt>
                <c:pt idx="147">
                  <c:v>0.13160325289624789</c:v>
                </c:pt>
                <c:pt idx="148">
                  <c:v>0.13239659179734184</c:v>
                </c:pt>
                <c:pt idx="149">
                  <c:v>0.13318993069843579</c:v>
                </c:pt>
                <c:pt idx="150">
                  <c:v>0.13398326959952975</c:v>
                </c:pt>
                <c:pt idx="151">
                  <c:v>0.1347766085006237</c:v>
                </c:pt>
                <c:pt idx="152">
                  <c:v>0.13556994740171766</c:v>
                </c:pt>
                <c:pt idx="153">
                  <c:v>0.13636328630281161</c:v>
                </c:pt>
                <c:pt idx="154">
                  <c:v>0.13715662520390556</c:v>
                </c:pt>
                <c:pt idx="155">
                  <c:v>0.13794996410499952</c:v>
                </c:pt>
                <c:pt idx="156">
                  <c:v>0.13874330300609347</c:v>
                </c:pt>
                <c:pt idx="157">
                  <c:v>0.13953664190718743</c:v>
                </c:pt>
                <c:pt idx="158">
                  <c:v>0.14032998080828138</c:v>
                </c:pt>
                <c:pt idx="159">
                  <c:v>0.14112331970937533</c:v>
                </c:pt>
                <c:pt idx="160">
                  <c:v>0.14191665861046929</c:v>
                </c:pt>
                <c:pt idx="161">
                  <c:v>0.14270999751156324</c:v>
                </c:pt>
                <c:pt idx="162">
                  <c:v>0.1435033364126572</c:v>
                </c:pt>
                <c:pt idx="163">
                  <c:v>0.14429667531375115</c:v>
                </c:pt>
                <c:pt idx="164">
                  <c:v>0.1450900142148451</c:v>
                </c:pt>
                <c:pt idx="165">
                  <c:v>0.14588335311593906</c:v>
                </c:pt>
                <c:pt idx="166">
                  <c:v>0.14667669201703301</c:v>
                </c:pt>
                <c:pt idx="167">
                  <c:v>0.14747003091812697</c:v>
                </c:pt>
                <c:pt idx="168">
                  <c:v>0.14826336981922092</c:v>
                </c:pt>
                <c:pt idx="169">
                  <c:v>0.14905670872031487</c:v>
                </c:pt>
                <c:pt idx="170">
                  <c:v>0.14985004762140883</c:v>
                </c:pt>
                <c:pt idx="171">
                  <c:v>0.15064338652250278</c:v>
                </c:pt>
                <c:pt idx="172">
                  <c:v>0.15143672542359674</c:v>
                </c:pt>
                <c:pt idx="173">
                  <c:v>0.15223006432469069</c:v>
                </c:pt>
                <c:pt idx="174">
                  <c:v>0.15302340322578464</c:v>
                </c:pt>
                <c:pt idx="175">
                  <c:v>0.1538167421268786</c:v>
                </c:pt>
                <c:pt idx="176">
                  <c:v>0.15461008102797255</c:v>
                </c:pt>
                <c:pt idx="177">
                  <c:v>0.15540341992906651</c:v>
                </c:pt>
                <c:pt idx="178">
                  <c:v>0.15619675883016046</c:v>
                </c:pt>
                <c:pt idx="179">
                  <c:v>0.15699009773125441</c:v>
                </c:pt>
                <c:pt idx="180">
                  <c:v>0.15778343663234837</c:v>
                </c:pt>
                <c:pt idx="181">
                  <c:v>0.15857677553344232</c:v>
                </c:pt>
                <c:pt idx="182">
                  <c:v>0.15937011443453628</c:v>
                </c:pt>
                <c:pt idx="183">
                  <c:v>0.16016345333563023</c:v>
                </c:pt>
                <c:pt idx="184">
                  <c:v>0.16095679223672418</c:v>
                </c:pt>
                <c:pt idx="185">
                  <c:v>0.16175013113781814</c:v>
                </c:pt>
                <c:pt idx="186">
                  <c:v>0.16254347003891209</c:v>
                </c:pt>
                <c:pt idx="187">
                  <c:v>0.16333680894000605</c:v>
                </c:pt>
                <c:pt idx="188">
                  <c:v>0.1641301478411</c:v>
                </c:pt>
                <c:pt idx="189">
                  <c:v>0.16492348674219395</c:v>
                </c:pt>
                <c:pt idx="190">
                  <c:v>0.16571682564328791</c:v>
                </c:pt>
                <c:pt idx="191">
                  <c:v>0.16651016454438186</c:v>
                </c:pt>
                <c:pt idx="192">
                  <c:v>0.16730350344547582</c:v>
                </c:pt>
                <c:pt idx="193">
                  <c:v>0.16809684234656977</c:v>
                </c:pt>
                <c:pt idx="194">
                  <c:v>0.16889018124766372</c:v>
                </c:pt>
                <c:pt idx="195">
                  <c:v>0.16968352014875768</c:v>
                </c:pt>
                <c:pt idx="196">
                  <c:v>0.17047685904985163</c:v>
                </c:pt>
                <c:pt idx="197">
                  <c:v>0.17127019795094559</c:v>
                </c:pt>
                <c:pt idx="198">
                  <c:v>0.17206353685203954</c:v>
                </c:pt>
                <c:pt idx="199">
                  <c:v>0.17285687575313349</c:v>
                </c:pt>
                <c:pt idx="200">
                  <c:v>0.17365021465422745</c:v>
                </c:pt>
              </c:numCache>
            </c:numRef>
          </c:xVal>
          <c:yVal>
            <c:numRef>
              <c:f>Subsets!$DN$11:$DN$211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5BA-4EEE-B6B7-E7D2614A0440}"/>
            </c:ext>
          </c:extLst>
        </c:ser>
        <c:ser>
          <c:idx val="34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Subsets!$DN$5:$DN$9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Subsets!$DO$5:$DO$9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5BA-4EEE-B6B7-E7D2614A0440}"/>
            </c:ext>
          </c:extLst>
        </c:ser>
        <c:ser>
          <c:idx val="38"/>
          <c:order val="4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Subsets!$DR$5:$DR$9</c:f>
              <c:numCache>
                <c:formatCode>General</c:formatCode>
                <c:ptCount val="5"/>
                <c:pt idx="0">
                  <c:v>3.2436981189514734E-2</c:v>
                </c:pt>
                <c:pt idx="1">
                  <c:v>-3.0854640124536627E-2</c:v>
                </c:pt>
                <c:pt idx="2">
                  <c:v>3.2436981189514734E-2</c:v>
                </c:pt>
                <c:pt idx="3">
                  <c:v>9.5728602503566101E-2</c:v>
                </c:pt>
                <c:pt idx="4">
                  <c:v>3.2436981189514734E-2</c:v>
                </c:pt>
              </c:numCache>
            </c:numRef>
          </c:xVal>
          <c:yVal>
            <c:numRef>
              <c:f>Subsets!$DS$5:$DS$9</c:f>
              <c:numCache>
                <c:formatCode>General</c:formatCode>
                <c:ptCount val="5"/>
                <c:pt idx="0">
                  <c:v>33.4</c:v>
                </c:pt>
                <c:pt idx="1">
                  <c:v>33</c:v>
                </c:pt>
                <c:pt idx="2">
                  <c:v>32.6</c:v>
                </c:pt>
                <c:pt idx="3">
                  <c:v>33</c:v>
                </c:pt>
                <c:pt idx="4">
                  <c:v>33.4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5BA-4EEE-B6B7-E7D2614A0440}"/>
            </c:ext>
          </c:extLst>
        </c:ser>
        <c:ser>
          <c:idx val="41"/>
          <c:order val="4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Subsets!$DY$11:$DY$211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6.2450045135165055E-17</c:v>
                  </c:pt>
                  <c:pt idx="6">
                    <c:v>4.000000000000066E-3</c:v>
                  </c:pt>
                  <c:pt idx="7">
                    <c:v>8.0000000000000696E-3</c:v>
                  </c:pt>
                  <c:pt idx="8">
                    <c:v>1.2000000000000118E-2</c:v>
                  </c:pt>
                  <c:pt idx="9">
                    <c:v>1.6000000000000122E-2</c:v>
                  </c:pt>
                  <c:pt idx="10">
                    <c:v>2.0000000000000125E-2</c:v>
                  </c:pt>
                  <c:pt idx="11">
                    <c:v>2.4000000000000129E-2</c:v>
                  </c:pt>
                  <c:pt idx="12">
                    <c:v>2.8000000000000132E-2</c:v>
                  </c:pt>
                  <c:pt idx="13">
                    <c:v>3.2000000000000181E-2</c:v>
                  </c:pt>
                  <c:pt idx="14">
                    <c:v>3.6000000000000185E-2</c:v>
                  </c:pt>
                  <c:pt idx="15">
                    <c:v>4.0000000000000188E-2</c:v>
                  </c:pt>
                  <c:pt idx="16">
                    <c:v>4.4000000000000192E-2</c:v>
                  </c:pt>
                  <c:pt idx="17">
                    <c:v>4.8000000000000195E-2</c:v>
                  </c:pt>
                  <c:pt idx="18">
                    <c:v>5.2000000000000199E-2</c:v>
                  </c:pt>
                  <c:pt idx="19">
                    <c:v>5.6000000000000244E-2</c:v>
                  </c:pt>
                  <c:pt idx="20">
                    <c:v>6.0000000000000248E-2</c:v>
                  </c:pt>
                  <c:pt idx="21">
                    <c:v>6.4000000000000251E-2</c:v>
                  </c:pt>
                  <c:pt idx="22">
                    <c:v>6.8000000000000255E-2</c:v>
                  </c:pt>
                  <c:pt idx="23">
                    <c:v>7.2000000000000258E-2</c:v>
                  </c:pt>
                  <c:pt idx="24">
                    <c:v>7.6000000000000303E-2</c:v>
                  </c:pt>
                  <c:pt idx="25">
                    <c:v>8.0000000000000307E-2</c:v>
                  </c:pt>
                  <c:pt idx="26">
                    <c:v>8.4000000000000311E-2</c:v>
                  </c:pt>
                  <c:pt idx="27">
                    <c:v>8.8000000000000314E-2</c:v>
                  </c:pt>
                  <c:pt idx="28">
                    <c:v>9.2000000000000318E-2</c:v>
                  </c:pt>
                  <c:pt idx="29">
                    <c:v>9.6000000000000321E-2</c:v>
                  </c:pt>
                  <c:pt idx="30">
                    <c:v>0.10000000000000028</c:v>
                  </c:pt>
                  <c:pt idx="31">
                    <c:v>0.10400000000000025</c:v>
                  </c:pt>
                  <c:pt idx="32">
                    <c:v>0.10800000000000019</c:v>
                  </c:pt>
                  <c:pt idx="33">
                    <c:v>0.11200000000000017</c:v>
                  </c:pt>
                  <c:pt idx="34">
                    <c:v>0.11600000000000017</c:v>
                  </c:pt>
                  <c:pt idx="35">
                    <c:v>0.12000000000000012</c:v>
                  </c:pt>
                  <c:pt idx="36">
                    <c:v>0.1240000000000001</c:v>
                  </c:pt>
                  <c:pt idx="37">
                    <c:v>0.12800000000000006</c:v>
                  </c:pt>
                  <c:pt idx="38">
                    <c:v>0.13200000000000006</c:v>
                  </c:pt>
                  <c:pt idx="39">
                    <c:v>0.13600000000000004</c:v>
                  </c:pt>
                  <c:pt idx="40">
                    <c:v>0.13999999999999999</c:v>
                  </c:pt>
                  <c:pt idx="41">
                    <c:v>0.14399999999999993</c:v>
                  </c:pt>
                  <c:pt idx="42">
                    <c:v>0.14799999999999991</c:v>
                  </c:pt>
                  <c:pt idx="43">
                    <c:v>0.15199999999999991</c:v>
                  </c:pt>
                  <c:pt idx="44">
                    <c:v>0.15599999999999986</c:v>
                  </c:pt>
                  <c:pt idx="45">
                    <c:v>0.15999999999999984</c:v>
                  </c:pt>
                  <c:pt idx="46">
                    <c:v>0.16399999999999978</c:v>
                  </c:pt>
                  <c:pt idx="47">
                    <c:v>0.16799999999999979</c:v>
                  </c:pt>
                  <c:pt idx="48">
                    <c:v>0.17199999999999974</c:v>
                  </c:pt>
                  <c:pt idx="49">
                    <c:v>0.17599999999999971</c:v>
                  </c:pt>
                  <c:pt idx="50">
                    <c:v>0.17999999999999966</c:v>
                  </c:pt>
                  <c:pt idx="51">
                    <c:v>0.18399999999999966</c:v>
                  </c:pt>
                  <c:pt idx="52">
                    <c:v>0.18799999999999958</c:v>
                  </c:pt>
                  <c:pt idx="53">
                    <c:v>0.19199999999999959</c:v>
                  </c:pt>
                  <c:pt idx="54">
                    <c:v>0.19599999999999954</c:v>
                  </c:pt>
                  <c:pt idx="55">
                    <c:v>0.19999999999999951</c:v>
                  </c:pt>
                  <c:pt idx="56">
                    <c:v>0.20399999999999952</c:v>
                  </c:pt>
                  <c:pt idx="57">
                    <c:v>0.20799999999999944</c:v>
                  </c:pt>
                  <c:pt idx="58">
                    <c:v>0.21199999999999944</c:v>
                  </c:pt>
                  <c:pt idx="59">
                    <c:v>0.21599999999999939</c:v>
                  </c:pt>
                  <c:pt idx="60">
                    <c:v>0.21999999999999933</c:v>
                  </c:pt>
                  <c:pt idx="61">
                    <c:v>0.22399999999999934</c:v>
                  </c:pt>
                  <c:pt idx="62">
                    <c:v>0.22799999999999931</c:v>
                  </c:pt>
                  <c:pt idx="63">
                    <c:v>0.23199999999999929</c:v>
                  </c:pt>
                  <c:pt idx="64">
                    <c:v>0.23599999999999929</c:v>
                  </c:pt>
                  <c:pt idx="65">
                    <c:v>0.23999999999999919</c:v>
                  </c:pt>
                  <c:pt idx="66">
                    <c:v>0.24399999999999919</c:v>
                  </c:pt>
                  <c:pt idx="67">
                    <c:v>0.24799999999999914</c:v>
                  </c:pt>
                  <c:pt idx="68">
                    <c:v>0.25199999999999906</c:v>
                  </c:pt>
                  <c:pt idx="69">
                    <c:v>0.25599999999999906</c:v>
                  </c:pt>
                  <c:pt idx="70">
                    <c:v>0.25999999999999901</c:v>
                  </c:pt>
                  <c:pt idx="71">
                    <c:v>0.26399999999999901</c:v>
                  </c:pt>
                  <c:pt idx="72">
                    <c:v>0.26799999999999896</c:v>
                  </c:pt>
                  <c:pt idx="73">
                    <c:v>0.27199999999999891</c:v>
                  </c:pt>
                  <c:pt idx="74">
                    <c:v>0.27599999999999891</c:v>
                  </c:pt>
                  <c:pt idx="75">
                    <c:v>0.27999999999999886</c:v>
                  </c:pt>
                  <c:pt idx="76">
                    <c:v>0.28399999999999886</c:v>
                  </c:pt>
                  <c:pt idx="77">
                    <c:v>0.28799999999999881</c:v>
                  </c:pt>
                  <c:pt idx="78">
                    <c:v>0.29199999999999876</c:v>
                  </c:pt>
                  <c:pt idx="79">
                    <c:v>0.29599999999999876</c:v>
                  </c:pt>
                  <c:pt idx="80">
                    <c:v>0.29999999999999871</c:v>
                  </c:pt>
                  <c:pt idx="81">
                    <c:v>0.30399999999999872</c:v>
                  </c:pt>
                  <c:pt idx="82">
                    <c:v>0.30799999999999866</c:v>
                  </c:pt>
                  <c:pt idx="83">
                    <c:v>0.31199999999999861</c:v>
                  </c:pt>
                  <c:pt idx="84">
                    <c:v>0.31599999999999862</c:v>
                  </c:pt>
                  <c:pt idx="85">
                    <c:v>0.31999999999999856</c:v>
                  </c:pt>
                  <c:pt idx="86">
                    <c:v>0.32399999999999851</c:v>
                  </c:pt>
                  <c:pt idx="87">
                    <c:v>0.32799999999999851</c:v>
                  </c:pt>
                  <c:pt idx="88">
                    <c:v>0.33199999999999846</c:v>
                  </c:pt>
                  <c:pt idx="89">
                    <c:v>0.33599999999999847</c:v>
                  </c:pt>
                  <c:pt idx="90">
                    <c:v>0.33999999999999841</c:v>
                  </c:pt>
                  <c:pt idx="91">
                    <c:v>0.34399999999999836</c:v>
                  </c:pt>
                  <c:pt idx="92">
                    <c:v>0.34799999999999831</c:v>
                  </c:pt>
                  <c:pt idx="93">
                    <c:v>0.35199999999999831</c:v>
                  </c:pt>
                  <c:pt idx="94">
                    <c:v>0.35599999999999832</c:v>
                  </c:pt>
                  <c:pt idx="95">
                    <c:v>0.35999999999999827</c:v>
                  </c:pt>
                  <c:pt idx="96">
                    <c:v>0.36399999999999821</c:v>
                  </c:pt>
                  <c:pt idx="97">
                    <c:v>0.36799999999999822</c:v>
                  </c:pt>
                  <c:pt idx="98">
                    <c:v>0.37199999999999817</c:v>
                  </c:pt>
                  <c:pt idx="99">
                    <c:v>0.37599999999999811</c:v>
                  </c:pt>
                  <c:pt idx="100">
                    <c:v>0.37999999999999812</c:v>
                  </c:pt>
                  <c:pt idx="101">
                    <c:v>0.37600000000000194</c:v>
                  </c:pt>
                  <c:pt idx="102">
                    <c:v>0.37200000000000194</c:v>
                  </c:pt>
                  <c:pt idx="103">
                    <c:v>0.36800000000000199</c:v>
                  </c:pt>
                  <c:pt idx="104">
                    <c:v>0.36400000000000204</c:v>
                  </c:pt>
                  <c:pt idx="105">
                    <c:v>0.3600000000000021</c:v>
                  </c:pt>
                  <c:pt idx="106">
                    <c:v>0.35600000000000209</c:v>
                  </c:pt>
                  <c:pt idx="107">
                    <c:v>0.35200000000000209</c:v>
                  </c:pt>
                  <c:pt idx="108">
                    <c:v>0.34800000000000214</c:v>
                  </c:pt>
                  <c:pt idx="109">
                    <c:v>0.34400000000000219</c:v>
                  </c:pt>
                  <c:pt idx="110">
                    <c:v>0.34000000000000224</c:v>
                  </c:pt>
                  <c:pt idx="111">
                    <c:v>0.33600000000000224</c:v>
                  </c:pt>
                  <c:pt idx="112">
                    <c:v>0.33200000000000229</c:v>
                  </c:pt>
                  <c:pt idx="113">
                    <c:v>0.32800000000000229</c:v>
                  </c:pt>
                  <c:pt idx="114">
                    <c:v>0.32400000000000234</c:v>
                  </c:pt>
                  <c:pt idx="115">
                    <c:v>0.32000000000000234</c:v>
                  </c:pt>
                  <c:pt idx="116">
                    <c:v>0.31600000000000239</c:v>
                  </c:pt>
                  <c:pt idx="117">
                    <c:v>0.31200000000000244</c:v>
                  </c:pt>
                  <c:pt idx="118">
                    <c:v>0.30800000000000249</c:v>
                  </c:pt>
                  <c:pt idx="119">
                    <c:v>0.30400000000000249</c:v>
                  </c:pt>
                  <c:pt idx="120">
                    <c:v>0.30000000000000249</c:v>
                  </c:pt>
                  <c:pt idx="121">
                    <c:v>0.29600000000000254</c:v>
                  </c:pt>
                  <c:pt idx="122">
                    <c:v>0.29200000000000259</c:v>
                  </c:pt>
                  <c:pt idx="123">
                    <c:v>0.28800000000000264</c:v>
                  </c:pt>
                  <c:pt idx="124">
                    <c:v>0.28400000000000269</c:v>
                  </c:pt>
                  <c:pt idx="125">
                    <c:v>0.28000000000000269</c:v>
                  </c:pt>
                  <c:pt idx="126">
                    <c:v>0.27600000000000269</c:v>
                  </c:pt>
                  <c:pt idx="127">
                    <c:v>0.27200000000000274</c:v>
                  </c:pt>
                  <c:pt idx="128">
                    <c:v>0.26800000000000274</c:v>
                  </c:pt>
                  <c:pt idx="129">
                    <c:v>0.26400000000000284</c:v>
                  </c:pt>
                  <c:pt idx="130">
                    <c:v>0.26000000000000284</c:v>
                  </c:pt>
                  <c:pt idx="131">
                    <c:v>0.25600000000000284</c:v>
                  </c:pt>
                  <c:pt idx="132">
                    <c:v>0.25200000000000289</c:v>
                  </c:pt>
                  <c:pt idx="133">
                    <c:v>0.24800000000000291</c:v>
                  </c:pt>
                  <c:pt idx="134">
                    <c:v>0.24400000000000302</c:v>
                  </c:pt>
                  <c:pt idx="135">
                    <c:v>0.24000000000000302</c:v>
                  </c:pt>
                  <c:pt idx="136">
                    <c:v>0.23600000000000307</c:v>
                  </c:pt>
                  <c:pt idx="137">
                    <c:v>0.23200000000000306</c:v>
                  </c:pt>
                  <c:pt idx="138">
                    <c:v>0.22800000000000309</c:v>
                  </c:pt>
                  <c:pt idx="139">
                    <c:v>0.22400000000000317</c:v>
                  </c:pt>
                  <c:pt idx="140">
                    <c:v>0.22000000000000317</c:v>
                  </c:pt>
                  <c:pt idx="141">
                    <c:v>0.21600000000000322</c:v>
                  </c:pt>
                  <c:pt idx="142">
                    <c:v>0.21200000000000324</c:v>
                  </c:pt>
                  <c:pt idx="143">
                    <c:v>0.20800000000000324</c:v>
                  </c:pt>
                  <c:pt idx="144">
                    <c:v>0.20400000000000329</c:v>
                  </c:pt>
                  <c:pt idx="145">
                    <c:v>0.20000000000000331</c:v>
                  </c:pt>
                  <c:pt idx="146">
                    <c:v>0.19600000000000337</c:v>
                  </c:pt>
                  <c:pt idx="147">
                    <c:v>0.19200000000000342</c:v>
                  </c:pt>
                  <c:pt idx="148">
                    <c:v>0.18800000000000341</c:v>
                  </c:pt>
                  <c:pt idx="149">
                    <c:v>0.18400000000000344</c:v>
                  </c:pt>
                  <c:pt idx="150">
                    <c:v>0.18000000000000349</c:v>
                  </c:pt>
                  <c:pt idx="151">
                    <c:v>0.17600000000000351</c:v>
                  </c:pt>
                  <c:pt idx="152">
                    <c:v>0.17200000000000351</c:v>
                  </c:pt>
                  <c:pt idx="153">
                    <c:v>0.16800000000000356</c:v>
                  </c:pt>
                  <c:pt idx="154">
                    <c:v>0.16400000000000362</c:v>
                  </c:pt>
                  <c:pt idx="155">
                    <c:v>0.16000000000000364</c:v>
                  </c:pt>
                  <c:pt idx="156">
                    <c:v>0.15600000000000369</c:v>
                  </c:pt>
                  <c:pt idx="157">
                    <c:v>0.15200000000000369</c:v>
                  </c:pt>
                  <c:pt idx="158">
                    <c:v>0.14800000000000371</c:v>
                  </c:pt>
                  <c:pt idx="159">
                    <c:v>0.14400000000000376</c:v>
                  </c:pt>
                  <c:pt idx="160">
                    <c:v>0.14000000000000382</c:v>
                  </c:pt>
                  <c:pt idx="161">
                    <c:v>0.13600000000000381</c:v>
                  </c:pt>
                  <c:pt idx="162">
                    <c:v>0.13200000000000384</c:v>
                  </c:pt>
                  <c:pt idx="163">
                    <c:v>0.12800000000000389</c:v>
                  </c:pt>
                  <c:pt idx="164">
                    <c:v>0.1240000000000039</c:v>
                  </c:pt>
                  <c:pt idx="165">
                    <c:v>0.12000000000000395</c:v>
                  </c:pt>
                  <c:pt idx="166">
                    <c:v>0.11600000000000395</c:v>
                  </c:pt>
                  <c:pt idx="167">
                    <c:v>0.11200000000000397</c:v>
                  </c:pt>
                  <c:pt idx="168">
                    <c:v>0.10800000000000402</c:v>
                  </c:pt>
                  <c:pt idx="169">
                    <c:v>0.10400000000000406</c:v>
                  </c:pt>
                  <c:pt idx="170">
                    <c:v>0.1000000000000041</c:v>
                  </c:pt>
                  <c:pt idx="171">
                    <c:v>9.6000000000004096E-2</c:v>
                  </c:pt>
                  <c:pt idx="172">
                    <c:v>9.2000000000004148E-2</c:v>
                  </c:pt>
                  <c:pt idx="173">
                    <c:v>8.8000000000004186E-2</c:v>
                  </c:pt>
                  <c:pt idx="174">
                    <c:v>8.4000000000004224E-2</c:v>
                  </c:pt>
                  <c:pt idx="175">
                    <c:v>8.0000000000004221E-2</c:v>
                  </c:pt>
                  <c:pt idx="176">
                    <c:v>7.6000000000004259E-2</c:v>
                  </c:pt>
                  <c:pt idx="177">
                    <c:v>7.2000000000004297E-2</c:v>
                  </c:pt>
                  <c:pt idx="178">
                    <c:v>6.8000000000004349E-2</c:v>
                  </c:pt>
                  <c:pt idx="179">
                    <c:v>6.4000000000004387E-2</c:v>
                  </c:pt>
                  <c:pt idx="180">
                    <c:v>6.0000000000004383E-2</c:v>
                  </c:pt>
                  <c:pt idx="181">
                    <c:v>5.6000000000004421E-2</c:v>
                  </c:pt>
                  <c:pt idx="182">
                    <c:v>5.2000000000004459E-2</c:v>
                  </c:pt>
                  <c:pt idx="183">
                    <c:v>4.8000000000004497E-2</c:v>
                  </c:pt>
                  <c:pt idx="184">
                    <c:v>4.4000000000004494E-2</c:v>
                  </c:pt>
                  <c:pt idx="185">
                    <c:v>4.0000000000004546E-2</c:v>
                  </c:pt>
                  <c:pt idx="186">
                    <c:v>3.6000000000004584E-2</c:v>
                  </c:pt>
                  <c:pt idx="187">
                    <c:v>3.2000000000004622E-2</c:v>
                  </c:pt>
                  <c:pt idx="188">
                    <c:v>2.8000000000004664E-2</c:v>
                  </c:pt>
                  <c:pt idx="189">
                    <c:v>2.400000000000466E-2</c:v>
                  </c:pt>
                  <c:pt idx="190">
                    <c:v>2.0000000000004698E-2</c:v>
                  </c:pt>
                  <c:pt idx="191">
                    <c:v>1.6000000000004743E-2</c:v>
                  </c:pt>
                  <c:pt idx="192">
                    <c:v>1.2000000000004781E-2</c:v>
                  </c:pt>
                  <c:pt idx="193">
                    <c:v>8.0000000000047776E-3</c:v>
                  </c:pt>
                  <c:pt idx="194">
                    <c:v>4.0000000000048191E-3</c:v>
                  </c:pt>
                  <c:pt idx="195">
                    <c:v>4.8606951796870135E-15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Subsets!$DY$11:$DY$211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6.2450045135165055E-17</c:v>
                  </c:pt>
                  <c:pt idx="6">
                    <c:v>4.000000000000066E-3</c:v>
                  </c:pt>
                  <c:pt idx="7">
                    <c:v>8.0000000000000696E-3</c:v>
                  </c:pt>
                  <c:pt idx="8">
                    <c:v>1.2000000000000118E-2</c:v>
                  </c:pt>
                  <c:pt idx="9">
                    <c:v>1.6000000000000122E-2</c:v>
                  </c:pt>
                  <c:pt idx="10">
                    <c:v>2.0000000000000125E-2</c:v>
                  </c:pt>
                  <c:pt idx="11">
                    <c:v>2.4000000000000129E-2</c:v>
                  </c:pt>
                  <c:pt idx="12">
                    <c:v>2.8000000000000132E-2</c:v>
                  </c:pt>
                  <c:pt idx="13">
                    <c:v>3.2000000000000181E-2</c:v>
                  </c:pt>
                  <c:pt idx="14">
                    <c:v>3.6000000000000185E-2</c:v>
                  </c:pt>
                  <c:pt idx="15">
                    <c:v>4.0000000000000188E-2</c:v>
                  </c:pt>
                  <c:pt idx="16">
                    <c:v>4.4000000000000192E-2</c:v>
                  </c:pt>
                  <c:pt idx="17">
                    <c:v>4.8000000000000195E-2</c:v>
                  </c:pt>
                  <c:pt idx="18">
                    <c:v>5.2000000000000199E-2</c:v>
                  </c:pt>
                  <c:pt idx="19">
                    <c:v>5.6000000000000244E-2</c:v>
                  </c:pt>
                  <c:pt idx="20">
                    <c:v>6.0000000000000248E-2</c:v>
                  </c:pt>
                  <c:pt idx="21">
                    <c:v>6.4000000000000251E-2</c:v>
                  </c:pt>
                  <c:pt idx="22">
                    <c:v>6.8000000000000255E-2</c:v>
                  </c:pt>
                  <c:pt idx="23">
                    <c:v>7.2000000000000258E-2</c:v>
                  </c:pt>
                  <c:pt idx="24">
                    <c:v>7.6000000000000303E-2</c:v>
                  </c:pt>
                  <c:pt idx="25">
                    <c:v>8.0000000000000307E-2</c:v>
                  </c:pt>
                  <c:pt idx="26">
                    <c:v>8.4000000000000311E-2</c:v>
                  </c:pt>
                  <c:pt idx="27">
                    <c:v>8.8000000000000314E-2</c:v>
                  </c:pt>
                  <c:pt idx="28">
                    <c:v>9.2000000000000318E-2</c:v>
                  </c:pt>
                  <c:pt idx="29">
                    <c:v>9.6000000000000321E-2</c:v>
                  </c:pt>
                  <c:pt idx="30">
                    <c:v>0.10000000000000028</c:v>
                  </c:pt>
                  <c:pt idx="31">
                    <c:v>0.10400000000000025</c:v>
                  </c:pt>
                  <c:pt idx="32">
                    <c:v>0.10800000000000019</c:v>
                  </c:pt>
                  <c:pt idx="33">
                    <c:v>0.11200000000000017</c:v>
                  </c:pt>
                  <c:pt idx="34">
                    <c:v>0.11600000000000017</c:v>
                  </c:pt>
                  <c:pt idx="35">
                    <c:v>0.12000000000000012</c:v>
                  </c:pt>
                  <c:pt idx="36">
                    <c:v>0.1240000000000001</c:v>
                  </c:pt>
                  <c:pt idx="37">
                    <c:v>0.12800000000000006</c:v>
                  </c:pt>
                  <c:pt idx="38">
                    <c:v>0.13200000000000006</c:v>
                  </c:pt>
                  <c:pt idx="39">
                    <c:v>0.13600000000000004</c:v>
                  </c:pt>
                  <c:pt idx="40">
                    <c:v>0.13999999999999999</c:v>
                  </c:pt>
                  <c:pt idx="41">
                    <c:v>0.14399999999999993</c:v>
                  </c:pt>
                  <c:pt idx="42">
                    <c:v>0.14799999999999991</c:v>
                  </c:pt>
                  <c:pt idx="43">
                    <c:v>0.15199999999999991</c:v>
                  </c:pt>
                  <c:pt idx="44">
                    <c:v>0.15599999999999986</c:v>
                  </c:pt>
                  <c:pt idx="45">
                    <c:v>0.15999999999999984</c:v>
                  </c:pt>
                  <c:pt idx="46">
                    <c:v>0.16399999999999978</c:v>
                  </c:pt>
                  <c:pt idx="47">
                    <c:v>0.16799999999999979</c:v>
                  </c:pt>
                  <c:pt idx="48">
                    <c:v>0.17199999999999974</c:v>
                  </c:pt>
                  <c:pt idx="49">
                    <c:v>0.17599999999999971</c:v>
                  </c:pt>
                  <c:pt idx="50">
                    <c:v>0.17999999999999966</c:v>
                  </c:pt>
                  <c:pt idx="51">
                    <c:v>0.18399999999999966</c:v>
                  </c:pt>
                  <c:pt idx="52">
                    <c:v>0.18799999999999958</c:v>
                  </c:pt>
                  <c:pt idx="53">
                    <c:v>0.19199999999999959</c:v>
                  </c:pt>
                  <c:pt idx="54">
                    <c:v>0.19599999999999954</c:v>
                  </c:pt>
                  <c:pt idx="55">
                    <c:v>0.19999999999999951</c:v>
                  </c:pt>
                  <c:pt idx="56">
                    <c:v>0.20399999999999952</c:v>
                  </c:pt>
                  <c:pt idx="57">
                    <c:v>0.20799999999999944</c:v>
                  </c:pt>
                  <c:pt idx="58">
                    <c:v>0.21199999999999944</c:v>
                  </c:pt>
                  <c:pt idx="59">
                    <c:v>0.21599999999999939</c:v>
                  </c:pt>
                  <c:pt idx="60">
                    <c:v>0.21999999999999933</c:v>
                  </c:pt>
                  <c:pt idx="61">
                    <c:v>0.22399999999999934</c:v>
                  </c:pt>
                  <c:pt idx="62">
                    <c:v>0.22799999999999931</c:v>
                  </c:pt>
                  <c:pt idx="63">
                    <c:v>0.23199999999999929</c:v>
                  </c:pt>
                  <c:pt idx="64">
                    <c:v>0.23599999999999929</c:v>
                  </c:pt>
                  <c:pt idx="65">
                    <c:v>0.23999999999999919</c:v>
                  </c:pt>
                  <c:pt idx="66">
                    <c:v>0.24399999999999919</c:v>
                  </c:pt>
                  <c:pt idx="67">
                    <c:v>0.24799999999999914</c:v>
                  </c:pt>
                  <c:pt idx="68">
                    <c:v>0.25199999999999906</c:v>
                  </c:pt>
                  <c:pt idx="69">
                    <c:v>0.25599999999999906</c:v>
                  </c:pt>
                  <c:pt idx="70">
                    <c:v>0.25999999999999901</c:v>
                  </c:pt>
                  <c:pt idx="71">
                    <c:v>0.26399999999999901</c:v>
                  </c:pt>
                  <c:pt idx="72">
                    <c:v>0.26799999999999896</c:v>
                  </c:pt>
                  <c:pt idx="73">
                    <c:v>0.27199999999999891</c:v>
                  </c:pt>
                  <c:pt idx="74">
                    <c:v>0.27599999999999891</c:v>
                  </c:pt>
                  <c:pt idx="75">
                    <c:v>0.27999999999999886</c:v>
                  </c:pt>
                  <c:pt idx="76">
                    <c:v>0.28399999999999886</c:v>
                  </c:pt>
                  <c:pt idx="77">
                    <c:v>0.28799999999999881</c:v>
                  </c:pt>
                  <c:pt idx="78">
                    <c:v>0.29199999999999876</c:v>
                  </c:pt>
                  <c:pt idx="79">
                    <c:v>0.29599999999999876</c:v>
                  </c:pt>
                  <c:pt idx="80">
                    <c:v>0.29999999999999871</c:v>
                  </c:pt>
                  <c:pt idx="81">
                    <c:v>0.30399999999999872</c:v>
                  </c:pt>
                  <c:pt idx="82">
                    <c:v>0.30799999999999866</c:v>
                  </c:pt>
                  <c:pt idx="83">
                    <c:v>0.31199999999999861</c:v>
                  </c:pt>
                  <c:pt idx="84">
                    <c:v>0.31599999999999862</c:v>
                  </c:pt>
                  <c:pt idx="85">
                    <c:v>0.31999999999999856</c:v>
                  </c:pt>
                  <c:pt idx="86">
                    <c:v>0.32399999999999851</c:v>
                  </c:pt>
                  <c:pt idx="87">
                    <c:v>0.32799999999999851</c:v>
                  </c:pt>
                  <c:pt idx="88">
                    <c:v>0.33199999999999846</c:v>
                  </c:pt>
                  <c:pt idx="89">
                    <c:v>0.33599999999999847</c:v>
                  </c:pt>
                  <c:pt idx="90">
                    <c:v>0.33999999999999841</c:v>
                  </c:pt>
                  <c:pt idx="91">
                    <c:v>0.34399999999999836</c:v>
                  </c:pt>
                  <c:pt idx="92">
                    <c:v>0.34799999999999831</c:v>
                  </c:pt>
                  <c:pt idx="93">
                    <c:v>0.35199999999999831</c:v>
                  </c:pt>
                  <c:pt idx="94">
                    <c:v>0.35599999999999832</c:v>
                  </c:pt>
                  <c:pt idx="95">
                    <c:v>0.35999999999999827</c:v>
                  </c:pt>
                  <c:pt idx="96">
                    <c:v>0.36399999999999821</c:v>
                  </c:pt>
                  <c:pt idx="97">
                    <c:v>0.36799999999999822</c:v>
                  </c:pt>
                  <c:pt idx="98">
                    <c:v>0.37199999999999817</c:v>
                  </c:pt>
                  <c:pt idx="99">
                    <c:v>0.37599999999999811</c:v>
                  </c:pt>
                  <c:pt idx="100">
                    <c:v>0.37999999999999812</c:v>
                  </c:pt>
                  <c:pt idx="101">
                    <c:v>0.37600000000000194</c:v>
                  </c:pt>
                  <c:pt idx="102">
                    <c:v>0.37200000000000194</c:v>
                  </c:pt>
                  <c:pt idx="103">
                    <c:v>0.36800000000000199</c:v>
                  </c:pt>
                  <c:pt idx="104">
                    <c:v>0.36400000000000204</c:v>
                  </c:pt>
                  <c:pt idx="105">
                    <c:v>0.3600000000000021</c:v>
                  </c:pt>
                  <c:pt idx="106">
                    <c:v>0.35600000000000209</c:v>
                  </c:pt>
                  <c:pt idx="107">
                    <c:v>0.35200000000000209</c:v>
                  </c:pt>
                  <c:pt idx="108">
                    <c:v>0.34800000000000214</c:v>
                  </c:pt>
                  <c:pt idx="109">
                    <c:v>0.34400000000000219</c:v>
                  </c:pt>
                  <c:pt idx="110">
                    <c:v>0.34000000000000224</c:v>
                  </c:pt>
                  <c:pt idx="111">
                    <c:v>0.33600000000000224</c:v>
                  </c:pt>
                  <c:pt idx="112">
                    <c:v>0.33200000000000229</c:v>
                  </c:pt>
                  <c:pt idx="113">
                    <c:v>0.32800000000000229</c:v>
                  </c:pt>
                  <c:pt idx="114">
                    <c:v>0.32400000000000234</c:v>
                  </c:pt>
                  <c:pt idx="115">
                    <c:v>0.32000000000000234</c:v>
                  </c:pt>
                  <c:pt idx="116">
                    <c:v>0.31600000000000239</c:v>
                  </c:pt>
                  <c:pt idx="117">
                    <c:v>0.31200000000000244</c:v>
                  </c:pt>
                  <c:pt idx="118">
                    <c:v>0.30800000000000249</c:v>
                  </c:pt>
                  <c:pt idx="119">
                    <c:v>0.30400000000000249</c:v>
                  </c:pt>
                  <c:pt idx="120">
                    <c:v>0.30000000000000249</c:v>
                  </c:pt>
                  <c:pt idx="121">
                    <c:v>0.29600000000000254</c:v>
                  </c:pt>
                  <c:pt idx="122">
                    <c:v>0.29200000000000259</c:v>
                  </c:pt>
                  <c:pt idx="123">
                    <c:v>0.28800000000000264</c:v>
                  </c:pt>
                  <c:pt idx="124">
                    <c:v>0.28400000000000269</c:v>
                  </c:pt>
                  <c:pt idx="125">
                    <c:v>0.28000000000000269</c:v>
                  </c:pt>
                  <c:pt idx="126">
                    <c:v>0.27600000000000269</c:v>
                  </c:pt>
                  <c:pt idx="127">
                    <c:v>0.27200000000000274</c:v>
                  </c:pt>
                  <c:pt idx="128">
                    <c:v>0.26800000000000274</c:v>
                  </c:pt>
                  <c:pt idx="129">
                    <c:v>0.26400000000000284</c:v>
                  </c:pt>
                  <c:pt idx="130">
                    <c:v>0.26000000000000284</c:v>
                  </c:pt>
                  <c:pt idx="131">
                    <c:v>0.25600000000000284</c:v>
                  </c:pt>
                  <c:pt idx="132">
                    <c:v>0.25200000000000289</c:v>
                  </c:pt>
                  <c:pt idx="133">
                    <c:v>0.24800000000000291</c:v>
                  </c:pt>
                  <c:pt idx="134">
                    <c:v>0.24400000000000302</c:v>
                  </c:pt>
                  <c:pt idx="135">
                    <c:v>0.24000000000000302</c:v>
                  </c:pt>
                  <c:pt idx="136">
                    <c:v>0.23600000000000307</c:v>
                  </c:pt>
                  <c:pt idx="137">
                    <c:v>0.23200000000000306</c:v>
                  </c:pt>
                  <c:pt idx="138">
                    <c:v>0.22800000000000309</c:v>
                  </c:pt>
                  <c:pt idx="139">
                    <c:v>0.22400000000000317</c:v>
                  </c:pt>
                  <c:pt idx="140">
                    <c:v>0.22000000000000317</c:v>
                  </c:pt>
                  <c:pt idx="141">
                    <c:v>0.21600000000000322</c:v>
                  </c:pt>
                  <c:pt idx="142">
                    <c:v>0.21200000000000324</c:v>
                  </c:pt>
                  <c:pt idx="143">
                    <c:v>0.20800000000000324</c:v>
                  </c:pt>
                  <c:pt idx="144">
                    <c:v>0.20400000000000329</c:v>
                  </c:pt>
                  <c:pt idx="145">
                    <c:v>0.20000000000000331</c:v>
                  </c:pt>
                  <c:pt idx="146">
                    <c:v>0.19600000000000337</c:v>
                  </c:pt>
                  <c:pt idx="147">
                    <c:v>0.19200000000000342</c:v>
                  </c:pt>
                  <c:pt idx="148">
                    <c:v>0.18800000000000341</c:v>
                  </c:pt>
                  <c:pt idx="149">
                    <c:v>0.18400000000000344</c:v>
                  </c:pt>
                  <c:pt idx="150">
                    <c:v>0.18000000000000349</c:v>
                  </c:pt>
                  <c:pt idx="151">
                    <c:v>0.17600000000000351</c:v>
                  </c:pt>
                  <c:pt idx="152">
                    <c:v>0.17200000000000351</c:v>
                  </c:pt>
                  <c:pt idx="153">
                    <c:v>0.16800000000000356</c:v>
                  </c:pt>
                  <c:pt idx="154">
                    <c:v>0.16400000000000362</c:v>
                  </c:pt>
                  <c:pt idx="155">
                    <c:v>0.16000000000000364</c:v>
                  </c:pt>
                  <c:pt idx="156">
                    <c:v>0.15600000000000369</c:v>
                  </c:pt>
                  <c:pt idx="157">
                    <c:v>0.15200000000000369</c:v>
                  </c:pt>
                  <c:pt idx="158">
                    <c:v>0.14800000000000371</c:v>
                  </c:pt>
                  <c:pt idx="159">
                    <c:v>0.14400000000000376</c:v>
                  </c:pt>
                  <c:pt idx="160">
                    <c:v>0.14000000000000382</c:v>
                  </c:pt>
                  <c:pt idx="161">
                    <c:v>0.13600000000000381</c:v>
                  </c:pt>
                  <c:pt idx="162">
                    <c:v>0.13200000000000384</c:v>
                  </c:pt>
                  <c:pt idx="163">
                    <c:v>0.12800000000000389</c:v>
                  </c:pt>
                  <c:pt idx="164">
                    <c:v>0.1240000000000039</c:v>
                  </c:pt>
                  <c:pt idx="165">
                    <c:v>0.12000000000000395</c:v>
                  </c:pt>
                  <c:pt idx="166">
                    <c:v>0.11600000000000395</c:v>
                  </c:pt>
                  <c:pt idx="167">
                    <c:v>0.11200000000000397</c:v>
                  </c:pt>
                  <c:pt idx="168">
                    <c:v>0.10800000000000402</c:v>
                  </c:pt>
                  <c:pt idx="169">
                    <c:v>0.10400000000000406</c:v>
                  </c:pt>
                  <c:pt idx="170">
                    <c:v>0.1000000000000041</c:v>
                  </c:pt>
                  <c:pt idx="171">
                    <c:v>9.6000000000004096E-2</c:v>
                  </c:pt>
                  <c:pt idx="172">
                    <c:v>9.2000000000004148E-2</c:v>
                  </c:pt>
                  <c:pt idx="173">
                    <c:v>8.8000000000004186E-2</c:v>
                  </c:pt>
                  <c:pt idx="174">
                    <c:v>8.4000000000004224E-2</c:v>
                  </c:pt>
                  <c:pt idx="175">
                    <c:v>8.0000000000004221E-2</c:v>
                  </c:pt>
                  <c:pt idx="176">
                    <c:v>7.6000000000004259E-2</c:v>
                  </c:pt>
                  <c:pt idx="177">
                    <c:v>7.2000000000004297E-2</c:v>
                  </c:pt>
                  <c:pt idx="178">
                    <c:v>6.8000000000004349E-2</c:v>
                  </c:pt>
                  <c:pt idx="179">
                    <c:v>6.4000000000004387E-2</c:v>
                  </c:pt>
                  <c:pt idx="180">
                    <c:v>6.0000000000004383E-2</c:v>
                  </c:pt>
                  <c:pt idx="181">
                    <c:v>5.6000000000004421E-2</c:v>
                  </c:pt>
                  <c:pt idx="182">
                    <c:v>5.2000000000004459E-2</c:v>
                  </c:pt>
                  <c:pt idx="183">
                    <c:v>4.8000000000004497E-2</c:v>
                  </c:pt>
                  <c:pt idx="184">
                    <c:v>4.4000000000004494E-2</c:v>
                  </c:pt>
                  <c:pt idx="185">
                    <c:v>4.0000000000004546E-2</c:v>
                  </c:pt>
                  <c:pt idx="186">
                    <c:v>3.6000000000004584E-2</c:v>
                  </c:pt>
                  <c:pt idx="187">
                    <c:v>3.2000000000004622E-2</c:v>
                  </c:pt>
                  <c:pt idx="188">
                    <c:v>2.8000000000004664E-2</c:v>
                  </c:pt>
                  <c:pt idx="189">
                    <c:v>2.400000000000466E-2</c:v>
                  </c:pt>
                  <c:pt idx="190">
                    <c:v>2.0000000000004698E-2</c:v>
                  </c:pt>
                  <c:pt idx="191">
                    <c:v>1.6000000000004743E-2</c:v>
                  </c:pt>
                  <c:pt idx="192">
                    <c:v>1.2000000000004781E-2</c:v>
                  </c:pt>
                  <c:pt idx="193">
                    <c:v>8.0000000000047776E-3</c:v>
                  </c:pt>
                  <c:pt idx="194">
                    <c:v>4.0000000000048191E-3</c:v>
                  </c:pt>
                  <c:pt idx="195">
                    <c:v>4.8606951796870135E-15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Subsets!$DV$11:$DV$211</c:f>
              <c:numCache>
                <c:formatCode>General</c:formatCode>
                <c:ptCount val="201"/>
                <c:pt idx="0">
                  <c:v>8.8253150933166102E-2</c:v>
                </c:pt>
                <c:pt idx="1">
                  <c:v>8.9536950381524108E-2</c:v>
                </c:pt>
                <c:pt idx="2">
                  <c:v>9.0820749829882114E-2</c:v>
                </c:pt>
                <c:pt idx="3">
                  <c:v>9.2104549278240119E-2</c:v>
                </c:pt>
                <c:pt idx="4">
                  <c:v>9.3388348726598125E-2</c:v>
                </c:pt>
                <c:pt idx="5">
                  <c:v>9.4672148174956131E-2</c:v>
                </c:pt>
                <c:pt idx="6">
                  <c:v>9.5955947623314136E-2</c:v>
                </c:pt>
                <c:pt idx="7">
                  <c:v>9.7239747071672142E-2</c:v>
                </c:pt>
                <c:pt idx="8">
                  <c:v>9.8523546520030147E-2</c:v>
                </c:pt>
                <c:pt idx="9">
                  <c:v>9.9807345968388153E-2</c:v>
                </c:pt>
                <c:pt idx="10">
                  <c:v>0.10109114541674616</c:v>
                </c:pt>
                <c:pt idx="11">
                  <c:v>0.10237494486510416</c:v>
                </c:pt>
                <c:pt idx="12">
                  <c:v>0.10365874431346217</c:v>
                </c:pt>
                <c:pt idx="13">
                  <c:v>0.10494254376182018</c:v>
                </c:pt>
                <c:pt idx="14">
                  <c:v>0.10622634321017818</c:v>
                </c:pt>
                <c:pt idx="15">
                  <c:v>0.10751014265853619</c:v>
                </c:pt>
                <c:pt idx="16">
                  <c:v>0.10879394210689419</c:v>
                </c:pt>
                <c:pt idx="17">
                  <c:v>0.1100777415552522</c:v>
                </c:pt>
                <c:pt idx="18">
                  <c:v>0.1113615410036102</c:v>
                </c:pt>
                <c:pt idx="19">
                  <c:v>0.11264534045196821</c:v>
                </c:pt>
                <c:pt idx="20">
                  <c:v>0.11392913990032622</c:v>
                </c:pt>
                <c:pt idx="21">
                  <c:v>0.11521293934868422</c:v>
                </c:pt>
                <c:pt idx="22">
                  <c:v>0.11649673879704223</c:v>
                </c:pt>
                <c:pt idx="23">
                  <c:v>0.11778053824540023</c:v>
                </c:pt>
                <c:pt idx="24">
                  <c:v>0.11906433769375824</c:v>
                </c:pt>
                <c:pt idx="25">
                  <c:v>0.12034813714211624</c:v>
                </c:pt>
                <c:pt idx="26">
                  <c:v>0.12163193659047425</c:v>
                </c:pt>
                <c:pt idx="27">
                  <c:v>0.12291573603883225</c:v>
                </c:pt>
                <c:pt idx="28">
                  <c:v>0.12419953548719026</c:v>
                </c:pt>
                <c:pt idx="29">
                  <c:v>0.12548333493554825</c:v>
                </c:pt>
                <c:pt idx="30">
                  <c:v>0.12676713438390624</c:v>
                </c:pt>
                <c:pt idx="31">
                  <c:v>0.12805093383226424</c:v>
                </c:pt>
                <c:pt idx="32">
                  <c:v>0.12933473328062223</c:v>
                </c:pt>
                <c:pt idx="33">
                  <c:v>0.13061853272898022</c:v>
                </c:pt>
                <c:pt idx="34">
                  <c:v>0.13190233217733821</c:v>
                </c:pt>
                <c:pt idx="35">
                  <c:v>0.1331861316256962</c:v>
                </c:pt>
                <c:pt idx="36">
                  <c:v>0.13446993107405419</c:v>
                </c:pt>
                <c:pt idx="37">
                  <c:v>0.13575373052241219</c:v>
                </c:pt>
                <c:pt idx="38">
                  <c:v>0.13703752997077018</c:v>
                </c:pt>
                <c:pt idx="39">
                  <c:v>0.13832132941912817</c:v>
                </c:pt>
                <c:pt idx="40">
                  <c:v>0.13960512886748616</c:v>
                </c:pt>
                <c:pt idx="41">
                  <c:v>0.14088892831584415</c:v>
                </c:pt>
                <c:pt idx="42">
                  <c:v>0.14217272776420214</c:v>
                </c:pt>
                <c:pt idx="43">
                  <c:v>0.14345652721256014</c:v>
                </c:pt>
                <c:pt idx="44">
                  <c:v>0.14474032666091813</c:v>
                </c:pt>
                <c:pt idx="45">
                  <c:v>0.14602412610927612</c:v>
                </c:pt>
                <c:pt idx="46">
                  <c:v>0.14730792555763411</c:v>
                </c:pt>
                <c:pt idx="47">
                  <c:v>0.1485917250059921</c:v>
                </c:pt>
                <c:pt idx="48">
                  <c:v>0.1498755244543501</c:v>
                </c:pt>
                <c:pt idx="49">
                  <c:v>0.15115932390270809</c:v>
                </c:pt>
                <c:pt idx="50">
                  <c:v>0.15244312335106608</c:v>
                </c:pt>
                <c:pt idx="51">
                  <c:v>0.15372692279942407</c:v>
                </c:pt>
                <c:pt idx="52">
                  <c:v>0.15501072224778206</c:v>
                </c:pt>
                <c:pt idx="53">
                  <c:v>0.15629452169614005</c:v>
                </c:pt>
                <c:pt idx="54">
                  <c:v>0.15757832114449805</c:v>
                </c:pt>
                <c:pt idx="55">
                  <c:v>0.15886212059285604</c:v>
                </c:pt>
                <c:pt idx="56">
                  <c:v>0.16014592004121403</c:v>
                </c:pt>
                <c:pt idx="57">
                  <c:v>0.16142971948957202</c:v>
                </c:pt>
                <c:pt idx="58">
                  <c:v>0.16271351893793001</c:v>
                </c:pt>
                <c:pt idx="59">
                  <c:v>0.163997318386288</c:v>
                </c:pt>
                <c:pt idx="60">
                  <c:v>0.165281117834646</c:v>
                </c:pt>
                <c:pt idx="61">
                  <c:v>0.16656491728300399</c:v>
                </c:pt>
                <c:pt idx="62">
                  <c:v>0.16784871673136198</c:v>
                </c:pt>
                <c:pt idx="63">
                  <c:v>0.16913251617971997</c:v>
                </c:pt>
                <c:pt idx="64">
                  <c:v>0.17041631562807796</c:v>
                </c:pt>
                <c:pt idx="65">
                  <c:v>0.17170011507643596</c:v>
                </c:pt>
                <c:pt idx="66">
                  <c:v>0.17298391452479395</c:v>
                </c:pt>
                <c:pt idx="67">
                  <c:v>0.17426771397315194</c:v>
                </c:pt>
                <c:pt idx="68">
                  <c:v>0.17555151342150993</c:v>
                </c:pt>
                <c:pt idx="69">
                  <c:v>0.17683531286986792</c:v>
                </c:pt>
                <c:pt idx="70">
                  <c:v>0.17811911231822591</c:v>
                </c:pt>
                <c:pt idx="71">
                  <c:v>0.17940291176658391</c:v>
                </c:pt>
                <c:pt idx="72">
                  <c:v>0.1806867112149419</c:v>
                </c:pt>
                <c:pt idx="73">
                  <c:v>0.18197051066329989</c:v>
                </c:pt>
                <c:pt idx="74">
                  <c:v>0.18325431011165788</c:v>
                </c:pt>
                <c:pt idx="75">
                  <c:v>0.18453810956001587</c:v>
                </c:pt>
                <c:pt idx="76">
                  <c:v>0.18582190900837386</c:v>
                </c:pt>
                <c:pt idx="77">
                  <c:v>0.18710570845673186</c:v>
                </c:pt>
                <c:pt idx="78">
                  <c:v>0.18838950790508985</c:v>
                </c:pt>
                <c:pt idx="79">
                  <c:v>0.18967330735344784</c:v>
                </c:pt>
                <c:pt idx="80">
                  <c:v>0.19095710680180583</c:v>
                </c:pt>
                <c:pt idx="81">
                  <c:v>0.19224090625016382</c:v>
                </c:pt>
                <c:pt idx="82">
                  <c:v>0.19352470569852182</c:v>
                </c:pt>
                <c:pt idx="83">
                  <c:v>0.19480850514687981</c:v>
                </c:pt>
                <c:pt idx="84">
                  <c:v>0.1960923045952378</c:v>
                </c:pt>
                <c:pt idx="85">
                  <c:v>0.19737610404359579</c:v>
                </c:pt>
                <c:pt idx="86">
                  <c:v>0.19865990349195378</c:v>
                </c:pt>
                <c:pt idx="87">
                  <c:v>0.19994370294031177</c:v>
                </c:pt>
                <c:pt idx="88">
                  <c:v>0.20122750238866977</c:v>
                </c:pt>
                <c:pt idx="89">
                  <c:v>0.20251130183702776</c:v>
                </c:pt>
                <c:pt idx="90">
                  <c:v>0.20379510128538575</c:v>
                </c:pt>
                <c:pt idx="91">
                  <c:v>0.20507890073374374</c:v>
                </c:pt>
                <c:pt idx="92">
                  <c:v>0.20636270018210173</c:v>
                </c:pt>
                <c:pt idx="93">
                  <c:v>0.20764649963045972</c:v>
                </c:pt>
                <c:pt idx="94">
                  <c:v>0.20893029907881772</c:v>
                </c:pt>
                <c:pt idx="95">
                  <c:v>0.21021409852717571</c:v>
                </c:pt>
                <c:pt idx="96">
                  <c:v>0.2114978979755337</c:v>
                </c:pt>
                <c:pt idx="97">
                  <c:v>0.21278169742389169</c:v>
                </c:pt>
                <c:pt idx="98">
                  <c:v>0.21406549687224968</c:v>
                </c:pt>
                <c:pt idx="99">
                  <c:v>0.21534929632060767</c:v>
                </c:pt>
                <c:pt idx="100">
                  <c:v>0.21663309576896567</c:v>
                </c:pt>
                <c:pt idx="101">
                  <c:v>0.21791689521732366</c:v>
                </c:pt>
                <c:pt idx="102">
                  <c:v>0.21920069466568165</c:v>
                </c:pt>
                <c:pt idx="103">
                  <c:v>0.22048449411403964</c:v>
                </c:pt>
                <c:pt idx="104">
                  <c:v>0.22176829356239763</c:v>
                </c:pt>
                <c:pt idx="105">
                  <c:v>0.22305209301075563</c:v>
                </c:pt>
                <c:pt idx="106">
                  <c:v>0.22433589245911362</c:v>
                </c:pt>
                <c:pt idx="107">
                  <c:v>0.22561969190747161</c:v>
                </c:pt>
                <c:pt idx="108">
                  <c:v>0.2269034913558296</c:v>
                </c:pt>
                <c:pt idx="109">
                  <c:v>0.22818729080418759</c:v>
                </c:pt>
                <c:pt idx="110">
                  <c:v>0.22947109025254558</c:v>
                </c:pt>
                <c:pt idx="111">
                  <c:v>0.23075488970090358</c:v>
                </c:pt>
                <c:pt idx="112">
                  <c:v>0.23203868914926157</c:v>
                </c:pt>
                <c:pt idx="113">
                  <c:v>0.23332248859761956</c:v>
                </c:pt>
                <c:pt idx="114">
                  <c:v>0.23460628804597755</c:v>
                </c:pt>
                <c:pt idx="115">
                  <c:v>0.23589008749433554</c:v>
                </c:pt>
                <c:pt idx="116">
                  <c:v>0.23717388694269353</c:v>
                </c:pt>
                <c:pt idx="117">
                  <c:v>0.23845768639105153</c:v>
                </c:pt>
                <c:pt idx="118">
                  <c:v>0.23974148583940952</c:v>
                </c:pt>
                <c:pt idx="119">
                  <c:v>0.24102528528776751</c:v>
                </c:pt>
                <c:pt idx="120">
                  <c:v>0.2423090847361255</c:v>
                </c:pt>
                <c:pt idx="121">
                  <c:v>0.24359288418448349</c:v>
                </c:pt>
                <c:pt idx="122">
                  <c:v>0.24487668363284149</c:v>
                </c:pt>
                <c:pt idx="123">
                  <c:v>0.24616048308119948</c:v>
                </c:pt>
                <c:pt idx="124">
                  <c:v>0.24744428252955747</c:v>
                </c:pt>
                <c:pt idx="125">
                  <c:v>0.24872808197791546</c:v>
                </c:pt>
                <c:pt idx="126">
                  <c:v>0.25001188142627345</c:v>
                </c:pt>
                <c:pt idx="127">
                  <c:v>0.25129568087463144</c:v>
                </c:pt>
                <c:pt idx="128">
                  <c:v>0.25257948032298944</c:v>
                </c:pt>
                <c:pt idx="129">
                  <c:v>0.25386327977134743</c:v>
                </c:pt>
                <c:pt idx="130">
                  <c:v>0.25514707921970542</c:v>
                </c:pt>
                <c:pt idx="131">
                  <c:v>0.25643087866806341</c:v>
                </c:pt>
                <c:pt idx="132">
                  <c:v>0.2577146781164214</c:v>
                </c:pt>
                <c:pt idx="133">
                  <c:v>0.25899847756477939</c:v>
                </c:pt>
                <c:pt idx="134">
                  <c:v>0.26028227701313739</c:v>
                </c:pt>
                <c:pt idx="135">
                  <c:v>0.26156607646149538</c:v>
                </c:pt>
                <c:pt idx="136">
                  <c:v>0.26284987590985337</c:v>
                </c:pt>
                <c:pt idx="137">
                  <c:v>0.26413367535821136</c:v>
                </c:pt>
                <c:pt idx="138">
                  <c:v>0.26541747480656935</c:v>
                </c:pt>
                <c:pt idx="139">
                  <c:v>0.26670127425492735</c:v>
                </c:pt>
                <c:pt idx="140">
                  <c:v>0.26798507370328534</c:v>
                </c:pt>
                <c:pt idx="141">
                  <c:v>0.26926887315164333</c:v>
                </c:pt>
                <c:pt idx="142">
                  <c:v>0.27055267260000132</c:v>
                </c:pt>
                <c:pt idx="143">
                  <c:v>0.27183647204835931</c:v>
                </c:pt>
                <c:pt idx="144">
                  <c:v>0.2731202714967173</c:v>
                </c:pt>
                <c:pt idx="145">
                  <c:v>0.2744040709450753</c:v>
                </c:pt>
                <c:pt idx="146">
                  <c:v>0.27568787039343329</c:v>
                </c:pt>
                <c:pt idx="147">
                  <c:v>0.27697166984179128</c:v>
                </c:pt>
                <c:pt idx="148">
                  <c:v>0.27825546929014927</c:v>
                </c:pt>
                <c:pt idx="149">
                  <c:v>0.27953926873850726</c:v>
                </c:pt>
                <c:pt idx="150">
                  <c:v>0.28082306818686525</c:v>
                </c:pt>
                <c:pt idx="151">
                  <c:v>0.28210686763522325</c:v>
                </c:pt>
                <c:pt idx="152">
                  <c:v>0.28339066708358124</c:v>
                </c:pt>
                <c:pt idx="153">
                  <c:v>0.28467446653193923</c:v>
                </c:pt>
                <c:pt idx="154">
                  <c:v>0.28595826598029722</c:v>
                </c:pt>
                <c:pt idx="155">
                  <c:v>0.28724206542865521</c:v>
                </c:pt>
                <c:pt idx="156">
                  <c:v>0.28852586487701321</c:v>
                </c:pt>
                <c:pt idx="157">
                  <c:v>0.2898096643253712</c:v>
                </c:pt>
                <c:pt idx="158">
                  <c:v>0.29109346377372919</c:v>
                </c:pt>
                <c:pt idx="159">
                  <c:v>0.29237726322208718</c:v>
                </c:pt>
                <c:pt idx="160">
                  <c:v>0.29366106267044517</c:v>
                </c:pt>
                <c:pt idx="161">
                  <c:v>0.29494486211880316</c:v>
                </c:pt>
                <c:pt idx="162">
                  <c:v>0.29622866156716116</c:v>
                </c:pt>
                <c:pt idx="163">
                  <c:v>0.29751246101551915</c:v>
                </c:pt>
                <c:pt idx="164">
                  <c:v>0.29879626046387714</c:v>
                </c:pt>
                <c:pt idx="165">
                  <c:v>0.30008005991223513</c:v>
                </c:pt>
                <c:pt idx="166">
                  <c:v>0.30136385936059312</c:v>
                </c:pt>
                <c:pt idx="167">
                  <c:v>0.30264765880895111</c:v>
                </c:pt>
                <c:pt idx="168">
                  <c:v>0.30393145825730911</c:v>
                </c:pt>
                <c:pt idx="169">
                  <c:v>0.3052152577056671</c:v>
                </c:pt>
                <c:pt idx="170">
                  <c:v>0.30649905715402509</c:v>
                </c:pt>
                <c:pt idx="171">
                  <c:v>0.30778285660238308</c:v>
                </c:pt>
                <c:pt idx="172">
                  <c:v>0.30906665605074107</c:v>
                </c:pt>
                <c:pt idx="173">
                  <c:v>0.31035045549909906</c:v>
                </c:pt>
                <c:pt idx="174">
                  <c:v>0.31163425494745706</c:v>
                </c:pt>
                <c:pt idx="175">
                  <c:v>0.31291805439581505</c:v>
                </c:pt>
                <c:pt idx="176">
                  <c:v>0.31420185384417304</c:v>
                </c:pt>
                <c:pt idx="177">
                  <c:v>0.31548565329253103</c:v>
                </c:pt>
                <c:pt idx="178">
                  <c:v>0.31676945274088902</c:v>
                </c:pt>
                <c:pt idx="179">
                  <c:v>0.31805325218924702</c:v>
                </c:pt>
                <c:pt idx="180">
                  <c:v>0.31933705163760501</c:v>
                </c:pt>
                <c:pt idx="181">
                  <c:v>0.320620851085963</c:v>
                </c:pt>
                <c:pt idx="182">
                  <c:v>0.32190465053432099</c:v>
                </c:pt>
                <c:pt idx="183">
                  <c:v>0.32318844998267898</c:v>
                </c:pt>
                <c:pt idx="184">
                  <c:v>0.32447224943103697</c:v>
                </c:pt>
                <c:pt idx="185">
                  <c:v>0.32575604887939497</c:v>
                </c:pt>
                <c:pt idx="186">
                  <c:v>0.32703984832775296</c:v>
                </c:pt>
                <c:pt idx="187">
                  <c:v>0.32832364777611095</c:v>
                </c:pt>
                <c:pt idx="188">
                  <c:v>0.32960744722446894</c:v>
                </c:pt>
                <c:pt idx="189">
                  <c:v>0.33089124667282693</c:v>
                </c:pt>
                <c:pt idx="190">
                  <c:v>0.33217504612118492</c:v>
                </c:pt>
                <c:pt idx="191">
                  <c:v>0.33345884556954292</c:v>
                </c:pt>
                <c:pt idx="192">
                  <c:v>0.33474264501790091</c:v>
                </c:pt>
                <c:pt idx="193">
                  <c:v>0.3360264444662589</c:v>
                </c:pt>
                <c:pt idx="194">
                  <c:v>0.33731024391461689</c:v>
                </c:pt>
                <c:pt idx="195">
                  <c:v>0.33859404336297488</c:v>
                </c:pt>
                <c:pt idx="196">
                  <c:v>0.33987784281133288</c:v>
                </c:pt>
                <c:pt idx="197">
                  <c:v>0.34116164225969087</c:v>
                </c:pt>
                <c:pt idx="198">
                  <c:v>0.34244544170804886</c:v>
                </c:pt>
                <c:pt idx="199">
                  <c:v>0.34372924115640685</c:v>
                </c:pt>
                <c:pt idx="200">
                  <c:v>0.34501304060476484</c:v>
                </c:pt>
              </c:numCache>
            </c:numRef>
          </c:xVal>
          <c:yVal>
            <c:numRef>
              <c:f>Subsets!$DX$11:$DX$211</c:f>
              <c:numCache>
                <c:formatCode>General</c:formatCode>
                <c:ptCount val="201"/>
                <c:pt idx="0">
                  <c:v>34</c:v>
                </c:pt>
                <c:pt idx="1">
                  <c:v>34</c:v>
                </c:pt>
                <c:pt idx="2">
                  <c:v>34</c:v>
                </c:pt>
                <c:pt idx="3">
                  <c:v>34</c:v>
                </c:pt>
                <c:pt idx="4">
                  <c:v>34</c:v>
                </c:pt>
                <c:pt idx="5">
                  <c:v>34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  <c:pt idx="12">
                  <c:v>34</c:v>
                </c:pt>
                <c:pt idx="13">
                  <c:v>34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  <c:pt idx="27">
                  <c:v>34</c:v>
                </c:pt>
                <c:pt idx="28">
                  <c:v>34</c:v>
                </c:pt>
                <c:pt idx="29">
                  <c:v>34</c:v>
                </c:pt>
                <c:pt idx="30">
                  <c:v>34</c:v>
                </c:pt>
                <c:pt idx="31">
                  <c:v>34</c:v>
                </c:pt>
                <c:pt idx="32">
                  <c:v>34</c:v>
                </c:pt>
                <c:pt idx="33">
                  <c:v>34</c:v>
                </c:pt>
                <c:pt idx="34">
                  <c:v>34</c:v>
                </c:pt>
                <c:pt idx="35">
                  <c:v>34</c:v>
                </c:pt>
                <c:pt idx="36">
                  <c:v>34</c:v>
                </c:pt>
                <c:pt idx="37">
                  <c:v>34</c:v>
                </c:pt>
                <c:pt idx="38">
                  <c:v>34</c:v>
                </c:pt>
                <c:pt idx="39">
                  <c:v>34</c:v>
                </c:pt>
                <c:pt idx="40">
                  <c:v>34</c:v>
                </c:pt>
                <c:pt idx="41">
                  <c:v>34</c:v>
                </c:pt>
                <c:pt idx="42">
                  <c:v>34</c:v>
                </c:pt>
                <c:pt idx="43">
                  <c:v>34</c:v>
                </c:pt>
                <c:pt idx="44">
                  <c:v>34</c:v>
                </c:pt>
                <c:pt idx="45">
                  <c:v>34</c:v>
                </c:pt>
                <c:pt idx="46">
                  <c:v>34</c:v>
                </c:pt>
                <c:pt idx="47">
                  <c:v>34</c:v>
                </c:pt>
                <c:pt idx="48">
                  <c:v>34</c:v>
                </c:pt>
                <c:pt idx="49">
                  <c:v>34</c:v>
                </c:pt>
                <c:pt idx="50">
                  <c:v>34</c:v>
                </c:pt>
                <c:pt idx="51">
                  <c:v>34</c:v>
                </c:pt>
                <c:pt idx="52">
                  <c:v>34</c:v>
                </c:pt>
                <c:pt idx="53">
                  <c:v>34</c:v>
                </c:pt>
                <c:pt idx="54">
                  <c:v>34</c:v>
                </c:pt>
                <c:pt idx="55">
                  <c:v>34</c:v>
                </c:pt>
                <c:pt idx="56">
                  <c:v>34</c:v>
                </c:pt>
                <c:pt idx="57">
                  <c:v>34</c:v>
                </c:pt>
                <c:pt idx="58">
                  <c:v>34</c:v>
                </c:pt>
                <c:pt idx="59">
                  <c:v>34</c:v>
                </c:pt>
                <c:pt idx="60">
                  <c:v>34</c:v>
                </c:pt>
                <c:pt idx="61">
                  <c:v>34</c:v>
                </c:pt>
                <c:pt idx="62">
                  <c:v>34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34</c:v>
                </c:pt>
                <c:pt idx="67">
                  <c:v>34</c:v>
                </c:pt>
                <c:pt idx="68">
                  <c:v>34</c:v>
                </c:pt>
                <c:pt idx="69">
                  <c:v>34</c:v>
                </c:pt>
                <c:pt idx="70">
                  <c:v>34</c:v>
                </c:pt>
                <c:pt idx="71">
                  <c:v>34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34</c:v>
                </c:pt>
                <c:pt idx="86">
                  <c:v>34</c:v>
                </c:pt>
                <c:pt idx="87">
                  <c:v>34</c:v>
                </c:pt>
                <c:pt idx="88">
                  <c:v>34</c:v>
                </c:pt>
                <c:pt idx="89">
                  <c:v>34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34</c:v>
                </c:pt>
                <c:pt idx="105">
                  <c:v>34</c:v>
                </c:pt>
                <c:pt idx="106">
                  <c:v>34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34</c:v>
                </c:pt>
                <c:pt idx="111">
                  <c:v>34</c:v>
                </c:pt>
                <c:pt idx="112">
                  <c:v>34</c:v>
                </c:pt>
                <c:pt idx="113">
                  <c:v>34</c:v>
                </c:pt>
                <c:pt idx="114">
                  <c:v>34</c:v>
                </c:pt>
                <c:pt idx="115">
                  <c:v>34</c:v>
                </c:pt>
                <c:pt idx="116">
                  <c:v>34</c:v>
                </c:pt>
                <c:pt idx="117">
                  <c:v>34</c:v>
                </c:pt>
                <c:pt idx="118">
                  <c:v>34</c:v>
                </c:pt>
                <c:pt idx="119">
                  <c:v>34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34</c:v>
                </c:pt>
                <c:pt idx="124">
                  <c:v>34</c:v>
                </c:pt>
                <c:pt idx="125">
                  <c:v>34</c:v>
                </c:pt>
                <c:pt idx="126">
                  <c:v>34</c:v>
                </c:pt>
                <c:pt idx="127">
                  <c:v>34</c:v>
                </c:pt>
                <c:pt idx="128">
                  <c:v>34</c:v>
                </c:pt>
                <c:pt idx="129">
                  <c:v>34</c:v>
                </c:pt>
                <c:pt idx="130">
                  <c:v>34</c:v>
                </c:pt>
                <c:pt idx="131">
                  <c:v>34</c:v>
                </c:pt>
                <c:pt idx="132">
                  <c:v>34</c:v>
                </c:pt>
                <c:pt idx="133">
                  <c:v>34</c:v>
                </c:pt>
                <c:pt idx="134">
                  <c:v>34</c:v>
                </c:pt>
                <c:pt idx="135">
                  <c:v>34</c:v>
                </c:pt>
                <c:pt idx="136">
                  <c:v>34</c:v>
                </c:pt>
                <c:pt idx="137">
                  <c:v>34</c:v>
                </c:pt>
                <c:pt idx="138">
                  <c:v>34</c:v>
                </c:pt>
                <c:pt idx="139">
                  <c:v>34</c:v>
                </c:pt>
                <c:pt idx="140">
                  <c:v>34</c:v>
                </c:pt>
                <c:pt idx="141">
                  <c:v>34</c:v>
                </c:pt>
                <c:pt idx="142">
                  <c:v>34</c:v>
                </c:pt>
                <c:pt idx="143">
                  <c:v>34</c:v>
                </c:pt>
                <c:pt idx="144">
                  <c:v>34</c:v>
                </c:pt>
                <c:pt idx="145">
                  <c:v>34</c:v>
                </c:pt>
                <c:pt idx="146">
                  <c:v>34</c:v>
                </c:pt>
                <c:pt idx="147">
                  <c:v>34</c:v>
                </c:pt>
                <c:pt idx="148">
                  <c:v>34</c:v>
                </c:pt>
                <c:pt idx="149">
                  <c:v>34</c:v>
                </c:pt>
                <c:pt idx="150">
                  <c:v>34</c:v>
                </c:pt>
                <c:pt idx="151">
                  <c:v>34</c:v>
                </c:pt>
                <c:pt idx="152">
                  <c:v>34</c:v>
                </c:pt>
                <c:pt idx="153">
                  <c:v>34</c:v>
                </c:pt>
                <c:pt idx="154">
                  <c:v>34</c:v>
                </c:pt>
                <c:pt idx="155">
                  <c:v>34</c:v>
                </c:pt>
                <c:pt idx="156">
                  <c:v>34</c:v>
                </c:pt>
                <c:pt idx="157">
                  <c:v>34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34</c:v>
                </c:pt>
                <c:pt idx="163">
                  <c:v>34</c:v>
                </c:pt>
                <c:pt idx="164">
                  <c:v>34</c:v>
                </c:pt>
                <c:pt idx="165">
                  <c:v>34</c:v>
                </c:pt>
                <c:pt idx="166">
                  <c:v>34</c:v>
                </c:pt>
                <c:pt idx="167">
                  <c:v>34</c:v>
                </c:pt>
                <c:pt idx="168">
                  <c:v>34</c:v>
                </c:pt>
                <c:pt idx="169">
                  <c:v>34</c:v>
                </c:pt>
                <c:pt idx="170">
                  <c:v>34</c:v>
                </c:pt>
                <c:pt idx="171">
                  <c:v>34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34</c:v>
                </c:pt>
                <c:pt idx="178">
                  <c:v>34</c:v>
                </c:pt>
                <c:pt idx="179">
                  <c:v>34</c:v>
                </c:pt>
                <c:pt idx="180">
                  <c:v>34</c:v>
                </c:pt>
                <c:pt idx="181">
                  <c:v>34</c:v>
                </c:pt>
                <c:pt idx="182">
                  <c:v>34</c:v>
                </c:pt>
                <c:pt idx="183">
                  <c:v>34</c:v>
                </c:pt>
                <c:pt idx="184">
                  <c:v>34</c:v>
                </c:pt>
                <c:pt idx="185">
                  <c:v>34</c:v>
                </c:pt>
                <c:pt idx="186">
                  <c:v>34</c:v>
                </c:pt>
                <c:pt idx="187">
                  <c:v>34</c:v>
                </c:pt>
                <c:pt idx="188">
                  <c:v>34</c:v>
                </c:pt>
                <c:pt idx="189">
                  <c:v>34</c:v>
                </c:pt>
                <c:pt idx="190">
                  <c:v>34</c:v>
                </c:pt>
                <c:pt idx="191">
                  <c:v>34</c:v>
                </c:pt>
                <c:pt idx="192">
                  <c:v>34</c:v>
                </c:pt>
                <c:pt idx="193">
                  <c:v>34</c:v>
                </c:pt>
                <c:pt idx="194">
                  <c:v>34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B5BA-4EEE-B6B7-E7D2614A0440}"/>
            </c:ext>
          </c:extLst>
        </c:ser>
        <c:ser>
          <c:idx val="40"/>
          <c:order val="4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Subsets!$DW$5:$DW$9</c:f>
              <c:numCache>
                <c:formatCode>General</c:formatCode>
                <c:ptCount val="5"/>
                <c:pt idx="0">
                  <c:v>0.21663309576896628</c:v>
                </c:pt>
                <c:pt idx="1">
                  <c:v>8.8253150933166102E-2</c:v>
                </c:pt>
                <c:pt idx="2">
                  <c:v>0.21663309576896628</c:v>
                </c:pt>
                <c:pt idx="3">
                  <c:v>0.34501304060476645</c:v>
                </c:pt>
                <c:pt idx="4">
                  <c:v>0.21663309576896628</c:v>
                </c:pt>
              </c:numCache>
            </c:numRef>
          </c:xVal>
          <c:yVal>
            <c:numRef>
              <c:f>Subsets!$DX$5:$DX$9</c:f>
              <c:numCache>
                <c:formatCode>General</c:formatCode>
                <c:ptCount val="5"/>
                <c:pt idx="0">
                  <c:v>34.4</c:v>
                </c:pt>
                <c:pt idx="1">
                  <c:v>34</c:v>
                </c:pt>
                <c:pt idx="2">
                  <c:v>33.6</c:v>
                </c:pt>
                <c:pt idx="3">
                  <c:v>34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B5BA-4EEE-B6B7-E7D2614A0440}"/>
            </c:ext>
          </c:extLst>
        </c:ser>
        <c:ser>
          <c:idx val="42"/>
          <c:order val="44"/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Subsets!$BN$10</c:f>
                <c:numCache>
                  <c:formatCode>General</c:formatCode>
                  <c:ptCount val="1"/>
                  <c:pt idx="0">
                    <c:v>0.14313364232284589</c:v>
                  </c:pt>
                </c:numCache>
              </c:numRef>
            </c:plus>
            <c:minus>
              <c:numRef>
                <c:f>Subsets!$BN$10</c:f>
                <c:numCache>
                  <c:formatCode>General</c:formatCode>
                  <c:ptCount val="1"/>
                  <c:pt idx="0">
                    <c:v>0.14313364232284589</c:v>
                  </c:pt>
                </c:numCache>
              </c:numRef>
            </c:minus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Subsets!$BM$7</c:f>
              <c:numCache>
                <c:formatCode>General</c:formatCode>
                <c:ptCount val="1"/>
                <c:pt idx="0">
                  <c:v>0.21663309576896628</c:v>
                </c:pt>
              </c:numCache>
            </c:numRef>
          </c:xVal>
          <c:yVal>
            <c:numRef>
              <c:f>Subsets!$BN$7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B5BA-4EEE-B6B7-E7D2614A0440}"/>
            </c:ext>
          </c:extLst>
        </c:ser>
        <c:ser>
          <c:idx val="43"/>
          <c:order val="4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Subsets!$BK$16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{DE44DD15-8BD6-40C6-9728-7B027E3C215A}</c15:txfldGUID>
                      <c15:f>Subsets!$BK$16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B5BA-4EEE-B6B7-E7D2614A0440}"/>
                </c:ext>
              </c:extLst>
            </c:dLbl>
            <c:dLbl>
              <c:idx val="1"/>
              <c:tx>
                <c:strRef>
                  <c:f>Subsets!$BK$17</c:f>
                  <c:strCache>
                    <c:ptCount val="1"/>
                    <c:pt idx="0">
                      <c:v>0.9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{1C13BEA5-A526-415F-9798-37F3B67E56B5}</c15:txfldGUID>
                      <c15:f>Subsets!$BK$17</c15:f>
                      <c15:dlblFieldTableCache>
                        <c:ptCount val="1"/>
                        <c:pt idx="0">
                          <c:v>0.9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B5BA-4EEE-B6B7-E7D2614A0440}"/>
                </c:ext>
              </c:extLst>
            </c:dLbl>
            <c:dLbl>
              <c:idx val="2"/>
              <c:tx>
                <c:strRef>
                  <c:f>Subsets!$BK$18</c:f>
                  <c:strCache>
                    <c:ptCount val="1"/>
                    <c:pt idx="0">
                      <c:v>0.8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{64E587FD-F2CC-44A3-90C4-429353A35A8C}</c15:txfldGUID>
                      <c15:f>Subsets!$BK$18</c15:f>
                      <c15:dlblFieldTableCache>
                        <c:ptCount val="1"/>
                        <c:pt idx="0">
                          <c:v>0.8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B5BA-4EEE-B6B7-E7D2614A0440}"/>
                </c:ext>
              </c:extLst>
            </c:dLbl>
            <c:dLbl>
              <c:idx val="3"/>
              <c:tx>
                <c:strRef>
                  <c:f>Subsets!$BK$19</c:f>
                  <c:strCache>
                    <c:ptCount val="1"/>
                    <c:pt idx="0">
                      <c:v>0.7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{201BD953-0815-42EE-B33D-FA8746E2DB4E}</c15:txfldGUID>
                      <c15:f>Subsets!$BK$19</c15:f>
                      <c15:dlblFieldTableCache>
                        <c:ptCount val="1"/>
                        <c:pt idx="0">
                          <c:v>0.7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B5BA-4EEE-B6B7-E7D2614A0440}"/>
                </c:ext>
              </c:extLst>
            </c:dLbl>
            <c:dLbl>
              <c:idx val="4"/>
              <c:tx>
                <c:strRef>
                  <c:f>Subsets!$BK$20</c:f>
                  <c:strCache>
                    <c:ptCount val="1"/>
                    <c:pt idx="0">
                      <c:v>0.6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{61C1F30C-B254-49A2-8684-C37E462C4C65}</c15:txfldGUID>
                      <c15:f>Subsets!$BK$20</c15:f>
                      <c15:dlblFieldTableCache>
                        <c:ptCount val="1"/>
                        <c:pt idx="0">
                          <c:v>0.6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B5BA-4EEE-B6B7-E7D2614A0440}"/>
                </c:ext>
              </c:extLst>
            </c:dLbl>
            <c:dLbl>
              <c:idx val="5"/>
              <c:tx>
                <c:strRef>
                  <c:f>Subsets!$BK$21</c:f>
                  <c:strCache>
                    <c:ptCount val="1"/>
                    <c:pt idx="0">
                      <c:v>0.5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{AB5433B5-7D6F-4887-859D-0835202CACEF}</c15:txfldGUID>
                      <c15:f>Subsets!$BK$21</c15:f>
                      <c15:dlblFieldTableCache>
                        <c:ptCount val="1"/>
                        <c:pt idx="0">
                          <c:v>0.5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B5BA-4EEE-B6B7-E7D2614A0440}"/>
                </c:ext>
              </c:extLst>
            </c:dLbl>
            <c:dLbl>
              <c:idx val="6"/>
              <c:layout/>
              <c:tx>
                <c:strRef>
                  <c:f>Subsets!$BK$22</c:f>
                  <c:strCache>
                    <c:ptCount val="1"/>
                    <c:pt idx="0">
                      <c:v>0.4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{2777EAA2-1F5F-4175-97DE-817DD5A311B7}</c15:txfldGUID>
                      <c15:f>Subsets!$BK$22</c15:f>
                      <c15:dlblFieldTableCache>
                        <c:ptCount val="1"/>
                        <c:pt idx="0">
                          <c:v>0.4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B5BA-4EEE-B6B7-E7D2614A0440}"/>
                </c:ext>
              </c:extLst>
            </c:dLbl>
            <c:dLbl>
              <c:idx val="7"/>
              <c:layout/>
              <c:tx>
                <c:strRef>
                  <c:f>Subsets!$BK$23</c:f>
                  <c:strCache>
                    <c:ptCount val="1"/>
                    <c:pt idx="0">
                      <c:v>0.3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{D9651CD5-0D42-472B-90DE-C7509178382C}</c15:txfldGUID>
                      <c15:f>Subsets!$BK$23</c15:f>
                      <c15:dlblFieldTableCache>
                        <c:ptCount val="1"/>
                        <c:pt idx="0">
                          <c:v>0.3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B5BA-4EEE-B6B7-E7D2614A0440}"/>
                </c:ext>
              </c:extLst>
            </c:dLbl>
            <c:dLbl>
              <c:idx val="8"/>
              <c:layout/>
              <c:tx>
                <c:strRef>
                  <c:f>Subsets!$BK$24</c:f>
                  <c:strCache>
                    <c:ptCount val="1"/>
                    <c:pt idx="0">
                      <c:v>0.2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{894715AD-3F97-466F-A636-F788ED1CCF51}</c15:txfldGUID>
                      <c15:f>Subsets!$BK$24</c15:f>
                      <c15:dlblFieldTableCache>
                        <c:ptCount val="1"/>
                        <c:pt idx="0">
                          <c:v>0.2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B5BA-4EEE-B6B7-E7D2614A0440}"/>
                </c:ext>
              </c:extLst>
            </c:dLbl>
            <c:dLbl>
              <c:idx val="9"/>
              <c:layout/>
              <c:tx>
                <c:strRef>
                  <c:f>Subsets!$BK$25</c:f>
                  <c:strCache>
                    <c:ptCount val="1"/>
                    <c:pt idx="0">
                      <c:v>0.1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{BD07128C-BB1C-4E2B-8C65-8B425D6D085B}</c15:txfldGUID>
                      <c15:f>Subsets!$BK$25</c15:f>
                      <c15:dlblFieldTableCache>
                        <c:ptCount val="1"/>
                        <c:pt idx="0">
                          <c:v>0.1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B5BA-4EEE-B6B7-E7D2614A0440}"/>
                </c:ext>
              </c:extLst>
            </c:dLbl>
            <c:dLbl>
              <c:idx val="10"/>
              <c:layout/>
              <c:tx>
                <c:strRef>
                  <c:f>Subsets!$BK$26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{D0642D37-B532-4BAA-970D-9F764C85DC8B}</c15:txfldGUID>
                      <c15:f>Subsets!$BK$26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B5BA-4EEE-B6B7-E7D2614A0440}"/>
                </c:ext>
              </c:extLst>
            </c:dLbl>
            <c:dLbl>
              <c:idx val="11"/>
              <c:layout/>
              <c:tx>
                <c:strRef>
                  <c:f>Subsets!$BK$27</c:f>
                  <c:strCache>
                    <c:ptCount val="1"/>
                    <c:pt idx="0">
                      <c:v>-0.1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{08987C12-D2B8-4295-A337-BCA7CC157D5E}</c15:txfldGUID>
                      <c15:f>Subsets!$BK$27</c15:f>
                      <c15:dlblFieldTableCache>
                        <c:ptCount val="1"/>
                        <c:pt idx="0">
                          <c:v>-0.1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B5BA-4EEE-B6B7-E7D2614A0440}"/>
                </c:ext>
              </c:extLst>
            </c:dLbl>
            <c:dLbl>
              <c:idx val="12"/>
              <c:tx>
                <c:strRef>
                  <c:f>Subsets!$BK$28</c:f>
                  <c:strCache>
                    <c:ptCount val="1"/>
                    <c:pt idx="0">
                      <c:v>-0.2</c:v>
                    </c:pt>
                  </c:strCache>
                </c:strRef>
              </c:tx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{AE2B2C4F-2DF7-425C-992D-17110D8AF57F}</c15:txfldGUID>
                      <c15:f>Subsets!$BK$28</c15:f>
                      <c15:dlblFieldTableCache>
                        <c:ptCount val="1"/>
                        <c:pt idx="0">
                          <c:v>-0.2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B5BA-4EEE-B6B7-E7D2614A0440}"/>
                </c:ext>
              </c:extLst>
            </c:dLbl>
            <c:dLbl>
              <c:idx val="13"/>
              <c:tx>
                <c:strRef>
                  <c:f>Subsets!$BK$29</c:f>
                  <c:strCache>
                    <c:ptCount val="1"/>
                    <c:pt idx="0">
                      <c:v>-0.3</c:v>
                    </c:pt>
                  </c:strCache>
                </c:strRef>
              </c:tx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{F97AA4FC-BC36-4BAF-92AF-2880F64B0255}</c15:txfldGUID>
                      <c15:f>Subsets!$BK$29</c15:f>
                      <c15:dlblFieldTableCache>
                        <c:ptCount val="1"/>
                        <c:pt idx="0">
                          <c:v>-0.3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B5BA-4EEE-B6B7-E7D2614A0440}"/>
                </c:ext>
              </c:extLst>
            </c:dLbl>
            <c:dLbl>
              <c:idx val="14"/>
              <c:tx>
                <c:strRef>
                  <c:f>Subsets!$BK$30</c:f>
                  <c:strCache>
                    <c:ptCount val="1"/>
                    <c:pt idx="0">
                      <c:v>-0.4</c:v>
                    </c:pt>
                  </c:strCache>
                </c:strRef>
              </c:tx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{B9E2528B-04FF-4DC2-BEB9-2BC7321B270C}</c15:txfldGUID>
                      <c15:f>Subsets!$BK$30</c15:f>
                      <c15:dlblFieldTableCache>
                        <c:ptCount val="1"/>
                        <c:pt idx="0">
                          <c:v>-0.4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B5BA-4EEE-B6B7-E7D2614A0440}"/>
                </c:ext>
              </c:extLst>
            </c:dLbl>
            <c:dLbl>
              <c:idx val="15"/>
              <c:tx>
                <c:strRef>
                  <c:f>Subsets!$BK$31</c:f>
                  <c:strCache>
                    <c:ptCount val="1"/>
                    <c:pt idx="0">
                      <c:v>-0.5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{E429EF2C-9BFE-4022-BFE6-E221353C278C}</c15:txfldGUID>
                      <c15:f>Subsets!$BK$31</c15:f>
                      <c15:dlblFieldTableCache>
                        <c:ptCount val="1"/>
                        <c:pt idx="0">
                          <c:v>-0.5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B5BA-4EEE-B6B7-E7D2614A0440}"/>
                </c:ext>
              </c:extLst>
            </c:dLbl>
            <c:dLbl>
              <c:idx val="16"/>
              <c:tx>
                <c:strRef>
                  <c:f>Subsets!$BK$32</c:f>
                  <c:strCache>
                    <c:ptCount val="1"/>
                    <c:pt idx="0">
                      <c:v>-0.6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{8C39076C-4346-4944-9DD0-D5B48C9A7804}</c15:txfldGUID>
                      <c15:f>Subsets!$BK$32</c15:f>
                      <c15:dlblFieldTableCache>
                        <c:ptCount val="1"/>
                        <c:pt idx="0">
                          <c:v>-0.6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B5BA-4EEE-B6B7-E7D2614A0440}"/>
                </c:ext>
              </c:extLst>
            </c:dLbl>
            <c:dLbl>
              <c:idx val="17"/>
              <c:tx>
                <c:strRef>
                  <c:f>Subsets!$BK$33</c:f>
                  <c:strCache>
                    <c:ptCount val="1"/>
                    <c:pt idx="0">
                      <c:v>-0.7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{F414C059-6A90-4FFE-9AB5-91AD807D5675}</c15:txfldGUID>
                      <c15:f>Subsets!$BK$33</c15:f>
                      <c15:dlblFieldTableCache>
                        <c:ptCount val="1"/>
                        <c:pt idx="0">
                          <c:v>-0.7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B5BA-4EEE-B6B7-E7D2614A0440}"/>
                </c:ext>
              </c:extLst>
            </c:dLbl>
            <c:dLbl>
              <c:idx val="18"/>
              <c:tx>
                <c:strRef>
                  <c:f>Subsets!$BK$34</c:f>
                  <c:strCache>
                    <c:ptCount val="1"/>
                    <c:pt idx="0">
                      <c:v>-0.8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{F8253C07-07CB-43B7-B923-16C05C30EC5D}</c15:txfldGUID>
                      <c15:f>Subsets!$BK$34</c15:f>
                      <c15:dlblFieldTableCache>
                        <c:ptCount val="1"/>
                        <c:pt idx="0">
                          <c:v>-0.8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B5BA-4EEE-B6B7-E7D2614A0440}"/>
                </c:ext>
              </c:extLst>
            </c:dLbl>
            <c:dLbl>
              <c:idx val="19"/>
              <c:tx>
                <c:strRef>
                  <c:f>Subsets!$BK$35</c:f>
                  <c:strCache>
                    <c:ptCount val="1"/>
                    <c:pt idx="0">
                      <c:v>-0.9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{E5B16DEF-CBEE-46C8-A9CE-E3A1BD94B95C}</c15:txfldGUID>
                      <c15:f>Subsets!$BK$35</c15:f>
                      <c15:dlblFieldTableCache>
                        <c:ptCount val="1"/>
                        <c:pt idx="0">
                          <c:v>-0.9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B5BA-4EEE-B6B7-E7D2614A0440}"/>
                </c:ext>
              </c:extLst>
            </c:dLbl>
            <c:dLbl>
              <c:idx val="20"/>
              <c:tx>
                <c:strRef>
                  <c:f>Subsets!$BK$36</c:f>
                  <c:strCache>
                    <c:ptCount val="1"/>
                    <c:pt idx="0">
                      <c:v>-1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{A1E440B1-0B27-4AF0-AD7A-26ECB2B71868}</c15:txfldGUID>
                      <c15:f>Subsets!$BK$36</c15:f>
                      <c15:dlblFieldTableCache>
                        <c:ptCount val="1"/>
                        <c:pt idx="0">
                          <c:v>-1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B5BA-4EEE-B6B7-E7D2614A0440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Subsets!$BM$16:$BM$36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0.43243698118951474</c:v>
                </c:pt>
                <c:pt idx="7">
                  <c:v>0.33243698118951476</c:v>
                </c:pt>
                <c:pt idx="8">
                  <c:v>0.23243698118951475</c:v>
                </c:pt>
                <c:pt idx="9">
                  <c:v>0.13243698118951475</c:v>
                </c:pt>
                <c:pt idx="10">
                  <c:v>3.2436981189514734E-2</c:v>
                </c:pt>
                <c:pt idx="11">
                  <c:v>-6.7563018810485265E-2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xVal>
          <c:yVal>
            <c:numRef>
              <c:f>Subsets!$BN$16:$BN$36</c:f>
              <c:numCache>
                <c:formatCode>General</c:formatCode>
                <c:ptCount val="21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  <c:pt idx="7">
                  <c:v>39</c:v>
                </c:pt>
                <c:pt idx="8">
                  <c:v>39</c:v>
                </c:pt>
                <c:pt idx="9">
                  <c:v>39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39</c:v>
                </c:pt>
                <c:pt idx="17">
                  <c:v>39</c:v>
                </c:pt>
                <c:pt idx="18">
                  <c:v>39</c:v>
                </c:pt>
                <c:pt idx="19">
                  <c:v>39</c:v>
                </c:pt>
                <c:pt idx="20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B5BA-4EEE-B6B7-E7D2614A0440}"/>
            </c:ext>
          </c:extLst>
        </c:ser>
        <c:ser>
          <c:idx val="46"/>
          <c:order val="46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AU"/>
                      <a:t>Difference axis</a:t>
                    </a:r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43-B5BA-4EEE-B6B7-E7D2614A0440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Subsets!$BM$8</c:f>
              <c:numCache>
                <c:formatCode>General</c:formatCode>
                <c:ptCount val="1"/>
                <c:pt idx="0">
                  <c:v>0.12453503847924051</c:v>
                </c:pt>
              </c:numCache>
            </c:numRef>
          </c:xVal>
          <c:yVal>
            <c:numRef>
              <c:f>Subsets!$BN$8</c:f>
              <c:numCache>
                <c:formatCode>General</c:formatCode>
                <c:ptCount val="1"/>
                <c:pt idx="0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B5BA-4EEE-B6B7-E7D2614A0440}"/>
            </c:ext>
          </c:extLst>
        </c:ser>
        <c:ser>
          <c:idx val="47"/>
          <c:order val="47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AU"/>
                      <a:t>Overall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45-B5BA-4EEE-B6B7-E7D2614A0440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pPr>
                      <a:defRPr sz="1000" b="0" i="0" u="none" strike="noStrike" baseline="0">
                        <a:solidFill>
                          <a:srgbClr val="FF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AU" sz="1000" b="0" i="0" u="none" strike="noStrike" baseline="0">
                        <a:solidFill>
                          <a:srgbClr val="FF0000"/>
                        </a:solidFill>
                        <a:latin typeface="Arial"/>
                        <a:cs typeface="Arial"/>
                      </a:rPr>
                      <a:t>Red</a:t>
                    </a:r>
                    <a:r>
                      <a:rPr lang="en-AU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group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46-B5BA-4EEE-B6B7-E7D2614A0440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pPr>
                      <a:defRPr sz="1000" b="0" i="0" u="none" strike="noStrike" baseline="0">
                        <a:solidFill>
                          <a:srgbClr val="0000FF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AU" sz="1000" b="0" i="0" u="none" strike="noStrike" baseline="0">
                        <a:solidFill>
                          <a:srgbClr val="0000FF"/>
                        </a:solidFill>
                        <a:latin typeface="Arial"/>
                        <a:cs typeface="Arial"/>
                      </a:rPr>
                      <a:t>Blue</a:t>
                    </a:r>
                    <a:r>
                      <a:rPr lang="en-AU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group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47-B5BA-4EEE-B6B7-E7D2614A0440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AU"/>
                      <a:t>Difference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48-B5BA-4EEE-B6B7-E7D2614A04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Subsets!$BK$2:$BK$5</c:f>
              <c:numCache>
                <c:formatCode>General</c:formatCode>
                <c:ptCount val="4"/>
                <c:pt idx="0">
                  <c:v>-0.21147064429470147</c:v>
                </c:pt>
                <c:pt idx="1">
                  <c:v>-0.21147064429470147</c:v>
                </c:pt>
                <c:pt idx="2">
                  <c:v>-0.21147064429470147</c:v>
                </c:pt>
                <c:pt idx="3">
                  <c:v>-0.21147064429470147</c:v>
                </c:pt>
              </c:numCache>
            </c:numRef>
          </c:xVal>
          <c:yVal>
            <c:numRef>
              <c:f>Subsets!$BL$2:$BL$5</c:f>
              <c:numCache>
                <c:formatCode>General</c:formatCode>
                <c:ptCount val="4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B5BA-4EEE-B6B7-E7D2614A0440}"/>
            </c:ext>
          </c:extLst>
        </c:ser>
        <c:ser>
          <c:idx val="48"/>
          <c:order val="4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Subsets!$DM$5:$DM$9</c:f>
              <c:numCache>
                <c:formatCode>General</c:formatCode>
                <c:ptCount val="5"/>
                <c:pt idx="0">
                  <c:v>9.4316324544832297E-2</c:v>
                </c:pt>
                <c:pt idx="1">
                  <c:v>1.4982434435436218E-2</c:v>
                </c:pt>
                <c:pt idx="2">
                  <c:v>9.4316324544832297E-2</c:v>
                </c:pt>
                <c:pt idx="3">
                  <c:v>0.17365021465422836</c:v>
                </c:pt>
                <c:pt idx="4">
                  <c:v>9.4316324544832297E-2</c:v>
                </c:pt>
              </c:numCache>
            </c:numRef>
          </c:xVal>
          <c:yVal>
            <c:numRef>
              <c:f>Subsets!$DO$5:$DO$9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B5BA-4EEE-B6B7-E7D2614A0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48672"/>
        <c:axId val="49150592"/>
      </c:scatterChart>
      <c:valAx>
        <c:axId val="49148672"/>
        <c:scaling>
          <c:orientation val="minMax"/>
        </c:scaling>
        <c:delete val="0"/>
        <c:axPos val="t"/>
        <c:title>
          <c:tx>
            <c:strRef>
              <c:f>Subsets!$BZ$3</c:f>
              <c:strCache>
                <c:ptCount val="1"/>
                <c:pt idx="0">
                  <c:v>Rating difference</c:v>
                </c:pt>
              </c:strCache>
            </c:strRef>
          </c:tx>
          <c:layout>
            <c:manualLayout>
              <c:xMode val="edge"/>
              <c:yMode val="edge"/>
              <c:x val="0.37623823006624846"/>
              <c:y val="6.6401148532366002E-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4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50592"/>
        <c:crossesAt val="0"/>
        <c:crossBetween val="midCat"/>
      </c:valAx>
      <c:valAx>
        <c:axId val="49150592"/>
        <c:scaling>
          <c:orientation val="maxMin"/>
          <c:max val="41.9"/>
          <c:min val="0"/>
        </c:scaling>
        <c:delete val="0"/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9525">
            <a:noFill/>
          </a:ln>
        </c:spPr>
        <c:crossAx val="49148672"/>
        <c:crossesAt val="0"/>
        <c:crossBetween val="midCat"/>
        <c:majorUnit val="1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363457760314354E-2"/>
          <c:y val="0.11000017903674973"/>
          <c:w val="0.93123772102161051"/>
          <c:h val="0.86666807725924055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87-4438-90A3-9ADCCB4018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plus"/>
            <c:errValType val="cust"/>
            <c:noEndCap val="1"/>
            <c:plus>
              <c:numRef>
                <c:f>'d two groups'!$CO$3</c:f>
                <c:numCache>
                  <c:formatCode>General</c:formatCode>
                  <c:ptCount val="1"/>
                  <c:pt idx="0">
                    <c:v>33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two groups'!$CM$3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'd two groups'!$CN$3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87-4438-90A3-9ADCCB4018F3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groups'!$CL$7:$CL$36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groups'!$CM$7:$CM$36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87-4438-90A3-9ADCCB4018F3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'd two groups'!$CO$39</c:f>
                <c:numCache>
                  <c:formatCode>General</c:formatCode>
                  <c:ptCount val="1"/>
                  <c:pt idx="0">
                    <c:v>0.3105071597996481</c:v>
                  </c:pt>
                </c:numCache>
              </c:numRef>
            </c:plus>
            <c:minus>
              <c:numRef>
                <c:f>'d two groups'!$CO$39</c:f>
                <c:numCache>
                  <c:formatCode>General</c:formatCode>
                  <c:ptCount val="1"/>
                  <c:pt idx="0">
                    <c:v>0.3105071597996481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two groups'!$CM$39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'd two groups'!$CN$39</c:f>
              <c:numCache>
                <c:formatCode>General</c:formatCode>
                <c:ptCount val="1"/>
                <c:pt idx="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87-4438-90A3-9ADCCB4018F3}"/>
            </c:ext>
          </c:extLst>
        </c:ser>
        <c:ser>
          <c:idx val="7"/>
          <c:order val="3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groups'!$DH$7:$DH$36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4.9691886171849511E-2</c:v>
                </c:pt>
                <c:pt idx="7">
                  <c:v>4.6675737610289383E-2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287-4438-90A3-9ADCCB4018F3}"/>
            </c:ext>
          </c:extLst>
        </c:ser>
        <c:ser>
          <c:idx val="8"/>
          <c:order val="4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groups'!$DG$7:$DG$36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287-4438-90A3-9ADCCB4018F3}"/>
            </c:ext>
          </c:extLst>
        </c:ser>
        <c:ser>
          <c:idx val="9"/>
          <c:order val="5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groups'!$DF$7:$DF$36</c:f>
              <c:numCache>
                <c:formatCode>General</c:formatCode>
                <c:ptCount val="30"/>
                <c:pt idx="0">
                  <c:v>#N/A</c:v>
                </c:pt>
                <c:pt idx="1">
                  <c:v>0.96267790573412426</c:v>
                </c:pt>
                <c:pt idx="2">
                  <c:v>0.64721199752902403</c:v>
                </c:pt>
                <c:pt idx="3">
                  <c:v>0.75809653888870754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287-4438-90A3-9ADCCB4018F3}"/>
            </c:ext>
          </c:extLst>
        </c:ser>
        <c:ser>
          <c:idx val="10"/>
          <c:order val="6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groups'!$DE$7:$DE$36</c:f>
              <c:numCache>
                <c:formatCode>General</c:formatCode>
                <c:ptCount val="30"/>
                <c:pt idx="0">
                  <c:v>0.80578584465834813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0.95043896616930468</c:v>
                </c:pt>
                <c:pt idx="5">
                  <c:v>0.83491063422431255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87-4438-90A3-9ADCCB4018F3}"/>
            </c:ext>
          </c:extLst>
        </c:ser>
        <c:ser>
          <c:idx val="11"/>
          <c:order val="7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groups'!$DD$7:$DD$36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87-4438-90A3-9ADCCB4018F3}"/>
            </c:ext>
          </c:extLst>
        </c:ser>
        <c:ser>
          <c:idx val="12"/>
          <c:order val="8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groups'!$DC$7:$DC$36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87-4438-90A3-9ADCCB4018F3}"/>
            </c:ext>
          </c:extLst>
        </c:ser>
        <c:ser>
          <c:idx val="13"/>
          <c:order val="9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groups'!$DB$7:$DB$36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87-4438-90A3-9ADCCB4018F3}"/>
            </c:ext>
          </c:extLst>
        </c:ser>
        <c:ser>
          <c:idx val="14"/>
          <c:order val="10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groups'!$DA$7:$DA$36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87-4438-90A3-9ADCCB4018F3}"/>
            </c:ext>
          </c:extLst>
        </c:ser>
        <c:ser>
          <c:idx val="15"/>
          <c:order val="11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groups'!$CZ$7:$CZ$36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87-4438-90A3-9ADCCB4018F3}"/>
            </c:ext>
          </c:extLst>
        </c:ser>
        <c:ser>
          <c:idx val="36"/>
          <c:order val="1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two groups'!$CI$48:$CI$248</c:f>
                <c:numCache>
                  <c:formatCode>General</c:formatCode>
                  <c:ptCount val="201"/>
                  <c:pt idx="0">
                    <c:v>0.02</c:v>
                  </c:pt>
                  <c:pt idx="1">
                    <c:v>2.4000000000000004E-2</c:v>
                  </c:pt>
                  <c:pt idx="2">
                    <c:v>2.7999999999999962E-2</c:v>
                  </c:pt>
                  <c:pt idx="3">
                    <c:v>3.1999999999999924E-2</c:v>
                  </c:pt>
                  <c:pt idx="4">
                    <c:v>3.599999999999997E-2</c:v>
                  </c:pt>
                  <c:pt idx="5">
                    <c:v>3.999999999999998E-2</c:v>
                  </c:pt>
                  <c:pt idx="6">
                    <c:v>4.3999999999999935E-2</c:v>
                  </c:pt>
                  <c:pt idx="7">
                    <c:v>4.7999999999999987E-2</c:v>
                  </c:pt>
                  <c:pt idx="8">
                    <c:v>5.1999999999999991E-2</c:v>
                  </c:pt>
                  <c:pt idx="9">
                    <c:v>5.6000000000000036E-2</c:v>
                  </c:pt>
                  <c:pt idx="10">
                    <c:v>6.0000000000000039E-2</c:v>
                  </c:pt>
                  <c:pt idx="11">
                    <c:v>6.4000000000000043E-2</c:v>
                  </c:pt>
                  <c:pt idx="12">
                    <c:v>6.8000000000000088E-2</c:v>
                  </c:pt>
                  <c:pt idx="13">
                    <c:v>7.2000000000000092E-2</c:v>
                  </c:pt>
                  <c:pt idx="14">
                    <c:v>7.6000000000000137E-2</c:v>
                  </c:pt>
                  <c:pt idx="15">
                    <c:v>8.000000000000014E-2</c:v>
                  </c:pt>
                  <c:pt idx="16">
                    <c:v>8.40000000000002E-2</c:v>
                  </c:pt>
                  <c:pt idx="17">
                    <c:v>8.8000000000000203E-2</c:v>
                  </c:pt>
                  <c:pt idx="18">
                    <c:v>9.2000000000000248E-2</c:v>
                  </c:pt>
                  <c:pt idx="19">
                    <c:v>9.6000000000000252E-2</c:v>
                  </c:pt>
                  <c:pt idx="20">
                    <c:v>0.1000000000000003</c:v>
                  </c:pt>
                  <c:pt idx="21">
                    <c:v>0.1040000000000003</c:v>
                  </c:pt>
                  <c:pt idx="22">
                    <c:v>0.10800000000000036</c:v>
                  </c:pt>
                  <c:pt idx="23">
                    <c:v>0.11200000000000036</c:v>
                  </c:pt>
                  <c:pt idx="24">
                    <c:v>0.11600000000000041</c:v>
                  </c:pt>
                  <c:pt idx="25">
                    <c:v>0.12000000000000041</c:v>
                  </c:pt>
                  <c:pt idx="26">
                    <c:v>0.12400000000000046</c:v>
                  </c:pt>
                  <c:pt idx="27">
                    <c:v>0.12800000000000045</c:v>
                  </c:pt>
                  <c:pt idx="28">
                    <c:v>0.13200000000000051</c:v>
                  </c:pt>
                  <c:pt idx="29">
                    <c:v>0.13600000000000051</c:v>
                  </c:pt>
                  <c:pt idx="30">
                    <c:v>0.14000000000000054</c:v>
                  </c:pt>
                  <c:pt idx="31">
                    <c:v>0.14400000000000054</c:v>
                  </c:pt>
                  <c:pt idx="32">
                    <c:v>0.1480000000000006</c:v>
                  </c:pt>
                  <c:pt idx="33">
                    <c:v>0.15200000000000061</c:v>
                  </c:pt>
                  <c:pt idx="34">
                    <c:v>0.15600000000000064</c:v>
                  </c:pt>
                  <c:pt idx="35">
                    <c:v>0.16000000000000064</c:v>
                  </c:pt>
                  <c:pt idx="36">
                    <c:v>0.1640000000000007</c:v>
                  </c:pt>
                  <c:pt idx="37">
                    <c:v>0.1680000000000007</c:v>
                  </c:pt>
                  <c:pt idx="38">
                    <c:v>0.17200000000000076</c:v>
                  </c:pt>
                  <c:pt idx="39">
                    <c:v>0.17600000000000077</c:v>
                  </c:pt>
                  <c:pt idx="40">
                    <c:v>0.1800000000000008</c:v>
                  </c:pt>
                  <c:pt idx="41">
                    <c:v>0.1840000000000008</c:v>
                  </c:pt>
                  <c:pt idx="42">
                    <c:v>0.18800000000000081</c:v>
                  </c:pt>
                  <c:pt idx="43">
                    <c:v>0.19200000000000086</c:v>
                  </c:pt>
                  <c:pt idx="44">
                    <c:v>0.19600000000000087</c:v>
                  </c:pt>
                  <c:pt idx="45">
                    <c:v>0.20000000000000093</c:v>
                  </c:pt>
                  <c:pt idx="46">
                    <c:v>0.20400000000000093</c:v>
                  </c:pt>
                  <c:pt idx="47">
                    <c:v>0.20800000000000096</c:v>
                  </c:pt>
                  <c:pt idx="48">
                    <c:v>0.21200000000000097</c:v>
                  </c:pt>
                  <c:pt idx="49">
                    <c:v>0.21600000000000102</c:v>
                  </c:pt>
                  <c:pt idx="50">
                    <c:v>0.22000000000000106</c:v>
                  </c:pt>
                  <c:pt idx="51">
                    <c:v>0.22400000000000106</c:v>
                  </c:pt>
                  <c:pt idx="52">
                    <c:v>0.22800000000000106</c:v>
                  </c:pt>
                  <c:pt idx="53">
                    <c:v>0.23200000000000112</c:v>
                  </c:pt>
                  <c:pt idx="54">
                    <c:v>0.23600000000000118</c:v>
                  </c:pt>
                  <c:pt idx="55">
                    <c:v>0.24000000000000118</c:v>
                  </c:pt>
                  <c:pt idx="56">
                    <c:v>0.24400000000000119</c:v>
                  </c:pt>
                  <c:pt idx="57">
                    <c:v>0.24800000000000119</c:v>
                  </c:pt>
                  <c:pt idx="58">
                    <c:v>0.25200000000000122</c:v>
                  </c:pt>
                  <c:pt idx="59">
                    <c:v>0.25600000000000128</c:v>
                  </c:pt>
                  <c:pt idx="60">
                    <c:v>0.26000000000000129</c:v>
                  </c:pt>
                  <c:pt idx="61">
                    <c:v>0.26400000000000129</c:v>
                  </c:pt>
                  <c:pt idx="62">
                    <c:v>0.26800000000000135</c:v>
                  </c:pt>
                  <c:pt idx="63">
                    <c:v>0.27200000000000141</c:v>
                  </c:pt>
                  <c:pt idx="64">
                    <c:v>0.27600000000000141</c:v>
                  </c:pt>
                  <c:pt idx="65">
                    <c:v>0.28000000000000141</c:v>
                  </c:pt>
                  <c:pt idx="66">
                    <c:v>0.28400000000000147</c:v>
                  </c:pt>
                  <c:pt idx="67">
                    <c:v>0.28800000000000153</c:v>
                  </c:pt>
                  <c:pt idx="68">
                    <c:v>0.29200000000000154</c:v>
                  </c:pt>
                  <c:pt idx="69">
                    <c:v>0.29600000000000154</c:v>
                  </c:pt>
                  <c:pt idx="70">
                    <c:v>0.30000000000000154</c:v>
                  </c:pt>
                  <c:pt idx="71">
                    <c:v>0.3040000000000016</c:v>
                  </c:pt>
                  <c:pt idx="72">
                    <c:v>0.30800000000000161</c:v>
                  </c:pt>
                  <c:pt idx="73">
                    <c:v>0.31200000000000161</c:v>
                  </c:pt>
                  <c:pt idx="74">
                    <c:v>0.31600000000000167</c:v>
                  </c:pt>
                  <c:pt idx="75">
                    <c:v>0.32000000000000173</c:v>
                  </c:pt>
                  <c:pt idx="76">
                    <c:v>0.32400000000000173</c:v>
                  </c:pt>
                  <c:pt idx="77">
                    <c:v>0.32800000000000173</c:v>
                  </c:pt>
                  <c:pt idx="78">
                    <c:v>0.33200000000000179</c:v>
                  </c:pt>
                  <c:pt idx="79">
                    <c:v>0.3360000000000018</c:v>
                  </c:pt>
                  <c:pt idx="80">
                    <c:v>0.34000000000000186</c:v>
                  </c:pt>
                  <c:pt idx="81">
                    <c:v>0.34400000000000186</c:v>
                  </c:pt>
                  <c:pt idx="82">
                    <c:v>0.34800000000000186</c:v>
                  </c:pt>
                  <c:pt idx="83">
                    <c:v>0.35200000000000187</c:v>
                  </c:pt>
                  <c:pt idx="84">
                    <c:v>0.35600000000000193</c:v>
                  </c:pt>
                  <c:pt idx="85">
                    <c:v>0.36000000000000193</c:v>
                  </c:pt>
                  <c:pt idx="86">
                    <c:v>0.36400000000000199</c:v>
                  </c:pt>
                  <c:pt idx="87">
                    <c:v>0.36800000000000199</c:v>
                  </c:pt>
                  <c:pt idx="88">
                    <c:v>0.37200000000000205</c:v>
                  </c:pt>
                  <c:pt idx="89">
                    <c:v>0.376000000000002</c:v>
                  </c:pt>
                  <c:pt idx="90">
                    <c:v>0.38000000000000195</c:v>
                  </c:pt>
                  <c:pt idx="91">
                    <c:v>0.3840000000000019</c:v>
                  </c:pt>
                  <c:pt idx="92">
                    <c:v>0.38800000000000184</c:v>
                  </c:pt>
                  <c:pt idx="93">
                    <c:v>0.39200000000000179</c:v>
                  </c:pt>
                  <c:pt idx="94">
                    <c:v>0.39600000000000174</c:v>
                  </c:pt>
                  <c:pt idx="95">
                    <c:v>0.40000000000000169</c:v>
                  </c:pt>
                  <c:pt idx="96">
                    <c:v>0.40400000000000169</c:v>
                  </c:pt>
                  <c:pt idx="97">
                    <c:v>0.40800000000000164</c:v>
                  </c:pt>
                  <c:pt idx="98">
                    <c:v>0.41200000000000153</c:v>
                  </c:pt>
                  <c:pt idx="99">
                    <c:v>0.41600000000000148</c:v>
                  </c:pt>
                  <c:pt idx="100">
                    <c:v>0.4199999999999986</c:v>
                  </c:pt>
                  <c:pt idx="101">
                    <c:v>0.41599999999999865</c:v>
                  </c:pt>
                  <c:pt idx="102">
                    <c:v>0.4119999999999987</c:v>
                  </c:pt>
                  <c:pt idx="103">
                    <c:v>0.40799999999999875</c:v>
                  </c:pt>
                  <c:pt idx="104">
                    <c:v>0.4039999999999988</c:v>
                  </c:pt>
                  <c:pt idx="105">
                    <c:v>0.3999999999999988</c:v>
                  </c:pt>
                  <c:pt idx="106">
                    <c:v>0.39599999999999891</c:v>
                  </c:pt>
                  <c:pt idx="107">
                    <c:v>0.39199999999999896</c:v>
                  </c:pt>
                  <c:pt idx="108">
                    <c:v>0.38799999999999901</c:v>
                  </c:pt>
                  <c:pt idx="109">
                    <c:v>0.38399999999999901</c:v>
                  </c:pt>
                  <c:pt idx="110">
                    <c:v>0.37999999999999906</c:v>
                  </c:pt>
                  <c:pt idx="111">
                    <c:v>0.37599999999999911</c:v>
                  </c:pt>
                  <c:pt idx="112">
                    <c:v>0.37199999999999916</c:v>
                  </c:pt>
                  <c:pt idx="113">
                    <c:v>0.36799999999999922</c:v>
                  </c:pt>
                  <c:pt idx="114">
                    <c:v>0.36399999999999927</c:v>
                  </c:pt>
                  <c:pt idx="115">
                    <c:v>0.35999999999999932</c:v>
                  </c:pt>
                  <c:pt idx="116">
                    <c:v>0.35599999999999937</c:v>
                  </c:pt>
                  <c:pt idx="117">
                    <c:v>0.35199999999999942</c:v>
                  </c:pt>
                  <c:pt idx="118">
                    <c:v>0.34799999999999942</c:v>
                  </c:pt>
                  <c:pt idx="119">
                    <c:v>0.34399999999999947</c:v>
                  </c:pt>
                  <c:pt idx="120">
                    <c:v>0.33999999999999952</c:v>
                  </c:pt>
                  <c:pt idx="121">
                    <c:v>0.33599999999999963</c:v>
                  </c:pt>
                  <c:pt idx="122">
                    <c:v>0.33199999999999963</c:v>
                  </c:pt>
                  <c:pt idx="123">
                    <c:v>0.32799999999999968</c:v>
                  </c:pt>
                  <c:pt idx="124">
                    <c:v>0.32399999999999973</c:v>
                  </c:pt>
                  <c:pt idx="125">
                    <c:v>0.31999999999999978</c:v>
                  </c:pt>
                  <c:pt idx="126">
                    <c:v>0.31599999999999978</c:v>
                  </c:pt>
                  <c:pt idx="127">
                    <c:v>0.31199999999999983</c:v>
                  </c:pt>
                  <c:pt idx="128">
                    <c:v>0.30799999999999994</c:v>
                  </c:pt>
                  <c:pt idx="129">
                    <c:v>0.30399999999999994</c:v>
                  </c:pt>
                  <c:pt idx="130">
                    <c:v>0.3</c:v>
                  </c:pt>
                  <c:pt idx="131">
                    <c:v>0.29599999999999999</c:v>
                  </c:pt>
                  <c:pt idx="132">
                    <c:v>0.29200000000000009</c:v>
                  </c:pt>
                  <c:pt idx="133">
                    <c:v>0.28800000000000014</c:v>
                  </c:pt>
                  <c:pt idx="134">
                    <c:v>0.2840000000000002</c:v>
                  </c:pt>
                  <c:pt idx="135">
                    <c:v>0.28000000000000019</c:v>
                  </c:pt>
                  <c:pt idx="136">
                    <c:v>0.27600000000000025</c:v>
                  </c:pt>
                  <c:pt idx="137">
                    <c:v>0.27200000000000035</c:v>
                  </c:pt>
                  <c:pt idx="138">
                    <c:v>0.26800000000000035</c:v>
                  </c:pt>
                  <c:pt idx="139">
                    <c:v>0.2640000000000004</c:v>
                  </c:pt>
                  <c:pt idx="140">
                    <c:v>0.26000000000000045</c:v>
                  </c:pt>
                  <c:pt idx="141">
                    <c:v>0.2560000000000005</c:v>
                  </c:pt>
                  <c:pt idx="142">
                    <c:v>0.25200000000000056</c:v>
                  </c:pt>
                  <c:pt idx="143">
                    <c:v>0.24800000000000055</c:v>
                  </c:pt>
                  <c:pt idx="144">
                    <c:v>0.24400000000000063</c:v>
                  </c:pt>
                  <c:pt idx="145">
                    <c:v>0.24000000000000063</c:v>
                  </c:pt>
                  <c:pt idx="146">
                    <c:v>0.23600000000000074</c:v>
                  </c:pt>
                  <c:pt idx="147">
                    <c:v>0.23200000000000073</c:v>
                  </c:pt>
                  <c:pt idx="148">
                    <c:v>0.22800000000000081</c:v>
                  </c:pt>
                  <c:pt idx="149">
                    <c:v>0.22400000000000084</c:v>
                  </c:pt>
                  <c:pt idx="150">
                    <c:v>0.22000000000000089</c:v>
                  </c:pt>
                  <c:pt idx="151">
                    <c:v>0.21600000000000094</c:v>
                  </c:pt>
                  <c:pt idx="152">
                    <c:v>0.21200000000000097</c:v>
                  </c:pt>
                  <c:pt idx="153">
                    <c:v>0.20800000000000105</c:v>
                  </c:pt>
                  <c:pt idx="154">
                    <c:v>0.2040000000000011</c:v>
                  </c:pt>
                  <c:pt idx="155">
                    <c:v>0.20000000000000115</c:v>
                  </c:pt>
                  <c:pt idx="156">
                    <c:v>0.19600000000000117</c:v>
                  </c:pt>
                  <c:pt idx="157">
                    <c:v>0.19200000000000123</c:v>
                  </c:pt>
                  <c:pt idx="158">
                    <c:v>0.18800000000000125</c:v>
                  </c:pt>
                  <c:pt idx="159">
                    <c:v>0.1840000000000013</c:v>
                  </c:pt>
                  <c:pt idx="160">
                    <c:v>0.18000000000000135</c:v>
                  </c:pt>
                  <c:pt idx="161">
                    <c:v>0.17600000000000143</c:v>
                  </c:pt>
                  <c:pt idx="162">
                    <c:v>0.17200000000000146</c:v>
                  </c:pt>
                  <c:pt idx="163">
                    <c:v>0.16800000000000151</c:v>
                  </c:pt>
                  <c:pt idx="164">
                    <c:v>0.16400000000000153</c:v>
                  </c:pt>
                  <c:pt idx="165">
                    <c:v>0.16000000000000159</c:v>
                  </c:pt>
                  <c:pt idx="166">
                    <c:v>0.15600000000000164</c:v>
                  </c:pt>
                  <c:pt idx="167">
                    <c:v>0.15200000000000166</c:v>
                  </c:pt>
                  <c:pt idx="168">
                    <c:v>0.14800000000000171</c:v>
                  </c:pt>
                  <c:pt idx="169">
                    <c:v>0.14400000000000179</c:v>
                  </c:pt>
                  <c:pt idx="170">
                    <c:v>0.14000000000000185</c:v>
                  </c:pt>
                  <c:pt idx="171">
                    <c:v>0.13600000000000187</c:v>
                  </c:pt>
                  <c:pt idx="172">
                    <c:v>0.13200000000000192</c:v>
                  </c:pt>
                  <c:pt idx="173">
                    <c:v>0.12800000000000197</c:v>
                  </c:pt>
                  <c:pt idx="174">
                    <c:v>0.12400000000000201</c:v>
                  </c:pt>
                  <c:pt idx="175">
                    <c:v>0.12000000000000205</c:v>
                  </c:pt>
                  <c:pt idx="176">
                    <c:v>0.11600000000000209</c:v>
                  </c:pt>
                  <c:pt idx="177">
                    <c:v>0.11200000000000218</c:v>
                  </c:pt>
                  <c:pt idx="178">
                    <c:v>0.10800000000000222</c:v>
                  </c:pt>
                  <c:pt idx="179">
                    <c:v>0.10400000000000226</c:v>
                  </c:pt>
                  <c:pt idx="180">
                    <c:v>0.1000000000000023</c:v>
                  </c:pt>
                  <c:pt idx="181">
                    <c:v>9.6000000000002347E-2</c:v>
                  </c:pt>
                  <c:pt idx="182">
                    <c:v>9.2000000000002385E-2</c:v>
                  </c:pt>
                  <c:pt idx="183">
                    <c:v>8.8000000000002424E-2</c:v>
                  </c:pt>
                  <c:pt idx="184">
                    <c:v>8.4000000000002462E-2</c:v>
                  </c:pt>
                  <c:pt idx="185">
                    <c:v>8.0000000000002541E-2</c:v>
                  </c:pt>
                  <c:pt idx="186">
                    <c:v>7.6000000000002579E-2</c:v>
                  </c:pt>
                  <c:pt idx="187">
                    <c:v>7.2000000000002631E-2</c:v>
                  </c:pt>
                  <c:pt idx="188">
                    <c:v>6.8000000000002669E-2</c:v>
                  </c:pt>
                  <c:pt idx="189">
                    <c:v>6.4000000000002708E-2</c:v>
                  </c:pt>
                  <c:pt idx="190">
                    <c:v>6.0000000000002746E-2</c:v>
                  </c:pt>
                  <c:pt idx="191">
                    <c:v>5.6000000000002784E-2</c:v>
                  </c:pt>
                  <c:pt idx="192">
                    <c:v>5.2000000000002822E-2</c:v>
                  </c:pt>
                  <c:pt idx="193">
                    <c:v>4.8000000000002915E-2</c:v>
                  </c:pt>
                  <c:pt idx="194">
                    <c:v>4.4000000000002953E-2</c:v>
                  </c:pt>
                  <c:pt idx="195">
                    <c:v>4.0000000000002991E-2</c:v>
                  </c:pt>
                  <c:pt idx="196">
                    <c:v>3.6000000000003037E-2</c:v>
                  </c:pt>
                  <c:pt idx="197">
                    <c:v>3.2000000000003075E-2</c:v>
                  </c:pt>
                  <c:pt idx="198">
                    <c:v>2.8000000000003116E-2</c:v>
                  </c:pt>
                  <c:pt idx="199">
                    <c:v>2.4000000000003158E-2</c:v>
                  </c:pt>
                  <c:pt idx="200">
                    <c:v>2.0000000000003199E-2</c:v>
                  </c:pt>
                </c:numCache>
              </c:numRef>
            </c:plus>
            <c:minus>
              <c:numRef>
                <c:f>'d two groups'!$CI$48:$CI$248</c:f>
                <c:numCache>
                  <c:formatCode>General</c:formatCode>
                  <c:ptCount val="201"/>
                  <c:pt idx="0">
                    <c:v>0.02</c:v>
                  </c:pt>
                  <c:pt idx="1">
                    <c:v>2.4000000000000004E-2</c:v>
                  </c:pt>
                  <c:pt idx="2">
                    <c:v>2.7999999999999962E-2</c:v>
                  </c:pt>
                  <c:pt idx="3">
                    <c:v>3.1999999999999924E-2</c:v>
                  </c:pt>
                  <c:pt idx="4">
                    <c:v>3.599999999999997E-2</c:v>
                  </c:pt>
                  <c:pt idx="5">
                    <c:v>3.999999999999998E-2</c:v>
                  </c:pt>
                  <c:pt idx="6">
                    <c:v>4.3999999999999935E-2</c:v>
                  </c:pt>
                  <c:pt idx="7">
                    <c:v>4.7999999999999987E-2</c:v>
                  </c:pt>
                  <c:pt idx="8">
                    <c:v>5.1999999999999991E-2</c:v>
                  </c:pt>
                  <c:pt idx="9">
                    <c:v>5.6000000000000036E-2</c:v>
                  </c:pt>
                  <c:pt idx="10">
                    <c:v>6.0000000000000039E-2</c:v>
                  </c:pt>
                  <c:pt idx="11">
                    <c:v>6.4000000000000043E-2</c:v>
                  </c:pt>
                  <c:pt idx="12">
                    <c:v>6.8000000000000088E-2</c:v>
                  </c:pt>
                  <c:pt idx="13">
                    <c:v>7.2000000000000092E-2</c:v>
                  </c:pt>
                  <c:pt idx="14">
                    <c:v>7.6000000000000137E-2</c:v>
                  </c:pt>
                  <c:pt idx="15">
                    <c:v>8.000000000000014E-2</c:v>
                  </c:pt>
                  <c:pt idx="16">
                    <c:v>8.40000000000002E-2</c:v>
                  </c:pt>
                  <c:pt idx="17">
                    <c:v>8.8000000000000203E-2</c:v>
                  </c:pt>
                  <c:pt idx="18">
                    <c:v>9.2000000000000248E-2</c:v>
                  </c:pt>
                  <c:pt idx="19">
                    <c:v>9.6000000000000252E-2</c:v>
                  </c:pt>
                  <c:pt idx="20">
                    <c:v>0.1000000000000003</c:v>
                  </c:pt>
                  <c:pt idx="21">
                    <c:v>0.1040000000000003</c:v>
                  </c:pt>
                  <c:pt idx="22">
                    <c:v>0.10800000000000036</c:v>
                  </c:pt>
                  <c:pt idx="23">
                    <c:v>0.11200000000000036</c:v>
                  </c:pt>
                  <c:pt idx="24">
                    <c:v>0.11600000000000041</c:v>
                  </c:pt>
                  <c:pt idx="25">
                    <c:v>0.12000000000000041</c:v>
                  </c:pt>
                  <c:pt idx="26">
                    <c:v>0.12400000000000046</c:v>
                  </c:pt>
                  <c:pt idx="27">
                    <c:v>0.12800000000000045</c:v>
                  </c:pt>
                  <c:pt idx="28">
                    <c:v>0.13200000000000051</c:v>
                  </c:pt>
                  <c:pt idx="29">
                    <c:v>0.13600000000000051</c:v>
                  </c:pt>
                  <c:pt idx="30">
                    <c:v>0.14000000000000054</c:v>
                  </c:pt>
                  <c:pt idx="31">
                    <c:v>0.14400000000000054</c:v>
                  </c:pt>
                  <c:pt idx="32">
                    <c:v>0.1480000000000006</c:v>
                  </c:pt>
                  <c:pt idx="33">
                    <c:v>0.15200000000000061</c:v>
                  </c:pt>
                  <c:pt idx="34">
                    <c:v>0.15600000000000064</c:v>
                  </c:pt>
                  <c:pt idx="35">
                    <c:v>0.16000000000000064</c:v>
                  </c:pt>
                  <c:pt idx="36">
                    <c:v>0.1640000000000007</c:v>
                  </c:pt>
                  <c:pt idx="37">
                    <c:v>0.1680000000000007</c:v>
                  </c:pt>
                  <c:pt idx="38">
                    <c:v>0.17200000000000076</c:v>
                  </c:pt>
                  <c:pt idx="39">
                    <c:v>0.17600000000000077</c:v>
                  </c:pt>
                  <c:pt idx="40">
                    <c:v>0.1800000000000008</c:v>
                  </c:pt>
                  <c:pt idx="41">
                    <c:v>0.1840000000000008</c:v>
                  </c:pt>
                  <c:pt idx="42">
                    <c:v>0.18800000000000081</c:v>
                  </c:pt>
                  <c:pt idx="43">
                    <c:v>0.19200000000000086</c:v>
                  </c:pt>
                  <c:pt idx="44">
                    <c:v>0.19600000000000087</c:v>
                  </c:pt>
                  <c:pt idx="45">
                    <c:v>0.20000000000000093</c:v>
                  </c:pt>
                  <c:pt idx="46">
                    <c:v>0.20400000000000093</c:v>
                  </c:pt>
                  <c:pt idx="47">
                    <c:v>0.20800000000000096</c:v>
                  </c:pt>
                  <c:pt idx="48">
                    <c:v>0.21200000000000097</c:v>
                  </c:pt>
                  <c:pt idx="49">
                    <c:v>0.21600000000000102</c:v>
                  </c:pt>
                  <c:pt idx="50">
                    <c:v>0.22000000000000106</c:v>
                  </c:pt>
                  <c:pt idx="51">
                    <c:v>0.22400000000000106</c:v>
                  </c:pt>
                  <c:pt idx="52">
                    <c:v>0.22800000000000106</c:v>
                  </c:pt>
                  <c:pt idx="53">
                    <c:v>0.23200000000000112</c:v>
                  </c:pt>
                  <c:pt idx="54">
                    <c:v>0.23600000000000118</c:v>
                  </c:pt>
                  <c:pt idx="55">
                    <c:v>0.24000000000000118</c:v>
                  </c:pt>
                  <c:pt idx="56">
                    <c:v>0.24400000000000119</c:v>
                  </c:pt>
                  <c:pt idx="57">
                    <c:v>0.24800000000000119</c:v>
                  </c:pt>
                  <c:pt idx="58">
                    <c:v>0.25200000000000122</c:v>
                  </c:pt>
                  <c:pt idx="59">
                    <c:v>0.25600000000000128</c:v>
                  </c:pt>
                  <c:pt idx="60">
                    <c:v>0.26000000000000129</c:v>
                  </c:pt>
                  <c:pt idx="61">
                    <c:v>0.26400000000000129</c:v>
                  </c:pt>
                  <c:pt idx="62">
                    <c:v>0.26800000000000135</c:v>
                  </c:pt>
                  <c:pt idx="63">
                    <c:v>0.27200000000000141</c:v>
                  </c:pt>
                  <c:pt idx="64">
                    <c:v>0.27600000000000141</c:v>
                  </c:pt>
                  <c:pt idx="65">
                    <c:v>0.28000000000000141</c:v>
                  </c:pt>
                  <c:pt idx="66">
                    <c:v>0.28400000000000147</c:v>
                  </c:pt>
                  <c:pt idx="67">
                    <c:v>0.28800000000000153</c:v>
                  </c:pt>
                  <c:pt idx="68">
                    <c:v>0.29200000000000154</c:v>
                  </c:pt>
                  <c:pt idx="69">
                    <c:v>0.29600000000000154</c:v>
                  </c:pt>
                  <c:pt idx="70">
                    <c:v>0.30000000000000154</c:v>
                  </c:pt>
                  <c:pt idx="71">
                    <c:v>0.3040000000000016</c:v>
                  </c:pt>
                  <c:pt idx="72">
                    <c:v>0.30800000000000161</c:v>
                  </c:pt>
                  <c:pt idx="73">
                    <c:v>0.31200000000000161</c:v>
                  </c:pt>
                  <c:pt idx="74">
                    <c:v>0.31600000000000167</c:v>
                  </c:pt>
                  <c:pt idx="75">
                    <c:v>0.32000000000000173</c:v>
                  </c:pt>
                  <c:pt idx="76">
                    <c:v>0.32400000000000173</c:v>
                  </c:pt>
                  <c:pt idx="77">
                    <c:v>0.32800000000000173</c:v>
                  </c:pt>
                  <c:pt idx="78">
                    <c:v>0.33200000000000179</c:v>
                  </c:pt>
                  <c:pt idx="79">
                    <c:v>0.3360000000000018</c:v>
                  </c:pt>
                  <c:pt idx="80">
                    <c:v>0.34000000000000186</c:v>
                  </c:pt>
                  <c:pt idx="81">
                    <c:v>0.34400000000000186</c:v>
                  </c:pt>
                  <c:pt idx="82">
                    <c:v>0.34800000000000186</c:v>
                  </c:pt>
                  <c:pt idx="83">
                    <c:v>0.35200000000000187</c:v>
                  </c:pt>
                  <c:pt idx="84">
                    <c:v>0.35600000000000193</c:v>
                  </c:pt>
                  <c:pt idx="85">
                    <c:v>0.36000000000000193</c:v>
                  </c:pt>
                  <c:pt idx="86">
                    <c:v>0.36400000000000199</c:v>
                  </c:pt>
                  <c:pt idx="87">
                    <c:v>0.36800000000000199</c:v>
                  </c:pt>
                  <c:pt idx="88">
                    <c:v>0.37200000000000205</c:v>
                  </c:pt>
                  <c:pt idx="89">
                    <c:v>0.376000000000002</c:v>
                  </c:pt>
                  <c:pt idx="90">
                    <c:v>0.38000000000000195</c:v>
                  </c:pt>
                  <c:pt idx="91">
                    <c:v>0.3840000000000019</c:v>
                  </c:pt>
                  <c:pt idx="92">
                    <c:v>0.38800000000000184</c:v>
                  </c:pt>
                  <c:pt idx="93">
                    <c:v>0.39200000000000179</c:v>
                  </c:pt>
                  <c:pt idx="94">
                    <c:v>0.39600000000000174</c:v>
                  </c:pt>
                  <c:pt idx="95">
                    <c:v>0.40000000000000169</c:v>
                  </c:pt>
                  <c:pt idx="96">
                    <c:v>0.40400000000000169</c:v>
                  </c:pt>
                  <c:pt idx="97">
                    <c:v>0.40800000000000164</c:v>
                  </c:pt>
                  <c:pt idx="98">
                    <c:v>0.41200000000000153</c:v>
                  </c:pt>
                  <c:pt idx="99">
                    <c:v>0.41600000000000148</c:v>
                  </c:pt>
                  <c:pt idx="100">
                    <c:v>0.4199999999999986</c:v>
                  </c:pt>
                  <c:pt idx="101">
                    <c:v>0.41599999999999865</c:v>
                  </c:pt>
                  <c:pt idx="102">
                    <c:v>0.4119999999999987</c:v>
                  </c:pt>
                  <c:pt idx="103">
                    <c:v>0.40799999999999875</c:v>
                  </c:pt>
                  <c:pt idx="104">
                    <c:v>0.4039999999999988</c:v>
                  </c:pt>
                  <c:pt idx="105">
                    <c:v>0.3999999999999988</c:v>
                  </c:pt>
                  <c:pt idx="106">
                    <c:v>0.39599999999999891</c:v>
                  </c:pt>
                  <c:pt idx="107">
                    <c:v>0.39199999999999896</c:v>
                  </c:pt>
                  <c:pt idx="108">
                    <c:v>0.38799999999999901</c:v>
                  </c:pt>
                  <c:pt idx="109">
                    <c:v>0.38399999999999901</c:v>
                  </c:pt>
                  <c:pt idx="110">
                    <c:v>0.37999999999999906</c:v>
                  </c:pt>
                  <c:pt idx="111">
                    <c:v>0.37599999999999911</c:v>
                  </c:pt>
                  <c:pt idx="112">
                    <c:v>0.37199999999999916</c:v>
                  </c:pt>
                  <c:pt idx="113">
                    <c:v>0.36799999999999922</c:v>
                  </c:pt>
                  <c:pt idx="114">
                    <c:v>0.36399999999999927</c:v>
                  </c:pt>
                  <c:pt idx="115">
                    <c:v>0.35999999999999932</c:v>
                  </c:pt>
                  <c:pt idx="116">
                    <c:v>0.35599999999999937</c:v>
                  </c:pt>
                  <c:pt idx="117">
                    <c:v>0.35199999999999942</c:v>
                  </c:pt>
                  <c:pt idx="118">
                    <c:v>0.34799999999999942</c:v>
                  </c:pt>
                  <c:pt idx="119">
                    <c:v>0.34399999999999947</c:v>
                  </c:pt>
                  <c:pt idx="120">
                    <c:v>0.33999999999999952</c:v>
                  </c:pt>
                  <c:pt idx="121">
                    <c:v>0.33599999999999963</c:v>
                  </c:pt>
                  <c:pt idx="122">
                    <c:v>0.33199999999999963</c:v>
                  </c:pt>
                  <c:pt idx="123">
                    <c:v>0.32799999999999968</c:v>
                  </c:pt>
                  <c:pt idx="124">
                    <c:v>0.32399999999999973</c:v>
                  </c:pt>
                  <c:pt idx="125">
                    <c:v>0.31999999999999978</c:v>
                  </c:pt>
                  <c:pt idx="126">
                    <c:v>0.31599999999999978</c:v>
                  </c:pt>
                  <c:pt idx="127">
                    <c:v>0.31199999999999983</c:v>
                  </c:pt>
                  <c:pt idx="128">
                    <c:v>0.30799999999999994</c:v>
                  </c:pt>
                  <c:pt idx="129">
                    <c:v>0.30399999999999994</c:v>
                  </c:pt>
                  <c:pt idx="130">
                    <c:v>0.3</c:v>
                  </c:pt>
                  <c:pt idx="131">
                    <c:v>0.29599999999999999</c:v>
                  </c:pt>
                  <c:pt idx="132">
                    <c:v>0.29200000000000009</c:v>
                  </c:pt>
                  <c:pt idx="133">
                    <c:v>0.28800000000000014</c:v>
                  </c:pt>
                  <c:pt idx="134">
                    <c:v>0.2840000000000002</c:v>
                  </c:pt>
                  <c:pt idx="135">
                    <c:v>0.28000000000000019</c:v>
                  </c:pt>
                  <c:pt idx="136">
                    <c:v>0.27600000000000025</c:v>
                  </c:pt>
                  <c:pt idx="137">
                    <c:v>0.27200000000000035</c:v>
                  </c:pt>
                  <c:pt idx="138">
                    <c:v>0.26800000000000035</c:v>
                  </c:pt>
                  <c:pt idx="139">
                    <c:v>0.2640000000000004</c:v>
                  </c:pt>
                  <c:pt idx="140">
                    <c:v>0.26000000000000045</c:v>
                  </c:pt>
                  <c:pt idx="141">
                    <c:v>0.2560000000000005</c:v>
                  </c:pt>
                  <c:pt idx="142">
                    <c:v>0.25200000000000056</c:v>
                  </c:pt>
                  <c:pt idx="143">
                    <c:v>0.24800000000000055</c:v>
                  </c:pt>
                  <c:pt idx="144">
                    <c:v>0.24400000000000063</c:v>
                  </c:pt>
                  <c:pt idx="145">
                    <c:v>0.24000000000000063</c:v>
                  </c:pt>
                  <c:pt idx="146">
                    <c:v>0.23600000000000074</c:v>
                  </c:pt>
                  <c:pt idx="147">
                    <c:v>0.23200000000000073</c:v>
                  </c:pt>
                  <c:pt idx="148">
                    <c:v>0.22800000000000081</c:v>
                  </c:pt>
                  <c:pt idx="149">
                    <c:v>0.22400000000000084</c:v>
                  </c:pt>
                  <c:pt idx="150">
                    <c:v>0.22000000000000089</c:v>
                  </c:pt>
                  <c:pt idx="151">
                    <c:v>0.21600000000000094</c:v>
                  </c:pt>
                  <c:pt idx="152">
                    <c:v>0.21200000000000097</c:v>
                  </c:pt>
                  <c:pt idx="153">
                    <c:v>0.20800000000000105</c:v>
                  </c:pt>
                  <c:pt idx="154">
                    <c:v>0.2040000000000011</c:v>
                  </c:pt>
                  <c:pt idx="155">
                    <c:v>0.20000000000000115</c:v>
                  </c:pt>
                  <c:pt idx="156">
                    <c:v>0.19600000000000117</c:v>
                  </c:pt>
                  <c:pt idx="157">
                    <c:v>0.19200000000000123</c:v>
                  </c:pt>
                  <c:pt idx="158">
                    <c:v>0.18800000000000125</c:v>
                  </c:pt>
                  <c:pt idx="159">
                    <c:v>0.1840000000000013</c:v>
                  </c:pt>
                  <c:pt idx="160">
                    <c:v>0.18000000000000135</c:v>
                  </c:pt>
                  <c:pt idx="161">
                    <c:v>0.17600000000000143</c:v>
                  </c:pt>
                  <c:pt idx="162">
                    <c:v>0.17200000000000146</c:v>
                  </c:pt>
                  <c:pt idx="163">
                    <c:v>0.16800000000000151</c:v>
                  </c:pt>
                  <c:pt idx="164">
                    <c:v>0.16400000000000153</c:v>
                  </c:pt>
                  <c:pt idx="165">
                    <c:v>0.16000000000000159</c:v>
                  </c:pt>
                  <c:pt idx="166">
                    <c:v>0.15600000000000164</c:v>
                  </c:pt>
                  <c:pt idx="167">
                    <c:v>0.15200000000000166</c:v>
                  </c:pt>
                  <c:pt idx="168">
                    <c:v>0.14800000000000171</c:v>
                  </c:pt>
                  <c:pt idx="169">
                    <c:v>0.14400000000000179</c:v>
                  </c:pt>
                  <c:pt idx="170">
                    <c:v>0.14000000000000185</c:v>
                  </c:pt>
                  <c:pt idx="171">
                    <c:v>0.13600000000000187</c:v>
                  </c:pt>
                  <c:pt idx="172">
                    <c:v>0.13200000000000192</c:v>
                  </c:pt>
                  <c:pt idx="173">
                    <c:v>0.12800000000000197</c:v>
                  </c:pt>
                  <c:pt idx="174">
                    <c:v>0.12400000000000201</c:v>
                  </c:pt>
                  <c:pt idx="175">
                    <c:v>0.12000000000000205</c:v>
                  </c:pt>
                  <c:pt idx="176">
                    <c:v>0.11600000000000209</c:v>
                  </c:pt>
                  <c:pt idx="177">
                    <c:v>0.11200000000000218</c:v>
                  </c:pt>
                  <c:pt idx="178">
                    <c:v>0.10800000000000222</c:v>
                  </c:pt>
                  <c:pt idx="179">
                    <c:v>0.10400000000000226</c:v>
                  </c:pt>
                  <c:pt idx="180">
                    <c:v>0.1000000000000023</c:v>
                  </c:pt>
                  <c:pt idx="181">
                    <c:v>9.6000000000002347E-2</c:v>
                  </c:pt>
                  <c:pt idx="182">
                    <c:v>9.2000000000002385E-2</c:v>
                  </c:pt>
                  <c:pt idx="183">
                    <c:v>8.8000000000002424E-2</c:v>
                  </c:pt>
                  <c:pt idx="184">
                    <c:v>8.4000000000002462E-2</c:v>
                  </c:pt>
                  <c:pt idx="185">
                    <c:v>8.0000000000002541E-2</c:v>
                  </c:pt>
                  <c:pt idx="186">
                    <c:v>7.6000000000002579E-2</c:v>
                  </c:pt>
                  <c:pt idx="187">
                    <c:v>7.2000000000002631E-2</c:v>
                  </c:pt>
                  <c:pt idx="188">
                    <c:v>6.8000000000002669E-2</c:v>
                  </c:pt>
                  <c:pt idx="189">
                    <c:v>6.4000000000002708E-2</c:v>
                  </c:pt>
                  <c:pt idx="190">
                    <c:v>6.0000000000002746E-2</c:v>
                  </c:pt>
                  <c:pt idx="191">
                    <c:v>5.6000000000002784E-2</c:v>
                  </c:pt>
                  <c:pt idx="192">
                    <c:v>5.2000000000002822E-2</c:v>
                  </c:pt>
                  <c:pt idx="193">
                    <c:v>4.8000000000002915E-2</c:v>
                  </c:pt>
                  <c:pt idx="194">
                    <c:v>4.4000000000002953E-2</c:v>
                  </c:pt>
                  <c:pt idx="195">
                    <c:v>4.0000000000002991E-2</c:v>
                  </c:pt>
                  <c:pt idx="196">
                    <c:v>3.6000000000003037E-2</c:v>
                  </c:pt>
                  <c:pt idx="197">
                    <c:v>3.2000000000003075E-2</c:v>
                  </c:pt>
                  <c:pt idx="198">
                    <c:v>2.8000000000003116E-2</c:v>
                  </c:pt>
                  <c:pt idx="199">
                    <c:v>2.4000000000003158E-2</c:v>
                  </c:pt>
                  <c:pt idx="200">
                    <c:v>2.0000000000003199E-2</c:v>
                  </c:pt>
                </c:numCache>
              </c:numRef>
            </c:minus>
            <c:spPr>
              <a:ln w="127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two groups'!$CG$48:$CG$248</c:f>
              <c:numCache>
                <c:formatCode>General</c:formatCode>
                <c:ptCount val="201"/>
                <c:pt idx="0">
                  <c:v>0.22856409506001468</c:v>
                </c:pt>
                <c:pt idx="1">
                  <c:v>0.23166916665801116</c:v>
                </c:pt>
                <c:pt idx="2">
                  <c:v>0.23477423825600763</c:v>
                </c:pt>
                <c:pt idx="3">
                  <c:v>0.2378793098540041</c:v>
                </c:pt>
                <c:pt idx="4">
                  <c:v>0.24098438145200057</c:v>
                </c:pt>
                <c:pt idx="5">
                  <c:v>0.24408945304999705</c:v>
                </c:pt>
                <c:pt idx="6">
                  <c:v>0.24719452464799352</c:v>
                </c:pt>
                <c:pt idx="7">
                  <c:v>0.25029959624599002</c:v>
                </c:pt>
                <c:pt idx="8">
                  <c:v>0.25340466784398652</c:v>
                </c:pt>
                <c:pt idx="9">
                  <c:v>0.25650973944198302</c:v>
                </c:pt>
                <c:pt idx="10">
                  <c:v>0.25961481103997952</c:v>
                </c:pt>
                <c:pt idx="11">
                  <c:v>0.26271988263797602</c:v>
                </c:pt>
                <c:pt idx="12">
                  <c:v>0.26582495423597252</c:v>
                </c:pt>
                <c:pt idx="13">
                  <c:v>0.26893002583396902</c:v>
                </c:pt>
                <c:pt idx="14">
                  <c:v>0.27203509743196552</c:v>
                </c:pt>
                <c:pt idx="15">
                  <c:v>0.27514016902996202</c:v>
                </c:pt>
                <c:pt idx="16">
                  <c:v>0.27824524062795852</c:v>
                </c:pt>
                <c:pt idx="17">
                  <c:v>0.28135031222595502</c:v>
                </c:pt>
                <c:pt idx="18">
                  <c:v>0.28445538382395152</c:v>
                </c:pt>
                <c:pt idx="19">
                  <c:v>0.28756045542194802</c:v>
                </c:pt>
                <c:pt idx="20">
                  <c:v>0.29066552701994453</c:v>
                </c:pt>
                <c:pt idx="21">
                  <c:v>0.29377059861794103</c:v>
                </c:pt>
                <c:pt idx="22">
                  <c:v>0.29687567021593753</c:v>
                </c:pt>
                <c:pt idx="23">
                  <c:v>0.29998074181393403</c:v>
                </c:pt>
                <c:pt idx="24">
                  <c:v>0.30308581341193053</c:v>
                </c:pt>
                <c:pt idx="25">
                  <c:v>0.30619088500992703</c:v>
                </c:pt>
                <c:pt idx="26">
                  <c:v>0.30929595660792353</c:v>
                </c:pt>
                <c:pt idx="27">
                  <c:v>0.31240102820592003</c:v>
                </c:pt>
                <c:pt idx="28">
                  <c:v>0.31550609980391653</c:v>
                </c:pt>
                <c:pt idx="29">
                  <c:v>0.31861117140191303</c:v>
                </c:pt>
                <c:pt idx="30">
                  <c:v>0.32171624299990953</c:v>
                </c:pt>
                <c:pt idx="31">
                  <c:v>0.32482131459790603</c:v>
                </c:pt>
                <c:pt idx="32">
                  <c:v>0.32792638619590253</c:v>
                </c:pt>
                <c:pt idx="33">
                  <c:v>0.33103145779389903</c:v>
                </c:pt>
                <c:pt idx="34">
                  <c:v>0.33413652939189553</c:v>
                </c:pt>
                <c:pt idx="35">
                  <c:v>0.33724160098989203</c:v>
                </c:pt>
                <c:pt idx="36">
                  <c:v>0.34034667258788853</c:v>
                </c:pt>
                <c:pt idx="37">
                  <c:v>0.34345174418588503</c:v>
                </c:pt>
                <c:pt idx="38">
                  <c:v>0.34655681578388153</c:v>
                </c:pt>
                <c:pt idx="39">
                  <c:v>0.34966188738187803</c:v>
                </c:pt>
                <c:pt idx="40">
                  <c:v>0.35276695897987453</c:v>
                </c:pt>
                <c:pt idx="41">
                  <c:v>0.35587203057787103</c:v>
                </c:pt>
                <c:pt idx="42">
                  <c:v>0.35897710217586754</c:v>
                </c:pt>
                <c:pt idx="43">
                  <c:v>0.36208217377386404</c:v>
                </c:pt>
                <c:pt idx="44">
                  <c:v>0.36518724537186054</c:v>
                </c:pt>
                <c:pt idx="45">
                  <c:v>0.36829231696985704</c:v>
                </c:pt>
                <c:pt idx="46">
                  <c:v>0.37139738856785354</c:v>
                </c:pt>
                <c:pt idx="47">
                  <c:v>0.37450246016585004</c:v>
                </c:pt>
                <c:pt idx="48">
                  <c:v>0.37760753176384654</c:v>
                </c:pt>
                <c:pt idx="49">
                  <c:v>0.38071260336184304</c:v>
                </c:pt>
                <c:pt idx="50">
                  <c:v>0.38381767495983954</c:v>
                </c:pt>
                <c:pt idx="51">
                  <c:v>0.38692274655783604</c:v>
                </c:pt>
                <c:pt idx="52">
                  <c:v>0.39002781815583254</c:v>
                </c:pt>
                <c:pt idx="53">
                  <c:v>0.39313288975382904</c:v>
                </c:pt>
                <c:pt idx="54">
                  <c:v>0.39623796135182554</c:v>
                </c:pt>
                <c:pt idx="55">
                  <c:v>0.39934303294982204</c:v>
                </c:pt>
                <c:pt idx="56">
                  <c:v>0.40244810454781854</c:v>
                </c:pt>
                <c:pt idx="57">
                  <c:v>0.40555317614581504</c:v>
                </c:pt>
                <c:pt idx="58">
                  <c:v>0.40865824774381154</c:v>
                </c:pt>
                <c:pt idx="59">
                  <c:v>0.41176331934180804</c:v>
                </c:pt>
                <c:pt idx="60">
                  <c:v>0.41486839093980454</c:v>
                </c:pt>
                <c:pt idx="61">
                  <c:v>0.41797346253780104</c:v>
                </c:pt>
                <c:pt idx="62">
                  <c:v>0.42107853413579754</c:v>
                </c:pt>
                <c:pt idx="63">
                  <c:v>0.42418360573379404</c:v>
                </c:pt>
                <c:pt idx="64">
                  <c:v>0.42728867733179055</c:v>
                </c:pt>
                <c:pt idx="65">
                  <c:v>0.43039374892978705</c:v>
                </c:pt>
                <c:pt idx="66">
                  <c:v>0.43349882052778355</c:v>
                </c:pt>
                <c:pt idx="67">
                  <c:v>0.43660389212578005</c:v>
                </c:pt>
                <c:pt idx="68">
                  <c:v>0.43970896372377655</c:v>
                </c:pt>
                <c:pt idx="69">
                  <c:v>0.44281403532177305</c:v>
                </c:pt>
                <c:pt idx="70">
                  <c:v>0.44591910691976955</c:v>
                </c:pt>
                <c:pt idx="71">
                  <c:v>0.44902417851776605</c:v>
                </c:pt>
                <c:pt idx="72">
                  <c:v>0.45212925011576255</c:v>
                </c:pt>
                <c:pt idx="73">
                  <c:v>0.45523432171375905</c:v>
                </c:pt>
                <c:pt idx="74">
                  <c:v>0.45833939331175555</c:v>
                </c:pt>
                <c:pt idx="75">
                  <c:v>0.46144446490975205</c:v>
                </c:pt>
                <c:pt idx="76">
                  <c:v>0.46454953650774855</c:v>
                </c:pt>
                <c:pt idx="77">
                  <c:v>0.46765460810574505</c:v>
                </c:pt>
                <c:pt idx="78">
                  <c:v>0.47075967970374155</c:v>
                </c:pt>
                <c:pt idx="79">
                  <c:v>0.47386475130173805</c:v>
                </c:pt>
                <c:pt idx="80">
                  <c:v>0.47696982289973455</c:v>
                </c:pt>
                <c:pt idx="81">
                  <c:v>0.48007489449773105</c:v>
                </c:pt>
                <c:pt idx="82">
                  <c:v>0.48317996609572755</c:v>
                </c:pt>
                <c:pt idx="83">
                  <c:v>0.48628503769372405</c:v>
                </c:pt>
                <c:pt idx="84">
                  <c:v>0.48939010929172055</c:v>
                </c:pt>
                <c:pt idx="85">
                  <c:v>0.49249518088971705</c:v>
                </c:pt>
                <c:pt idx="86">
                  <c:v>0.49560025248771356</c:v>
                </c:pt>
                <c:pt idx="87">
                  <c:v>0.49870532408571006</c:v>
                </c:pt>
                <c:pt idx="88">
                  <c:v>0.50181039568370656</c:v>
                </c:pt>
                <c:pt idx="89">
                  <c:v>0.504915467281703</c:v>
                </c:pt>
                <c:pt idx="90">
                  <c:v>0.50802053887969945</c:v>
                </c:pt>
                <c:pt idx="91">
                  <c:v>0.51112561047769589</c:v>
                </c:pt>
                <c:pt idx="92">
                  <c:v>0.51423068207569234</c:v>
                </c:pt>
                <c:pt idx="93">
                  <c:v>0.51733575367368878</c:v>
                </c:pt>
                <c:pt idx="94">
                  <c:v>0.52044082527168523</c:v>
                </c:pt>
                <c:pt idx="95">
                  <c:v>0.52354589686968167</c:v>
                </c:pt>
                <c:pt idx="96">
                  <c:v>0.52665096846767812</c:v>
                </c:pt>
                <c:pt idx="97">
                  <c:v>0.52975604006567456</c:v>
                </c:pt>
                <c:pt idx="98">
                  <c:v>0.53286111166367101</c:v>
                </c:pt>
                <c:pt idx="99">
                  <c:v>0.53596618326166745</c:v>
                </c:pt>
                <c:pt idx="100">
                  <c:v>0.5390712548596639</c:v>
                </c:pt>
                <c:pt idx="101">
                  <c:v>0.54217632645766034</c:v>
                </c:pt>
                <c:pt idx="102">
                  <c:v>0.54528139805565679</c:v>
                </c:pt>
                <c:pt idx="103">
                  <c:v>0.54838646965365323</c:v>
                </c:pt>
                <c:pt idx="104">
                  <c:v>0.55149154125164968</c:v>
                </c:pt>
                <c:pt idx="105">
                  <c:v>0.55459661284964612</c:v>
                </c:pt>
                <c:pt idx="106">
                  <c:v>0.55770168444764256</c:v>
                </c:pt>
                <c:pt idx="107">
                  <c:v>0.56080675604563901</c:v>
                </c:pt>
                <c:pt idx="108">
                  <c:v>0.56391182764363545</c:v>
                </c:pt>
                <c:pt idx="109">
                  <c:v>0.5670168992416319</c:v>
                </c:pt>
                <c:pt idx="110">
                  <c:v>0.57012197083962834</c:v>
                </c:pt>
                <c:pt idx="111">
                  <c:v>0.57322704243762479</c:v>
                </c:pt>
                <c:pt idx="112">
                  <c:v>0.57633211403562123</c:v>
                </c:pt>
                <c:pt idx="113">
                  <c:v>0.57943718563361768</c:v>
                </c:pt>
                <c:pt idx="114">
                  <c:v>0.58254225723161412</c:v>
                </c:pt>
                <c:pt idx="115">
                  <c:v>0.58564732882961057</c:v>
                </c:pt>
                <c:pt idx="116">
                  <c:v>0.58875240042760701</c:v>
                </c:pt>
                <c:pt idx="117">
                  <c:v>0.59185747202560346</c:v>
                </c:pt>
                <c:pt idx="118">
                  <c:v>0.5949625436235999</c:v>
                </c:pt>
                <c:pt idx="119">
                  <c:v>0.59806761522159635</c:v>
                </c:pt>
                <c:pt idx="120">
                  <c:v>0.60117268681959279</c:v>
                </c:pt>
                <c:pt idx="121">
                  <c:v>0.60427775841758924</c:v>
                </c:pt>
                <c:pt idx="122">
                  <c:v>0.60738283001558568</c:v>
                </c:pt>
                <c:pt idx="123">
                  <c:v>0.61048790161358213</c:v>
                </c:pt>
                <c:pt idx="124">
                  <c:v>0.61359297321157857</c:v>
                </c:pt>
                <c:pt idx="125">
                  <c:v>0.61669804480957502</c:v>
                </c:pt>
                <c:pt idx="126">
                  <c:v>0.61980311640757146</c:v>
                </c:pt>
                <c:pt idx="127">
                  <c:v>0.62290818800556791</c:v>
                </c:pt>
                <c:pt idx="128">
                  <c:v>0.62601325960356435</c:v>
                </c:pt>
                <c:pt idx="129">
                  <c:v>0.6291183312015608</c:v>
                </c:pt>
                <c:pt idx="130">
                  <c:v>0.63222340279955724</c:v>
                </c:pt>
                <c:pt idx="131">
                  <c:v>0.63532847439755369</c:v>
                </c:pt>
                <c:pt idx="132">
                  <c:v>0.63843354599555013</c:v>
                </c:pt>
                <c:pt idx="133">
                  <c:v>0.64153861759354658</c:v>
                </c:pt>
                <c:pt idx="134">
                  <c:v>0.64464368919154302</c:v>
                </c:pt>
                <c:pt idx="135">
                  <c:v>0.64774876078953947</c:v>
                </c:pt>
                <c:pt idx="136">
                  <c:v>0.65085383238753591</c:v>
                </c:pt>
                <c:pt idx="137">
                  <c:v>0.65395890398553236</c:v>
                </c:pt>
                <c:pt idx="138">
                  <c:v>0.6570639755835288</c:v>
                </c:pt>
                <c:pt idx="139">
                  <c:v>0.66016904718152525</c:v>
                </c:pt>
                <c:pt idx="140">
                  <c:v>0.66327411877952169</c:v>
                </c:pt>
                <c:pt idx="141">
                  <c:v>0.66637919037751814</c:v>
                </c:pt>
                <c:pt idx="142">
                  <c:v>0.66948426197551458</c:v>
                </c:pt>
                <c:pt idx="143">
                  <c:v>0.67258933357351103</c:v>
                </c:pt>
                <c:pt idx="144">
                  <c:v>0.67569440517150747</c:v>
                </c:pt>
                <c:pt idx="145">
                  <c:v>0.67879947676950392</c:v>
                </c:pt>
                <c:pt idx="146">
                  <c:v>0.68190454836750036</c:v>
                </c:pt>
                <c:pt idx="147">
                  <c:v>0.68500961996549681</c:v>
                </c:pt>
                <c:pt idx="148">
                  <c:v>0.68811469156349325</c:v>
                </c:pt>
                <c:pt idx="149">
                  <c:v>0.6912197631614897</c:v>
                </c:pt>
                <c:pt idx="150">
                  <c:v>0.69432483475948614</c:v>
                </c:pt>
                <c:pt idx="151">
                  <c:v>0.69742990635748259</c:v>
                </c:pt>
                <c:pt idx="152">
                  <c:v>0.70053497795547903</c:v>
                </c:pt>
                <c:pt idx="153">
                  <c:v>0.70364004955347548</c:v>
                </c:pt>
                <c:pt idx="154">
                  <c:v>0.70674512115147192</c:v>
                </c:pt>
                <c:pt idx="155">
                  <c:v>0.70985019274946837</c:v>
                </c:pt>
                <c:pt idx="156">
                  <c:v>0.71295526434746481</c:v>
                </c:pt>
                <c:pt idx="157">
                  <c:v>0.71606033594546126</c:v>
                </c:pt>
                <c:pt idx="158">
                  <c:v>0.7191654075434577</c:v>
                </c:pt>
                <c:pt idx="159">
                  <c:v>0.72227047914145415</c:v>
                </c:pt>
                <c:pt idx="160">
                  <c:v>0.72537555073945059</c:v>
                </c:pt>
                <c:pt idx="161">
                  <c:v>0.72848062233744704</c:v>
                </c:pt>
                <c:pt idx="162">
                  <c:v>0.73158569393544348</c:v>
                </c:pt>
                <c:pt idx="163">
                  <c:v>0.73469076553343993</c:v>
                </c:pt>
                <c:pt idx="164">
                  <c:v>0.73779583713143637</c:v>
                </c:pt>
                <c:pt idx="165">
                  <c:v>0.74090090872943282</c:v>
                </c:pt>
                <c:pt idx="166">
                  <c:v>0.74400598032742926</c:v>
                </c:pt>
                <c:pt idx="167">
                  <c:v>0.74711105192542571</c:v>
                </c:pt>
                <c:pt idx="168">
                  <c:v>0.75021612352342215</c:v>
                </c:pt>
                <c:pt idx="169">
                  <c:v>0.7533211951214186</c:v>
                </c:pt>
                <c:pt idx="170">
                  <c:v>0.75642626671941504</c:v>
                </c:pt>
                <c:pt idx="171">
                  <c:v>0.75953133831741149</c:v>
                </c:pt>
                <c:pt idx="172">
                  <c:v>0.76263640991540793</c:v>
                </c:pt>
                <c:pt idx="173">
                  <c:v>0.76574148151340438</c:v>
                </c:pt>
                <c:pt idx="174">
                  <c:v>0.76884655311140082</c:v>
                </c:pt>
                <c:pt idx="175">
                  <c:v>0.77195162470939727</c:v>
                </c:pt>
                <c:pt idx="176">
                  <c:v>0.77505669630739371</c:v>
                </c:pt>
                <c:pt idx="177">
                  <c:v>0.77816176790539016</c:v>
                </c:pt>
                <c:pt idx="178">
                  <c:v>0.7812668395033866</c:v>
                </c:pt>
                <c:pt idx="179">
                  <c:v>0.78437191110138305</c:v>
                </c:pt>
                <c:pt idx="180">
                  <c:v>0.78747698269937949</c:v>
                </c:pt>
                <c:pt idx="181">
                  <c:v>0.79058205429737594</c:v>
                </c:pt>
                <c:pt idx="182">
                  <c:v>0.79368712589537238</c:v>
                </c:pt>
                <c:pt idx="183">
                  <c:v>0.79679219749336883</c:v>
                </c:pt>
                <c:pt idx="184">
                  <c:v>0.79989726909136527</c:v>
                </c:pt>
                <c:pt idx="185">
                  <c:v>0.80300234068936172</c:v>
                </c:pt>
                <c:pt idx="186">
                  <c:v>0.80610741228735816</c:v>
                </c:pt>
                <c:pt idx="187">
                  <c:v>0.80921248388535461</c:v>
                </c:pt>
                <c:pt idx="188">
                  <c:v>0.81231755548335105</c:v>
                </c:pt>
                <c:pt idx="189">
                  <c:v>0.8154226270813475</c:v>
                </c:pt>
                <c:pt idx="190">
                  <c:v>0.81852769867934394</c:v>
                </c:pt>
                <c:pt idx="191">
                  <c:v>0.82163277027734039</c:v>
                </c:pt>
                <c:pt idx="192">
                  <c:v>0.82473784187533683</c:v>
                </c:pt>
                <c:pt idx="193">
                  <c:v>0.82784291347333328</c:v>
                </c:pt>
                <c:pt idx="194">
                  <c:v>0.83094798507132972</c:v>
                </c:pt>
                <c:pt idx="195">
                  <c:v>0.83405305666932616</c:v>
                </c:pt>
                <c:pt idx="196">
                  <c:v>0.83715812826732261</c:v>
                </c:pt>
                <c:pt idx="197">
                  <c:v>0.84026319986531905</c:v>
                </c:pt>
                <c:pt idx="198">
                  <c:v>0.8433682714633155</c:v>
                </c:pt>
                <c:pt idx="199">
                  <c:v>0.84647334306131194</c:v>
                </c:pt>
                <c:pt idx="200">
                  <c:v>0.84957841465930839</c:v>
                </c:pt>
              </c:numCache>
            </c:numRef>
          </c:xVal>
          <c:yVal>
            <c:numRef>
              <c:f>'d two groups'!$CH$48:$CH$248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287-4438-90A3-9ADCCB4018F3}"/>
            </c:ext>
          </c:extLst>
        </c:ser>
        <c:ser>
          <c:idx val="34"/>
          <c:order val="1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two groups'!$CG$40:$CG$44</c:f>
              <c:numCache>
                <c:formatCode>General</c:formatCode>
                <c:ptCount val="5"/>
                <c:pt idx="0">
                  <c:v>0.53907125485966279</c:v>
                </c:pt>
                <c:pt idx="1">
                  <c:v>0.22856409506001468</c:v>
                </c:pt>
                <c:pt idx="2">
                  <c:v>0.53907125485966279</c:v>
                </c:pt>
                <c:pt idx="3">
                  <c:v>0.84957841465931083</c:v>
                </c:pt>
                <c:pt idx="4">
                  <c:v>0.53907125485966279</c:v>
                </c:pt>
              </c:numCache>
            </c:numRef>
          </c:xVal>
          <c:yVal>
            <c:numRef>
              <c:f>'d two groups'!$CH$40:$CH$44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87-4438-90A3-9ADCCB401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61600"/>
        <c:axId val="49563520"/>
      </c:scatterChart>
      <c:valAx>
        <c:axId val="49561600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1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d</a:t>
                </a:r>
              </a:p>
            </c:rich>
          </c:tx>
          <c:layout>
            <c:manualLayout>
              <c:xMode val="edge"/>
              <c:yMode val="edge"/>
              <c:x val="0.48526522593320237"/>
              <c:y val="2.1666701931481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800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63520"/>
        <c:crossesAt val="0"/>
        <c:crossBetween val="midCat"/>
      </c:valAx>
      <c:valAx>
        <c:axId val="49563520"/>
        <c:scaling>
          <c:orientation val="maxMin"/>
          <c:max val="32.5"/>
          <c:min val="0"/>
        </c:scaling>
        <c:delete val="0"/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9525">
            <a:noFill/>
          </a:ln>
        </c:spPr>
        <c:crossAx val="49561600"/>
        <c:crossesAt val="0"/>
        <c:crossBetween val="midCat"/>
        <c:majorUnit val="1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294185229368176E-2"/>
          <c:y val="0.1524064171122996"/>
          <c:w val="0.9313743324416599"/>
          <c:h val="0.8288770053475939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plus"/>
            <c:errValType val="cust"/>
            <c:noEndCap val="1"/>
            <c:plus>
              <c:numRef>
                <c:f>'d two groups'!$CP$3</c:f>
                <c:numCache>
                  <c:formatCode>General</c:formatCode>
                  <c:ptCount val="1"/>
                  <c:pt idx="0">
                    <c:v>10.5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two groups'!$CM$3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'd two groups'!$CN$3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5C-4887-BA74-F35D03CDE0D6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groups'!$CX$7:$CX$36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groups'!$CY$7:$CY$36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5C-4887-BA74-F35D03CDE0D6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groups'!$CO$39</c:f>
                <c:numCache>
                  <c:formatCode>General</c:formatCode>
                  <c:ptCount val="1"/>
                  <c:pt idx="0">
                    <c:v>0.3105071597996481</c:v>
                  </c:pt>
                </c:numCache>
              </c:numRef>
            </c:plus>
            <c:minus>
              <c:numRef>
                <c:f>'d two groups'!$CO$39</c:f>
                <c:numCache>
                  <c:formatCode>General</c:formatCode>
                  <c:ptCount val="1"/>
                  <c:pt idx="0">
                    <c:v>0.3105071597996481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two groups'!$CM$39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'd two groups'!$CY$38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5C-4887-BA74-F35D03CDE0D6}"/>
            </c:ext>
          </c:extLst>
        </c:ser>
        <c:ser>
          <c:idx val="7"/>
          <c:order val="3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groups'!$DR$7:$DR$36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4.9691886171849511E-2</c:v>
                </c:pt>
                <c:pt idx="7">
                  <c:v>4.6675737610289383E-2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5C-4887-BA74-F35D03CDE0D6}"/>
            </c:ext>
          </c:extLst>
        </c:ser>
        <c:ser>
          <c:idx val="8"/>
          <c:order val="4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groups'!$DQ$7:$DQ$36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E5C-4887-BA74-F35D03CDE0D6}"/>
            </c:ext>
          </c:extLst>
        </c:ser>
        <c:ser>
          <c:idx val="9"/>
          <c:order val="5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groups'!$DP$7:$DP$36</c:f>
              <c:numCache>
                <c:formatCode>General</c:formatCode>
                <c:ptCount val="30"/>
                <c:pt idx="0">
                  <c:v>#N/A</c:v>
                </c:pt>
                <c:pt idx="1">
                  <c:v>0.96267790573412426</c:v>
                </c:pt>
                <c:pt idx="2">
                  <c:v>0.64721199752902403</c:v>
                </c:pt>
                <c:pt idx="3">
                  <c:v>0.75809653888870754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E5C-4887-BA74-F35D03CDE0D6}"/>
            </c:ext>
          </c:extLst>
        </c:ser>
        <c:ser>
          <c:idx val="10"/>
          <c:order val="6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groups'!$DO$7:$DO$36</c:f>
              <c:numCache>
                <c:formatCode>General</c:formatCode>
                <c:ptCount val="30"/>
                <c:pt idx="0">
                  <c:v>0.80578584465834813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0.95043896616930468</c:v>
                </c:pt>
                <c:pt idx="5">
                  <c:v>0.83491063422431255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E5C-4887-BA74-F35D03CDE0D6}"/>
            </c:ext>
          </c:extLst>
        </c:ser>
        <c:ser>
          <c:idx val="11"/>
          <c:order val="7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groups'!$DN$7:$DN$36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E5C-4887-BA74-F35D03CDE0D6}"/>
            </c:ext>
          </c:extLst>
        </c:ser>
        <c:ser>
          <c:idx val="12"/>
          <c:order val="8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groups'!$DM$7:$DM$36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E5C-4887-BA74-F35D03CDE0D6}"/>
            </c:ext>
          </c:extLst>
        </c:ser>
        <c:ser>
          <c:idx val="13"/>
          <c:order val="9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groups'!$DL$7:$DL$36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E5C-4887-BA74-F35D03CDE0D6}"/>
            </c:ext>
          </c:extLst>
        </c:ser>
        <c:ser>
          <c:idx val="14"/>
          <c:order val="10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groups'!$DK$7:$DK$36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E5C-4887-BA74-F35D03CDE0D6}"/>
            </c:ext>
          </c:extLst>
        </c:ser>
        <c:ser>
          <c:idx val="15"/>
          <c:order val="11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groups'!$DJ$7:$DJ$36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E5C-4887-BA74-F35D03CDE0D6}"/>
            </c:ext>
          </c:extLst>
        </c:ser>
        <c:ser>
          <c:idx val="36"/>
          <c:order val="1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two groups'!$CI$48:$CI$248</c:f>
                <c:numCache>
                  <c:formatCode>General</c:formatCode>
                  <c:ptCount val="201"/>
                  <c:pt idx="0">
                    <c:v>0.02</c:v>
                  </c:pt>
                  <c:pt idx="1">
                    <c:v>2.4000000000000004E-2</c:v>
                  </c:pt>
                  <c:pt idx="2">
                    <c:v>2.7999999999999962E-2</c:v>
                  </c:pt>
                  <c:pt idx="3">
                    <c:v>3.1999999999999924E-2</c:v>
                  </c:pt>
                  <c:pt idx="4">
                    <c:v>3.599999999999997E-2</c:v>
                  </c:pt>
                  <c:pt idx="5">
                    <c:v>3.999999999999998E-2</c:v>
                  </c:pt>
                  <c:pt idx="6">
                    <c:v>4.3999999999999935E-2</c:v>
                  </c:pt>
                  <c:pt idx="7">
                    <c:v>4.7999999999999987E-2</c:v>
                  </c:pt>
                  <c:pt idx="8">
                    <c:v>5.1999999999999991E-2</c:v>
                  </c:pt>
                  <c:pt idx="9">
                    <c:v>5.6000000000000036E-2</c:v>
                  </c:pt>
                  <c:pt idx="10">
                    <c:v>6.0000000000000039E-2</c:v>
                  </c:pt>
                  <c:pt idx="11">
                    <c:v>6.4000000000000043E-2</c:v>
                  </c:pt>
                  <c:pt idx="12">
                    <c:v>6.8000000000000088E-2</c:v>
                  </c:pt>
                  <c:pt idx="13">
                    <c:v>7.2000000000000092E-2</c:v>
                  </c:pt>
                  <c:pt idx="14">
                    <c:v>7.6000000000000137E-2</c:v>
                  </c:pt>
                  <c:pt idx="15">
                    <c:v>8.000000000000014E-2</c:v>
                  </c:pt>
                  <c:pt idx="16">
                    <c:v>8.40000000000002E-2</c:v>
                  </c:pt>
                  <c:pt idx="17">
                    <c:v>8.8000000000000203E-2</c:v>
                  </c:pt>
                  <c:pt idx="18">
                    <c:v>9.2000000000000248E-2</c:v>
                  </c:pt>
                  <c:pt idx="19">
                    <c:v>9.6000000000000252E-2</c:v>
                  </c:pt>
                  <c:pt idx="20">
                    <c:v>0.1000000000000003</c:v>
                  </c:pt>
                  <c:pt idx="21">
                    <c:v>0.1040000000000003</c:v>
                  </c:pt>
                  <c:pt idx="22">
                    <c:v>0.10800000000000036</c:v>
                  </c:pt>
                  <c:pt idx="23">
                    <c:v>0.11200000000000036</c:v>
                  </c:pt>
                  <c:pt idx="24">
                    <c:v>0.11600000000000041</c:v>
                  </c:pt>
                  <c:pt idx="25">
                    <c:v>0.12000000000000041</c:v>
                  </c:pt>
                  <c:pt idx="26">
                    <c:v>0.12400000000000046</c:v>
                  </c:pt>
                  <c:pt idx="27">
                    <c:v>0.12800000000000045</c:v>
                  </c:pt>
                  <c:pt idx="28">
                    <c:v>0.13200000000000051</c:v>
                  </c:pt>
                  <c:pt idx="29">
                    <c:v>0.13600000000000051</c:v>
                  </c:pt>
                  <c:pt idx="30">
                    <c:v>0.14000000000000054</c:v>
                  </c:pt>
                  <c:pt idx="31">
                    <c:v>0.14400000000000054</c:v>
                  </c:pt>
                  <c:pt idx="32">
                    <c:v>0.1480000000000006</c:v>
                  </c:pt>
                  <c:pt idx="33">
                    <c:v>0.15200000000000061</c:v>
                  </c:pt>
                  <c:pt idx="34">
                    <c:v>0.15600000000000064</c:v>
                  </c:pt>
                  <c:pt idx="35">
                    <c:v>0.16000000000000064</c:v>
                  </c:pt>
                  <c:pt idx="36">
                    <c:v>0.1640000000000007</c:v>
                  </c:pt>
                  <c:pt idx="37">
                    <c:v>0.1680000000000007</c:v>
                  </c:pt>
                  <c:pt idx="38">
                    <c:v>0.17200000000000076</c:v>
                  </c:pt>
                  <c:pt idx="39">
                    <c:v>0.17600000000000077</c:v>
                  </c:pt>
                  <c:pt idx="40">
                    <c:v>0.1800000000000008</c:v>
                  </c:pt>
                  <c:pt idx="41">
                    <c:v>0.1840000000000008</c:v>
                  </c:pt>
                  <c:pt idx="42">
                    <c:v>0.18800000000000081</c:v>
                  </c:pt>
                  <c:pt idx="43">
                    <c:v>0.19200000000000086</c:v>
                  </c:pt>
                  <c:pt idx="44">
                    <c:v>0.19600000000000087</c:v>
                  </c:pt>
                  <c:pt idx="45">
                    <c:v>0.20000000000000093</c:v>
                  </c:pt>
                  <c:pt idx="46">
                    <c:v>0.20400000000000093</c:v>
                  </c:pt>
                  <c:pt idx="47">
                    <c:v>0.20800000000000096</c:v>
                  </c:pt>
                  <c:pt idx="48">
                    <c:v>0.21200000000000097</c:v>
                  </c:pt>
                  <c:pt idx="49">
                    <c:v>0.21600000000000102</c:v>
                  </c:pt>
                  <c:pt idx="50">
                    <c:v>0.22000000000000106</c:v>
                  </c:pt>
                  <c:pt idx="51">
                    <c:v>0.22400000000000106</c:v>
                  </c:pt>
                  <c:pt idx="52">
                    <c:v>0.22800000000000106</c:v>
                  </c:pt>
                  <c:pt idx="53">
                    <c:v>0.23200000000000112</c:v>
                  </c:pt>
                  <c:pt idx="54">
                    <c:v>0.23600000000000118</c:v>
                  </c:pt>
                  <c:pt idx="55">
                    <c:v>0.24000000000000118</c:v>
                  </c:pt>
                  <c:pt idx="56">
                    <c:v>0.24400000000000119</c:v>
                  </c:pt>
                  <c:pt idx="57">
                    <c:v>0.24800000000000119</c:v>
                  </c:pt>
                  <c:pt idx="58">
                    <c:v>0.25200000000000122</c:v>
                  </c:pt>
                  <c:pt idx="59">
                    <c:v>0.25600000000000128</c:v>
                  </c:pt>
                  <c:pt idx="60">
                    <c:v>0.26000000000000129</c:v>
                  </c:pt>
                  <c:pt idx="61">
                    <c:v>0.26400000000000129</c:v>
                  </c:pt>
                  <c:pt idx="62">
                    <c:v>0.26800000000000135</c:v>
                  </c:pt>
                  <c:pt idx="63">
                    <c:v>0.27200000000000141</c:v>
                  </c:pt>
                  <c:pt idx="64">
                    <c:v>0.27600000000000141</c:v>
                  </c:pt>
                  <c:pt idx="65">
                    <c:v>0.28000000000000141</c:v>
                  </c:pt>
                  <c:pt idx="66">
                    <c:v>0.28400000000000147</c:v>
                  </c:pt>
                  <c:pt idx="67">
                    <c:v>0.28800000000000153</c:v>
                  </c:pt>
                  <c:pt idx="68">
                    <c:v>0.29200000000000154</c:v>
                  </c:pt>
                  <c:pt idx="69">
                    <c:v>0.29600000000000154</c:v>
                  </c:pt>
                  <c:pt idx="70">
                    <c:v>0.30000000000000154</c:v>
                  </c:pt>
                  <c:pt idx="71">
                    <c:v>0.3040000000000016</c:v>
                  </c:pt>
                  <c:pt idx="72">
                    <c:v>0.30800000000000161</c:v>
                  </c:pt>
                  <c:pt idx="73">
                    <c:v>0.31200000000000161</c:v>
                  </c:pt>
                  <c:pt idx="74">
                    <c:v>0.31600000000000167</c:v>
                  </c:pt>
                  <c:pt idx="75">
                    <c:v>0.32000000000000173</c:v>
                  </c:pt>
                  <c:pt idx="76">
                    <c:v>0.32400000000000173</c:v>
                  </c:pt>
                  <c:pt idx="77">
                    <c:v>0.32800000000000173</c:v>
                  </c:pt>
                  <c:pt idx="78">
                    <c:v>0.33200000000000179</c:v>
                  </c:pt>
                  <c:pt idx="79">
                    <c:v>0.3360000000000018</c:v>
                  </c:pt>
                  <c:pt idx="80">
                    <c:v>0.34000000000000186</c:v>
                  </c:pt>
                  <c:pt idx="81">
                    <c:v>0.34400000000000186</c:v>
                  </c:pt>
                  <c:pt idx="82">
                    <c:v>0.34800000000000186</c:v>
                  </c:pt>
                  <c:pt idx="83">
                    <c:v>0.35200000000000187</c:v>
                  </c:pt>
                  <c:pt idx="84">
                    <c:v>0.35600000000000193</c:v>
                  </c:pt>
                  <c:pt idx="85">
                    <c:v>0.36000000000000193</c:v>
                  </c:pt>
                  <c:pt idx="86">
                    <c:v>0.36400000000000199</c:v>
                  </c:pt>
                  <c:pt idx="87">
                    <c:v>0.36800000000000199</c:v>
                  </c:pt>
                  <c:pt idx="88">
                    <c:v>0.37200000000000205</c:v>
                  </c:pt>
                  <c:pt idx="89">
                    <c:v>0.376000000000002</c:v>
                  </c:pt>
                  <c:pt idx="90">
                    <c:v>0.38000000000000195</c:v>
                  </c:pt>
                  <c:pt idx="91">
                    <c:v>0.3840000000000019</c:v>
                  </c:pt>
                  <c:pt idx="92">
                    <c:v>0.38800000000000184</c:v>
                  </c:pt>
                  <c:pt idx="93">
                    <c:v>0.39200000000000179</c:v>
                  </c:pt>
                  <c:pt idx="94">
                    <c:v>0.39600000000000174</c:v>
                  </c:pt>
                  <c:pt idx="95">
                    <c:v>0.40000000000000169</c:v>
                  </c:pt>
                  <c:pt idx="96">
                    <c:v>0.40400000000000169</c:v>
                  </c:pt>
                  <c:pt idx="97">
                    <c:v>0.40800000000000164</c:v>
                  </c:pt>
                  <c:pt idx="98">
                    <c:v>0.41200000000000153</c:v>
                  </c:pt>
                  <c:pt idx="99">
                    <c:v>0.41600000000000148</c:v>
                  </c:pt>
                  <c:pt idx="100">
                    <c:v>0.4199999999999986</c:v>
                  </c:pt>
                  <c:pt idx="101">
                    <c:v>0.41599999999999865</c:v>
                  </c:pt>
                  <c:pt idx="102">
                    <c:v>0.4119999999999987</c:v>
                  </c:pt>
                  <c:pt idx="103">
                    <c:v>0.40799999999999875</c:v>
                  </c:pt>
                  <c:pt idx="104">
                    <c:v>0.4039999999999988</c:v>
                  </c:pt>
                  <c:pt idx="105">
                    <c:v>0.3999999999999988</c:v>
                  </c:pt>
                  <c:pt idx="106">
                    <c:v>0.39599999999999891</c:v>
                  </c:pt>
                  <c:pt idx="107">
                    <c:v>0.39199999999999896</c:v>
                  </c:pt>
                  <c:pt idx="108">
                    <c:v>0.38799999999999901</c:v>
                  </c:pt>
                  <c:pt idx="109">
                    <c:v>0.38399999999999901</c:v>
                  </c:pt>
                  <c:pt idx="110">
                    <c:v>0.37999999999999906</c:v>
                  </c:pt>
                  <c:pt idx="111">
                    <c:v>0.37599999999999911</c:v>
                  </c:pt>
                  <c:pt idx="112">
                    <c:v>0.37199999999999916</c:v>
                  </c:pt>
                  <c:pt idx="113">
                    <c:v>0.36799999999999922</c:v>
                  </c:pt>
                  <c:pt idx="114">
                    <c:v>0.36399999999999927</c:v>
                  </c:pt>
                  <c:pt idx="115">
                    <c:v>0.35999999999999932</c:v>
                  </c:pt>
                  <c:pt idx="116">
                    <c:v>0.35599999999999937</c:v>
                  </c:pt>
                  <c:pt idx="117">
                    <c:v>0.35199999999999942</c:v>
                  </c:pt>
                  <c:pt idx="118">
                    <c:v>0.34799999999999942</c:v>
                  </c:pt>
                  <c:pt idx="119">
                    <c:v>0.34399999999999947</c:v>
                  </c:pt>
                  <c:pt idx="120">
                    <c:v>0.33999999999999952</c:v>
                  </c:pt>
                  <c:pt idx="121">
                    <c:v>0.33599999999999963</c:v>
                  </c:pt>
                  <c:pt idx="122">
                    <c:v>0.33199999999999963</c:v>
                  </c:pt>
                  <c:pt idx="123">
                    <c:v>0.32799999999999968</c:v>
                  </c:pt>
                  <c:pt idx="124">
                    <c:v>0.32399999999999973</c:v>
                  </c:pt>
                  <c:pt idx="125">
                    <c:v>0.31999999999999978</c:v>
                  </c:pt>
                  <c:pt idx="126">
                    <c:v>0.31599999999999978</c:v>
                  </c:pt>
                  <c:pt idx="127">
                    <c:v>0.31199999999999983</c:v>
                  </c:pt>
                  <c:pt idx="128">
                    <c:v>0.30799999999999994</c:v>
                  </c:pt>
                  <c:pt idx="129">
                    <c:v>0.30399999999999994</c:v>
                  </c:pt>
                  <c:pt idx="130">
                    <c:v>0.3</c:v>
                  </c:pt>
                  <c:pt idx="131">
                    <c:v>0.29599999999999999</c:v>
                  </c:pt>
                  <c:pt idx="132">
                    <c:v>0.29200000000000009</c:v>
                  </c:pt>
                  <c:pt idx="133">
                    <c:v>0.28800000000000014</c:v>
                  </c:pt>
                  <c:pt idx="134">
                    <c:v>0.2840000000000002</c:v>
                  </c:pt>
                  <c:pt idx="135">
                    <c:v>0.28000000000000019</c:v>
                  </c:pt>
                  <c:pt idx="136">
                    <c:v>0.27600000000000025</c:v>
                  </c:pt>
                  <c:pt idx="137">
                    <c:v>0.27200000000000035</c:v>
                  </c:pt>
                  <c:pt idx="138">
                    <c:v>0.26800000000000035</c:v>
                  </c:pt>
                  <c:pt idx="139">
                    <c:v>0.2640000000000004</c:v>
                  </c:pt>
                  <c:pt idx="140">
                    <c:v>0.26000000000000045</c:v>
                  </c:pt>
                  <c:pt idx="141">
                    <c:v>0.2560000000000005</c:v>
                  </c:pt>
                  <c:pt idx="142">
                    <c:v>0.25200000000000056</c:v>
                  </c:pt>
                  <c:pt idx="143">
                    <c:v>0.24800000000000055</c:v>
                  </c:pt>
                  <c:pt idx="144">
                    <c:v>0.24400000000000063</c:v>
                  </c:pt>
                  <c:pt idx="145">
                    <c:v>0.24000000000000063</c:v>
                  </c:pt>
                  <c:pt idx="146">
                    <c:v>0.23600000000000074</c:v>
                  </c:pt>
                  <c:pt idx="147">
                    <c:v>0.23200000000000073</c:v>
                  </c:pt>
                  <c:pt idx="148">
                    <c:v>0.22800000000000081</c:v>
                  </c:pt>
                  <c:pt idx="149">
                    <c:v>0.22400000000000084</c:v>
                  </c:pt>
                  <c:pt idx="150">
                    <c:v>0.22000000000000089</c:v>
                  </c:pt>
                  <c:pt idx="151">
                    <c:v>0.21600000000000094</c:v>
                  </c:pt>
                  <c:pt idx="152">
                    <c:v>0.21200000000000097</c:v>
                  </c:pt>
                  <c:pt idx="153">
                    <c:v>0.20800000000000105</c:v>
                  </c:pt>
                  <c:pt idx="154">
                    <c:v>0.2040000000000011</c:v>
                  </c:pt>
                  <c:pt idx="155">
                    <c:v>0.20000000000000115</c:v>
                  </c:pt>
                  <c:pt idx="156">
                    <c:v>0.19600000000000117</c:v>
                  </c:pt>
                  <c:pt idx="157">
                    <c:v>0.19200000000000123</c:v>
                  </c:pt>
                  <c:pt idx="158">
                    <c:v>0.18800000000000125</c:v>
                  </c:pt>
                  <c:pt idx="159">
                    <c:v>0.1840000000000013</c:v>
                  </c:pt>
                  <c:pt idx="160">
                    <c:v>0.18000000000000135</c:v>
                  </c:pt>
                  <c:pt idx="161">
                    <c:v>0.17600000000000143</c:v>
                  </c:pt>
                  <c:pt idx="162">
                    <c:v>0.17200000000000146</c:v>
                  </c:pt>
                  <c:pt idx="163">
                    <c:v>0.16800000000000151</c:v>
                  </c:pt>
                  <c:pt idx="164">
                    <c:v>0.16400000000000153</c:v>
                  </c:pt>
                  <c:pt idx="165">
                    <c:v>0.16000000000000159</c:v>
                  </c:pt>
                  <c:pt idx="166">
                    <c:v>0.15600000000000164</c:v>
                  </c:pt>
                  <c:pt idx="167">
                    <c:v>0.15200000000000166</c:v>
                  </c:pt>
                  <c:pt idx="168">
                    <c:v>0.14800000000000171</c:v>
                  </c:pt>
                  <c:pt idx="169">
                    <c:v>0.14400000000000179</c:v>
                  </c:pt>
                  <c:pt idx="170">
                    <c:v>0.14000000000000185</c:v>
                  </c:pt>
                  <c:pt idx="171">
                    <c:v>0.13600000000000187</c:v>
                  </c:pt>
                  <c:pt idx="172">
                    <c:v>0.13200000000000192</c:v>
                  </c:pt>
                  <c:pt idx="173">
                    <c:v>0.12800000000000197</c:v>
                  </c:pt>
                  <c:pt idx="174">
                    <c:v>0.12400000000000201</c:v>
                  </c:pt>
                  <c:pt idx="175">
                    <c:v>0.12000000000000205</c:v>
                  </c:pt>
                  <c:pt idx="176">
                    <c:v>0.11600000000000209</c:v>
                  </c:pt>
                  <c:pt idx="177">
                    <c:v>0.11200000000000218</c:v>
                  </c:pt>
                  <c:pt idx="178">
                    <c:v>0.10800000000000222</c:v>
                  </c:pt>
                  <c:pt idx="179">
                    <c:v>0.10400000000000226</c:v>
                  </c:pt>
                  <c:pt idx="180">
                    <c:v>0.1000000000000023</c:v>
                  </c:pt>
                  <c:pt idx="181">
                    <c:v>9.6000000000002347E-2</c:v>
                  </c:pt>
                  <c:pt idx="182">
                    <c:v>9.2000000000002385E-2</c:v>
                  </c:pt>
                  <c:pt idx="183">
                    <c:v>8.8000000000002424E-2</c:v>
                  </c:pt>
                  <c:pt idx="184">
                    <c:v>8.4000000000002462E-2</c:v>
                  </c:pt>
                  <c:pt idx="185">
                    <c:v>8.0000000000002541E-2</c:v>
                  </c:pt>
                  <c:pt idx="186">
                    <c:v>7.6000000000002579E-2</c:v>
                  </c:pt>
                  <c:pt idx="187">
                    <c:v>7.2000000000002631E-2</c:v>
                  </c:pt>
                  <c:pt idx="188">
                    <c:v>6.8000000000002669E-2</c:v>
                  </c:pt>
                  <c:pt idx="189">
                    <c:v>6.4000000000002708E-2</c:v>
                  </c:pt>
                  <c:pt idx="190">
                    <c:v>6.0000000000002746E-2</c:v>
                  </c:pt>
                  <c:pt idx="191">
                    <c:v>5.6000000000002784E-2</c:v>
                  </c:pt>
                  <c:pt idx="192">
                    <c:v>5.2000000000002822E-2</c:v>
                  </c:pt>
                  <c:pt idx="193">
                    <c:v>4.8000000000002915E-2</c:v>
                  </c:pt>
                  <c:pt idx="194">
                    <c:v>4.4000000000002953E-2</c:v>
                  </c:pt>
                  <c:pt idx="195">
                    <c:v>4.0000000000002991E-2</c:v>
                  </c:pt>
                  <c:pt idx="196">
                    <c:v>3.6000000000003037E-2</c:v>
                  </c:pt>
                  <c:pt idx="197">
                    <c:v>3.2000000000003075E-2</c:v>
                  </c:pt>
                  <c:pt idx="198">
                    <c:v>2.8000000000003116E-2</c:v>
                  </c:pt>
                  <c:pt idx="199">
                    <c:v>2.4000000000003158E-2</c:v>
                  </c:pt>
                  <c:pt idx="200">
                    <c:v>2.0000000000003199E-2</c:v>
                  </c:pt>
                </c:numCache>
              </c:numRef>
            </c:plus>
            <c:minus>
              <c:numRef>
                <c:f>'d two groups'!$CI$48:$CI$248</c:f>
                <c:numCache>
                  <c:formatCode>General</c:formatCode>
                  <c:ptCount val="201"/>
                  <c:pt idx="0">
                    <c:v>0.02</c:v>
                  </c:pt>
                  <c:pt idx="1">
                    <c:v>2.4000000000000004E-2</c:v>
                  </c:pt>
                  <c:pt idx="2">
                    <c:v>2.7999999999999962E-2</c:v>
                  </c:pt>
                  <c:pt idx="3">
                    <c:v>3.1999999999999924E-2</c:v>
                  </c:pt>
                  <c:pt idx="4">
                    <c:v>3.599999999999997E-2</c:v>
                  </c:pt>
                  <c:pt idx="5">
                    <c:v>3.999999999999998E-2</c:v>
                  </c:pt>
                  <c:pt idx="6">
                    <c:v>4.3999999999999935E-2</c:v>
                  </c:pt>
                  <c:pt idx="7">
                    <c:v>4.7999999999999987E-2</c:v>
                  </c:pt>
                  <c:pt idx="8">
                    <c:v>5.1999999999999991E-2</c:v>
                  </c:pt>
                  <c:pt idx="9">
                    <c:v>5.6000000000000036E-2</c:v>
                  </c:pt>
                  <c:pt idx="10">
                    <c:v>6.0000000000000039E-2</c:v>
                  </c:pt>
                  <c:pt idx="11">
                    <c:v>6.4000000000000043E-2</c:v>
                  </c:pt>
                  <c:pt idx="12">
                    <c:v>6.8000000000000088E-2</c:v>
                  </c:pt>
                  <c:pt idx="13">
                    <c:v>7.2000000000000092E-2</c:v>
                  </c:pt>
                  <c:pt idx="14">
                    <c:v>7.6000000000000137E-2</c:v>
                  </c:pt>
                  <c:pt idx="15">
                    <c:v>8.000000000000014E-2</c:v>
                  </c:pt>
                  <c:pt idx="16">
                    <c:v>8.40000000000002E-2</c:v>
                  </c:pt>
                  <c:pt idx="17">
                    <c:v>8.8000000000000203E-2</c:v>
                  </c:pt>
                  <c:pt idx="18">
                    <c:v>9.2000000000000248E-2</c:v>
                  </c:pt>
                  <c:pt idx="19">
                    <c:v>9.6000000000000252E-2</c:v>
                  </c:pt>
                  <c:pt idx="20">
                    <c:v>0.1000000000000003</c:v>
                  </c:pt>
                  <c:pt idx="21">
                    <c:v>0.1040000000000003</c:v>
                  </c:pt>
                  <c:pt idx="22">
                    <c:v>0.10800000000000036</c:v>
                  </c:pt>
                  <c:pt idx="23">
                    <c:v>0.11200000000000036</c:v>
                  </c:pt>
                  <c:pt idx="24">
                    <c:v>0.11600000000000041</c:v>
                  </c:pt>
                  <c:pt idx="25">
                    <c:v>0.12000000000000041</c:v>
                  </c:pt>
                  <c:pt idx="26">
                    <c:v>0.12400000000000046</c:v>
                  </c:pt>
                  <c:pt idx="27">
                    <c:v>0.12800000000000045</c:v>
                  </c:pt>
                  <c:pt idx="28">
                    <c:v>0.13200000000000051</c:v>
                  </c:pt>
                  <c:pt idx="29">
                    <c:v>0.13600000000000051</c:v>
                  </c:pt>
                  <c:pt idx="30">
                    <c:v>0.14000000000000054</c:v>
                  </c:pt>
                  <c:pt idx="31">
                    <c:v>0.14400000000000054</c:v>
                  </c:pt>
                  <c:pt idx="32">
                    <c:v>0.1480000000000006</c:v>
                  </c:pt>
                  <c:pt idx="33">
                    <c:v>0.15200000000000061</c:v>
                  </c:pt>
                  <c:pt idx="34">
                    <c:v>0.15600000000000064</c:v>
                  </c:pt>
                  <c:pt idx="35">
                    <c:v>0.16000000000000064</c:v>
                  </c:pt>
                  <c:pt idx="36">
                    <c:v>0.1640000000000007</c:v>
                  </c:pt>
                  <c:pt idx="37">
                    <c:v>0.1680000000000007</c:v>
                  </c:pt>
                  <c:pt idx="38">
                    <c:v>0.17200000000000076</c:v>
                  </c:pt>
                  <c:pt idx="39">
                    <c:v>0.17600000000000077</c:v>
                  </c:pt>
                  <c:pt idx="40">
                    <c:v>0.1800000000000008</c:v>
                  </c:pt>
                  <c:pt idx="41">
                    <c:v>0.1840000000000008</c:v>
                  </c:pt>
                  <c:pt idx="42">
                    <c:v>0.18800000000000081</c:v>
                  </c:pt>
                  <c:pt idx="43">
                    <c:v>0.19200000000000086</c:v>
                  </c:pt>
                  <c:pt idx="44">
                    <c:v>0.19600000000000087</c:v>
                  </c:pt>
                  <c:pt idx="45">
                    <c:v>0.20000000000000093</c:v>
                  </c:pt>
                  <c:pt idx="46">
                    <c:v>0.20400000000000093</c:v>
                  </c:pt>
                  <c:pt idx="47">
                    <c:v>0.20800000000000096</c:v>
                  </c:pt>
                  <c:pt idx="48">
                    <c:v>0.21200000000000097</c:v>
                  </c:pt>
                  <c:pt idx="49">
                    <c:v>0.21600000000000102</c:v>
                  </c:pt>
                  <c:pt idx="50">
                    <c:v>0.22000000000000106</c:v>
                  </c:pt>
                  <c:pt idx="51">
                    <c:v>0.22400000000000106</c:v>
                  </c:pt>
                  <c:pt idx="52">
                    <c:v>0.22800000000000106</c:v>
                  </c:pt>
                  <c:pt idx="53">
                    <c:v>0.23200000000000112</c:v>
                  </c:pt>
                  <c:pt idx="54">
                    <c:v>0.23600000000000118</c:v>
                  </c:pt>
                  <c:pt idx="55">
                    <c:v>0.24000000000000118</c:v>
                  </c:pt>
                  <c:pt idx="56">
                    <c:v>0.24400000000000119</c:v>
                  </c:pt>
                  <c:pt idx="57">
                    <c:v>0.24800000000000119</c:v>
                  </c:pt>
                  <c:pt idx="58">
                    <c:v>0.25200000000000122</c:v>
                  </c:pt>
                  <c:pt idx="59">
                    <c:v>0.25600000000000128</c:v>
                  </c:pt>
                  <c:pt idx="60">
                    <c:v>0.26000000000000129</c:v>
                  </c:pt>
                  <c:pt idx="61">
                    <c:v>0.26400000000000129</c:v>
                  </c:pt>
                  <c:pt idx="62">
                    <c:v>0.26800000000000135</c:v>
                  </c:pt>
                  <c:pt idx="63">
                    <c:v>0.27200000000000141</c:v>
                  </c:pt>
                  <c:pt idx="64">
                    <c:v>0.27600000000000141</c:v>
                  </c:pt>
                  <c:pt idx="65">
                    <c:v>0.28000000000000141</c:v>
                  </c:pt>
                  <c:pt idx="66">
                    <c:v>0.28400000000000147</c:v>
                  </c:pt>
                  <c:pt idx="67">
                    <c:v>0.28800000000000153</c:v>
                  </c:pt>
                  <c:pt idx="68">
                    <c:v>0.29200000000000154</c:v>
                  </c:pt>
                  <c:pt idx="69">
                    <c:v>0.29600000000000154</c:v>
                  </c:pt>
                  <c:pt idx="70">
                    <c:v>0.30000000000000154</c:v>
                  </c:pt>
                  <c:pt idx="71">
                    <c:v>0.3040000000000016</c:v>
                  </c:pt>
                  <c:pt idx="72">
                    <c:v>0.30800000000000161</c:v>
                  </c:pt>
                  <c:pt idx="73">
                    <c:v>0.31200000000000161</c:v>
                  </c:pt>
                  <c:pt idx="74">
                    <c:v>0.31600000000000167</c:v>
                  </c:pt>
                  <c:pt idx="75">
                    <c:v>0.32000000000000173</c:v>
                  </c:pt>
                  <c:pt idx="76">
                    <c:v>0.32400000000000173</c:v>
                  </c:pt>
                  <c:pt idx="77">
                    <c:v>0.32800000000000173</c:v>
                  </c:pt>
                  <c:pt idx="78">
                    <c:v>0.33200000000000179</c:v>
                  </c:pt>
                  <c:pt idx="79">
                    <c:v>0.3360000000000018</c:v>
                  </c:pt>
                  <c:pt idx="80">
                    <c:v>0.34000000000000186</c:v>
                  </c:pt>
                  <c:pt idx="81">
                    <c:v>0.34400000000000186</c:v>
                  </c:pt>
                  <c:pt idx="82">
                    <c:v>0.34800000000000186</c:v>
                  </c:pt>
                  <c:pt idx="83">
                    <c:v>0.35200000000000187</c:v>
                  </c:pt>
                  <c:pt idx="84">
                    <c:v>0.35600000000000193</c:v>
                  </c:pt>
                  <c:pt idx="85">
                    <c:v>0.36000000000000193</c:v>
                  </c:pt>
                  <c:pt idx="86">
                    <c:v>0.36400000000000199</c:v>
                  </c:pt>
                  <c:pt idx="87">
                    <c:v>0.36800000000000199</c:v>
                  </c:pt>
                  <c:pt idx="88">
                    <c:v>0.37200000000000205</c:v>
                  </c:pt>
                  <c:pt idx="89">
                    <c:v>0.376000000000002</c:v>
                  </c:pt>
                  <c:pt idx="90">
                    <c:v>0.38000000000000195</c:v>
                  </c:pt>
                  <c:pt idx="91">
                    <c:v>0.3840000000000019</c:v>
                  </c:pt>
                  <c:pt idx="92">
                    <c:v>0.38800000000000184</c:v>
                  </c:pt>
                  <c:pt idx="93">
                    <c:v>0.39200000000000179</c:v>
                  </c:pt>
                  <c:pt idx="94">
                    <c:v>0.39600000000000174</c:v>
                  </c:pt>
                  <c:pt idx="95">
                    <c:v>0.40000000000000169</c:v>
                  </c:pt>
                  <c:pt idx="96">
                    <c:v>0.40400000000000169</c:v>
                  </c:pt>
                  <c:pt idx="97">
                    <c:v>0.40800000000000164</c:v>
                  </c:pt>
                  <c:pt idx="98">
                    <c:v>0.41200000000000153</c:v>
                  </c:pt>
                  <c:pt idx="99">
                    <c:v>0.41600000000000148</c:v>
                  </c:pt>
                  <c:pt idx="100">
                    <c:v>0.4199999999999986</c:v>
                  </c:pt>
                  <c:pt idx="101">
                    <c:v>0.41599999999999865</c:v>
                  </c:pt>
                  <c:pt idx="102">
                    <c:v>0.4119999999999987</c:v>
                  </c:pt>
                  <c:pt idx="103">
                    <c:v>0.40799999999999875</c:v>
                  </c:pt>
                  <c:pt idx="104">
                    <c:v>0.4039999999999988</c:v>
                  </c:pt>
                  <c:pt idx="105">
                    <c:v>0.3999999999999988</c:v>
                  </c:pt>
                  <c:pt idx="106">
                    <c:v>0.39599999999999891</c:v>
                  </c:pt>
                  <c:pt idx="107">
                    <c:v>0.39199999999999896</c:v>
                  </c:pt>
                  <c:pt idx="108">
                    <c:v>0.38799999999999901</c:v>
                  </c:pt>
                  <c:pt idx="109">
                    <c:v>0.38399999999999901</c:v>
                  </c:pt>
                  <c:pt idx="110">
                    <c:v>0.37999999999999906</c:v>
                  </c:pt>
                  <c:pt idx="111">
                    <c:v>0.37599999999999911</c:v>
                  </c:pt>
                  <c:pt idx="112">
                    <c:v>0.37199999999999916</c:v>
                  </c:pt>
                  <c:pt idx="113">
                    <c:v>0.36799999999999922</c:v>
                  </c:pt>
                  <c:pt idx="114">
                    <c:v>0.36399999999999927</c:v>
                  </c:pt>
                  <c:pt idx="115">
                    <c:v>0.35999999999999932</c:v>
                  </c:pt>
                  <c:pt idx="116">
                    <c:v>0.35599999999999937</c:v>
                  </c:pt>
                  <c:pt idx="117">
                    <c:v>0.35199999999999942</c:v>
                  </c:pt>
                  <c:pt idx="118">
                    <c:v>0.34799999999999942</c:v>
                  </c:pt>
                  <c:pt idx="119">
                    <c:v>0.34399999999999947</c:v>
                  </c:pt>
                  <c:pt idx="120">
                    <c:v>0.33999999999999952</c:v>
                  </c:pt>
                  <c:pt idx="121">
                    <c:v>0.33599999999999963</c:v>
                  </c:pt>
                  <c:pt idx="122">
                    <c:v>0.33199999999999963</c:v>
                  </c:pt>
                  <c:pt idx="123">
                    <c:v>0.32799999999999968</c:v>
                  </c:pt>
                  <c:pt idx="124">
                    <c:v>0.32399999999999973</c:v>
                  </c:pt>
                  <c:pt idx="125">
                    <c:v>0.31999999999999978</c:v>
                  </c:pt>
                  <c:pt idx="126">
                    <c:v>0.31599999999999978</c:v>
                  </c:pt>
                  <c:pt idx="127">
                    <c:v>0.31199999999999983</c:v>
                  </c:pt>
                  <c:pt idx="128">
                    <c:v>0.30799999999999994</c:v>
                  </c:pt>
                  <c:pt idx="129">
                    <c:v>0.30399999999999994</c:v>
                  </c:pt>
                  <c:pt idx="130">
                    <c:v>0.3</c:v>
                  </c:pt>
                  <c:pt idx="131">
                    <c:v>0.29599999999999999</c:v>
                  </c:pt>
                  <c:pt idx="132">
                    <c:v>0.29200000000000009</c:v>
                  </c:pt>
                  <c:pt idx="133">
                    <c:v>0.28800000000000014</c:v>
                  </c:pt>
                  <c:pt idx="134">
                    <c:v>0.2840000000000002</c:v>
                  </c:pt>
                  <c:pt idx="135">
                    <c:v>0.28000000000000019</c:v>
                  </c:pt>
                  <c:pt idx="136">
                    <c:v>0.27600000000000025</c:v>
                  </c:pt>
                  <c:pt idx="137">
                    <c:v>0.27200000000000035</c:v>
                  </c:pt>
                  <c:pt idx="138">
                    <c:v>0.26800000000000035</c:v>
                  </c:pt>
                  <c:pt idx="139">
                    <c:v>0.2640000000000004</c:v>
                  </c:pt>
                  <c:pt idx="140">
                    <c:v>0.26000000000000045</c:v>
                  </c:pt>
                  <c:pt idx="141">
                    <c:v>0.2560000000000005</c:v>
                  </c:pt>
                  <c:pt idx="142">
                    <c:v>0.25200000000000056</c:v>
                  </c:pt>
                  <c:pt idx="143">
                    <c:v>0.24800000000000055</c:v>
                  </c:pt>
                  <c:pt idx="144">
                    <c:v>0.24400000000000063</c:v>
                  </c:pt>
                  <c:pt idx="145">
                    <c:v>0.24000000000000063</c:v>
                  </c:pt>
                  <c:pt idx="146">
                    <c:v>0.23600000000000074</c:v>
                  </c:pt>
                  <c:pt idx="147">
                    <c:v>0.23200000000000073</c:v>
                  </c:pt>
                  <c:pt idx="148">
                    <c:v>0.22800000000000081</c:v>
                  </c:pt>
                  <c:pt idx="149">
                    <c:v>0.22400000000000084</c:v>
                  </c:pt>
                  <c:pt idx="150">
                    <c:v>0.22000000000000089</c:v>
                  </c:pt>
                  <c:pt idx="151">
                    <c:v>0.21600000000000094</c:v>
                  </c:pt>
                  <c:pt idx="152">
                    <c:v>0.21200000000000097</c:v>
                  </c:pt>
                  <c:pt idx="153">
                    <c:v>0.20800000000000105</c:v>
                  </c:pt>
                  <c:pt idx="154">
                    <c:v>0.2040000000000011</c:v>
                  </c:pt>
                  <c:pt idx="155">
                    <c:v>0.20000000000000115</c:v>
                  </c:pt>
                  <c:pt idx="156">
                    <c:v>0.19600000000000117</c:v>
                  </c:pt>
                  <c:pt idx="157">
                    <c:v>0.19200000000000123</c:v>
                  </c:pt>
                  <c:pt idx="158">
                    <c:v>0.18800000000000125</c:v>
                  </c:pt>
                  <c:pt idx="159">
                    <c:v>0.1840000000000013</c:v>
                  </c:pt>
                  <c:pt idx="160">
                    <c:v>0.18000000000000135</c:v>
                  </c:pt>
                  <c:pt idx="161">
                    <c:v>0.17600000000000143</c:v>
                  </c:pt>
                  <c:pt idx="162">
                    <c:v>0.17200000000000146</c:v>
                  </c:pt>
                  <c:pt idx="163">
                    <c:v>0.16800000000000151</c:v>
                  </c:pt>
                  <c:pt idx="164">
                    <c:v>0.16400000000000153</c:v>
                  </c:pt>
                  <c:pt idx="165">
                    <c:v>0.16000000000000159</c:v>
                  </c:pt>
                  <c:pt idx="166">
                    <c:v>0.15600000000000164</c:v>
                  </c:pt>
                  <c:pt idx="167">
                    <c:v>0.15200000000000166</c:v>
                  </c:pt>
                  <c:pt idx="168">
                    <c:v>0.14800000000000171</c:v>
                  </c:pt>
                  <c:pt idx="169">
                    <c:v>0.14400000000000179</c:v>
                  </c:pt>
                  <c:pt idx="170">
                    <c:v>0.14000000000000185</c:v>
                  </c:pt>
                  <c:pt idx="171">
                    <c:v>0.13600000000000187</c:v>
                  </c:pt>
                  <c:pt idx="172">
                    <c:v>0.13200000000000192</c:v>
                  </c:pt>
                  <c:pt idx="173">
                    <c:v>0.12800000000000197</c:v>
                  </c:pt>
                  <c:pt idx="174">
                    <c:v>0.12400000000000201</c:v>
                  </c:pt>
                  <c:pt idx="175">
                    <c:v>0.12000000000000205</c:v>
                  </c:pt>
                  <c:pt idx="176">
                    <c:v>0.11600000000000209</c:v>
                  </c:pt>
                  <c:pt idx="177">
                    <c:v>0.11200000000000218</c:v>
                  </c:pt>
                  <c:pt idx="178">
                    <c:v>0.10800000000000222</c:v>
                  </c:pt>
                  <c:pt idx="179">
                    <c:v>0.10400000000000226</c:v>
                  </c:pt>
                  <c:pt idx="180">
                    <c:v>0.1000000000000023</c:v>
                  </c:pt>
                  <c:pt idx="181">
                    <c:v>9.6000000000002347E-2</c:v>
                  </c:pt>
                  <c:pt idx="182">
                    <c:v>9.2000000000002385E-2</c:v>
                  </c:pt>
                  <c:pt idx="183">
                    <c:v>8.8000000000002424E-2</c:v>
                  </c:pt>
                  <c:pt idx="184">
                    <c:v>8.4000000000002462E-2</c:v>
                  </c:pt>
                  <c:pt idx="185">
                    <c:v>8.0000000000002541E-2</c:v>
                  </c:pt>
                  <c:pt idx="186">
                    <c:v>7.6000000000002579E-2</c:v>
                  </c:pt>
                  <c:pt idx="187">
                    <c:v>7.2000000000002631E-2</c:v>
                  </c:pt>
                  <c:pt idx="188">
                    <c:v>6.8000000000002669E-2</c:v>
                  </c:pt>
                  <c:pt idx="189">
                    <c:v>6.4000000000002708E-2</c:v>
                  </c:pt>
                  <c:pt idx="190">
                    <c:v>6.0000000000002746E-2</c:v>
                  </c:pt>
                  <c:pt idx="191">
                    <c:v>5.6000000000002784E-2</c:v>
                  </c:pt>
                  <c:pt idx="192">
                    <c:v>5.2000000000002822E-2</c:v>
                  </c:pt>
                  <c:pt idx="193">
                    <c:v>4.8000000000002915E-2</c:v>
                  </c:pt>
                  <c:pt idx="194">
                    <c:v>4.4000000000002953E-2</c:v>
                  </c:pt>
                  <c:pt idx="195">
                    <c:v>4.0000000000002991E-2</c:v>
                  </c:pt>
                  <c:pt idx="196">
                    <c:v>3.6000000000003037E-2</c:v>
                  </c:pt>
                  <c:pt idx="197">
                    <c:v>3.2000000000003075E-2</c:v>
                  </c:pt>
                  <c:pt idx="198">
                    <c:v>2.8000000000003116E-2</c:v>
                  </c:pt>
                  <c:pt idx="199">
                    <c:v>2.4000000000003158E-2</c:v>
                  </c:pt>
                  <c:pt idx="200">
                    <c:v>2.0000000000003199E-2</c:v>
                  </c:pt>
                </c:numCache>
              </c:numRef>
            </c:minus>
            <c:spPr>
              <a:ln w="127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two groups'!$CG$48:$CG$248</c:f>
              <c:numCache>
                <c:formatCode>General</c:formatCode>
                <c:ptCount val="201"/>
                <c:pt idx="0">
                  <c:v>0.22856409506001468</c:v>
                </c:pt>
                <c:pt idx="1">
                  <c:v>0.23166916665801116</c:v>
                </c:pt>
                <c:pt idx="2">
                  <c:v>0.23477423825600763</c:v>
                </c:pt>
                <c:pt idx="3">
                  <c:v>0.2378793098540041</c:v>
                </c:pt>
                <c:pt idx="4">
                  <c:v>0.24098438145200057</c:v>
                </c:pt>
                <c:pt idx="5">
                  <c:v>0.24408945304999705</c:v>
                </c:pt>
                <c:pt idx="6">
                  <c:v>0.24719452464799352</c:v>
                </c:pt>
                <c:pt idx="7">
                  <c:v>0.25029959624599002</c:v>
                </c:pt>
                <c:pt idx="8">
                  <c:v>0.25340466784398652</c:v>
                </c:pt>
                <c:pt idx="9">
                  <c:v>0.25650973944198302</c:v>
                </c:pt>
                <c:pt idx="10">
                  <c:v>0.25961481103997952</c:v>
                </c:pt>
                <c:pt idx="11">
                  <c:v>0.26271988263797602</c:v>
                </c:pt>
                <c:pt idx="12">
                  <c:v>0.26582495423597252</c:v>
                </c:pt>
                <c:pt idx="13">
                  <c:v>0.26893002583396902</c:v>
                </c:pt>
                <c:pt idx="14">
                  <c:v>0.27203509743196552</c:v>
                </c:pt>
                <c:pt idx="15">
                  <c:v>0.27514016902996202</c:v>
                </c:pt>
                <c:pt idx="16">
                  <c:v>0.27824524062795852</c:v>
                </c:pt>
                <c:pt idx="17">
                  <c:v>0.28135031222595502</c:v>
                </c:pt>
                <c:pt idx="18">
                  <c:v>0.28445538382395152</c:v>
                </c:pt>
                <c:pt idx="19">
                  <c:v>0.28756045542194802</c:v>
                </c:pt>
                <c:pt idx="20">
                  <c:v>0.29066552701994453</c:v>
                </c:pt>
                <c:pt idx="21">
                  <c:v>0.29377059861794103</c:v>
                </c:pt>
                <c:pt idx="22">
                  <c:v>0.29687567021593753</c:v>
                </c:pt>
                <c:pt idx="23">
                  <c:v>0.29998074181393403</c:v>
                </c:pt>
                <c:pt idx="24">
                  <c:v>0.30308581341193053</c:v>
                </c:pt>
                <c:pt idx="25">
                  <c:v>0.30619088500992703</c:v>
                </c:pt>
                <c:pt idx="26">
                  <c:v>0.30929595660792353</c:v>
                </c:pt>
                <c:pt idx="27">
                  <c:v>0.31240102820592003</c:v>
                </c:pt>
                <c:pt idx="28">
                  <c:v>0.31550609980391653</c:v>
                </c:pt>
                <c:pt idx="29">
                  <c:v>0.31861117140191303</c:v>
                </c:pt>
                <c:pt idx="30">
                  <c:v>0.32171624299990953</c:v>
                </c:pt>
                <c:pt idx="31">
                  <c:v>0.32482131459790603</c:v>
                </c:pt>
                <c:pt idx="32">
                  <c:v>0.32792638619590253</c:v>
                </c:pt>
                <c:pt idx="33">
                  <c:v>0.33103145779389903</c:v>
                </c:pt>
                <c:pt idx="34">
                  <c:v>0.33413652939189553</c:v>
                </c:pt>
                <c:pt idx="35">
                  <c:v>0.33724160098989203</c:v>
                </c:pt>
                <c:pt idx="36">
                  <c:v>0.34034667258788853</c:v>
                </c:pt>
                <c:pt idx="37">
                  <c:v>0.34345174418588503</c:v>
                </c:pt>
                <c:pt idx="38">
                  <c:v>0.34655681578388153</c:v>
                </c:pt>
                <c:pt idx="39">
                  <c:v>0.34966188738187803</c:v>
                </c:pt>
                <c:pt idx="40">
                  <c:v>0.35276695897987453</c:v>
                </c:pt>
                <c:pt idx="41">
                  <c:v>0.35587203057787103</c:v>
                </c:pt>
                <c:pt idx="42">
                  <c:v>0.35897710217586754</c:v>
                </c:pt>
                <c:pt idx="43">
                  <c:v>0.36208217377386404</c:v>
                </c:pt>
                <c:pt idx="44">
                  <c:v>0.36518724537186054</c:v>
                </c:pt>
                <c:pt idx="45">
                  <c:v>0.36829231696985704</c:v>
                </c:pt>
                <c:pt idx="46">
                  <c:v>0.37139738856785354</c:v>
                </c:pt>
                <c:pt idx="47">
                  <c:v>0.37450246016585004</c:v>
                </c:pt>
                <c:pt idx="48">
                  <c:v>0.37760753176384654</c:v>
                </c:pt>
                <c:pt idx="49">
                  <c:v>0.38071260336184304</c:v>
                </c:pt>
                <c:pt idx="50">
                  <c:v>0.38381767495983954</c:v>
                </c:pt>
                <c:pt idx="51">
                  <c:v>0.38692274655783604</c:v>
                </c:pt>
                <c:pt idx="52">
                  <c:v>0.39002781815583254</c:v>
                </c:pt>
                <c:pt idx="53">
                  <c:v>0.39313288975382904</c:v>
                </c:pt>
                <c:pt idx="54">
                  <c:v>0.39623796135182554</c:v>
                </c:pt>
                <c:pt idx="55">
                  <c:v>0.39934303294982204</c:v>
                </c:pt>
                <c:pt idx="56">
                  <c:v>0.40244810454781854</c:v>
                </c:pt>
                <c:pt idx="57">
                  <c:v>0.40555317614581504</c:v>
                </c:pt>
                <c:pt idx="58">
                  <c:v>0.40865824774381154</c:v>
                </c:pt>
                <c:pt idx="59">
                  <c:v>0.41176331934180804</c:v>
                </c:pt>
                <c:pt idx="60">
                  <c:v>0.41486839093980454</c:v>
                </c:pt>
                <c:pt idx="61">
                  <c:v>0.41797346253780104</c:v>
                </c:pt>
                <c:pt idx="62">
                  <c:v>0.42107853413579754</c:v>
                </c:pt>
                <c:pt idx="63">
                  <c:v>0.42418360573379404</c:v>
                </c:pt>
                <c:pt idx="64">
                  <c:v>0.42728867733179055</c:v>
                </c:pt>
                <c:pt idx="65">
                  <c:v>0.43039374892978705</c:v>
                </c:pt>
                <c:pt idx="66">
                  <c:v>0.43349882052778355</c:v>
                </c:pt>
                <c:pt idx="67">
                  <c:v>0.43660389212578005</c:v>
                </c:pt>
                <c:pt idx="68">
                  <c:v>0.43970896372377655</c:v>
                </c:pt>
                <c:pt idx="69">
                  <c:v>0.44281403532177305</c:v>
                </c:pt>
                <c:pt idx="70">
                  <c:v>0.44591910691976955</c:v>
                </c:pt>
                <c:pt idx="71">
                  <c:v>0.44902417851776605</c:v>
                </c:pt>
                <c:pt idx="72">
                  <c:v>0.45212925011576255</c:v>
                </c:pt>
                <c:pt idx="73">
                  <c:v>0.45523432171375905</c:v>
                </c:pt>
                <c:pt idx="74">
                  <c:v>0.45833939331175555</c:v>
                </c:pt>
                <c:pt idx="75">
                  <c:v>0.46144446490975205</c:v>
                </c:pt>
                <c:pt idx="76">
                  <c:v>0.46454953650774855</c:v>
                </c:pt>
                <c:pt idx="77">
                  <c:v>0.46765460810574505</c:v>
                </c:pt>
                <c:pt idx="78">
                  <c:v>0.47075967970374155</c:v>
                </c:pt>
                <c:pt idx="79">
                  <c:v>0.47386475130173805</c:v>
                </c:pt>
                <c:pt idx="80">
                  <c:v>0.47696982289973455</c:v>
                </c:pt>
                <c:pt idx="81">
                  <c:v>0.48007489449773105</c:v>
                </c:pt>
                <c:pt idx="82">
                  <c:v>0.48317996609572755</c:v>
                </c:pt>
                <c:pt idx="83">
                  <c:v>0.48628503769372405</c:v>
                </c:pt>
                <c:pt idx="84">
                  <c:v>0.48939010929172055</c:v>
                </c:pt>
                <c:pt idx="85">
                  <c:v>0.49249518088971705</c:v>
                </c:pt>
                <c:pt idx="86">
                  <c:v>0.49560025248771356</c:v>
                </c:pt>
                <c:pt idx="87">
                  <c:v>0.49870532408571006</c:v>
                </c:pt>
                <c:pt idx="88">
                  <c:v>0.50181039568370656</c:v>
                </c:pt>
                <c:pt idx="89">
                  <c:v>0.504915467281703</c:v>
                </c:pt>
                <c:pt idx="90">
                  <c:v>0.50802053887969945</c:v>
                </c:pt>
                <c:pt idx="91">
                  <c:v>0.51112561047769589</c:v>
                </c:pt>
                <c:pt idx="92">
                  <c:v>0.51423068207569234</c:v>
                </c:pt>
                <c:pt idx="93">
                  <c:v>0.51733575367368878</c:v>
                </c:pt>
                <c:pt idx="94">
                  <c:v>0.52044082527168523</c:v>
                </c:pt>
                <c:pt idx="95">
                  <c:v>0.52354589686968167</c:v>
                </c:pt>
                <c:pt idx="96">
                  <c:v>0.52665096846767812</c:v>
                </c:pt>
                <c:pt idx="97">
                  <c:v>0.52975604006567456</c:v>
                </c:pt>
                <c:pt idx="98">
                  <c:v>0.53286111166367101</c:v>
                </c:pt>
                <c:pt idx="99">
                  <c:v>0.53596618326166745</c:v>
                </c:pt>
                <c:pt idx="100">
                  <c:v>0.5390712548596639</c:v>
                </c:pt>
                <c:pt idx="101">
                  <c:v>0.54217632645766034</c:v>
                </c:pt>
                <c:pt idx="102">
                  <c:v>0.54528139805565679</c:v>
                </c:pt>
                <c:pt idx="103">
                  <c:v>0.54838646965365323</c:v>
                </c:pt>
                <c:pt idx="104">
                  <c:v>0.55149154125164968</c:v>
                </c:pt>
                <c:pt idx="105">
                  <c:v>0.55459661284964612</c:v>
                </c:pt>
                <c:pt idx="106">
                  <c:v>0.55770168444764256</c:v>
                </c:pt>
                <c:pt idx="107">
                  <c:v>0.56080675604563901</c:v>
                </c:pt>
                <c:pt idx="108">
                  <c:v>0.56391182764363545</c:v>
                </c:pt>
                <c:pt idx="109">
                  <c:v>0.5670168992416319</c:v>
                </c:pt>
                <c:pt idx="110">
                  <c:v>0.57012197083962834</c:v>
                </c:pt>
                <c:pt idx="111">
                  <c:v>0.57322704243762479</c:v>
                </c:pt>
                <c:pt idx="112">
                  <c:v>0.57633211403562123</c:v>
                </c:pt>
                <c:pt idx="113">
                  <c:v>0.57943718563361768</c:v>
                </c:pt>
                <c:pt idx="114">
                  <c:v>0.58254225723161412</c:v>
                </c:pt>
                <c:pt idx="115">
                  <c:v>0.58564732882961057</c:v>
                </c:pt>
                <c:pt idx="116">
                  <c:v>0.58875240042760701</c:v>
                </c:pt>
                <c:pt idx="117">
                  <c:v>0.59185747202560346</c:v>
                </c:pt>
                <c:pt idx="118">
                  <c:v>0.5949625436235999</c:v>
                </c:pt>
                <c:pt idx="119">
                  <c:v>0.59806761522159635</c:v>
                </c:pt>
                <c:pt idx="120">
                  <c:v>0.60117268681959279</c:v>
                </c:pt>
                <c:pt idx="121">
                  <c:v>0.60427775841758924</c:v>
                </c:pt>
                <c:pt idx="122">
                  <c:v>0.60738283001558568</c:v>
                </c:pt>
                <c:pt idx="123">
                  <c:v>0.61048790161358213</c:v>
                </c:pt>
                <c:pt idx="124">
                  <c:v>0.61359297321157857</c:v>
                </c:pt>
                <c:pt idx="125">
                  <c:v>0.61669804480957502</c:v>
                </c:pt>
                <c:pt idx="126">
                  <c:v>0.61980311640757146</c:v>
                </c:pt>
                <c:pt idx="127">
                  <c:v>0.62290818800556791</c:v>
                </c:pt>
                <c:pt idx="128">
                  <c:v>0.62601325960356435</c:v>
                </c:pt>
                <c:pt idx="129">
                  <c:v>0.6291183312015608</c:v>
                </c:pt>
                <c:pt idx="130">
                  <c:v>0.63222340279955724</c:v>
                </c:pt>
                <c:pt idx="131">
                  <c:v>0.63532847439755369</c:v>
                </c:pt>
                <c:pt idx="132">
                  <c:v>0.63843354599555013</c:v>
                </c:pt>
                <c:pt idx="133">
                  <c:v>0.64153861759354658</c:v>
                </c:pt>
                <c:pt idx="134">
                  <c:v>0.64464368919154302</c:v>
                </c:pt>
                <c:pt idx="135">
                  <c:v>0.64774876078953947</c:v>
                </c:pt>
                <c:pt idx="136">
                  <c:v>0.65085383238753591</c:v>
                </c:pt>
                <c:pt idx="137">
                  <c:v>0.65395890398553236</c:v>
                </c:pt>
                <c:pt idx="138">
                  <c:v>0.6570639755835288</c:v>
                </c:pt>
                <c:pt idx="139">
                  <c:v>0.66016904718152525</c:v>
                </c:pt>
                <c:pt idx="140">
                  <c:v>0.66327411877952169</c:v>
                </c:pt>
                <c:pt idx="141">
                  <c:v>0.66637919037751814</c:v>
                </c:pt>
                <c:pt idx="142">
                  <c:v>0.66948426197551458</c:v>
                </c:pt>
                <c:pt idx="143">
                  <c:v>0.67258933357351103</c:v>
                </c:pt>
                <c:pt idx="144">
                  <c:v>0.67569440517150747</c:v>
                </c:pt>
                <c:pt idx="145">
                  <c:v>0.67879947676950392</c:v>
                </c:pt>
                <c:pt idx="146">
                  <c:v>0.68190454836750036</c:v>
                </c:pt>
                <c:pt idx="147">
                  <c:v>0.68500961996549681</c:v>
                </c:pt>
                <c:pt idx="148">
                  <c:v>0.68811469156349325</c:v>
                </c:pt>
                <c:pt idx="149">
                  <c:v>0.6912197631614897</c:v>
                </c:pt>
                <c:pt idx="150">
                  <c:v>0.69432483475948614</c:v>
                </c:pt>
                <c:pt idx="151">
                  <c:v>0.69742990635748259</c:v>
                </c:pt>
                <c:pt idx="152">
                  <c:v>0.70053497795547903</c:v>
                </c:pt>
                <c:pt idx="153">
                  <c:v>0.70364004955347548</c:v>
                </c:pt>
                <c:pt idx="154">
                  <c:v>0.70674512115147192</c:v>
                </c:pt>
                <c:pt idx="155">
                  <c:v>0.70985019274946837</c:v>
                </c:pt>
                <c:pt idx="156">
                  <c:v>0.71295526434746481</c:v>
                </c:pt>
                <c:pt idx="157">
                  <c:v>0.71606033594546126</c:v>
                </c:pt>
                <c:pt idx="158">
                  <c:v>0.7191654075434577</c:v>
                </c:pt>
                <c:pt idx="159">
                  <c:v>0.72227047914145415</c:v>
                </c:pt>
                <c:pt idx="160">
                  <c:v>0.72537555073945059</c:v>
                </c:pt>
                <c:pt idx="161">
                  <c:v>0.72848062233744704</c:v>
                </c:pt>
                <c:pt idx="162">
                  <c:v>0.73158569393544348</c:v>
                </c:pt>
                <c:pt idx="163">
                  <c:v>0.73469076553343993</c:v>
                </c:pt>
                <c:pt idx="164">
                  <c:v>0.73779583713143637</c:v>
                </c:pt>
                <c:pt idx="165">
                  <c:v>0.74090090872943282</c:v>
                </c:pt>
                <c:pt idx="166">
                  <c:v>0.74400598032742926</c:v>
                </c:pt>
                <c:pt idx="167">
                  <c:v>0.74711105192542571</c:v>
                </c:pt>
                <c:pt idx="168">
                  <c:v>0.75021612352342215</c:v>
                </c:pt>
                <c:pt idx="169">
                  <c:v>0.7533211951214186</c:v>
                </c:pt>
                <c:pt idx="170">
                  <c:v>0.75642626671941504</c:v>
                </c:pt>
                <c:pt idx="171">
                  <c:v>0.75953133831741149</c:v>
                </c:pt>
                <c:pt idx="172">
                  <c:v>0.76263640991540793</c:v>
                </c:pt>
                <c:pt idx="173">
                  <c:v>0.76574148151340438</c:v>
                </c:pt>
                <c:pt idx="174">
                  <c:v>0.76884655311140082</c:v>
                </c:pt>
                <c:pt idx="175">
                  <c:v>0.77195162470939727</c:v>
                </c:pt>
                <c:pt idx="176">
                  <c:v>0.77505669630739371</c:v>
                </c:pt>
                <c:pt idx="177">
                  <c:v>0.77816176790539016</c:v>
                </c:pt>
                <c:pt idx="178">
                  <c:v>0.7812668395033866</c:v>
                </c:pt>
                <c:pt idx="179">
                  <c:v>0.78437191110138305</c:v>
                </c:pt>
                <c:pt idx="180">
                  <c:v>0.78747698269937949</c:v>
                </c:pt>
                <c:pt idx="181">
                  <c:v>0.79058205429737594</c:v>
                </c:pt>
                <c:pt idx="182">
                  <c:v>0.79368712589537238</c:v>
                </c:pt>
                <c:pt idx="183">
                  <c:v>0.79679219749336883</c:v>
                </c:pt>
                <c:pt idx="184">
                  <c:v>0.79989726909136527</c:v>
                </c:pt>
                <c:pt idx="185">
                  <c:v>0.80300234068936172</c:v>
                </c:pt>
                <c:pt idx="186">
                  <c:v>0.80610741228735816</c:v>
                </c:pt>
                <c:pt idx="187">
                  <c:v>0.80921248388535461</c:v>
                </c:pt>
                <c:pt idx="188">
                  <c:v>0.81231755548335105</c:v>
                </c:pt>
                <c:pt idx="189">
                  <c:v>0.8154226270813475</c:v>
                </c:pt>
                <c:pt idx="190">
                  <c:v>0.81852769867934394</c:v>
                </c:pt>
                <c:pt idx="191">
                  <c:v>0.82163277027734039</c:v>
                </c:pt>
                <c:pt idx="192">
                  <c:v>0.82473784187533683</c:v>
                </c:pt>
                <c:pt idx="193">
                  <c:v>0.82784291347333328</c:v>
                </c:pt>
                <c:pt idx="194">
                  <c:v>0.83094798507132972</c:v>
                </c:pt>
                <c:pt idx="195">
                  <c:v>0.83405305666932616</c:v>
                </c:pt>
                <c:pt idx="196">
                  <c:v>0.83715812826732261</c:v>
                </c:pt>
                <c:pt idx="197">
                  <c:v>0.84026319986531905</c:v>
                </c:pt>
                <c:pt idx="198">
                  <c:v>0.8433682714633155</c:v>
                </c:pt>
                <c:pt idx="199">
                  <c:v>0.84647334306131194</c:v>
                </c:pt>
                <c:pt idx="200">
                  <c:v>0.84957841465930839</c:v>
                </c:pt>
              </c:numCache>
            </c:numRef>
          </c:xVal>
          <c:yVal>
            <c:numRef>
              <c:f>'d two groups'!$CJ$48:$CJ$248</c:f>
              <c:numCache>
                <c:formatCode>General</c:formatCode>
                <c:ptCount val="20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E5C-4887-BA74-F35D03CDE0D6}"/>
            </c:ext>
          </c:extLst>
        </c:ser>
        <c:ser>
          <c:idx val="34"/>
          <c:order val="1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two groups'!$CG$40:$CG$44</c:f>
              <c:numCache>
                <c:formatCode>General</c:formatCode>
                <c:ptCount val="5"/>
                <c:pt idx="0">
                  <c:v>0.53907125485966279</c:v>
                </c:pt>
                <c:pt idx="1">
                  <c:v>0.22856409506001468</c:v>
                </c:pt>
                <c:pt idx="2">
                  <c:v>0.53907125485966279</c:v>
                </c:pt>
                <c:pt idx="3">
                  <c:v>0.84957841465931083</c:v>
                </c:pt>
                <c:pt idx="4">
                  <c:v>0.53907125485966279</c:v>
                </c:pt>
              </c:numCache>
            </c:numRef>
          </c:xVal>
          <c:yVal>
            <c:numRef>
              <c:f>'d two groups'!$CI$40:$CI$44</c:f>
              <c:numCache>
                <c:formatCode>General</c:formatCode>
                <c:ptCount val="5"/>
                <c:pt idx="0">
                  <c:v>10.4</c:v>
                </c:pt>
                <c:pt idx="1">
                  <c:v>10</c:v>
                </c:pt>
                <c:pt idx="2">
                  <c:v>9.6</c:v>
                </c:pt>
                <c:pt idx="3">
                  <c:v>10</c:v>
                </c:pt>
                <c:pt idx="4">
                  <c:v>10.4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E5C-4887-BA74-F35D03CDE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63360"/>
        <c:axId val="49702400"/>
      </c:scatterChart>
      <c:valAx>
        <c:axId val="49663360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1" u="none" strike="noStrike" baseline="0">
                    <a:solidFill>
                      <a:srgbClr val="9933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d</a:t>
                </a:r>
              </a:p>
            </c:rich>
          </c:tx>
          <c:layout>
            <c:manualLayout>
              <c:xMode val="edge"/>
              <c:yMode val="edge"/>
              <c:x val="0.48235386480136488"/>
              <c:y val="1.3368983957219251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800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02400"/>
        <c:crossesAt val="0"/>
        <c:crossBetween val="midCat"/>
      </c:valAx>
      <c:valAx>
        <c:axId val="49702400"/>
        <c:scaling>
          <c:orientation val="maxMin"/>
          <c:min val="0"/>
        </c:scaling>
        <c:delete val="0"/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49663360"/>
        <c:crossesAt val="0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482813915637053E-2"/>
          <c:y val="0.1019609144721641"/>
          <c:w val="0.93267801448008836"/>
          <c:h val="0.87973968512521084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61-458C-BEDF-3809F8AFF6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'd subsets'!$CT$4</c:f>
                <c:numCache>
                  <c:formatCode>General</c:formatCode>
                  <c:ptCount val="1"/>
                  <c:pt idx="0">
                    <c:v>34.85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11</c:v>
                </c:pt>
              </c:numLit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subsets'!$CR$4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'd subsets'!$CS$4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1-458C-BEDF-3809F8AFF6B1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subsets'!$CQ$8:$CQ$37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subsets'!$CR$8:$CR$37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1-458C-BEDF-3809F8AFF6B1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'd subsets'!$CT$40</c:f>
                <c:numCache>
                  <c:formatCode>General</c:formatCode>
                  <c:ptCount val="1"/>
                  <c:pt idx="0">
                    <c:v>0.3105071597996481</c:v>
                  </c:pt>
                </c:numCache>
              </c:numRef>
            </c:plus>
            <c:minus>
              <c:numRef>
                <c:f>'d subsets'!$CT$40</c:f>
                <c:numCache>
                  <c:formatCode>General</c:formatCode>
                  <c:ptCount val="1"/>
                  <c:pt idx="0">
                    <c:v>0.3105071597996481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subsets'!$CR$40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'd subsets'!$CS$40</c:f>
              <c:numCache>
                <c:formatCode>General</c:formatCode>
                <c:ptCount val="1"/>
                <c:pt idx="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61-458C-BEDF-3809F8AFF6B1}"/>
            </c:ext>
          </c:extLst>
        </c:ser>
        <c:ser>
          <c:idx val="7"/>
          <c:order val="3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subsets'!$DK$8:$DK$37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D61-458C-BEDF-3809F8AFF6B1}"/>
            </c:ext>
          </c:extLst>
        </c:ser>
        <c:ser>
          <c:idx val="44"/>
          <c:order val="4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'd subsets'!$BV$10:$BV$11</c:f>
              <c:numCache>
                <c:formatCode>General</c:formatCode>
                <c:ptCount val="2"/>
                <c:pt idx="0">
                  <c:v>4.826350887731963E-2</c:v>
                </c:pt>
                <c:pt idx="1">
                  <c:v>4.826350887731963E-2</c:v>
                </c:pt>
              </c:numCache>
            </c:numRef>
          </c:xVal>
          <c:yVal>
            <c:numRef>
              <c:f>'d subsets'!$BW$10:$BW$11</c:f>
              <c:numCache>
                <c:formatCode>General</c:formatCode>
                <c:ptCount val="2"/>
                <c:pt idx="0">
                  <c:v>34</c:v>
                </c:pt>
                <c:pt idx="1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D61-458C-BEDF-3809F8AFF6B1}"/>
            </c:ext>
          </c:extLst>
        </c:ser>
        <c:ser>
          <c:idx val="45"/>
          <c:order val="5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'd subsets'!$BV$12:$BV$13</c:f>
              <c:numCache>
                <c:formatCode>General</c:formatCode>
                <c:ptCount val="2"/>
                <c:pt idx="0">
                  <c:v>0.81597270623773788</c:v>
                </c:pt>
                <c:pt idx="1">
                  <c:v>0.81597270623773788</c:v>
                </c:pt>
              </c:numCache>
            </c:numRef>
          </c:xVal>
          <c:yVal>
            <c:numRef>
              <c:f>'d subsets'!$BW$12:$BW$13</c:f>
              <c:numCache>
                <c:formatCode>General</c:formatCode>
                <c:ptCount val="2"/>
                <c:pt idx="0">
                  <c:v>33</c:v>
                </c:pt>
                <c:pt idx="1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D61-458C-BEDF-3809F8AFF6B1}"/>
            </c:ext>
          </c:extLst>
        </c:ser>
        <c:ser>
          <c:idx val="8"/>
          <c:order val="6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subsets'!$DJ$8:$DJ$37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D61-458C-BEDF-3809F8AFF6B1}"/>
            </c:ext>
          </c:extLst>
        </c:ser>
        <c:ser>
          <c:idx val="9"/>
          <c:order val="7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subsets'!$DI$8:$DI$37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D61-458C-BEDF-3809F8AFF6B1}"/>
            </c:ext>
          </c:extLst>
        </c:ser>
        <c:ser>
          <c:idx val="10"/>
          <c:order val="8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subsets'!$DH$8:$DH$37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D61-458C-BEDF-3809F8AFF6B1}"/>
            </c:ext>
          </c:extLst>
        </c:ser>
        <c:ser>
          <c:idx val="11"/>
          <c:order val="9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subsets'!$DG$8:$DG$37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D61-458C-BEDF-3809F8AFF6B1}"/>
            </c:ext>
          </c:extLst>
        </c:ser>
        <c:ser>
          <c:idx val="12"/>
          <c:order val="10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subsets'!$DF$8:$DF$37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D61-458C-BEDF-3809F8AFF6B1}"/>
            </c:ext>
          </c:extLst>
        </c:ser>
        <c:ser>
          <c:idx val="13"/>
          <c:order val="11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subsets'!$DE$8:$DE$37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D61-458C-BEDF-3809F8AFF6B1}"/>
            </c:ext>
          </c:extLst>
        </c:ser>
        <c:ser>
          <c:idx val="14"/>
          <c:order val="12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subsets'!$DD$8:$DD$37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D61-458C-BEDF-3809F8AFF6B1}"/>
            </c:ext>
          </c:extLst>
        </c:ser>
        <c:ser>
          <c:idx val="15"/>
          <c:order val="13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subsets'!$DC$8:$DC$37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D61-458C-BEDF-3809F8AFF6B1}"/>
            </c:ext>
          </c:extLst>
        </c:ser>
        <c:ser>
          <c:idx val="36"/>
          <c:order val="14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subsets'!$DY$11:$DY$211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1.999999999999922E-3</c:v>
                  </c:pt>
                  <c:pt idx="4">
                    <c:v>5.9999999999999689E-3</c:v>
                  </c:pt>
                  <c:pt idx="5">
                    <c:v>9.9999999999999759E-3</c:v>
                  </c:pt>
                  <c:pt idx="6">
                    <c:v>1.3999999999999934E-2</c:v>
                  </c:pt>
                  <c:pt idx="7">
                    <c:v>1.7999999999999981E-2</c:v>
                  </c:pt>
                  <c:pt idx="8">
                    <c:v>2.1999999999999985E-2</c:v>
                  </c:pt>
                  <c:pt idx="9">
                    <c:v>2.600000000000003E-2</c:v>
                  </c:pt>
                  <c:pt idx="10">
                    <c:v>3.0000000000000034E-2</c:v>
                  </c:pt>
                  <c:pt idx="11">
                    <c:v>3.4000000000000037E-2</c:v>
                  </c:pt>
                  <c:pt idx="12">
                    <c:v>3.8000000000000089E-2</c:v>
                  </c:pt>
                  <c:pt idx="13">
                    <c:v>4.2000000000000093E-2</c:v>
                  </c:pt>
                  <c:pt idx="14">
                    <c:v>4.6000000000000138E-2</c:v>
                  </c:pt>
                  <c:pt idx="15">
                    <c:v>5.0000000000000142E-2</c:v>
                  </c:pt>
                  <c:pt idx="16">
                    <c:v>5.4000000000000194E-2</c:v>
                  </c:pt>
                  <c:pt idx="17">
                    <c:v>5.8000000000000197E-2</c:v>
                  </c:pt>
                  <c:pt idx="18">
                    <c:v>6.2000000000000242E-2</c:v>
                  </c:pt>
                  <c:pt idx="19">
                    <c:v>6.6000000000000253E-2</c:v>
                  </c:pt>
                  <c:pt idx="20">
                    <c:v>7.0000000000000298E-2</c:v>
                  </c:pt>
                  <c:pt idx="21">
                    <c:v>7.4000000000000302E-2</c:v>
                  </c:pt>
                  <c:pt idx="22">
                    <c:v>7.8000000000000361E-2</c:v>
                  </c:pt>
                  <c:pt idx="23">
                    <c:v>8.2000000000000364E-2</c:v>
                  </c:pt>
                  <c:pt idx="24">
                    <c:v>8.6000000000000409E-2</c:v>
                  </c:pt>
                  <c:pt idx="25">
                    <c:v>9.0000000000000413E-2</c:v>
                  </c:pt>
                  <c:pt idx="26">
                    <c:v>9.4000000000000458E-2</c:v>
                  </c:pt>
                  <c:pt idx="27">
                    <c:v>9.8000000000000462E-2</c:v>
                  </c:pt>
                  <c:pt idx="28">
                    <c:v>0.10200000000000051</c:v>
                  </c:pt>
                  <c:pt idx="29">
                    <c:v>0.10600000000000051</c:v>
                  </c:pt>
                  <c:pt idx="30">
                    <c:v>0.11000000000000056</c:v>
                  </c:pt>
                  <c:pt idx="31">
                    <c:v>0.11400000000000056</c:v>
                  </c:pt>
                  <c:pt idx="32">
                    <c:v>0.11800000000000062</c:v>
                  </c:pt>
                  <c:pt idx="33">
                    <c:v>0.12200000000000062</c:v>
                  </c:pt>
                  <c:pt idx="34">
                    <c:v>0.12600000000000064</c:v>
                  </c:pt>
                  <c:pt idx="35">
                    <c:v>0.13000000000000064</c:v>
                  </c:pt>
                  <c:pt idx="36">
                    <c:v>0.1340000000000007</c:v>
                  </c:pt>
                  <c:pt idx="37">
                    <c:v>0.13800000000000071</c:v>
                  </c:pt>
                  <c:pt idx="38">
                    <c:v>0.14200000000000076</c:v>
                  </c:pt>
                  <c:pt idx="39">
                    <c:v>0.14600000000000077</c:v>
                  </c:pt>
                  <c:pt idx="40">
                    <c:v>0.1500000000000008</c:v>
                  </c:pt>
                  <c:pt idx="41">
                    <c:v>0.1540000000000008</c:v>
                  </c:pt>
                  <c:pt idx="42">
                    <c:v>0.15800000000000081</c:v>
                  </c:pt>
                  <c:pt idx="43">
                    <c:v>0.16200000000000087</c:v>
                  </c:pt>
                  <c:pt idx="44">
                    <c:v>0.16600000000000087</c:v>
                  </c:pt>
                  <c:pt idx="45">
                    <c:v>0.17000000000000093</c:v>
                  </c:pt>
                  <c:pt idx="46">
                    <c:v>0.17400000000000093</c:v>
                  </c:pt>
                  <c:pt idx="47">
                    <c:v>0.17800000000000096</c:v>
                  </c:pt>
                  <c:pt idx="48">
                    <c:v>0.18200000000000097</c:v>
                  </c:pt>
                  <c:pt idx="49">
                    <c:v>0.18600000000000103</c:v>
                  </c:pt>
                  <c:pt idx="50">
                    <c:v>0.19000000000000106</c:v>
                  </c:pt>
                  <c:pt idx="51">
                    <c:v>0.19400000000000106</c:v>
                  </c:pt>
                  <c:pt idx="52">
                    <c:v>0.19800000000000106</c:v>
                  </c:pt>
                  <c:pt idx="53">
                    <c:v>0.20200000000000112</c:v>
                  </c:pt>
                  <c:pt idx="54">
                    <c:v>0.20600000000000118</c:v>
                  </c:pt>
                  <c:pt idx="55">
                    <c:v>0.21000000000000119</c:v>
                  </c:pt>
                  <c:pt idx="56">
                    <c:v>0.21400000000000119</c:v>
                  </c:pt>
                  <c:pt idx="57">
                    <c:v>0.21800000000000119</c:v>
                  </c:pt>
                  <c:pt idx="58">
                    <c:v>0.22200000000000122</c:v>
                  </c:pt>
                  <c:pt idx="59">
                    <c:v>0.22600000000000128</c:v>
                  </c:pt>
                  <c:pt idx="60">
                    <c:v>0.23000000000000129</c:v>
                  </c:pt>
                  <c:pt idx="61">
                    <c:v>0.23400000000000129</c:v>
                  </c:pt>
                  <c:pt idx="62">
                    <c:v>0.23800000000000132</c:v>
                  </c:pt>
                  <c:pt idx="63">
                    <c:v>0.24200000000000138</c:v>
                  </c:pt>
                  <c:pt idx="64">
                    <c:v>0.24600000000000138</c:v>
                  </c:pt>
                  <c:pt idx="65">
                    <c:v>0.25000000000000139</c:v>
                  </c:pt>
                  <c:pt idx="66">
                    <c:v>0.25400000000000145</c:v>
                  </c:pt>
                  <c:pt idx="67">
                    <c:v>0.25800000000000151</c:v>
                  </c:pt>
                  <c:pt idx="68">
                    <c:v>0.26200000000000151</c:v>
                  </c:pt>
                  <c:pt idx="69">
                    <c:v>0.26600000000000151</c:v>
                  </c:pt>
                  <c:pt idx="70">
                    <c:v>0.27000000000000152</c:v>
                  </c:pt>
                  <c:pt idx="71">
                    <c:v>0.27400000000000158</c:v>
                  </c:pt>
                  <c:pt idx="72">
                    <c:v>0.27800000000000158</c:v>
                  </c:pt>
                  <c:pt idx="73">
                    <c:v>0.28200000000000158</c:v>
                  </c:pt>
                  <c:pt idx="74">
                    <c:v>0.28600000000000164</c:v>
                  </c:pt>
                  <c:pt idx="75">
                    <c:v>0.2900000000000017</c:v>
                  </c:pt>
                  <c:pt idx="76">
                    <c:v>0.2940000000000017</c:v>
                  </c:pt>
                  <c:pt idx="77">
                    <c:v>0.29800000000000171</c:v>
                  </c:pt>
                  <c:pt idx="78">
                    <c:v>0.30200000000000177</c:v>
                  </c:pt>
                  <c:pt idx="79">
                    <c:v>0.30600000000000177</c:v>
                  </c:pt>
                  <c:pt idx="80">
                    <c:v>0.31000000000000183</c:v>
                  </c:pt>
                  <c:pt idx="81">
                    <c:v>0.31400000000000183</c:v>
                  </c:pt>
                  <c:pt idx="82">
                    <c:v>0.31800000000000184</c:v>
                  </c:pt>
                  <c:pt idx="83">
                    <c:v>0.32200000000000184</c:v>
                  </c:pt>
                  <c:pt idx="84">
                    <c:v>0.3260000000000019</c:v>
                  </c:pt>
                  <c:pt idx="85">
                    <c:v>0.3300000000000019</c:v>
                  </c:pt>
                  <c:pt idx="86">
                    <c:v>0.33400000000000196</c:v>
                  </c:pt>
                  <c:pt idx="87">
                    <c:v>0.33800000000000197</c:v>
                  </c:pt>
                  <c:pt idx="88">
                    <c:v>0.34200000000000202</c:v>
                  </c:pt>
                  <c:pt idx="89">
                    <c:v>0.34600000000000197</c:v>
                  </c:pt>
                  <c:pt idx="90">
                    <c:v>0.35000000000000192</c:v>
                  </c:pt>
                  <c:pt idx="91">
                    <c:v>0.35400000000000187</c:v>
                  </c:pt>
                  <c:pt idx="92">
                    <c:v>0.35800000000000182</c:v>
                  </c:pt>
                  <c:pt idx="93">
                    <c:v>0.36200000000000176</c:v>
                  </c:pt>
                  <c:pt idx="94">
                    <c:v>0.36600000000000171</c:v>
                  </c:pt>
                  <c:pt idx="95">
                    <c:v>0.37000000000000166</c:v>
                  </c:pt>
                  <c:pt idx="96">
                    <c:v>0.37400000000000166</c:v>
                  </c:pt>
                  <c:pt idx="97">
                    <c:v>0.37800000000000161</c:v>
                  </c:pt>
                  <c:pt idx="98">
                    <c:v>0.38200000000000151</c:v>
                  </c:pt>
                  <c:pt idx="99">
                    <c:v>0.38600000000000145</c:v>
                  </c:pt>
                  <c:pt idx="100">
                    <c:v>0.38999999999999857</c:v>
                  </c:pt>
                  <c:pt idx="101">
                    <c:v>0.38599999999999862</c:v>
                  </c:pt>
                  <c:pt idx="102">
                    <c:v>0.38199999999999867</c:v>
                  </c:pt>
                  <c:pt idx="103">
                    <c:v>0.37799999999999873</c:v>
                  </c:pt>
                  <c:pt idx="104">
                    <c:v>0.37399999999999878</c:v>
                  </c:pt>
                  <c:pt idx="105">
                    <c:v>0.36999999999999877</c:v>
                  </c:pt>
                  <c:pt idx="106">
                    <c:v>0.36599999999999888</c:v>
                  </c:pt>
                  <c:pt idx="107">
                    <c:v>0.36199999999999893</c:v>
                  </c:pt>
                  <c:pt idx="108">
                    <c:v>0.35799999999999899</c:v>
                  </c:pt>
                  <c:pt idx="109">
                    <c:v>0.35399999999999898</c:v>
                  </c:pt>
                  <c:pt idx="110">
                    <c:v>0.34999999999999903</c:v>
                  </c:pt>
                  <c:pt idx="111">
                    <c:v>0.34599999999999909</c:v>
                  </c:pt>
                  <c:pt idx="112">
                    <c:v>0.34199999999999914</c:v>
                  </c:pt>
                  <c:pt idx="113">
                    <c:v>0.33799999999999919</c:v>
                  </c:pt>
                  <c:pt idx="114">
                    <c:v>0.33399999999999924</c:v>
                  </c:pt>
                  <c:pt idx="115">
                    <c:v>0.32999999999999929</c:v>
                  </c:pt>
                  <c:pt idx="116">
                    <c:v>0.32599999999999935</c:v>
                  </c:pt>
                  <c:pt idx="117">
                    <c:v>0.3219999999999994</c:v>
                  </c:pt>
                  <c:pt idx="118">
                    <c:v>0.31799999999999939</c:v>
                  </c:pt>
                  <c:pt idx="119">
                    <c:v>0.31399999999999945</c:v>
                  </c:pt>
                  <c:pt idx="120">
                    <c:v>0.3099999999999995</c:v>
                  </c:pt>
                  <c:pt idx="121">
                    <c:v>0.30599999999999961</c:v>
                  </c:pt>
                  <c:pt idx="122">
                    <c:v>0.3019999999999996</c:v>
                  </c:pt>
                  <c:pt idx="123">
                    <c:v>0.29799999999999965</c:v>
                  </c:pt>
                  <c:pt idx="124">
                    <c:v>0.29399999999999971</c:v>
                  </c:pt>
                  <c:pt idx="125">
                    <c:v>0.28999999999999976</c:v>
                  </c:pt>
                  <c:pt idx="126">
                    <c:v>0.28599999999999975</c:v>
                  </c:pt>
                  <c:pt idx="127">
                    <c:v>0.28199999999999981</c:v>
                  </c:pt>
                  <c:pt idx="128">
                    <c:v>0.27799999999999991</c:v>
                  </c:pt>
                  <c:pt idx="129">
                    <c:v>0.27399999999999991</c:v>
                  </c:pt>
                  <c:pt idx="130">
                    <c:v>0.26999999999999996</c:v>
                  </c:pt>
                  <c:pt idx="131">
                    <c:v>0.26599999999999996</c:v>
                  </c:pt>
                  <c:pt idx="132">
                    <c:v>0.26200000000000007</c:v>
                  </c:pt>
                  <c:pt idx="133">
                    <c:v>0.25800000000000012</c:v>
                  </c:pt>
                  <c:pt idx="134">
                    <c:v>0.25400000000000017</c:v>
                  </c:pt>
                  <c:pt idx="135">
                    <c:v>0.25000000000000017</c:v>
                  </c:pt>
                  <c:pt idx="136">
                    <c:v>0.24600000000000022</c:v>
                  </c:pt>
                  <c:pt idx="137">
                    <c:v>0.24200000000000033</c:v>
                  </c:pt>
                  <c:pt idx="138">
                    <c:v>0.23800000000000032</c:v>
                  </c:pt>
                  <c:pt idx="139">
                    <c:v>0.2340000000000004</c:v>
                  </c:pt>
                  <c:pt idx="140">
                    <c:v>0.23000000000000043</c:v>
                  </c:pt>
                  <c:pt idx="141">
                    <c:v>0.22600000000000048</c:v>
                  </c:pt>
                  <c:pt idx="142">
                    <c:v>0.22200000000000053</c:v>
                  </c:pt>
                  <c:pt idx="143">
                    <c:v>0.21800000000000055</c:v>
                  </c:pt>
                  <c:pt idx="144">
                    <c:v>0.21400000000000063</c:v>
                  </c:pt>
                  <c:pt idx="145">
                    <c:v>0.21000000000000063</c:v>
                  </c:pt>
                  <c:pt idx="146">
                    <c:v>0.20600000000000074</c:v>
                  </c:pt>
                  <c:pt idx="147">
                    <c:v>0.20200000000000073</c:v>
                  </c:pt>
                  <c:pt idx="148">
                    <c:v>0.19800000000000081</c:v>
                  </c:pt>
                  <c:pt idx="149">
                    <c:v>0.19400000000000084</c:v>
                  </c:pt>
                  <c:pt idx="150">
                    <c:v>0.19000000000000089</c:v>
                  </c:pt>
                  <c:pt idx="151">
                    <c:v>0.18600000000000094</c:v>
                  </c:pt>
                  <c:pt idx="152">
                    <c:v>0.18200000000000097</c:v>
                  </c:pt>
                  <c:pt idx="153">
                    <c:v>0.17800000000000105</c:v>
                  </c:pt>
                  <c:pt idx="154">
                    <c:v>0.1740000000000011</c:v>
                  </c:pt>
                  <c:pt idx="155">
                    <c:v>0.17000000000000115</c:v>
                  </c:pt>
                  <c:pt idx="156">
                    <c:v>0.16600000000000117</c:v>
                  </c:pt>
                  <c:pt idx="157">
                    <c:v>0.16200000000000123</c:v>
                  </c:pt>
                  <c:pt idx="158">
                    <c:v>0.15800000000000125</c:v>
                  </c:pt>
                  <c:pt idx="159">
                    <c:v>0.1540000000000013</c:v>
                  </c:pt>
                  <c:pt idx="160">
                    <c:v>0.15000000000000135</c:v>
                  </c:pt>
                  <c:pt idx="161">
                    <c:v>0.14600000000000143</c:v>
                  </c:pt>
                  <c:pt idx="162">
                    <c:v>0.14200000000000146</c:v>
                  </c:pt>
                  <c:pt idx="163">
                    <c:v>0.13800000000000151</c:v>
                  </c:pt>
                  <c:pt idx="164">
                    <c:v>0.13400000000000153</c:v>
                  </c:pt>
                  <c:pt idx="165">
                    <c:v>0.13000000000000159</c:v>
                  </c:pt>
                  <c:pt idx="166">
                    <c:v>0.12600000000000164</c:v>
                  </c:pt>
                  <c:pt idx="167">
                    <c:v>0.12200000000000168</c:v>
                  </c:pt>
                  <c:pt idx="168">
                    <c:v>0.11800000000000173</c:v>
                  </c:pt>
                  <c:pt idx="169">
                    <c:v>0.11400000000000181</c:v>
                  </c:pt>
                  <c:pt idx="170">
                    <c:v>0.11000000000000185</c:v>
                  </c:pt>
                  <c:pt idx="171">
                    <c:v>0.10600000000000188</c:v>
                  </c:pt>
                  <c:pt idx="172">
                    <c:v>0.10200000000000194</c:v>
                  </c:pt>
                  <c:pt idx="173">
                    <c:v>9.8000000000001974E-2</c:v>
                  </c:pt>
                  <c:pt idx="174">
                    <c:v>9.4000000000002013E-2</c:v>
                  </c:pt>
                  <c:pt idx="175">
                    <c:v>9.0000000000002051E-2</c:v>
                  </c:pt>
                  <c:pt idx="176">
                    <c:v>8.6000000000002089E-2</c:v>
                  </c:pt>
                  <c:pt idx="177">
                    <c:v>8.2000000000002182E-2</c:v>
                  </c:pt>
                  <c:pt idx="178">
                    <c:v>7.800000000000222E-2</c:v>
                  </c:pt>
                  <c:pt idx="179">
                    <c:v>7.4000000000002258E-2</c:v>
                  </c:pt>
                  <c:pt idx="180">
                    <c:v>7.0000000000002296E-2</c:v>
                  </c:pt>
                  <c:pt idx="181">
                    <c:v>6.6000000000002348E-2</c:v>
                  </c:pt>
                  <c:pt idx="182">
                    <c:v>6.200000000000238E-2</c:v>
                  </c:pt>
                  <c:pt idx="183">
                    <c:v>5.8000000000002418E-2</c:v>
                  </c:pt>
                  <c:pt idx="184">
                    <c:v>5.4000000000002456E-2</c:v>
                  </c:pt>
                  <c:pt idx="185">
                    <c:v>5.0000000000002542E-2</c:v>
                  </c:pt>
                  <c:pt idx="186">
                    <c:v>4.600000000000258E-2</c:v>
                  </c:pt>
                  <c:pt idx="187">
                    <c:v>4.2000000000002626E-2</c:v>
                  </c:pt>
                  <c:pt idx="188">
                    <c:v>3.8000000000002664E-2</c:v>
                  </c:pt>
                  <c:pt idx="189">
                    <c:v>3.4000000000002702E-2</c:v>
                  </c:pt>
                  <c:pt idx="190">
                    <c:v>3.0000000000002747E-2</c:v>
                  </c:pt>
                  <c:pt idx="191">
                    <c:v>2.6000000000002785E-2</c:v>
                  </c:pt>
                  <c:pt idx="192">
                    <c:v>2.2000000000002823E-2</c:v>
                  </c:pt>
                  <c:pt idx="193">
                    <c:v>1.800000000000291E-2</c:v>
                  </c:pt>
                  <c:pt idx="194">
                    <c:v>1.4000000000002953E-2</c:v>
                  </c:pt>
                  <c:pt idx="195">
                    <c:v>1.0000000000002994E-2</c:v>
                  </c:pt>
                  <c:pt idx="196">
                    <c:v>6.0000000000030359E-3</c:v>
                  </c:pt>
                  <c:pt idx="197">
                    <c:v>2.0000000000030757E-3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'd subsets'!$DY$11:$DY$211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1.999999999999922E-3</c:v>
                  </c:pt>
                  <c:pt idx="4">
                    <c:v>5.9999999999999689E-3</c:v>
                  </c:pt>
                  <c:pt idx="5">
                    <c:v>9.9999999999999759E-3</c:v>
                  </c:pt>
                  <c:pt idx="6">
                    <c:v>1.3999999999999934E-2</c:v>
                  </c:pt>
                  <c:pt idx="7">
                    <c:v>1.7999999999999981E-2</c:v>
                  </c:pt>
                  <c:pt idx="8">
                    <c:v>2.1999999999999985E-2</c:v>
                  </c:pt>
                  <c:pt idx="9">
                    <c:v>2.600000000000003E-2</c:v>
                  </c:pt>
                  <c:pt idx="10">
                    <c:v>3.0000000000000034E-2</c:v>
                  </c:pt>
                  <c:pt idx="11">
                    <c:v>3.4000000000000037E-2</c:v>
                  </c:pt>
                  <c:pt idx="12">
                    <c:v>3.8000000000000089E-2</c:v>
                  </c:pt>
                  <c:pt idx="13">
                    <c:v>4.2000000000000093E-2</c:v>
                  </c:pt>
                  <c:pt idx="14">
                    <c:v>4.6000000000000138E-2</c:v>
                  </c:pt>
                  <c:pt idx="15">
                    <c:v>5.0000000000000142E-2</c:v>
                  </c:pt>
                  <c:pt idx="16">
                    <c:v>5.4000000000000194E-2</c:v>
                  </c:pt>
                  <c:pt idx="17">
                    <c:v>5.8000000000000197E-2</c:v>
                  </c:pt>
                  <c:pt idx="18">
                    <c:v>6.2000000000000242E-2</c:v>
                  </c:pt>
                  <c:pt idx="19">
                    <c:v>6.6000000000000253E-2</c:v>
                  </c:pt>
                  <c:pt idx="20">
                    <c:v>7.0000000000000298E-2</c:v>
                  </c:pt>
                  <c:pt idx="21">
                    <c:v>7.4000000000000302E-2</c:v>
                  </c:pt>
                  <c:pt idx="22">
                    <c:v>7.8000000000000361E-2</c:v>
                  </c:pt>
                  <c:pt idx="23">
                    <c:v>8.2000000000000364E-2</c:v>
                  </c:pt>
                  <c:pt idx="24">
                    <c:v>8.6000000000000409E-2</c:v>
                  </c:pt>
                  <c:pt idx="25">
                    <c:v>9.0000000000000413E-2</c:v>
                  </c:pt>
                  <c:pt idx="26">
                    <c:v>9.4000000000000458E-2</c:v>
                  </c:pt>
                  <c:pt idx="27">
                    <c:v>9.8000000000000462E-2</c:v>
                  </c:pt>
                  <c:pt idx="28">
                    <c:v>0.10200000000000051</c:v>
                  </c:pt>
                  <c:pt idx="29">
                    <c:v>0.10600000000000051</c:v>
                  </c:pt>
                  <c:pt idx="30">
                    <c:v>0.11000000000000056</c:v>
                  </c:pt>
                  <c:pt idx="31">
                    <c:v>0.11400000000000056</c:v>
                  </c:pt>
                  <c:pt idx="32">
                    <c:v>0.11800000000000062</c:v>
                  </c:pt>
                  <c:pt idx="33">
                    <c:v>0.12200000000000062</c:v>
                  </c:pt>
                  <c:pt idx="34">
                    <c:v>0.12600000000000064</c:v>
                  </c:pt>
                  <c:pt idx="35">
                    <c:v>0.13000000000000064</c:v>
                  </c:pt>
                  <c:pt idx="36">
                    <c:v>0.1340000000000007</c:v>
                  </c:pt>
                  <c:pt idx="37">
                    <c:v>0.13800000000000071</c:v>
                  </c:pt>
                  <c:pt idx="38">
                    <c:v>0.14200000000000076</c:v>
                  </c:pt>
                  <c:pt idx="39">
                    <c:v>0.14600000000000077</c:v>
                  </c:pt>
                  <c:pt idx="40">
                    <c:v>0.1500000000000008</c:v>
                  </c:pt>
                  <c:pt idx="41">
                    <c:v>0.1540000000000008</c:v>
                  </c:pt>
                  <c:pt idx="42">
                    <c:v>0.15800000000000081</c:v>
                  </c:pt>
                  <c:pt idx="43">
                    <c:v>0.16200000000000087</c:v>
                  </c:pt>
                  <c:pt idx="44">
                    <c:v>0.16600000000000087</c:v>
                  </c:pt>
                  <c:pt idx="45">
                    <c:v>0.17000000000000093</c:v>
                  </c:pt>
                  <c:pt idx="46">
                    <c:v>0.17400000000000093</c:v>
                  </c:pt>
                  <c:pt idx="47">
                    <c:v>0.17800000000000096</c:v>
                  </c:pt>
                  <c:pt idx="48">
                    <c:v>0.18200000000000097</c:v>
                  </c:pt>
                  <c:pt idx="49">
                    <c:v>0.18600000000000103</c:v>
                  </c:pt>
                  <c:pt idx="50">
                    <c:v>0.19000000000000106</c:v>
                  </c:pt>
                  <c:pt idx="51">
                    <c:v>0.19400000000000106</c:v>
                  </c:pt>
                  <c:pt idx="52">
                    <c:v>0.19800000000000106</c:v>
                  </c:pt>
                  <c:pt idx="53">
                    <c:v>0.20200000000000112</c:v>
                  </c:pt>
                  <c:pt idx="54">
                    <c:v>0.20600000000000118</c:v>
                  </c:pt>
                  <c:pt idx="55">
                    <c:v>0.21000000000000119</c:v>
                  </c:pt>
                  <c:pt idx="56">
                    <c:v>0.21400000000000119</c:v>
                  </c:pt>
                  <c:pt idx="57">
                    <c:v>0.21800000000000119</c:v>
                  </c:pt>
                  <c:pt idx="58">
                    <c:v>0.22200000000000122</c:v>
                  </c:pt>
                  <c:pt idx="59">
                    <c:v>0.22600000000000128</c:v>
                  </c:pt>
                  <c:pt idx="60">
                    <c:v>0.23000000000000129</c:v>
                  </c:pt>
                  <c:pt idx="61">
                    <c:v>0.23400000000000129</c:v>
                  </c:pt>
                  <c:pt idx="62">
                    <c:v>0.23800000000000132</c:v>
                  </c:pt>
                  <c:pt idx="63">
                    <c:v>0.24200000000000138</c:v>
                  </c:pt>
                  <c:pt idx="64">
                    <c:v>0.24600000000000138</c:v>
                  </c:pt>
                  <c:pt idx="65">
                    <c:v>0.25000000000000139</c:v>
                  </c:pt>
                  <c:pt idx="66">
                    <c:v>0.25400000000000145</c:v>
                  </c:pt>
                  <c:pt idx="67">
                    <c:v>0.25800000000000151</c:v>
                  </c:pt>
                  <c:pt idx="68">
                    <c:v>0.26200000000000151</c:v>
                  </c:pt>
                  <c:pt idx="69">
                    <c:v>0.26600000000000151</c:v>
                  </c:pt>
                  <c:pt idx="70">
                    <c:v>0.27000000000000152</c:v>
                  </c:pt>
                  <c:pt idx="71">
                    <c:v>0.27400000000000158</c:v>
                  </c:pt>
                  <c:pt idx="72">
                    <c:v>0.27800000000000158</c:v>
                  </c:pt>
                  <c:pt idx="73">
                    <c:v>0.28200000000000158</c:v>
                  </c:pt>
                  <c:pt idx="74">
                    <c:v>0.28600000000000164</c:v>
                  </c:pt>
                  <c:pt idx="75">
                    <c:v>0.2900000000000017</c:v>
                  </c:pt>
                  <c:pt idx="76">
                    <c:v>0.2940000000000017</c:v>
                  </c:pt>
                  <c:pt idx="77">
                    <c:v>0.29800000000000171</c:v>
                  </c:pt>
                  <c:pt idx="78">
                    <c:v>0.30200000000000177</c:v>
                  </c:pt>
                  <c:pt idx="79">
                    <c:v>0.30600000000000177</c:v>
                  </c:pt>
                  <c:pt idx="80">
                    <c:v>0.31000000000000183</c:v>
                  </c:pt>
                  <c:pt idx="81">
                    <c:v>0.31400000000000183</c:v>
                  </c:pt>
                  <c:pt idx="82">
                    <c:v>0.31800000000000184</c:v>
                  </c:pt>
                  <c:pt idx="83">
                    <c:v>0.32200000000000184</c:v>
                  </c:pt>
                  <c:pt idx="84">
                    <c:v>0.3260000000000019</c:v>
                  </c:pt>
                  <c:pt idx="85">
                    <c:v>0.3300000000000019</c:v>
                  </c:pt>
                  <c:pt idx="86">
                    <c:v>0.33400000000000196</c:v>
                  </c:pt>
                  <c:pt idx="87">
                    <c:v>0.33800000000000197</c:v>
                  </c:pt>
                  <c:pt idx="88">
                    <c:v>0.34200000000000202</c:v>
                  </c:pt>
                  <c:pt idx="89">
                    <c:v>0.34600000000000197</c:v>
                  </c:pt>
                  <c:pt idx="90">
                    <c:v>0.35000000000000192</c:v>
                  </c:pt>
                  <c:pt idx="91">
                    <c:v>0.35400000000000187</c:v>
                  </c:pt>
                  <c:pt idx="92">
                    <c:v>0.35800000000000182</c:v>
                  </c:pt>
                  <c:pt idx="93">
                    <c:v>0.36200000000000176</c:v>
                  </c:pt>
                  <c:pt idx="94">
                    <c:v>0.36600000000000171</c:v>
                  </c:pt>
                  <c:pt idx="95">
                    <c:v>0.37000000000000166</c:v>
                  </c:pt>
                  <c:pt idx="96">
                    <c:v>0.37400000000000166</c:v>
                  </c:pt>
                  <c:pt idx="97">
                    <c:v>0.37800000000000161</c:v>
                  </c:pt>
                  <c:pt idx="98">
                    <c:v>0.38200000000000151</c:v>
                  </c:pt>
                  <c:pt idx="99">
                    <c:v>0.38600000000000145</c:v>
                  </c:pt>
                  <c:pt idx="100">
                    <c:v>0.38999999999999857</c:v>
                  </c:pt>
                  <c:pt idx="101">
                    <c:v>0.38599999999999862</c:v>
                  </c:pt>
                  <c:pt idx="102">
                    <c:v>0.38199999999999867</c:v>
                  </c:pt>
                  <c:pt idx="103">
                    <c:v>0.37799999999999873</c:v>
                  </c:pt>
                  <c:pt idx="104">
                    <c:v>0.37399999999999878</c:v>
                  </c:pt>
                  <c:pt idx="105">
                    <c:v>0.36999999999999877</c:v>
                  </c:pt>
                  <c:pt idx="106">
                    <c:v>0.36599999999999888</c:v>
                  </c:pt>
                  <c:pt idx="107">
                    <c:v>0.36199999999999893</c:v>
                  </c:pt>
                  <c:pt idx="108">
                    <c:v>0.35799999999999899</c:v>
                  </c:pt>
                  <c:pt idx="109">
                    <c:v>0.35399999999999898</c:v>
                  </c:pt>
                  <c:pt idx="110">
                    <c:v>0.34999999999999903</c:v>
                  </c:pt>
                  <c:pt idx="111">
                    <c:v>0.34599999999999909</c:v>
                  </c:pt>
                  <c:pt idx="112">
                    <c:v>0.34199999999999914</c:v>
                  </c:pt>
                  <c:pt idx="113">
                    <c:v>0.33799999999999919</c:v>
                  </c:pt>
                  <c:pt idx="114">
                    <c:v>0.33399999999999924</c:v>
                  </c:pt>
                  <c:pt idx="115">
                    <c:v>0.32999999999999929</c:v>
                  </c:pt>
                  <c:pt idx="116">
                    <c:v>0.32599999999999935</c:v>
                  </c:pt>
                  <c:pt idx="117">
                    <c:v>0.3219999999999994</c:v>
                  </c:pt>
                  <c:pt idx="118">
                    <c:v>0.31799999999999939</c:v>
                  </c:pt>
                  <c:pt idx="119">
                    <c:v>0.31399999999999945</c:v>
                  </c:pt>
                  <c:pt idx="120">
                    <c:v>0.3099999999999995</c:v>
                  </c:pt>
                  <c:pt idx="121">
                    <c:v>0.30599999999999961</c:v>
                  </c:pt>
                  <c:pt idx="122">
                    <c:v>0.3019999999999996</c:v>
                  </c:pt>
                  <c:pt idx="123">
                    <c:v>0.29799999999999965</c:v>
                  </c:pt>
                  <c:pt idx="124">
                    <c:v>0.29399999999999971</c:v>
                  </c:pt>
                  <c:pt idx="125">
                    <c:v>0.28999999999999976</c:v>
                  </c:pt>
                  <c:pt idx="126">
                    <c:v>0.28599999999999975</c:v>
                  </c:pt>
                  <c:pt idx="127">
                    <c:v>0.28199999999999981</c:v>
                  </c:pt>
                  <c:pt idx="128">
                    <c:v>0.27799999999999991</c:v>
                  </c:pt>
                  <c:pt idx="129">
                    <c:v>0.27399999999999991</c:v>
                  </c:pt>
                  <c:pt idx="130">
                    <c:v>0.26999999999999996</c:v>
                  </c:pt>
                  <c:pt idx="131">
                    <c:v>0.26599999999999996</c:v>
                  </c:pt>
                  <c:pt idx="132">
                    <c:v>0.26200000000000007</c:v>
                  </c:pt>
                  <c:pt idx="133">
                    <c:v>0.25800000000000012</c:v>
                  </c:pt>
                  <c:pt idx="134">
                    <c:v>0.25400000000000017</c:v>
                  </c:pt>
                  <c:pt idx="135">
                    <c:v>0.25000000000000017</c:v>
                  </c:pt>
                  <c:pt idx="136">
                    <c:v>0.24600000000000022</c:v>
                  </c:pt>
                  <c:pt idx="137">
                    <c:v>0.24200000000000033</c:v>
                  </c:pt>
                  <c:pt idx="138">
                    <c:v>0.23800000000000032</c:v>
                  </c:pt>
                  <c:pt idx="139">
                    <c:v>0.2340000000000004</c:v>
                  </c:pt>
                  <c:pt idx="140">
                    <c:v>0.23000000000000043</c:v>
                  </c:pt>
                  <c:pt idx="141">
                    <c:v>0.22600000000000048</c:v>
                  </c:pt>
                  <c:pt idx="142">
                    <c:v>0.22200000000000053</c:v>
                  </c:pt>
                  <c:pt idx="143">
                    <c:v>0.21800000000000055</c:v>
                  </c:pt>
                  <c:pt idx="144">
                    <c:v>0.21400000000000063</c:v>
                  </c:pt>
                  <c:pt idx="145">
                    <c:v>0.21000000000000063</c:v>
                  </c:pt>
                  <c:pt idx="146">
                    <c:v>0.20600000000000074</c:v>
                  </c:pt>
                  <c:pt idx="147">
                    <c:v>0.20200000000000073</c:v>
                  </c:pt>
                  <c:pt idx="148">
                    <c:v>0.19800000000000081</c:v>
                  </c:pt>
                  <c:pt idx="149">
                    <c:v>0.19400000000000084</c:v>
                  </c:pt>
                  <c:pt idx="150">
                    <c:v>0.19000000000000089</c:v>
                  </c:pt>
                  <c:pt idx="151">
                    <c:v>0.18600000000000094</c:v>
                  </c:pt>
                  <c:pt idx="152">
                    <c:v>0.18200000000000097</c:v>
                  </c:pt>
                  <c:pt idx="153">
                    <c:v>0.17800000000000105</c:v>
                  </c:pt>
                  <c:pt idx="154">
                    <c:v>0.1740000000000011</c:v>
                  </c:pt>
                  <c:pt idx="155">
                    <c:v>0.17000000000000115</c:v>
                  </c:pt>
                  <c:pt idx="156">
                    <c:v>0.16600000000000117</c:v>
                  </c:pt>
                  <c:pt idx="157">
                    <c:v>0.16200000000000123</c:v>
                  </c:pt>
                  <c:pt idx="158">
                    <c:v>0.15800000000000125</c:v>
                  </c:pt>
                  <c:pt idx="159">
                    <c:v>0.1540000000000013</c:v>
                  </c:pt>
                  <c:pt idx="160">
                    <c:v>0.15000000000000135</c:v>
                  </c:pt>
                  <c:pt idx="161">
                    <c:v>0.14600000000000143</c:v>
                  </c:pt>
                  <c:pt idx="162">
                    <c:v>0.14200000000000146</c:v>
                  </c:pt>
                  <c:pt idx="163">
                    <c:v>0.13800000000000151</c:v>
                  </c:pt>
                  <c:pt idx="164">
                    <c:v>0.13400000000000153</c:v>
                  </c:pt>
                  <c:pt idx="165">
                    <c:v>0.13000000000000159</c:v>
                  </c:pt>
                  <c:pt idx="166">
                    <c:v>0.12600000000000164</c:v>
                  </c:pt>
                  <c:pt idx="167">
                    <c:v>0.12200000000000168</c:v>
                  </c:pt>
                  <c:pt idx="168">
                    <c:v>0.11800000000000173</c:v>
                  </c:pt>
                  <c:pt idx="169">
                    <c:v>0.11400000000000181</c:v>
                  </c:pt>
                  <c:pt idx="170">
                    <c:v>0.11000000000000185</c:v>
                  </c:pt>
                  <c:pt idx="171">
                    <c:v>0.10600000000000188</c:v>
                  </c:pt>
                  <c:pt idx="172">
                    <c:v>0.10200000000000194</c:v>
                  </c:pt>
                  <c:pt idx="173">
                    <c:v>9.8000000000001974E-2</c:v>
                  </c:pt>
                  <c:pt idx="174">
                    <c:v>9.4000000000002013E-2</c:v>
                  </c:pt>
                  <c:pt idx="175">
                    <c:v>9.0000000000002051E-2</c:v>
                  </c:pt>
                  <c:pt idx="176">
                    <c:v>8.6000000000002089E-2</c:v>
                  </c:pt>
                  <c:pt idx="177">
                    <c:v>8.2000000000002182E-2</c:v>
                  </c:pt>
                  <c:pt idx="178">
                    <c:v>7.800000000000222E-2</c:v>
                  </c:pt>
                  <c:pt idx="179">
                    <c:v>7.4000000000002258E-2</c:v>
                  </c:pt>
                  <c:pt idx="180">
                    <c:v>7.0000000000002296E-2</c:v>
                  </c:pt>
                  <c:pt idx="181">
                    <c:v>6.6000000000002348E-2</c:v>
                  </c:pt>
                  <c:pt idx="182">
                    <c:v>6.200000000000238E-2</c:v>
                  </c:pt>
                  <c:pt idx="183">
                    <c:v>5.8000000000002418E-2</c:v>
                  </c:pt>
                  <c:pt idx="184">
                    <c:v>5.4000000000002456E-2</c:v>
                  </c:pt>
                  <c:pt idx="185">
                    <c:v>5.0000000000002542E-2</c:v>
                  </c:pt>
                  <c:pt idx="186">
                    <c:v>4.600000000000258E-2</c:v>
                  </c:pt>
                  <c:pt idx="187">
                    <c:v>4.2000000000002626E-2</c:v>
                  </c:pt>
                  <c:pt idx="188">
                    <c:v>3.8000000000002664E-2</c:v>
                  </c:pt>
                  <c:pt idx="189">
                    <c:v>3.4000000000002702E-2</c:v>
                  </c:pt>
                  <c:pt idx="190">
                    <c:v>3.0000000000002747E-2</c:v>
                  </c:pt>
                  <c:pt idx="191">
                    <c:v>2.6000000000002785E-2</c:v>
                  </c:pt>
                  <c:pt idx="192">
                    <c:v>2.2000000000002823E-2</c:v>
                  </c:pt>
                  <c:pt idx="193">
                    <c:v>1.800000000000291E-2</c:v>
                  </c:pt>
                  <c:pt idx="194">
                    <c:v>1.4000000000002953E-2</c:v>
                  </c:pt>
                  <c:pt idx="195">
                    <c:v>1.0000000000002994E-2</c:v>
                  </c:pt>
                  <c:pt idx="196">
                    <c:v>6.0000000000030359E-3</c:v>
                  </c:pt>
                  <c:pt idx="197">
                    <c:v>2.0000000000030757E-3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C0C0C0"/>
                </a:solidFill>
                <a:prstDash val="solid"/>
              </a:ln>
            </c:spPr>
          </c:errBars>
          <c:xVal>
            <c:numRef>
              <c:f>'d subsets'!$DU$11:$DU$211</c:f>
              <c:numCache>
                <c:formatCode>General</c:formatCode>
                <c:ptCount val="201"/>
                <c:pt idx="0">
                  <c:v>0.22856409506001468</c:v>
                </c:pt>
                <c:pt idx="1">
                  <c:v>0.23166916665801116</c:v>
                </c:pt>
                <c:pt idx="2">
                  <c:v>0.23477423825600763</c:v>
                </c:pt>
                <c:pt idx="3">
                  <c:v>0.2378793098540041</c:v>
                </c:pt>
                <c:pt idx="4">
                  <c:v>0.24098438145200057</c:v>
                </c:pt>
                <c:pt idx="5">
                  <c:v>0.24408945304999705</c:v>
                </c:pt>
                <c:pt idx="6">
                  <c:v>0.24719452464799352</c:v>
                </c:pt>
                <c:pt idx="7">
                  <c:v>0.25029959624599002</c:v>
                </c:pt>
                <c:pt idx="8">
                  <c:v>0.25340466784398652</c:v>
                </c:pt>
                <c:pt idx="9">
                  <c:v>0.25650973944198302</c:v>
                </c:pt>
                <c:pt idx="10">
                  <c:v>0.25961481103997952</c:v>
                </c:pt>
                <c:pt idx="11">
                  <c:v>0.26271988263797602</c:v>
                </c:pt>
                <c:pt idx="12">
                  <c:v>0.26582495423597252</c:v>
                </c:pt>
                <c:pt idx="13">
                  <c:v>0.26893002583396902</c:v>
                </c:pt>
                <c:pt idx="14">
                  <c:v>0.27203509743196552</c:v>
                </c:pt>
                <c:pt idx="15">
                  <c:v>0.27514016902996202</c:v>
                </c:pt>
                <c:pt idx="16">
                  <c:v>0.27824524062795852</c:v>
                </c:pt>
                <c:pt idx="17">
                  <c:v>0.28135031222595502</c:v>
                </c:pt>
                <c:pt idx="18">
                  <c:v>0.28445538382395152</c:v>
                </c:pt>
                <c:pt idx="19">
                  <c:v>0.28756045542194802</c:v>
                </c:pt>
                <c:pt idx="20">
                  <c:v>0.29066552701994453</c:v>
                </c:pt>
                <c:pt idx="21">
                  <c:v>0.29377059861794103</c:v>
                </c:pt>
                <c:pt idx="22">
                  <c:v>0.29687567021593753</c:v>
                </c:pt>
                <c:pt idx="23">
                  <c:v>0.29998074181393403</c:v>
                </c:pt>
                <c:pt idx="24">
                  <c:v>0.30308581341193053</c:v>
                </c:pt>
                <c:pt idx="25">
                  <c:v>0.30619088500992703</c:v>
                </c:pt>
                <c:pt idx="26">
                  <c:v>0.30929595660792353</c:v>
                </c:pt>
                <c:pt idx="27">
                  <c:v>0.31240102820592003</c:v>
                </c:pt>
                <c:pt idx="28">
                  <c:v>0.31550609980391653</c:v>
                </c:pt>
                <c:pt idx="29">
                  <c:v>0.31861117140191303</c:v>
                </c:pt>
                <c:pt idx="30">
                  <c:v>0.32171624299990953</c:v>
                </c:pt>
                <c:pt idx="31">
                  <c:v>0.32482131459790603</c:v>
                </c:pt>
                <c:pt idx="32">
                  <c:v>0.32792638619590253</c:v>
                </c:pt>
                <c:pt idx="33">
                  <c:v>0.33103145779389903</c:v>
                </c:pt>
                <c:pt idx="34">
                  <c:v>0.33413652939189553</c:v>
                </c:pt>
                <c:pt idx="35">
                  <c:v>0.33724160098989203</c:v>
                </c:pt>
                <c:pt idx="36">
                  <c:v>0.34034667258788853</c:v>
                </c:pt>
                <c:pt idx="37">
                  <c:v>0.34345174418588503</c:v>
                </c:pt>
                <c:pt idx="38">
                  <c:v>0.34655681578388153</c:v>
                </c:pt>
                <c:pt idx="39">
                  <c:v>0.34966188738187803</c:v>
                </c:pt>
                <c:pt idx="40">
                  <c:v>0.35276695897987453</c:v>
                </c:pt>
                <c:pt idx="41">
                  <c:v>0.35587203057787103</c:v>
                </c:pt>
                <c:pt idx="42">
                  <c:v>0.35897710217586754</c:v>
                </c:pt>
                <c:pt idx="43">
                  <c:v>0.36208217377386404</c:v>
                </c:pt>
                <c:pt idx="44">
                  <c:v>0.36518724537186054</c:v>
                </c:pt>
                <c:pt idx="45">
                  <c:v>0.36829231696985704</c:v>
                </c:pt>
                <c:pt idx="46">
                  <c:v>0.37139738856785354</c:v>
                </c:pt>
                <c:pt idx="47">
                  <c:v>0.37450246016585004</c:v>
                </c:pt>
                <c:pt idx="48">
                  <c:v>0.37760753176384654</c:v>
                </c:pt>
                <c:pt idx="49">
                  <c:v>0.38071260336184304</c:v>
                </c:pt>
                <c:pt idx="50">
                  <c:v>0.38381767495983954</c:v>
                </c:pt>
                <c:pt idx="51">
                  <c:v>0.38692274655783604</c:v>
                </c:pt>
                <c:pt idx="52">
                  <c:v>0.39002781815583254</c:v>
                </c:pt>
                <c:pt idx="53">
                  <c:v>0.39313288975382904</c:v>
                </c:pt>
                <c:pt idx="54">
                  <c:v>0.39623796135182554</c:v>
                </c:pt>
                <c:pt idx="55">
                  <c:v>0.39934303294982204</c:v>
                </c:pt>
                <c:pt idx="56">
                  <c:v>0.40244810454781854</c:v>
                </c:pt>
                <c:pt idx="57">
                  <c:v>0.40555317614581504</c:v>
                </c:pt>
                <c:pt idx="58">
                  <c:v>0.40865824774381154</c:v>
                </c:pt>
                <c:pt idx="59">
                  <c:v>0.41176331934180804</c:v>
                </c:pt>
                <c:pt idx="60">
                  <c:v>0.41486839093980454</c:v>
                </c:pt>
                <c:pt idx="61">
                  <c:v>0.41797346253780104</c:v>
                </c:pt>
                <c:pt idx="62">
                  <c:v>0.42107853413579754</c:v>
                </c:pt>
                <c:pt idx="63">
                  <c:v>0.42418360573379404</c:v>
                </c:pt>
                <c:pt idx="64">
                  <c:v>0.42728867733179055</c:v>
                </c:pt>
                <c:pt idx="65">
                  <c:v>0.43039374892978705</c:v>
                </c:pt>
                <c:pt idx="66">
                  <c:v>0.43349882052778355</c:v>
                </c:pt>
                <c:pt idx="67">
                  <c:v>0.43660389212578005</c:v>
                </c:pt>
                <c:pt idx="68">
                  <c:v>0.43970896372377655</c:v>
                </c:pt>
                <c:pt idx="69">
                  <c:v>0.44281403532177305</c:v>
                </c:pt>
                <c:pt idx="70">
                  <c:v>0.44591910691976955</c:v>
                </c:pt>
                <c:pt idx="71">
                  <c:v>0.44902417851776605</c:v>
                </c:pt>
                <c:pt idx="72">
                  <c:v>0.45212925011576255</c:v>
                </c:pt>
                <c:pt idx="73">
                  <c:v>0.45523432171375905</c:v>
                </c:pt>
                <c:pt idx="74">
                  <c:v>0.45833939331175555</c:v>
                </c:pt>
                <c:pt idx="75">
                  <c:v>0.46144446490975205</c:v>
                </c:pt>
                <c:pt idx="76">
                  <c:v>0.46454953650774855</c:v>
                </c:pt>
                <c:pt idx="77">
                  <c:v>0.46765460810574505</c:v>
                </c:pt>
                <c:pt idx="78">
                  <c:v>0.47075967970374155</c:v>
                </c:pt>
                <c:pt idx="79">
                  <c:v>0.47386475130173805</c:v>
                </c:pt>
                <c:pt idx="80">
                  <c:v>0.47696982289973455</c:v>
                </c:pt>
                <c:pt idx="81">
                  <c:v>0.48007489449773105</c:v>
                </c:pt>
                <c:pt idx="82">
                  <c:v>0.48317996609572755</c:v>
                </c:pt>
                <c:pt idx="83">
                  <c:v>0.48628503769372405</c:v>
                </c:pt>
                <c:pt idx="84">
                  <c:v>0.48939010929172055</c:v>
                </c:pt>
                <c:pt idx="85">
                  <c:v>0.49249518088971705</c:v>
                </c:pt>
                <c:pt idx="86">
                  <c:v>0.49560025248771356</c:v>
                </c:pt>
                <c:pt idx="87">
                  <c:v>0.49870532408571006</c:v>
                </c:pt>
                <c:pt idx="88">
                  <c:v>0.50181039568370656</c:v>
                </c:pt>
                <c:pt idx="89">
                  <c:v>0.504915467281703</c:v>
                </c:pt>
                <c:pt idx="90">
                  <c:v>0.50802053887969945</c:v>
                </c:pt>
                <c:pt idx="91">
                  <c:v>0.51112561047769589</c:v>
                </c:pt>
                <c:pt idx="92">
                  <c:v>0.51423068207569234</c:v>
                </c:pt>
                <c:pt idx="93">
                  <c:v>0.51733575367368878</c:v>
                </c:pt>
                <c:pt idx="94">
                  <c:v>0.52044082527168523</c:v>
                </c:pt>
                <c:pt idx="95">
                  <c:v>0.52354589686968167</c:v>
                </c:pt>
                <c:pt idx="96">
                  <c:v>0.52665096846767812</c:v>
                </c:pt>
                <c:pt idx="97">
                  <c:v>0.52975604006567456</c:v>
                </c:pt>
                <c:pt idx="98">
                  <c:v>0.53286111166367101</c:v>
                </c:pt>
                <c:pt idx="99">
                  <c:v>0.53596618326166745</c:v>
                </c:pt>
                <c:pt idx="100">
                  <c:v>0.5390712548596639</c:v>
                </c:pt>
                <c:pt idx="101">
                  <c:v>0.54217632645766034</c:v>
                </c:pt>
                <c:pt idx="102">
                  <c:v>0.54528139805565679</c:v>
                </c:pt>
                <c:pt idx="103">
                  <c:v>0.54838646965365323</c:v>
                </c:pt>
                <c:pt idx="104">
                  <c:v>0.55149154125164968</c:v>
                </c:pt>
                <c:pt idx="105">
                  <c:v>0.55459661284964612</c:v>
                </c:pt>
                <c:pt idx="106">
                  <c:v>0.55770168444764256</c:v>
                </c:pt>
                <c:pt idx="107">
                  <c:v>0.56080675604563901</c:v>
                </c:pt>
                <c:pt idx="108">
                  <c:v>0.56391182764363545</c:v>
                </c:pt>
                <c:pt idx="109">
                  <c:v>0.5670168992416319</c:v>
                </c:pt>
                <c:pt idx="110">
                  <c:v>0.57012197083962834</c:v>
                </c:pt>
                <c:pt idx="111">
                  <c:v>0.57322704243762479</c:v>
                </c:pt>
                <c:pt idx="112">
                  <c:v>0.57633211403562123</c:v>
                </c:pt>
                <c:pt idx="113">
                  <c:v>0.57943718563361768</c:v>
                </c:pt>
                <c:pt idx="114">
                  <c:v>0.58254225723161412</c:v>
                </c:pt>
                <c:pt idx="115">
                  <c:v>0.58564732882961057</c:v>
                </c:pt>
                <c:pt idx="116">
                  <c:v>0.58875240042760701</c:v>
                </c:pt>
                <c:pt idx="117">
                  <c:v>0.59185747202560346</c:v>
                </c:pt>
                <c:pt idx="118">
                  <c:v>0.5949625436235999</c:v>
                </c:pt>
                <c:pt idx="119">
                  <c:v>0.59806761522159635</c:v>
                </c:pt>
                <c:pt idx="120">
                  <c:v>0.60117268681959279</c:v>
                </c:pt>
                <c:pt idx="121">
                  <c:v>0.60427775841758924</c:v>
                </c:pt>
                <c:pt idx="122">
                  <c:v>0.60738283001558568</c:v>
                </c:pt>
                <c:pt idx="123">
                  <c:v>0.61048790161358213</c:v>
                </c:pt>
                <c:pt idx="124">
                  <c:v>0.61359297321157857</c:v>
                </c:pt>
                <c:pt idx="125">
                  <c:v>0.61669804480957502</c:v>
                </c:pt>
                <c:pt idx="126">
                  <c:v>0.61980311640757146</c:v>
                </c:pt>
                <c:pt idx="127">
                  <c:v>0.62290818800556791</c:v>
                </c:pt>
                <c:pt idx="128">
                  <c:v>0.62601325960356435</c:v>
                </c:pt>
                <c:pt idx="129">
                  <c:v>0.6291183312015608</c:v>
                </c:pt>
                <c:pt idx="130">
                  <c:v>0.63222340279955724</c:v>
                </c:pt>
                <c:pt idx="131">
                  <c:v>0.63532847439755369</c:v>
                </c:pt>
                <c:pt idx="132">
                  <c:v>0.63843354599555013</c:v>
                </c:pt>
                <c:pt idx="133">
                  <c:v>0.64153861759354658</c:v>
                </c:pt>
                <c:pt idx="134">
                  <c:v>0.64464368919154302</c:v>
                </c:pt>
                <c:pt idx="135">
                  <c:v>0.64774876078953947</c:v>
                </c:pt>
                <c:pt idx="136">
                  <c:v>0.65085383238753591</c:v>
                </c:pt>
                <c:pt idx="137">
                  <c:v>0.65395890398553236</c:v>
                </c:pt>
                <c:pt idx="138">
                  <c:v>0.6570639755835288</c:v>
                </c:pt>
                <c:pt idx="139">
                  <c:v>0.66016904718152525</c:v>
                </c:pt>
                <c:pt idx="140">
                  <c:v>0.66327411877952169</c:v>
                </c:pt>
                <c:pt idx="141">
                  <c:v>0.66637919037751814</c:v>
                </c:pt>
                <c:pt idx="142">
                  <c:v>0.66948426197551458</c:v>
                </c:pt>
                <c:pt idx="143">
                  <c:v>0.67258933357351103</c:v>
                </c:pt>
                <c:pt idx="144">
                  <c:v>0.67569440517150747</c:v>
                </c:pt>
                <c:pt idx="145">
                  <c:v>0.67879947676950392</c:v>
                </c:pt>
                <c:pt idx="146">
                  <c:v>0.68190454836750036</c:v>
                </c:pt>
                <c:pt idx="147">
                  <c:v>0.68500961996549681</c:v>
                </c:pt>
                <c:pt idx="148">
                  <c:v>0.68811469156349325</c:v>
                </c:pt>
                <c:pt idx="149">
                  <c:v>0.6912197631614897</c:v>
                </c:pt>
                <c:pt idx="150">
                  <c:v>0.69432483475948614</c:v>
                </c:pt>
                <c:pt idx="151">
                  <c:v>0.69742990635748259</c:v>
                </c:pt>
                <c:pt idx="152">
                  <c:v>0.70053497795547903</c:v>
                </c:pt>
                <c:pt idx="153">
                  <c:v>0.70364004955347548</c:v>
                </c:pt>
                <c:pt idx="154">
                  <c:v>0.70674512115147192</c:v>
                </c:pt>
                <c:pt idx="155">
                  <c:v>0.70985019274946837</c:v>
                </c:pt>
                <c:pt idx="156">
                  <c:v>0.71295526434746481</c:v>
                </c:pt>
                <c:pt idx="157">
                  <c:v>0.71606033594546126</c:v>
                </c:pt>
                <c:pt idx="158">
                  <c:v>0.7191654075434577</c:v>
                </c:pt>
                <c:pt idx="159">
                  <c:v>0.72227047914145415</c:v>
                </c:pt>
                <c:pt idx="160">
                  <c:v>0.72537555073945059</c:v>
                </c:pt>
                <c:pt idx="161">
                  <c:v>0.72848062233744704</c:v>
                </c:pt>
                <c:pt idx="162">
                  <c:v>0.73158569393544348</c:v>
                </c:pt>
                <c:pt idx="163">
                  <c:v>0.73469076553343993</c:v>
                </c:pt>
                <c:pt idx="164">
                  <c:v>0.73779583713143637</c:v>
                </c:pt>
                <c:pt idx="165">
                  <c:v>0.74090090872943282</c:v>
                </c:pt>
                <c:pt idx="166">
                  <c:v>0.74400598032742926</c:v>
                </c:pt>
                <c:pt idx="167">
                  <c:v>0.74711105192542571</c:v>
                </c:pt>
                <c:pt idx="168">
                  <c:v>0.75021612352342215</c:v>
                </c:pt>
                <c:pt idx="169">
                  <c:v>0.7533211951214186</c:v>
                </c:pt>
                <c:pt idx="170">
                  <c:v>0.75642626671941504</c:v>
                </c:pt>
                <c:pt idx="171">
                  <c:v>0.75953133831741149</c:v>
                </c:pt>
                <c:pt idx="172">
                  <c:v>0.76263640991540793</c:v>
                </c:pt>
                <c:pt idx="173">
                  <c:v>0.76574148151340438</c:v>
                </c:pt>
                <c:pt idx="174">
                  <c:v>0.76884655311140082</c:v>
                </c:pt>
                <c:pt idx="175">
                  <c:v>0.77195162470939727</c:v>
                </c:pt>
                <c:pt idx="176">
                  <c:v>0.77505669630739371</c:v>
                </c:pt>
                <c:pt idx="177">
                  <c:v>0.77816176790539016</c:v>
                </c:pt>
                <c:pt idx="178">
                  <c:v>0.7812668395033866</c:v>
                </c:pt>
                <c:pt idx="179">
                  <c:v>0.78437191110138305</c:v>
                </c:pt>
                <c:pt idx="180">
                  <c:v>0.78747698269937949</c:v>
                </c:pt>
                <c:pt idx="181">
                  <c:v>0.79058205429737594</c:v>
                </c:pt>
                <c:pt idx="182">
                  <c:v>0.79368712589537238</c:v>
                </c:pt>
                <c:pt idx="183">
                  <c:v>0.79679219749336883</c:v>
                </c:pt>
                <c:pt idx="184">
                  <c:v>0.79989726909136527</c:v>
                </c:pt>
                <c:pt idx="185">
                  <c:v>0.80300234068936172</c:v>
                </c:pt>
                <c:pt idx="186">
                  <c:v>0.80610741228735816</c:v>
                </c:pt>
                <c:pt idx="187">
                  <c:v>0.80921248388535461</c:v>
                </c:pt>
                <c:pt idx="188">
                  <c:v>0.81231755548335105</c:v>
                </c:pt>
                <c:pt idx="189">
                  <c:v>0.8154226270813475</c:v>
                </c:pt>
                <c:pt idx="190">
                  <c:v>0.81852769867934394</c:v>
                </c:pt>
                <c:pt idx="191">
                  <c:v>0.82163277027734039</c:v>
                </c:pt>
                <c:pt idx="192">
                  <c:v>0.82473784187533683</c:v>
                </c:pt>
                <c:pt idx="193">
                  <c:v>0.82784291347333328</c:v>
                </c:pt>
                <c:pt idx="194">
                  <c:v>0.83094798507132972</c:v>
                </c:pt>
                <c:pt idx="195">
                  <c:v>0.83405305666932616</c:v>
                </c:pt>
                <c:pt idx="196">
                  <c:v>0.83715812826732261</c:v>
                </c:pt>
                <c:pt idx="197">
                  <c:v>0.84026319986531905</c:v>
                </c:pt>
                <c:pt idx="198">
                  <c:v>0.8433682714633155</c:v>
                </c:pt>
                <c:pt idx="199">
                  <c:v>0.84647334306131194</c:v>
                </c:pt>
                <c:pt idx="200">
                  <c:v>0.84957841465930839</c:v>
                </c:pt>
              </c:numCache>
            </c:numRef>
          </c:xVal>
          <c:yVal>
            <c:numRef>
              <c:f>'d subsets'!$DX$11:$DX$211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D61-458C-BEDF-3809F8AFF6B1}"/>
            </c:ext>
          </c:extLst>
        </c:ser>
        <c:ser>
          <c:idx val="34"/>
          <c:order val="1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subsets'!$DX$5:$DX$9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'd subsets'!$DY$5:$DY$9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D61-458C-BEDF-3809F8AFF6B1}"/>
            </c:ext>
          </c:extLst>
        </c:ser>
        <c:ser>
          <c:idx val="3"/>
          <c:order val="16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subsets'!$CQ$46:$CQ$75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subsets'!$CR$46:$CR$75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D61-458C-BEDF-3809F8AFF6B1}"/>
            </c:ext>
          </c:extLst>
        </c:ser>
        <c:ser>
          <c:idx val="4"/>
          <c:order val="17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subsets'!$CQ$83:$CQ$112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subsets'!$CR$83:$CR$112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D61-458C-BEDF-3809F8AFF6B1}"/>
            </c:ext>
          </c:extLst>
        </c:ser>
        <c:ser>
          <c:idx val="5"/>
          <c:order val="18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subsets'!$DK$46:$DK$75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0.64721199752902403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D61-458C-BEDF-3809F8AFF6B1}"/>
            </c:ext>
          </c:extLst>
        </c:ser>
        <c:ser>
          <c:idx val="6"/>
          <c:order val="19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subsets'!$DJ$46:$DJ$75</c:f>
              <c:numCache>
                <c:formatCode>General</c:formatCode>
                <c:ptCount val="30"/>
                <c:pt idx="0">
                  <c:v>#N/A</c:v>
                </c:pt>
                <c:pt idx="1">
                  <c:v>0.96267790573412426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D61-458C-BEDF-3809F8AFF6B1}"/>
            </c:ext>
          </c:extLst>
        </c:ser>
        <c:ser>
          <c:idx val="16"/>
          <c:order val="20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subsets'!$DI$46:$DI$75</c:f>
              <c:numCache>
                <c:formatCode>General</c:formatCode>
                <c:ptCount val="30"/>
                <c:pt idx="0">
                  <c:v>0.80578584465834813</c:v>
                </c:pt>
                <c:pt idx="1">
                  <c:v>#N/A</c:v>
                </c:pt>
                <c:pt idx="2">
                  <c:v>#N/A</c:v>
                </c:pt>
                <c:pt idx="3">
                  <c:v>0.75809653888870754</c:v>
                </c:pt>
                <c:pt idx="4">
                  <c:v>0.95043896616930468</c:v>
                </c:pt>
                <c:pt idx="5">
                  <c:v>0.83491063422431255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D61-458C-BEDF-3809F8AFF6B1}"/>
            </c:ext>
          </c:extLst>
        </c:ser>
        <c:ser>
          <c:idx val="17"/>
          <c:order val="21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subsets'!$DH$46:$DH$75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D61-458C-BEDF-3809F8AFF6B1}"/>
            </c:ext>
          </c:extLst>
        </c:ser>
        <c:ser>
          <c:idx val="18"/>
          <c:order val="22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subsets'!$DG$46:$DG$75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D61-458C-BEDF-3809F8AFF6B1}"/>
            </c:ext>
          </c:extLst>
        </c:ser>
        <c:ser>
          <c:idx val="19"/>
          <c:order val="23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subsets'!$DF$46:$DF$75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D61-458C-BEDF-3809F8AFF6B1}"/>
            </c:ext>
          </c:extLst>
        </c:ser>
        <c:ser>
          <c:idx val="20"/>
          <c:order val="24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subsets'!$DE$46:$DE$75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D61-458C-BEDF-3809F8AFF6B1}"/>
            </c:ext>
          </c:extLst>
        </c:ser>
        <c:ser>
          <c:idx val="21"/>
          <c:order val="25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subsets'!$DC$46:$DC$75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D61-458C-BEDF-3809F8AFF6B1}"/>
            </c:ext>
          </c:extLst>
        </c:ser>
        <c:ser>
          <c:idx val="22"/>
          <c:order val="26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0.79098404408774159</c:v>
                  </c:pt>
                  <c:pt idx="1">
                    <c:v>0.73051287893668648</c:v>
                  </c:pt>
                  <c:pt idx="2">
                    <c:v>0.63832369582013282</c:v>
                  </c:pt>
                  <c:pt idx="3">
                    <c:v>0.77244209851874812</c:v>
                  </c:pt>
                  <c:pt idx="4">
                    <c:v>0.80691934502626217</c:v>
                  </c:pt>
                  <c:pt idx="5">
                    <c:v>0.79403249275119714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0.75714067474894498</c:v>
                  </c:pt>
                  <c:pt idx="1">
                    <c:v>0.69752903673764433</c:v>
                  </c:pt>
                  <c:pt idx="2">
                    <c:v>0.62074466903864589</c:v>
                  </c:pt>
                  <c:pt idx="3">
                    <c:v>0.74196758936147489</c:v>
                  </c:pt>
                  <c:pt idx="4">
                    <c:v>0.76646971029829769</c:v>
                  </c:pt>
                  <c:pt idx="5">
                    <c:v>0.75887585140977531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subsets'!$DD$46:$DD$75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D61-458C-BEDF-3809F8AFF6B1}"/>
            </c:ext>
          </c:extLst>
        </c:ser>
        <c:ser>
          <c:idx val="23"/>
          <c:order val="27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subsets'!$DK$83:$DK$112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4.9691886171849511E-2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D61-458C-BEDF-3809F8AFF6B1}"/>
            </c:ext>
          </c:extLst>
        </c:ser>
        <c:ser>
          <c:idx val="24"/>
          <c:order val="28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subsets'!$DJ$83:$DJ$112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4.6675737610289383E-2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D61-458C-BEDF-3809F8AFF6B1}"/>
            </c:ext>
          </c:extLst>
        </c:ser>
        <c:ser>
          <c:idx val="25"/>
          <c:order val="29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subsets'!$DI$83:$DI$112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D61-458C-BEDF-3809F8AFF6B1}"/>
            </c:ext>
          </c:extLst>
        </c:ser>
        <c:ser>
          <c:idx val="26"/>
          <c:order val="30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subsets'!$DH$83:$DH$112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D61-458C-BEDF-3809F8AFF6B1}"/>
            </c:ext>
          </c:extLst>
        </c:ser>
        <c:ser>
          <c:idx val="27"/>
          <c:order val="3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subsets'!$DF$83:$DF$112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D61-458C-BEDF-3809F8AFF6B1}"/>
            </c:ext>
          </c:extLst>
        </c:ser>
        <c:ser>
          <c:idx val="28"/>
          <c:order val="32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subsets'!$DE$83:$DE$112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D61-458C-BEDF-3809F8AFF6B1}"/>
            </c:ext>
          </c:extLst>
        </c:ser>
        <c:ser>
          <c:idx val="29"/>
          <c:order val="33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subsets'!$DD$83:$DD$112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D61-458C-BEDF-3809F8AFF6B1}"/>
            </c:ext>
          </c:extLst>
        </c:ser>
        <c:ser>
          <c:idx val="30"/>
          <c:order val="34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subsets'!$DG$83:$DG$112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D61-458C-BEDF-3809F8AFF6B1}"/>
            </c:ext>
          </c:extLst>
        </c:ser>
        <c:ser>
          <c:idx val="31"/>
          <c:order val="35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0000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0.35301629087560638</c:v>
                  </c:pt>
                  <c:pt idx="7">
                    <c:v>0.37246784585950427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0.35260470722595816</c:v>
                  </c:pt>
                  <c:pt idx="7">
                    <c:v>0.37203460936773602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subsets'!$DC$83:$DC$112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D61-458C-BEDF-3809F8AFF6B1}"/>
            </c:ext>
          </c:extLst>
        </c:ser>
        <c:ser>
          <c:idx val="32"/>
          <c:order val="36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subsets'!$DY$11:$DY$211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1.999999999999922E-3</c:v>
                  </c:pt>
                  <c:pt idx="4">
                    <c:v>5.9999999999999689E-3</c:v>
                  </c:pt>
                  <c:pt idx="5">
                    <c:v>9.9999999999999759E-3</c:v>
                  </c:pt>
                  <c:pt idx="6">
                    <c:v>1.3999999999999934E-2</c:v>
                  </c:pt>
                  <c:pt idx="7">
                    <c:v>1.7999999999999981E-2</c:v>
                  </c:pt>
                  <c:pt idx="8">
                    <c:v>2.1999999999999985E-2</c:v>
                  </c:pt>
                  <c:pt idx="9">
                    <c:v>2.600000000000003E-2</c:v>
                  </c:pt>
                  <c:pt idx="10">
                    <c:v>3.0000000000000034E-2</c:v>
                  </c:pt>
                  <c:pt idx="11">
                    <c:v>3.4000000000000037E-2</c:v>
                  </c:pt>
                  <c:pt idx="12">
                    <c:v>3.8000000000000089E-2</c:v>
                  </c:pt>
                  <c:pt idx="13">
                    <c:v>4.2000000000000093E-2</c:v>
                  </c:pt>
                  <c:pt idx="14">
                    <c:v>4.6000000000000138E-2</c:v>
                  </c:pt>
                  <c:pt idx="15">
                    <c:v>5.0000000000000142E-2</c:v>
                  </c:pt>
                  <c:pt idx="16">
                    <c:v>5.4000000000000194E-2</c:v>
                  </c:pt>
                  <c:pt idx="17">
                    <c:v>5.8000000000000197E-2</c:v>
                  </c:pt>
                  <c:pt idx="18">
                    <c:v>6.2000000000000242E-2</c:v>
                  </c:pt>
                  <c:pt idx="19">
                    <c:v>6.6000000000000253E-2</c:v>
                  </c:pt>
                  <c:pt idx="20">
                    <c:v>7.0000000000000298E-2</c:v>
                  </c:pt>
                  <c:pt idx="21">
                    <c:v>7.4000000000000302E-2</c:v>
                  </c:pt>
                  <c:pt idx="22">
                    <c:v>7.8000000000000361E-2</c:v>
                  </c:pt>
                  <c:pt idx="23">
                    <c:v>8.2000000000000364E-2</c:v>
                  </c:pt>
                  <c:pt idx="24">
                    <c:v>8.6000000000000409E-2</c:v>
                  </c:pt>
                  <c:pt idx="25">
                    <c:v>9.0000000000000413E-2</c:v>
                  </c:pt>
                  <c:pt idx="26">
                    <c:v>9.4000000000000458E-2</c:v>
                  </c:pt>
                  <c:pt idx="27">
                    <c:v>9.8000000000000462E-2</c:v>
                  </c:pt>
                  <c:pt idx="28">
                    <c:v>0.10200000000000051</c:v>
                  </c:pt>
                  <c:pt idx="29">
                    <c:v>0.10600000000000051</c:v>
                  </c:pt>
                  <c:pt idx="30">
                    <c:v>0.11000000000000056</c:v>
                  </c:pt>
                  <c:pt idx="31">
                    <c:v>0.11400000000000056</c:v>
                  </c:pt>
                  <c:pt idx="32">
                    <c:v>0.11800000000000062</c:v>
                  </c:pt>
                  <c:pt idx="33">
                    <c:v>0.12200000000000062</c:v>
                  </c:pt>
                  <c:pt idx="34">
                    <c:v>0.12600000000000064</c:v>
                  </c:pt>
                  <c:pt idx="35">
                    <c:v>0.13000000000000064</c:v>
                  </c:pt>
                  <c:pt idx="36">
                    <c:v>0.1340000000000007</c:v>
                  </c:pt>
                  <c:pt idx="37">
                    <c:v>0.13800000000000071</c:v>
                  </c:pt>
                  <c:pt idx="38">
                    <c:v>0.14200000000000076</c:v>
                  </c:pt>
                  <c:pt idx="39">
                    <c:v>0.14600000000000077</c:v>
                  </c:pt>
                  <c:pt idx="40">
                    <c:v>0.1500000000000008</c:v>
                  </c:pt>
                  <c:pt idx="41">
                    <c:v>0.1540000000000008</c:v>
                  </c:pt>
                  <c:pt idx="42">
                    <c:v>0.15800000000000081</c:v>
                  </c:pt>
                  <c:pt idx="43">
                    <c:v>0.16200000000000087</c:v>
                  </c:pt>
                  <c:pt idx="44">
                    <c:v>0.16600000000000087</c:v>
                  </c:pt>
                  <c:pt idx="45">
                    <c:v>0.17000000000000093</c:v>
                  </c:pt>
                  <c:pt idx="46">
                    <c:v>0.17400000000000093</c:v>
                  </c:pt>
                  <c:pt idx="47">
                    <c:v>0.17800000000000096</c:v>
                  </c:pt>
                  <c:pt idx="48">
                    <c:v>0.18200000000000097</c:v>
                  </c:pt>
                  <c:pt idx="49">
                    <c:v>0.18600000000000103</c:v>
                  </c:pt>
                  <c:pt idx="50">
                    <c:v>0.19000000000000106</c:v>
                  </c:pt>
                  <c:pt idx="51">
                    <c:v>0.19400000000000106</c:v>
                  </c:pt>
                  <c:pt idx="52">
                    <c:v>0.19800000000000106</c:v>
                  </c:pt>
                  <c:pt idx="53">
                    <c:v>0.20200000000000112</c:v>
                  </c:pt>
                  <c:pt idx="54">
                    <c:v>0.20600000000000118</c:v>
                  </c:pt>
                  <c:pt idx="55">
                    <c:v>0.21000000000000119</c:v>
                  </c:pt>
                  <c:pt idx="56">
                    <c:v>0.21400000000000119</c:v>
                  </c:pt>
                  <c:pt idx="57">
                    <c:v>0.21800000000000119</c:v>
                  </c:pt>
                  <c:pt idx="58">
                    <c:v>0.22200000000000122</c:v>
                  </c:pt>
                  <c:pt idx="59">
                    <c:v>0.22600000000000128</c:v>
                  </c:pt>
                  <c:pt idx="60">
                    <c:v>0.23000000000000129</c:v>
                  </c:pt>
                  <c:pt idx="61">
                    <c:v>0.23400000000000129</c:v>
                  </c:pt>
                  <c:pt idx="62">
                    <c:v>0.23800000000000132</c:v>
                  </c:pt>
                  <c:pt idx="63">
                    <c:v>0.24200000000000138</c:v>
                  </c:pt>
                  <c:pt idx="64">
                    <c:v>0.24600000000000138</c:v>
                  </c:pt>
                  <c:pt idx="65">
                    <c:v>0.25000000000000139</c:v>
                  </c:pt>
                  <c:pt idx="66">
                    <c:v>0.25400000000000145</c:v>
                  </c:pt>
                  <c:pt idx="67">
                    <c:v>0.25800000000000151</c:v>
                  </c:pt>
                  <c:pt idx="68">
                    <c:v>0.26200000000000151</c:v>
                  </c:pt>
                  <c:pt idx="69">
                    <c:v>0.26600000000000151</c:v>
                  </c:pt>
                  <c:pt idx="70">
                    <c:v>0.27000000000000152</c:v>
                  </c:pt>
                  <c:pt idx="71">
                    <c:v>0.27400000000000158</c:v>
                  </c:pt>
                  <c:pt idx="72">
                    <c:v>0.27800000000000158</c:v>
                  </c:pt>
                  <c:pt idx="73">
                    <c:v>0.28200000000000158</c:v>
                  </c:pt>
                  <c:pt idx="74">
                    <c:v>0.28600000000000164</c:v>
                  </c:pt>
                  <c:pt idx="75">
                    <c:v>0.2900000000000017</c:v>
                  </c:pt>
                  <c:pt idx="76">
                    <c:v>0.2940000000000017</c:v>
                  </c:pt>
                  <c:pt idx="77">
                    <c:v>0.29800000000000171</c:v>
                  </c:pt>
                  <c:pt idx="78">
                    <c:v>0.30200000000000177</c:v>
                  </c:pt>
                  <c:pt idx="79">
                    <c:v>0.30600000000000177</c:v>
                  </c:pt>
                  <c:pt idx="80">
                    <c:v>0.31000000000000183</c:v>
                  </c:pt>
                  <c:pt idx="81">
                    <c:v>0.31400000000000183</c:v>
                  </c:pt>
                  <c:pt idx="82">
                    <c:v>0.31800000000000184</c:v>
                  </c:pt>
                  <c:pt idx="83">
                    <c:v>0.32200000000000184</c:v>
                  </c:pt>
                  <c:pt idx="84">
                    <c:v>0.3260000000000019</c:v>
                  </c:pt>
                  <c:pt idx="85">
                    <c:v>0.3300000000000019</c:v>
                  </c:pt>
                  <c:pt idx="86">
                    <c:v>0.33400000000000196</c:v>
                  </c:pt>
                  <c:pt idx="87">
                    <c:v>0.33800000000000197</c:v>
                  </c:pt>
                  <c:pt idx="88">
                    <c:v>0.34200000000000202</c:v>
                  </c:pt>
                  <c:pt idx="89">
                    <c:v>0.34600000000000197</c:v>
                  </c:pt>
                  <c:pt idx="90">
                    <c:v>0.35000000000000192</c:v>
                  </c:pt>
                  <c:pt idx="91">
                    <c:v>0.35400000000000187</c:v>
                  </c:pt>
                  <c:pt idx="92">
                    <c:v>0.35800000000000182</c:v>
                  </c:pt>
                  <c:pt idx="93">
                    <c:v>0.36200000000000176</c:v>
                  </c:pt>
                  <c:pt idx="94">
                    <c:v>0.36600000000000171</c:v>
                  </c:pt>
                  <c:pt idx="95">
                    <c:v>0.37000000000000166</c:v>
                  </c:pt>
                  <c:pt idx="96">
                    <c:v>0.37400000000000166</c:v>
                  </c:pt>
                  <c:pt idx="97">
                    <c:v>0.37800000000000161</c:v>
                  </c:pt>
                  <c:pt idx="98">
                    <c:v>0.38200000000000151</c:v>
                  </c:pt>
                  <c:pt idx="99">
                    <c:v>0.38600000000000145</c:v>
                  </c:pt>
                  <c:pt idx="100">
                    <c:v>0.38999999999999857</c:v>
                  </c:pt>
                  <c:pt idx="101">
                    <c:v>0.38599999999999862</c:v>
                  </c:pt>
                  <c:pt idx="102">
                    <c:v>0.38199999999999867</c:v>
                  </c:pt>
                  <c:pt idx="103">
                    <c:v>0.37799999999999873</c:v>
                  </c:pt>
                  <c:pt idx="104">
                    <c:v>0.37399999999999878</c:v>
                  </c:pt>
                  <c:pt idx="105">
                    <c:v>0.36999999999999877</c:v>
                  </c:pt>
                  <c:pt idx="106">
                    <c:v>0.36599999999999888</c:v>
                  </c:pt>
                  <c:pt idx="107">
                    <c:v>0.36199999999999893</c:v>
                  </c:pt>
                  <c:pt idx="108">
                    <c:v>0.35799999999999899</c:v>
                  </c:pt>
                  <c:pt idx="109">
                    <c:v>0.35399999999999898</c:v>
                  </c:pt>
                  <c:pt idx="110">
                    <c:v>0.34999999999999903</c:v>
                  </c:pt>
                  <c:pt idx="111">
                    <c:v>0.34599999999999909</c:v>
                  </c:pt>
                  <c:pt idx="112">
                    <c:v>0.34199999999999914</c:v>
                  </c:pt>
                  <c:pt idx="113">
                    <c:v>0.33799999999999919</c:v>
                  </c:pt>
                  <c:pt idx="114">
                    <c:v>0.33399999999999924</c:v>
                  </c:pt>
                  <c:pt idx="115">
                    <c:v>0.32999999999999929</c:v>
                  </c:pt>
                  <c:pt idx="116">
                    <c:v>0.32599999999999935</c:v>
                  </c:pt>
                  <c:pt idx="117">
                    <c:v>0.3219999999999994</c:v>
                  </c:pt>
                  <c:pt idx="118">
                    <c:v>0.31799999999999939</c:v>
                  </c:pt>
                  <c:pt idx="119">
                    <c:v>0.31399999999999945</c:v>
                  </c:pt>
                  <c:pt idx="120">
                    <c:v>0.3099999999999995</c:v>
                  </c:pt>
                  <c:pt idx="121">
                    <c:v>0.30599999999999961</c:v>
                  </c:pt>
                  <c:pt idx="122">
                    <c:v>0.3019999999999996</c:v>
                  </c:pt>
                  <c:pt idx="123">
                    <c:v>0.29799999999999965</c:v>
                  </c:pt>
                  <c:pt idx="124">
                    <c:v>0.29399999999999971</c:v>
                  </c:pt>
                  <c:pt idx="125">
                    <c:v>0.28999999999999976</c:v>
                  </c:pt>
                  <c:pt idx="126">
                    <c:v>0.28599999999999975</c:v>
                  </c:pt>
                  <c:pt idx="127">
                    <c:v>0.28199999999999981</c:v>
                  </c:pt>
                  <c:pt idx="128">
                    <c:v>0.27799999999999991</c:v>
                  </c:pt>
                  <c:pt idx="129">
                    <c:v>0.27399999999999991</c:v>
                  </c:pt>
                  <c:pt idx="130">
                    <c:v>0.26999999999999996</c:v>
                  </c:pt>
                  <c:pt idx="131">
                    <c:v>0.26599999999999996</c:v>
                  </c:pt>
                  <c:pt idx="132">
                    <c:v>0.26200000000000007</c:v>
                  </c:pt>
                  <c:pt idx="133">
                    <c:v>0.25800000000000012</c:v>
                  </c:pt>
                  <c:pt idx="134">
                    <c:v>0.25400000000000017</c:v>
                  </c:pt>
                  <c:pt idx="135">
                    <c:v>0.25000000000000017</c:v>
                  </c:pt>
                  <c:pt idx="136">
                    <c:v>0.24600000000000022</c:v>
                  </c:pt>
                  <c:pt idx="137">
                    <c:v>0.24200000000000033</c:v>
                  </c:pt>
                  <c:pt idx="138">
                    <c:v>0.23800000000000032</c:v>
                  </c:pt>
                  <c:pt idx="139">
                    <c:v>0.2340000000000004</c:v>
                  </c:pt>
                  <c:pt idx="140">
                    <c:v>0.23000000000000043</c:v>
                  </c:pt>
                  <c:pt idx="141">
                    <c:v>0.22600000000000048</c:v>
                  </c:pt>
                  <c:pt idx="142">
                    <c:v>0.22200000000000053</c:v>
                  </c:pt>
                  <c:pt idx="143">
                    <c:v>0.21800000000000055</c:v>
                  </c:pt>
                  <c:pt idx="144">
                    <c:v>0.21400000000000063</c:v>
                  </c:pt>
                  <c:pt idx="145">
                    <c:v>0.21000000000000063</c:v>
                  </c:pt>
                  <c:pt idx="146">
                    <c:v>0.20600000000000074</c:v>
                  </c:pt>
                  <c:pt idx="147">
                    <c:v>0.20200000000000073</c:v>
                  </c:pt>
                  <c:pt idx="148">
                    <c:v>0.19800000000000081</c:v>
                  </c:pt>
                  <c:pt idx="149">
                    <c:v>0.19400000000000084</c:v>
                  </c:pt>
                  <c:pt idx="150">
                    <c:v>0.19000000000000089</c:v>
                  </c:pt>
                  <c:pt idx="151">
                    <c:v>0.18600000000000094</c:v>
                  </c:pt>
                  <c:pt idx="152">
                    <c:v>0.18200000000000097</c:v>
                  </c:pt>
                  <c:pt idx="153">
                    <c:v>0.17800000000000105</c:v>
                  </c:pt>
                  <c:pt idx="154">
                    <c:v>0.1740000000000011</c:v>
                  </c:pt>
                  <c:pt idx="155">
                    <c:v>0.17000000000000115</c:v>
                  </c:pt>
                  <c:pt idx="156">
                    <c:v>0.16600000000000117</c:v>
                  </c:pt>
                  <c:pt idx="157">
                    <c:v>0.16200000000000123</c:v>
                  </c:pt>
                  <c:pt idx="158">
                    <c:v>0.15800000000000125</c:v>
                  </c:pt>
                  <c:pt idx="159">
                    <c:v>0.1540000000000013</c:v>
                  </c:pt>
                  <c:pt idx="160">
                    <c:v>0.15000000000000135</c:v>
                  </c:pt>
                  <c:pt idx="161">
                    <c:v>0.14600000000000143</c:v>
                  </c:pt>
                  <c:pt idx="162">
                    <c:v>0.14200000000000146</c:v>
                  </c:pt>
                  <c:pt idx="163">
                    <c:v>0.13800000000000151</c:v>
                  </c:pt>
                  <c:pt idx="164">
                    <c:v>0.13400000000000153</c:v>
                  </c:pt>
                  <c:pt idx="165">
                    <c:v>0.13000000000000159</c:v>
                  </c:pt>
                  <c:pt idx="166">
                    <c:v>0.12600000000000164</c:v>
                  </c:pt>
                  <c:pt idx="167">
                    <c:v>0.12200000000000168</c:v>
                  </c:pt>
                  <c:pt idx="168">
                    <c:v>0.11800000000000173</c:v>
                  </c:pt>
                  <c:pt idx="169">
                    <c:v>0.11400000000000181</c:v>
                  </c:pt>
                  <c:pt idx="170">
                    <c:v>0.11000000000000185</c:v>
                  </c:pt>
                  <c:pt idx="171">
                    <c:v>0.10600000000000188</c:v>
                  </c:pt>
                  <c:pt idx="172">
                    <c:v>0.10200000000000194</c:v>
                  </c:pt>
                  <c:pt idx="173">
                    <c:v>9.8000000000001974E-2</c:v>
                  </c:pt>
                  <c:pt idx="174">
                    <c:v>9.4000000000002013E-2</c:v>
                  </c:pt>
                  <c:pt idx="175">
                    <c:v>9.0000000000002051E-2</c:v>
                  </c:pt>
                  <c:pt idx="176">
                    <c:v>8.6000000000002089E-2</c:v>
                  </c:pt>
                  <c:pt idx="177">
                    <c:v>8.2000000000002182E-2</c:v>
                  </c:pt>
                  <c:pt idx="178">
                    <c:v>7.800000000000222E-2</c:v>
                  </c:pt>
                  <c:pt idx="179">
                    <c:v>7.4000000000002258E-2</c:v>
                  </c:pt>
                  <c:pt idx="180">
                    <c:v>7.0000000000002296E-2</c:v>
                  </c:pt>
                  <c:pt idx="181">
                    <c:v>6.6000000000002348E-2</c:v>
                  </c:pt>
                  <c:pt idx="182">
                    <c:v>6.200000000000238E-2</c:v>
                  </c:pt>
                  <c:pt idx="183">
                    <c:v>5.8000000000002418E-2</c:v>
                  </c:pt>
                  <c:pt idx="184">
                    <c:v>5.4000000000002456E-2</c:v>
                  </c:pt>
                  <c:pt idx="185">
                    <c:v>5.0000000000002542E-2</c:v>
                  </c:pt>
                  <c:pt idx="186">
                    <c:v>4.600000000000258E-2</c:v>
                  </c:pt>
                  <c:pt idx="187">
                    <c:v>4.2000000000002626E-2</c:v>
                  </c:pt>
                  <c:pt idx="188">
                    <c:v>3.8000000000002664E-2</c:v>
                  </c:pt>
                  <c:pt idx="189">
                    <c:v>3.4000000000002702E-2</c:v>
                  </c:pt>
                  <c:pt idx="190">
                    <c:v>3.0000000000002747E-2</c:v>
                  </c:pt>
                  <c:pt idx="191">
                    <c:v>2.6000000000002785E-2</c:v>
                  </c:pt>
                  <c:pt idx="192">
                    <c:v>2.2000000000002823E-2</c:v>
                  </c:pt>
                  <c:pt idx="193">
                    <c:v>1.800000000000291E-2</c:v>
                  </c:pt>
                  <c:pt idx="194">
                    <c:v>1.4000000000002953E-2</c:v>
                  </c:pt>
                  <c:pt idx="195">
                    <c:v>1.0000000000002994E-2</c:v>
                  </c:pt>
                  <c:pt idx="196">
                    <c:v>6.0000000000030359E-3</c:v>
                  </c:pt>
                  <c:pt idx="197">
                    <c:v>2.0000000000030757E-3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'd subsets'!$DY$11:$DY$211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1.999999999999922E-3</c:v>
                  </c:pt>
                  <c:pt idx="4">
                    <c:v>5.9999999999999689E-3</c:v>
                  </c:pt>
                  <c:pt idx="5">
                    <c:v>9.9999999999999759E-3</c:v>
                  </c:pt>
                  <c:pt idx="6">
                    <c:v>1.3999999999999934E-2</c:v>
                  </c:pt>
                  <c:pt idx="7">
                    <c:v>1.7999999999999981E-2</c:v>
                  </c:pt>
                  <c:pt idx="8">
                    <c:v>2.1999999999999985E-2</c:v>
                  </c:pt>
                  <c:pt idx="9">
                    <c:v>2.600000000000003E-2</c:v>
                  </c:pt>
                  <c:pt idx="10">
                    <c:v>3.0000000000000034E-2</c:v>
                  </c:pt>
                  <c:pt idx="11">
                    <c:v>3.4000000000000037E-2</c:v>
                  </c:pt>
                  <c:pt idx="12">
                    <c:v>3.8000000000000089E-2</c:v>
                  </c:pt>
                  <c:pt idx="13">
                    <c:v>4.2000000000000093E-2</c:v>
                  </c:pt>
                  <c:pt idx="14">
                    <c:v>4.6000000000000138E-2</c:v>
                  </c:pt>
                  <c:pt idx="15">
                    <c:v>5.0000000000000142E-2</c:v>
                  </c:pt>
                  <c:pt idx="16">
                    <c:v>5.4000000000000194E-2</c:v>
                  </c:pt>
                  <c:pt idx="17">
                    <c:v>5.8000000000000197E-2</c:v>
                  </c:pt>
                  <c:pt idx="18">
                    <c:v>6.2000000000000242E-2</c:v>
                  </c:pt>
                  <c:pt idx="19">
                    <c:v>6.6000000000000253E-2</c:v>
                  </c:pt>
                  <c:pt idx="20">
                    <c:v>7.0000000000000298E-2</c:v>
                  </c:pt>
                  <c:pt idx="21">
                    <c:v>7.4000000000000302E-2</c:v>
                  </c:pt>
                  <c:pt idx="22">
                    <c:v>7.8000000000000361E-2</c:v>
                  </c:pt>
                  <c:pt idx="23">
                    <c:v>8.2000000000000364E-2</c:v>
                  </c:pt>
                  <c:pt idx="24">
                    <c:v>8.6000000000000409E-2</c:v>
                  </c:pt>
                  <c:pt idx="25">
                    <c:v>9.0000000000000413E-2</c:v>
                  </c:pt>
                  <c:pt idx="26">
                    <c:v>9.4000000000000458E-2</c:v>
                  </c:pt>
                  <c:pt idx="27">
                    <c:v>9.8000000000000462E-2</c:v>
                  </c:pt>
                  <c:pt idx="28">
                    <c:v>0.10200000000000051</c:v>
                  </c:pt>
                  <c:pt idx="29">
                    <c:v>0.10600000000000051</c:v>
                  </c:pt>
                  <c:pt idx="30">
                    <c:v>0.11000000000000056</c:v>
                  </c:pt>
                  <c:pt idx="31">
                    <c:v>0.11400000000000056</c:v>
                  </c:pt>
                  <c:pt idx="32">
                    <c:v>0.11800000000000062</c:v>
                  </c:pt>
                  <c:pt idx="33">
                    <c:v>0.12200000000000062</c:v>
                  </c:pt>
                  <c:pt idx="34">
                    <c:v>0.12600000000000064</c:v>
                  </c:pt>
                  <c:pt idx="35">
                    <c:v>0.13000000000000064</c:v>
                  </c:pt>
                  <c:pt idx="36">
                    <c:v>0.1340000000000007</c:v>
                  </c:pt>
                  <c:pt idx="37">
                    <c:v>0.13800000000000071</c:v>
                  </c:pt>
                  <c:pt idx="38">
                    <c:v>0.14200000000000076</c:v>
                  </c:pt>
                  <c:pt idx="39">
                    <c:v>0.14600000000000077</c:v>
                  </c:pt>
                  <c:pt idx="40">
                    <c:v>0.1500000000000008</c:v>
                  </c:pt>
                  <c:pt idx="41">
                    <c:v>0.1540000000000008</c:v>
                  </c:pt>
                  <c:pt idx="42">
                    <c:v>0.15800000000000081</c:v>
                  </c:pt>
                  <c:pt idx="43">
                    <c:v>0.16200000000000087</c:v>
                  </c:pt>
                  <c:pt idx="44">
                    <c:v>0.16600000000000087</c:v>
                  </c:pt>
                  <c:pt idx="45">
                    <c:v>0.17000000000000093</c:v>
                  </c:pt>
                  <c:pt idx="46">
                    <c:v>0.17400000000000093</c:v>
                  </c:pt>
                  <c:pt idx="47">
                    <c:v>0.17800000000000096</c:v>
                  </c:pt>
                  <c:pt idx="48">
                    <c:v>0.18200000000000097</c:v>
                  </c:pt>
                  <c:pt idx="49">
                    <c:v>0.18600000000000103</c:v>
                  </c:pt>
                  <c:pt idx="50">
                    <c:v>0.19000000000000106</c:v>
                  </c:pt>
                  <c:pt idx="51">
                    <c:v>0.19400000000000106</c:v>
                  </c:pt>
                  <c:pt idx="52">
                    <c:v>0.19800000000000106</c:v>
                  </c:pt>
                  <c:pt idx="53">
                    <c:v>0.20200000000000112</c:v>
                  </c:pt>
                  <c:pt idx="54">
                    <c:v>0.20600000000000118</c:v>
                  </c:pt>
                  <c:pt idx="55">
                    <c:v>0.21000000000000119</c:v>
                  </c:pt>
                  <c:pt idx="56">
                    <c:v>0.21400000000000119</c:v>
                  </c:pt>
                  <c:pt idx="57">
                    <c:v>0.21800000000000119</c:v>
                  </c:pt>
                  <c:pt idx="58">
                    <c:v>0.22200000000000122</c:v>
                  </c:pt>
                  <c:pt idx="59">
                    <c:v>0.22600000000000128</c:v>
                  </c:pt>
                  <c:pt idx="60">
                    <c:v>0.23000000000000129</c:v>
                  </c:pt>
                  <c:pt idx="61">
                    <c:v>0.23400000000000129</c:v>
                  </c:pt>
                  <c:pt idx="62">
                    <c:v>0.23800000000000132</c:v>
                  </c:pt>
                  <c:pt idx="63">
                    <c:v>0.24200000000000138</c:v>
                  </c:pt>
                  <c:pt idx="64">
                    <c:v>0.24600000000000138</c:v>
                  </c:pt>
                  <c:pt idx="65">
                    <c:v>0.25000000000000139</c:v>
                  </c:pt>
                  <c:pt idx="66">
                    <c:v>0.25400000000000145</c:v>
                  </c:pt>
                  <c:pt idx="67">
                    <c:v>0.25800000000000151</c:v>
                  </c:pt>
                  <c:pt idx="68">
                    <c:v>0.26200000000000151</c:v>
                  </c:pt>
                  <c:pt idx="69">
                    <c:v>0.26600000000000151</c:v>
                  </c:pt>
                  <c:pt idx="70">
                    <c:v>0.27000000000000152</c:v>
                  </c:pt>
                  <c:pt idx="71">
                    <c:v>0.27400000000000158</c:v>
                  </c:pt>
                  <c:pt idx="72">
                    <c:v>0.27800000000000158</c:v>
                  </c:pt>
                  <c:pt idx="73">
                    <c:v>0.28200000000000158</c:v>
                  </c:pt>
                  <c:pt idx="74">
                    <c:v>0.28600000000000164</c:v>
                  </c:pt>
                  <c:pt idx="75">
                    <c:v>0.2900000000000017</c:v>
                  </c:pt>
                  <c:pt idx="76">
                    <c:v>0.2940000000000017</c:v>
                  </c:pt>
                  <c:pt idx="77">
                    <c:v>0.29800000000000171</c:v>
                  </c:pt>
                  <c:pt idx="78">
                    <c:v>0.30200000000000177</c:v>
                  </c:pt>
                  <c:pt idx="79">
                    <c:v>0.30600000000000177</c:v>
                  </c:pt>
                  <c:pt idx="80">
                    <c:v>0.31000000000000183</c:v>
                  </c:pt>
                  <c:pt idx="81">
                    <c:v>0.31400000000000183</c:v>
                  </c:pt>
                  <c:pt idx="82">
                    <c:v>0.31800000000000184</c:v>
                  </c:pt>
                  <c:pt idx="83">
                    <c:v>0.32200000000000184</c:v>
                  </c:pt>
                  <c:pt idx="84">
                    <c:v>0.3260000000000019</c:v>
                  </c:pt>
                  <c:pt idx="85">
                    <c:v>0.3300000000000019</c:v>
                  </c:pt>
                  <c:pt idx="86">
                    <c:v>0.33400000000000196</c:v>
                  </c:pt>
                  <c:pt idx="87">
                    <c:v>0.33800000000000197</c:v>
                  </c:pt>
                  <c:pt idx="88">
                    <c:v>0.34200000000000202</c:v>
                  </c:pt>
                  <c:pt idx="89">
                    <c:v>0.34600000000000197</c:v>
                  </c:pt>
                  <c:pt idx="90">
                    <c:v>0.35000000000000192</c:v>
                  </c:pt>
                  <c:pt idx="91">
                    <c:v>0.35400000000000187</c:v>
                  </c:pt>
                  <c:pt idx="92">
                    <c:v>0.35800000000000182</c:v>
                  </c:pt>
                  <c:pt idx="93">
                    <c:v>0.36200000000000176</c:v>
                  </c:pt>
                  <c:pt idx="94">
                    <c:v>0.36600000000000171</c:v>
                  </c:pt>
                  <c:pt idx="95">
                    <c:v>0.37000000000000166</c:v>
                  </c:pt>
                  <c:pt idx="96">
                    <c:v>0.37400000000000166</c:v>
                  </c:pt>
                  <c:pt idx="97">
                    <c:v>0.37800000000000161</c:v>
                  </c:pt>
                  <c:pt idx="98">
                    <c:v>0.38200000000000151</c:v>
                  </c:pt>
                  <c:pt idx="99">
                    <c:v>0.38600000000000145</c:v>
                  </c:pt>
                  <c:pt idx="100">
                    <c:v>0.38999999999999857</c:v>
                  </c:pt>
                  <c:pt idx="101">
                    <c:v>0.38599999999999862</c:v>
                  </c:pt>
                  <c:pt idx="102">
                    <c:v>0.38199999999999867</c:v>
                  </c:pt>
                  <c:pt idx="103">
                    <c:v>0.37799999999999873</c:v>
                  </c:pt>
                  <c:pt idx="104">
                    <c:v>0.37399999999999878</c:v>
                  </c:pt>
                  <c:pt idx="105">
                    <c:v>0.36999999999999877</c:v>
                  </c:pt>
                  <c:pt idx="106">
                    <c:v>0.36599999999999888</c:v>
                  </c:pt>
                  <c:pt idx="107">
                    <c:v>0.36199999999999893</c:v>
                  </c:pt>
                  <c:pt idx="108">
                    <c:v>0.35799999999999899</c:v>
                  </c:pt>
                  <c:pt idx="109">
                    <c:v>0.35399999999999898</c:v>
                  </c:pt>
                  <c:pt idx="110">
                    <c:v>0.34999999999999903</c:v>
                  </c:pt>
                  <c:pt idx="111">
                    <c:v>0.34599999999999909</c:v>
                  </c:pt>
                  <c:pt idx="112">
                    <c:v>0.34199999999999914</c:v>
                  </c:pt>
                  <c:pt idx="113">
                    <c:v>0.33799999999999919</c:v>
                  </c:pt>
                  <c:pt idx="114">
                    <c:v>0.33399999999999924</c:v>
                  </c:pt>
                  <c:pt idx="115">
                    <c:v>0.32999999999999929</c:v>
                  </c:pt>
                  <c:pt idx="116">
                    <c:v>0.32599999999999935</c:v>
                  </c:pt>
                  <c:pt idx="117">
                    <c:v>0.3219999999999994</c:v>
                  </c:pt>
                  <c:pt idx="118">
                    <c:v>0.31799999999999939</c:v>
                  </c:pt>
                  <c:pt idx="119">
                    <c:v>0.31399999999999945</c:v>
                  </c:pt>
                  <c:pt idx="120">
                    <c:v>0.3099999999999995</c:v>
                  </c:pt>
                  <c:pt idx="121">
                    <c:v>0.30599999999999961</c:v>
                  </c:pt>
                  <c:pt idx="122">
                    <c:v>0.3019999999999996</c:v>
                  </c:pt>
                  <c:pt idx="123">
                    <c:v>0.29799999999999965</c:v>
                  </c:pt>
                  <c:pt idx="124">
                    <c:v>0.29399999999999971</c:v>
                  </c:pt>
                  <c:pt idx="125">
                    <c:v>0.28999999999999976</c:v>
                  </c:pt>
                  <c:pt idx="126">
                    <c:v>0.28599999999999975</c:v>
                  </c:pt>
                  <c:pt idx="127">
                    <c:v>0.28199999999999981</c:v>
                  </c:pt>
                  <c:pt idx="128">
                    <c:v>0.27799999999999991</c:v>
                  </c:pt>
                  <c:pt idx="129">
                    <c:v>0.27399999999999991</c:v>
                  </c:pt>
                  <c:pt idx="130">
                    <c:v>0.26999999999999996</c:v>
                  </c:pt>
                  <c:pt idx="131">
                    <c:v>0.26599999999999996</c:v>
                  </c:pt>
                  <c:pt idx="132">
                    <c:v>0.26200000000000007</c:v>
                  </c:pt>
                  <c:pt idx="133">
                    <c:v>0.25800000000000012</c:v>
                  </c:pt>
                  <c:pt idx="134">
                    <c:v>0.25400000000000017</c:v>
                  </c:pt>
                  <c:pt idx="135">
                    <c:v>0.25000000000000017</c:v>
                  </c:pt>
                  <c:pt idx="136">
                    <c:v>0.24600000000000022</c:v>
                  </c:pt>
                  <c:pt idx="137">
                    <c:v>0.24200000000000033</c:v>
                  </c:pt>
                  <c:pt idx="138">
                    <c:v>0.23800000000000032</c:v>
                  </c:pt>
                  <c:pt idx="139">
                    <c:v>0.2340000000000004</c:v>
                  </c:pt>
                  <c:pt idx="140">
                    <c:v>0.23000000000000043</c:v>
                  </c:pt>
                  <c:pt idx="141">
                    <c:v>0.22600000000000048</c:v>
                  </c:pt>
                  <c:pt idx="142">
                    <c:v>0.22200000000000053</c:v>
                  </c:pt>
                  <c:pt idx="143">
                    <c:v>0.21800000000000055</c:v>
                  </c:pt>
                  <c:pt idx="144">
                    <c:v>0.21400000000000063</c:v>
                  </c:pt>
                  <c:pt idx="145">
                    <c:v>0.21000000000000063</c:v>
                  </c:pt>
                  <c:pt idx="146">
                    <c:v>0.20600000000000074</c:v>
                  </c:pt>
                  <c:pt idx="147">
                    <c:v>0.20200000000000073</c:v>
                  </c:pt>
                  <c:pt idx="148">
                    <c:v>0.19800000000000081</c:v>
                  </c:pt>
                  <c:pt idx="149">
                    <c:v>0.19400000000000084</c:v>
                  </c:pt>
                  <c:pt idx="150">
                    <c:v>0.19000000000000089</c:v>
                  </c:pt>
                  <c:pt idx="151">
                    <c:v>0.18600000000000094</c:v>
                  </c:pt>
                  <c:pt idx="152">
                    <c:v>0.18200000000000097</c:v>
                  </c:pt>
                  <c:pt idx="153">
                    <c:v>0.17800000000000105</c:v>
                  </c:pt>
                  <c:pt idx="154">
                    <c:v>0.1740000000000011</c:v>
                  </c:pt>
                  <c:pt idx="155">
                    <c:v>0.17000000000000115</c:v>
                  </c:pt>
                  <c:pt idx="156">
                    <c:v>0.16600000000000117</c:v>
                  </c:pt>
                  <c:pt idx="157">
                    <c:v>0.16200000000000123</c:v>
                  </c:pt>
                  <c:pt idx="158">
                    <c:v>0.15800000000000125</c:v>
                  </c:pt>
                  <c:pt idx="159">
                    <c:v>0.1540000000000013</c:v>
                  </c:pt>
                  <c:pt idx="160">
                    <c:v>0.15000000000000135</c:v>
                  </c:pt>
                  <c:pt idx="161">
                    <c:v>0.14600000000000143</c:v>
                  </c:pt>
                  <c:pt idx="162">
                    <c:v>0.14200000000000146</c:v>
                  </c:pt>
                  <c:pt idx="163">
                    <c:v>0.13800000000000151</c:v>
                  </c:pt>
                  <c:pt idx="164">
                    <c:v>0.13400000000000153</c:v>
                  </c:pt>
                  <c:pt idx="165">
                    <c:v>0.13000000000000159</c:v>
                  </c:pt>
                  <c:pt idx="166">
                    <c:v>0.12600000000000164</c:v>
                  </c:pt>
                  <c:pt idx="167">
                    <c:v>0.12200000000000168</c:v>
                  </c:pt>
                  <c:pt idx="168">
                    <c:v>0.11800000000000173</c:v>
                  </c:pt>
                  <c:pt idx="169">
                    <c:v>0.11400000000000181</c:v>
                  </c:pt>
                  <c:pt idx="170">
                    <c:v>0.11000000000000185</c:v>
                  </c:pt>
                  <c:pt idx="171">
                    <c:v>0.10600000000000188</c:v>
                  </c:pt>
                  <c:pt idx="172">
                    <c:v>0.10200000000000194</c:v>
                  </c:pt>
                  <c:pt idx="173">
                    <c:v>9.8000000000001974E-2</c:v>
                  </c:pt>
                  <c:pt idx="174">
                    <c:v>9.4000000000002013E-2</c:v>
                  </c:pt>
                  <c:pt idx="175">
                    <c:v>9.0000000000002051E-2</c:v>
                  </c:pt>
                  <c:pt idx="176">
                    <c:v>8.6000000000002089E-2</c:v>
                  </c:pt>
                  <c:pt idx="177">
                    <c:v>8.2000000000002182E-2</c:v>
                  </c:pt>
                  <c:pt idx="178">
                    <c:v>7.800000000000222E-2</c:v>
                  </c:pt>
                  <c:pt idx="179">
                    <c:v>7.4000000000002258E-2</c:v>
                  </c:pt>
                  <c:pt idx="180">
                    <c:v>7.0000000000002296E-2</c:v>
                  </c:pt>
                  <c:pt idx="181">
                    <c:v>6.6000000000002348E-2</c:v>
                  </c:pt>
                  <c:pt idx="182">
                    <c:v>6.200000000000238E-2</c:v>
                  </c:pt>
                  <c:pt idx="183">
                    <c:v>5.8000000000002418E-2</c:v>
                  </c:pt>
                  <c:pt idx="184">
                    <c:v>5.4000000000002456E-2</c:v>
                  </c:pt>
                  <c:pt idx="185">
                    <c:v>5.0000000000002542E-2</c:v>
                  </c:pt>
                  <c:pt idx="186">
                    <c:v>4.600000000000258E-2</c:v>
                  </c:pt>
                  <c:pt idx="187">
                    <c:v>4.2000000000002626E-2</c:v>
                  </c:pt>
                  <c:pt idx="188">
                    <c:v>3.8000000000002664E-2</c:v>
                  </c:pt>
                  <c:pt idx="189">
                    <c:v>3.4000000000002702E-2</c:v>
                  </c:pt>
                  <c:pt idx="190">
                    <c:v>3.0000000000002747E-2</c:v>
                  </c:pt>
                  <c:pt idx="191">
                    <c:v>2.6000000000002785E-2</c:v>
                  </c:pt>
                  <c:pt idx="192">
                    <c:v>2.2000000000002823E-2</c:v>
                  </c:pt>
                  <c:pt idx="193">
                    <c:v>1.800000000000291E-2</c:v>
                  </c:pt>
                  <c:pt idx="194">
                    <c:v>1.4000000000002953E-2</c:v>
                  </c:pt>
                  <c:pt idx="195">
                    <c:v>1.0000000000002994E-2</c:v>
                  </c:pt>
                  <c:pt idx="196">
                    <c:v>6.0000000000030359E-3</c:v>
                  </c:pt>
                  <c:pt idx="197">
                    <c:v>2.0000000000030757E-3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subsets'!$DV$11:$DV$211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'd subsets'!$DX$11:$DX$211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D61-458C-BEDF-3809F8AFF6B1}"/>
            </c:ext>
          </c:extLst>
        </c:ser>
        <c:ser>
          <c:idx val="33"/>
          <c:order val="37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subsets'!$DW$5:$DW$9</c:f>
              <c:numCache>
                <c:formatCode>General</c:formatCode>
                <c:ptCount val="5"/>
                <c:pt idx="0">
                  <c:v>0.53907125485966279</c:v>
                </c:pt>
                <c:pt idx="1">
                  <c:v>0.22856409506001468</c:v>
                </c:pt>
                <c:pt idx="2">
                  <c:v>0.53907125485966279</c:v>
                </c:pt>
                <c:pt idx="3">
                  <c:v>0.84957841465931083</c:v>
                </c:pt>
                <c:pt idx="4">
                  <c:v>0.53907125485966279</c:v>
                </c:pt>
              </c:numCache>
            </c:numRef>
          </c:xVal>
          <c:yVal>
            <c:numRef>
              <c:f>'d subsets'!$DY$5:$DY$9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D61-458C-BEDF-3809F8AFF6B1}"/>
            </c:ext>
          </c:extLst>
        </c:ser>
        <c:ser>
          <c:idx val="35"/>
          <c:order val="38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subsets'!$EI$11:$EI$211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1.9999999999999671E-3</c:v>
                  </c:pt>
                  <c:pt idx="4">
                    <c:v>6.0000000000000591E-3</c:v>
                  </c:pt>
                  <c:pt idx="5">
                    <c:v>1.0000000000000018E-2</c:v>
                  </c:pt>
                  <c:pt idx="6">
                    <c:v>1.4000000000000066E-2</c:v>
                  </c:pt>
                  <c:pt idx="7">
                    <c:v>1.8000000000000023E-2</c:v>
                  </c:pt>
                  <c:pt idx="8">
                    <c:v>2.2000000000000075E-2</c:v>
                  </c:pt>
                  <c:pt idx="9">
                    <c:v>2.600000000000003E-2</c:v>
                  </c:pt>
                  <c:pt idx="10">
                    <c:v>3.0000000000000124E-2</c:v>
                  </c:pt>
                  <c:pt idx="11">
                    <c:v>3.4000000000000086E-2</c:v>
                  </c:pt>
                  <c:pt idx="12">
                    <c:v>3.8000000000000131E-2</c:v>
                  </c:pt>
                  <c:pt idx="13">
                    <c:v>4.2000000000000093E-2</c:v>
                  </c:pt>
                  <c:pt idx="14">
                    <c:v>4.6000000000000138E-2</c:v>
                  </c:pt>
                  <c:pt idx="15">
                    <c:v>5.00000000000001E-2</c:v>
                  </c:pt>
                  <c:pt idx="16">
                    <c:v>5.4000000000000152E-2</c:v>
                  </c:pt>
                  <c:pt idx="17">
                    <c:v>5.8000000000000156E-2</c:v>
                  </c:pt>
                  <c:pt idx="18">
                    <c:v>6.2000000000000201E-2</c:v>
                  </c:pt>
                  <c:pt idx="19">
                    <c:v>6.600000000000017E-2</c:v>
                  </c:pt>
                  <c:pt idx="20">
                    <c:v>7.0000000000000215E-2</c:v>
                  </c:pt>
                  <c:pt idx="21">
                    <c:v>7.4000000000000177E-2</c:v>
                  </c:pt>
                  <c:pt idx="22">
                    <c:v>7.8000000000000222E-2</c:v>
                  </c:pt>
                  <c:pt idx="23">
                    <c:v>8.2000000000000225E-2</c:v>
                  </c:pt>
                  <c:pt idx="24">
                    <c:v>8.6000000000000271E-2</c:v>
                  </c:pt>
                  <c:pt idx="25">
                    <c:v>9.0000000000000233E-2</c:v>
                  </c:pt>
                  <c:pt idx="26">
                    <c:v>9.4000000000000278E-2</c:v>
                  </c:pt>
                  <c:pt idx="27">
                    <c:v>9.800000000000024E-2</c:v>
                  </c:pt>
                  <c:pt idx="28">
                    <c:v>0.10200000000000028</c:v>
                  </c:pt>
                  <c:pt idx="29">
                    <c:v>0.10600000000000029</c:v>
                  </c:pt>
                  <c:pt idx="30">
                    <c:v>0.11000000000000033</c:v>
                  </c:pt>
                  <c:pt idx="31">
                    <c:v>0.1140000000000003</c:v>
                  </c:pt>
                  <c:pt idx="32">
                    <c:v>0.11800000000000034</c:v>
                  </c:pt>
                  <c:pt idx="33">
                    <c:v>0.12200000000000032</c:v>
                  </c:pt>
                  <c:pt idx="34">
                    <c:v>0.12600000000000033</c:v>
                  </c:pt>
                  <c:pt idx="35">
                    <c:v>0.13000000000000031</c:v>
                  </c:pt>
                  <c:pt idx="36">
                    <c:v>0.1340000000000004</c:v>
                  </c:pt>
                  <c:pt idx="37">
                    <c:v>0.13800000000000034</c:v>
                  </c:pt>
                  <c:pt idx="38">
                    <c:v>0.1420000000000004</c:v>
                  </c:pt>
                  <c:pt idx="39">
                    <c:v>0.14600000000000035</c:v>
                  </c:pt>
                  <c:pt idx="40">
                    <c:v>0.15000000000000041</c:v>
                  </c:pt>
                  <c:pt idx="41">
                    <c:v>0.15400000000000036</c:v>
                  </c:pt>
                  <c:pt idx="42">
                    <c:v>0.15800000000000047</c:v>
                  </c:pt>
                  <c:pt idx="43">
                    <c:v>0.16200000000000042</c:v>
                  </c:pt>
                  <c:pt idx="44">
                    <c:v>0.16600000000000048</c:v>
                  </c:pt>
                  <c:pt idx="45">
                    <c:v>0.17000000000000043</c:v>
                  </c:pt>
                  <c:pt idx="46">
                    <c:v>0.17400000000000049</c:v>
                  </c:pt>
                  <c:pt idx="47">
                    <c:v>0.17800000000000044</c:v>
                  </c:pt>
                  <c:pt idx="48">
                    <c:v>0.18200000000000049</c:v>
                  </c:pt>
                  <c:pt idx="49">
                    <c:v>0.1860000000000005</c:v>
                  </c:pt>
                  <c:pt idx="50">
                    <c:v>0.19000000000000053</c:v>
                  </c:pt>
                  <c:pt idx="51">
                    <c:v>0.19400000000000053</c:v>
                  </c:pt>
                  <c:pt idx="52">
                    <c:v>0.19800000000000054</c:v>
                  </c:pt>
                  <c:pt idx="53">
                    <c:v>0.20200000000000054</c:v>
                  </c:pt>
                  <c:pt idx="54">
                    <c:v>0.20600000000000054</c:v>
                  </c:pt>
                  <c:pt idx="55">
                    <c:v>0.21000000000000055</c:v>
                  </c:pt>
                  <c:pt idx="56">
                    <c:v>0.21400000000000055</c:v>
                  </c:pt>
                  <c:pt idx="57">
                    <c:v>0.21800000000000055</c:v>
                  </c:pt>
                  <c:pt idx="58">
                    <c:v>0.22200000000000056</c:v>
                  </c:pt>
                  <c:pt idx="59">
                    <c:v>0.22600000000000056</c:v>
                  </c:pt>
                  <c:pt idx="60">
                    <c:v>0.23000000000000057</c:v>
                  </c:pt>
                  <c:pt idx="61">
                    <c:v>0.23400000000000057</c:v>
                  </c:pt>
                  <c:pt idx="62">
                    <c:v>0.23800000000000057</c:v>
                  </c:pt>
                  <c:pt idx="63">
                    <c:v>0.2420000000000006</c:v>
                  </c:pt>
                  <c:pt idx="64">
                    <c:v>0.24600000000000061</c:v>
                  </c:pt>
                  <c:pt idx="65">
                    <c:v>0.25000000000000056</c:v>
                  </c:pt>
                  <c:pt idx="66">
                    <c:v>0.25400000000000061</c:v>
                  </c:pt>
                  <c:pt idx="67">
                    <c:v>0.25800000000000062</c:v>
                  </c:pt>
                  <c:pt idx="68">
                    <c:v>0.26200000000000057</c:v>
                  </c:pt>
                  <c:pt idx="69">
                    <c:v>0.26600000000000057</c:v>
                  </c:pt>
                  <c:pt idx="70">
                    <c:v>0.27000000000000057</c:v>
                  </c:pt>
                  <c:pt idx="71">
                    <c:v>0.27400000000000058</c:v>
                  </c:pt>
                  <c:pt idx="72">
                    <c:v>0.27800000000000058</c:v>
                  </c:pt>
                  <c:pt idx="73">
                    <c:v>0.28200000000000053</c:v>
                  </c:pt>
                  <c:pt idx="74">
                    <c:v>0.28600000000000053</c:v>
                  </c:pt>
                  <c:pt idx="75">
                    <c:v>0.29000000000000059</c:v>
                  </c:pt>
                  <c:pt idx="76">
                    <c:v>0.29400000000000054</c:v>
                  </c:pt>
                  <c:pt idx="77">
                    <c:v>0.29800000000000054</c:v>
                  </c:pt>
                  <c:pt idx="78">
                    <c:v>0.30200000000000055</c:v>
                  </c:pt>
                  <c:pt idx="79">
                    <c:v>0.30600000000000055</c:v>
                  </c:pt>
                  <c:pt idx="80">
                    <c:v>0.31000000000000055</c:v>
                  </c:pt>
                  <c:pt idx="81">
                    <c:v>0.31400000000000056</c:v>
                  </c:pt>
                  <c:pt idx="82">
                    <c:v>0.31800000000000056</c:v>
                  </c:pt>
                  <c:pt idx="83">
                    <c:v>0.32200000000000056</c:v>
                  </c:pt>
                  <c:pt idx="84">
                    <c:v>0.32600000000000057</c:v>
                  </c:pt>
                  <c:pt idx="85">
                    <c:v>0.33000000000000057</c:v>
                  </c:pt>
                  <c:pt idx="86">
                    <c:v>0.33400000000000057</c:v>
                  </c:pt>
                  <c:pt idx="87">
                    <c:v>0.33800000000000058</c:v>
                  </c:pt>
                  <c:pt idx="88">
                    <c:v>0.34200000000000058</c:v>
                  </c:pt>
                  <c:pt idx="89">
                    <c:v>0.34600000000000053</c:v>
                  </c:pt>
                  <c:pt idx="90">
                    <c:v>0.35000000000000053</c:v>
                  </c:pt>
                  <c:pt idx="91">
                    <c:v>0.35400000000000054</c:v>
                  </c:pt>
                  <c:pt idx="92">
                    <c:v>0.35800000000000054</c:v>
                  </c:pt>
                  <c:pt idx="93">
                    <c:v>0.36200000000000054</c:v>
                  </c:pt>
                  <c:pt idx="94">
                    <c:v>0.36600000000000055</c:v>
                  </c:pt>
                  <c:pt idx="95">
                    <c:v>0.37000000000000055</c:v>
                  </c:pt>
                  <c:pt idx="96">
                    <c:v>0.37400000000000055</c:v>
                  </c:pt>
                  <c:pt idx="97">
                    <c:v>0.37800000000000056</c:v>
                  </c:pt>
                  <c:pt idx="98">
                    <c:v>0.38200000000000056</c:v>
                  </c:pt>
                  <c:pt idx="99">
                    <c:v>0.38600000000000056</c:v>
                  </c:pt>
                  <c:pt idx="100">
                    <c:v>0.38999999999999946</c:v>
                  </c:pt>
                  <c:pt idx="101">
                    <c:v>0.38599999999999945</c:v>
                  </c:pt>
                  <c:pt idx="102">
                    <c:v>0.38199999999999945</c:v>
                  </c:pt>
                  <c:pt idx="103">
                    <c:v>0.37799999999999945</c:v>
                  </c:pt>
                  <c:pt idx="104">
                    <c:v>0.37399999999999944</c:v>
                  </c:pt>
                  <c:pt idx="105">
                    <c:v>0.36999999999999944</c:v>
                  </c:pt>
                  <c:pt idx="106">
                    <c:v>0.36599999999999944</c:v>
                  </c:pt>
                  <c:pt idx="107">
                    <c:v>0.36199999999999943</c:v>
                  </c:pt>
                  <c:pt idx="108">
                    <c:v>0.35799999999999943</c:v>
                  </c:pt>
                  <c:pt idx="109">
                    <c:v>0.35399999999999943</c:v>
                  </c:pt>
                  <c:pt idx="110">
                    <c:v>0.34999999999999942</c:v>
                  </c:pt>
                  <c:pt idx="111">
                    <c:v>0.34599999999999942</c:v>
                  </c:pt>
                  <c:pt idx="112">
                    <c:v>0.34199999999999942</c:v>
                  </c:pt>
                  <c:pt idx="113">
                    <c:v>0.33799999999999941</c:v>
                  </c:pt>
                  <c:pt idx="114">
                    <c:v>0.33399999999999935</c:v>
                  </c:pt>
                  <c:pt idx="115">
                    <c:v>0.32999999999999935</c:v>
                  </c:pt>
                  <c:pt idx="116">
                    <c:v>0.32599999999999935</c:v>
                  </c:pt>
                  <c:pt idx="117">
                    <c:v>0.32199999999999934</c:v>
                  </c:pt>
                  <c:pt idx="118">
                    <c:v>0.31799999999999934</c:v>
                  </c:pt>
                  <c:pt idx="119">
                    <c:v>0.31399999999999934</c:v>
                  </c:pt>
                  <c:pt idx="120">
                    <c:v>0.30999999999999933</c:v>
                  </c:pt>
                  <c:pt idx="121">
                    <c:v>0.30599999999999933</c:v>
                  </c:pt>
                  <c:pt idx="122">
                    <c:v>0.30199999999999927</c:v>
                  </c:pt>
                  <c:pt idx="123">
                    <c:v>0.29799999999999927</c:v>
                  </c:pt>
                  <c:pt idx="124">
                    <c:v>0.29399999999999926</c:v>
                  </c:pt>
                  <c:pt idx="125">
                    <c:v>0.28999999999999926</c:v>
                  </c:pt>
                  <c:pt idx="126">
                    <c:v>0.2859999999999992</c:v>
                  </c:pt>
                  <c:pt idx="127">
                    <c:v>0.2819999999999992</c:v>
                  </c:pt>
                  <c:pt idx="128">
                    <c:v>0.27799999999999919</c:v>
                  </c:pt>
                  <c:pt idx="129">
                    <c:v>0.27399999999999919</c:v>
                  </c:pt>
                  <c:pt idx="130">
                    <c:v>0.26999999999999919</c:v>
                  </c:pt>
                  <c:pt idx="131">
                    <c:v>0.26599999999999918</c:v>
                  </c:pt>
                  <c:pt idx="132">
                    <c:v>0.26199999999999918</c:v>
                  </c:pt>
                  <c:pt idx="133">
                    <c:v>0.25799999999999917</c:v>
                  </c:pt>
                  <c:pt idx="134">
                    <c:v>0.25399999999999917</c:v>
                  </c:pt>
                  <c:pt idx="135">
                    <c:v>0.24999999999999911</c:v>
                  </c:pt>
                  <c:pt idx="136">
                    <c:v>0.24599999999999911</c:v>
                  </c:pt>
                  <c:pt idx="137">
                    <c:v>0.2419999999999991</c:v>
                  </c:pt>
                  <c:pt idx="138">
                    <c:v>0.2379999999999991</c:v>
                  </c:pt>
                  <c:pt idx="139">
                    <c:v>0.23399999999999907</c:v>
                  </c:pt>
                  <c:pt idx="140">
                    <c:v>0.22999999999999907</c:v>
                  </c:pt>
                  <c:pt idx="141">
                    <c:v>0.22599999999999906</c:v>
                  </c:pt>
                  <c:pt idx="142">
                    <c:v>0.22199999999999906</c:v>
                  </c:pt>
                  <c:pt idx="143">
                    <c:v>0.21799999999999906</c:v>
                  </c:pt>
                  <c:pt idx="144">
                    <c:v>0.21399999999999905</c:v>
                  </c:pt>
                  <c:pt idx="145">
                    <c:v>0.20999999999999905</c:v>
                  </c:pt>
                  <c:pt idx="146">
                    <c:v>0.20599999999999904</c:v>
                  </c:pt>
                  <c:pt idx="147">
                    <c:v>0.20199999999999904</c:v>
                  </c:pt>
                  <c:pt idx="148">
                    <c:v>0.19799999999999898</c:v>
                  </c:pt>
                  <c:pt idx="149">
                    <c:v>0.19399999999999898</c:v>
                  </c:pt>
                  <c:pt idx="150">
                    <c:v>0.18999999999999895</c:v>
                  </c:pt>
                  <c:pt idx="151">
                    <c:v>0.18599999999999897</c:v>
                  </c:pt>
                  <c:pt idx="152">
                    <c:v>0.18199999999999894</c:v>
                  </c:pt>
                  <c:pt idx="153">
                    <c:v>0.17799999999999896</c:v>
                  </c:pt>
                  <c:pt idx="154">
                    <c:v>0.17399999999999893</c:v>
                  </c:pt>
                  <c:pt idx="155">
                    <c:v>0.16999999999999896</c:v>
                  </c:pt>
                  <c:pt idx="156">
                    <c:v>0.16599999999999887</c:v>
                  </c:pt>
                  <c:pt idx="157">
                    <c:v>0.16199999999999892</c:v>
                  </c:pt>
                  <c:pt idx="158">
                    <c:v>0.15799999999999886</c:v>
                  </c:pt>
                  <c:pt idx="159">
                    <c:v>0.15399999999999892</c:v>
                  </c:pt>
                  <c:pt idx="160">
                    <c:v>0.14999999999999886</c:v>
                  </c:pt>
                  <c:pt idx="161">
                    <c:v>0.14599999999999891</c:v>
                  </c:pt>
                  <c:pt idx="162">
                    <c:v>0.14199999999999885</c:v>
                  </c:pt>
                  <c:pt idx="163">
                    <c:v>0.13799999999999885</c:v>
                  </c:pt>
                  <c:pt idx="164">
                    <c:v>0.13399999999999879</c:v>
                  </c:pt>
                  <c:pt idx="165">
                    <c:v>0.12999999999999884</c:v>
                  </c:pt>
                  <c:pt idx="166">
                    <c:v>0.12599999999999878</c:v>
                  </c:pt>
                  <c:pt idx="167">
                    <c:v>0.12199999999999885</c:v>
                  </c:pt>
                  <c:pt idx="168">
                    <c:v>0.11799999999999879</c:v>
                  </c:pt>
                  <c:pt idx="169">
                    <c:v>0.11399999999999878</c:v>
                  </c:pt>
                  <c:pt idx="170">
                    <c:v>0.10999999999999874</c:v>
                  </c:pt>
                  <c:pt idx="171">
                    <c:v>0.10599999999999878</c:v>
                  </c:pt>
                  <c:pt idx="172">
                    <c:v>0.10199999999999873</c:v>
                  </c:pt>
                  <c:pt idx="173">
                    <c:v>9.7999999999998769E-2</c:v>
                  </c:pt>
                  <c:pt idx="174">
                    <c:v>9.3999999999998723E-2</c:v>
                  </c:pt>
                  <c:pt idx="175">
                    <c:v>8.9999999999998762E-2</c:v>
                  </c:pt>
                  <c:pt idx="176">
                    <c:v>8.5999999999998675E-2</c:v>
                  </c:pt>
                  <c:pt idx="177">
                    <c:v>8.1999999999998713E-2</c:v>
                  </c:pt>
                  <c:pt idx="178">
                    <c:v>7.7999999999998668E-2</c:v>
                  </c:pt>
                  <c:pt idx="179">
                    <c:v>7.3999999999998706E-2</c:v>
                  </c:pt>
                  <c:pt idx="180">
                    <c:v>6.9999999999998661E-2</c:v>
                  </c:pt>
                  <c:pt idx="181">
                    <c:v>6.5999999999998699E-2</c:v>
                  </c:pt>
                  <c:pt idx="182">
                    <c:v>6.1999999999998688E-2</c:v>
                  </c:pt>
                  <c:pt idx="183">
                    <c:v>5.7999999999998726E-2</c:v>
                  </c:pt>
                  <c:pt idx="184">
                    <c:v>5.3999999999998764E-2</c:v>
                  </c:pt>
                  <c:pt idx="185">
                    <c:v>4.9999999999998809E-2</c:v>
                  </c:pt>
                  <c:pt idx="186">
                    <c:v>4.5999999999998854E-2</c:v>
                  </c:pt>
                  <c:pt idx="187">
                    <c:v>4.1999999999998892E-2</c:v>
                  </c:pt>
                  <c:pt idx="188">
                    <c:v>3.7999999999998889E-2</c:v>
                  </c:pt>
                  <c:pt idx="189">
                    <c:v>3.3999999999998927E-2</c:v>
                  </c:pt>
                  <c:pt idx="190">
                    <c:v>2.9999999999998972E-2</c:v>
                  </c:pt>
                  <c:pt idx="191">
                    <c:v>2.599999999999901E-2</c:v>
                  </c:pt>
                  <c:pt idx="192">
                    <c:v>2.1999999999999048E-2</c:v>
                  </c:pt>
                  <c:pt idx="193">
                    <c:v>1.7999999999999051E-2</c:v>
                  </c:pt>
                  <c:pt idx="194">
                    <c:v>1.3999999999999091E-2</c:v>
                  </c:pt>
                  <c:pt idx="195">
                    <c:v>9.9999999999991294E-3</c:v>
                  </c:pt>
                  <c:pt idx="196">
                    <c:v>5.9999999999991709E-3</c:v>
                  </c:pt>
                  <c:pt idx="197">
                    <c:v>1.9999999999992125E-3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'd subsets'!$EI$11:$EI$211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1.9999999999999671E-3</c:v>
                  </c:pt>
                  <c:pt idx="4">
                    <c:v>6.0000000000000591E-3</c:v>
                  </c:pt>
                  <c:pt idx="5">
                    <c:v>1.0000000000000018E-2</c:v>
                  </c:pt>
                  <c:pt idx="6">
                    <c:v>1.4000000000000066E-2</c:v>
                  </c:pt>
                  <c:pt idx="7">
                    <c:v>1.8000000000000023E-2</c:v>
                  </c:pt>
                  <c:pt idx="8">
                    <c:v>2.2000000000000075E-2</c:v>
                  </c:pt>
                  <c:pt idx="9">
                    <c:v>2.600000000000003E-2</c:v>
                  </c:pt>
                  <c:pt idx="10">
                    <c:v>3.0000000000000124E-2</c:v>
                  </c:pt>
                  <c:pt idx="11">
                    <c:v>3.4000000000000086E-2</c:v>
                  </c:pt>
                  <c:pt idx="12">
                    <c:v>3.8000000000000131E-2</c:v>
                  </c:pt>
                  <c:pt idx="13">
                    <c:v>4.2000000000000093E-2</c:v>
                  </c:pt>
                  <c:pt idx="14">
                    <c:v>4.6000000000000138E-2</c:v>
                  </c:pt>
                  <c:pt idx="15">
                    <c:v>5.00000000000001E-2</c:v>
                  </c:pt>
                  <c:pt idx="16">
                    <c:v>5.4000000000000152E-2</c:v>
                  </c:pt>
                  <c:pt idx="17">
                    <c:v>5.8000000000000156E-2</c:v>
                  </c:pt>
                  <c:pt idx="18">
                    <c:v>6.2000000000000201E-2</c:v>
                  </c:pt>
                  <c:pt idx="19">
                    <c:v>6.600000000000017E-2</c:v>
                  </c:pt>
                  <c:pt idx="20">
                    <c:v>7.0000000000000215E-2</c:v>
                  </c:pt>
                  <c:pt idx="21">
                    <c:v>7.4000000000000177E-2</c:v>
                  </c:pt>
                  <c:pt idx="22">
                    <c:v>7.8000000000000222E-2</c:v>
                  </c:pt>
                  <c:pt idx="23">
                    <c:v>8.2000000000000225E-2</c:v>
                  </c:pt>
                  <c:pt idx="24">
                    <c:v>8.6000000000000271E-2</c:v>
                  </c:pt>
                  <c:pt idx="25">
                    <c:v>9.0000000000000233E-2</c:v>
                  </c:pt>
                  <c:pt idx="26">
                    <c:v>9.4000000000000278E-2</c:v>
                  </c:pt>
                  <c:pt idx="27">
                    <c:v>9.800000000000024E-2</c:v>
                  </c:pt>
                  <c:pt idx="28">
                    <c:v>0.10200000000000028</c:v>
                  </c:pt>
                  <c:pt idx="29">
                    <c:v>0.10600000000000029</c:v>
                  </c:pt>
                  <c:pt idx="30">
                    <c:v>0.11000000000000033</c:v>
                  </c:pt>
                  <c:pt idx="31">
                    <c:v>0.1140000000000003</c:v>
                  </c:pt>
                  <c:pt idx="32">
                    <c:v>0.11800000000000034</c:v>
                  </c:pt>
                  <c:pt idx="33">
                    <c:v>0.12200000000000032</c:v>
                  </c:pt>
                  <c:pt idx="34">
                    <c:v>0.12600000000000033</c:v>
                  </c:pt>
                  <c:pt idx="35">
                    <c:v>0.13000000000000031</c:v>
                  </c:pt>
                  <c:pt idx="36">
                    <c:v>0.1340000000000004</c:v>
                  </c:pt>
                  <c:pt idx="37">
                    <c:v>0.13800000000000034</c:v>
                  </c:pt>
                  <c:pt idx="38">
                    <c:v>0.1420000000000004</c:v>
                  </c:pt>
                  <c:pt idx="39">
                    <c:v>0.14600000000000035</c:v>
                  </c:pt>
                  <c:pt idx="40">
                    <c:v>0.15000000000000041</c:v>
                  </c:pt>
                  <c:pt idx="41">
                    <c:v>0.15400000000000036</c:v>
                  </c:pt>
                  <c:pt idx="42">
                    <c:v>0.15800000000000047</c:v>
                  </c:pt>
                  <c:pt idx="43">
                    <c:v>0.16200000000000042</c:v>
                  </c:pt>
                  <c:pt idx="44">
                    <c:v>0.16600000000000048</c:v>
                  </c:pt>
                  <c:pt idx="45">
                    <c:v>0.17000000000000043</c:v>
                  </c:pt>
                  <c:pt idx="46">
                    <c:v>0.17400000000000049</c:v>
                  </c:pt>
                  <c:pt idx="47">
                    <c:v>0.17800000000000044</c:v>
                  </c:pt>
                  <c:pt idx="48">
                    <c:v>0.18200000000000049</c:v>
                  </c:pt>
                  <c:pt idx="49">
                    <c:v>0.1860000000000005</c:v>
                  </c:pt>
                  <c:pt idx="50">
                    <c:v>0.19000000000000053</c:v>
                  </c:pt>
                  <c:pt idx="51">
                    <c:v>0.19400000000000053</c:v>
                  </c:pt>
                  <c:pt idx="52">
                    <c:v>0.19800000000000054</c:v>
                  </c:pt>
                  <c:pt idx="53">
                    <c:v>0.20200000000000054</c:v>
                  </c:pt>
                  <c:pt idx="54">
                    <c:v>0.20600000000000054</c:v>
                  </c:pt>
                  <c:pt idx="55">
                    <c:v>0.21000000000000055</c:v>
                  </c:pt>
                  <c:pt idx="56">
                    <c:v>0.21400000000000055</c:v>
                  </c:pt>
                  <c:pt idx="57">
                    <c:v>0.21800000000000055</c:v>
                  </c:pt>
                  <c:pt idx="58">
                    <c:v>0.22200000000000056</c:v>
                  </c:pt>
                  <c:pt idx="59">
                    <c:v>0.22600000000000056</c:v>
                  </c:pt>
                  <c:pt idx="60">
                    <c:v>0.23000000000000057</c:v>
                  </c:pt>
                  <c:pt idx="61">
                    <c:v>0.23400000000000057</c:v>
                  </c:pt>
                  <c:pt idx="62">
                    <c:v>0.23800000000000057</c:v>
                  </c:pt>
                  <c:pt idx="63">
                    <c:v>0.2420000000000006</c:v>
                  </c:pt>
                  <c:pt idx="64">
                    <c:v>0.24600000000000061</c:v>
                  </c:pt>
                  <c:pt idx="65">
                    <c:v>0.25000000000000056</c:v>
                  </c:pt>
                  <c:pt idx="66">
                    <c:v>0.25400000000000061</c:v>
                  </c:pt>
                  <c:pt idx="67">
                    <c:v>0.25800000000000062</c:v>
                  </c:pt>
                  <c:pt idx="68">
                    <c:v>0.26200000000000057</c:v>
                  </c:pt>
                  <c:pt idx="69">
                    <c:v>0.26600000000000057</c:v>
                  </c:pt>
                  <c:pt idx="70">
                    <c:v>0.27000000000000057</c:v>
                  </c:pt>
                  <c:pt idx="71">
                    <c:v>0.27400000000000058</c:v>
                  </c:pt>
                  <c:pt idx="72">
                    <c:v>0.27800000000000058</c:v>
                  </c:pt>
                  <c:pt idx="73">
                    <c:v>0.28200000000000053</c:v>
                  </c:pt>
                  <c:pt idx="74">
                    <c:v>0.28600000000000053</c:v>
                  </c:pt>
                  <c:pt idx="75">
                    <c:v>0.29000000000000059</c:v>
                  </c:pt>
                  <c:pt idx="76">
                    <c:v>0.29400000000000054</c:v>
                  </c:pt>
                  <c:pt idx="77">
                    <c:v>0.29800000000000054</c:v>
                  </c:pt>
                  <c:pt idx="78">
                    <c:v>0.30200000000000055</c:v>
                  </c:pt>
                  <c:pt idx="79">
                    <c:v>0.30600000000000055</c:v>
                  </c:pt>
                  <c:pt idx="80">
                    <c:v>0.31000000000000055</c:v>
                  </c:pt>
                  <c:pt idx="81">
                    <c:v>0.31400000000000056</c:v>
                  </c:pt>
                  <c:pt idx="82">
                    <c:v>0.31800000000000056</c:v>
                  </c:pt>
                  <c:pt idx="83">
                    <c:v>0.32200000000000056</c:v>
                  </c:pt>
                  <c:pt idx="84">
                    <c:v>0.32600000000000057</c:v>
                  </c:pt>
                  <c:pt idx="85">
                    <c:v>0.33000000000000057</c:v>
                  </c:pt>
                  <c:pt idx="86">
                    <c:v>0.33400000000000057</c:v>
                  </c:pt>
                  <c:pt idx="87">
                    <c:v>0.33800000000000058</c:v>
                  </c:pt>
                  <c:pt idx="88">
                    <c:v>0.34200000000000058</c:v>
                  </c:pt>
                  <c:pt idx="89">
                    <c:v>0.34600000000000053</c:v>
                  </c:pt>
                  <c:pt idx="90">
                    <c:v>0.35000000000000053</c:v>
                  </c:pt>
                  <c:pt idx="91">
                    <c:v>0.35400000000000054</c:v>
                  </c:pt>
                  <c:pt idx="92">
                    <c:v>0.35800000000000054</c:v>
                  </c:pt>
                  <c:pt idx="93">
                    <c:v>0.36200000000000054</c:v>
                  </c:pt>
                  <c:pt idx="94">
                    <c:v>0.36600000000000055</c:v>
                  </c:pt>
                  <c:pt idx="95">
                    <c:v>0.37000000000000055</c:v>
                  </c:pt>
                  <c:pt idx="96">
                    <c:v>0.37400000000000055</c:v>
                  </c:pt>
                  <c:pt idx="97">
                    <c:v>0.37800000000000056</c:v>
                  </c:pt>
                  <c:pt idx="98">
                    <c:v>0.38200000000000056</c:v>
                  </c:pt>
                  <c:pt idx="99">
                    <c:v>0.38600000000000056</c:v>
                  </c:pt>
                  <c:pt idx="100">
                    <c:v>0.38999999999999946</c:v>
                  </c:pt>
                  <c:pt idx="101">
                    <c:v>0.38599999999999945</c:v>
                  </c:pt>
                  <c:pt idx="102">
                    <c:v>0.38199999999999945</c:v>
                  </c:pt>
                  <c:pt idx="103">
                    <c:v>0.37799999999999945</c:v>
                  </c:pt>
                  <c:pt idx="104">
                    <c:v>0.37399999999999944</c:v>
                  </c:pt>
                  <c:pt idx="105">
                    <c:v>0.36999999999999944</c:v>
                  </c:pt>
                  <c:pt idx="106">
                    <c:v>0.36599999999999944</c:v>
                  </c:pt>
                  <c:pt idx="107">
                    <c:v>0.36199999999999943</c:v>
                  </c:pt>
                  <c:pt idx="108">
                    <c:v>0.35799999999999943</c:v>
                  </c:pt>
                  <c:pt idx="109">
                    <c:v>0.35399999999999943</c:v>
                  </c:pt>
                  <c:pt idx="110">
                    <c:v>0.34999999999999942</c:v>
                  </c:pt>
                  <c:pt idx="111">
                    <c:v>0.34599999999999942</c:v>
                  </c:pt>
                  <c:pt idx="112">
                    <c:v>0.34199999999999942</c:v>
                  </c:pt>
                  <c:pt idx="113">
                    <c:v>0.33799999999999941</c:v>
                  </c:pt>
                  <c:pt idx="114">
                    <c:v>0.33399999999999935</c:v>
                  </c:pt>
                  <c:pt idx="115">
                    <c:v>0.32999999999999935</c:v>
                  </c:pt>
                  <c:pt idx="116">
                    <c:v>0.32599999999999935</c:v>
                  </c:pt>
                  <c:pt idx="117">
                    <c:v>0.32199999999999934</c:v>
                  </c:pt>
                  <c:pt idx="118">
                    <c:v>0.31799999999999934</c:v>
                  </c:pt>
                  <c:pt idx="119">
                    <c:v>0.31399999999999934</c:v>
                  </c:pt>
                  <c:pt idx="120">
                    <c:v>0.30999999999999933</c:v>
                  </c:pt>
                  <c:pt idx="121">
                    <c:v>0.30599999999999933</c:v>
                  </c:pt>
                  <c:pt idx="122">
                    <c:v>0.30199999999999927</c:v>
                  </c:pt>
                  <c:pt idx="123">
                    <c:v>0.29799999999999927</c:v>
                  </c:pt>
                  <c:pt idx="124">
                    <c:v>0.29399999999999926</c:v>
                  </c:pt>
                  <c:pt idx="125">
                    <c:v>0.28999999999999926</c:v>
                  </c:pt>
                  <c:pt idx="126">
                    <c:v>0.2859999999999992</c:v>
                  </c:pt>
                  <c:pt idx="127">
                    <c:v>0.2819999999999992</c:v>
                  </c:pt>
                  <c:pt idx="128">
                    <c:v>0.27799999999999919</c:v>
                  </c:pt>
                  <c:pt idx="129">
                    <c:v>0.27399999999999919</c:v>
                  </c:pt>
                  <c:pt idx="130">
                    <c:v>0.26999999999999919</c:v>
                  </c:pt>
                  <c:pt idx="131">
                    <c:v>0.26599999999999918</c:v>
                  </c:pt>
                  <c:pt idx="132">
                    <c:v>0.26199999999999918</c:v>
                  </c:pt>
                  <c:pt idx="133">
                    <c:v>0.25799999999999917</c:v>
                  </c:pt>
                  <c:pt idx="134">
                    <c:v>0.25399999999999917</c:v>
                  </c:pt>
                  <c:pt idx="135">
                    <c:v>0.24999999999999911</c:v>
                  </c:pt>
                  <c:pt idx="136">
                    <c:v>0.24599999999999911</c:v>
                  </c:pt>
                  <c:pt idx="137">
                    <c:v>0.2419999999999991</c:v>
                  </c:pt>
                  <c:pt idx="138">
                    <c:v>0.2379999999999991</c:v>
                  </c:pt>
                  <c:pt idx="139">
                    <c:v>0.23399999999999907</c:v>
                  </c:pt>
                  <c:pt idx="140">
                    <c:v>0.22999999999999907</c:v>
                  </c:pt>
                  <c:pt idx="141">
                    <c:v>0.22599999999999906</c:v>
                  </c:pt>
                  <c:pt idx="142">
                    <c:v>0.22199999999999906</c:v>
                  </c:pt>
                  <c:pt idx="143">
                    <c:v>0.21799999999999906</c:v>
                  </c:pt>
                  <c:pt idx="144">
                    <c:v>0.21399999999999905</c:v>
                  </c:pt>
                  <c:pt idx="145">
                    <c:v>0.20999999999999905</c:v>
                  </c:pt>
                  <c:pt idx="146">
                    <c:v>0.20599999999999904</c:v>
                  </c:pt>
                  <c:pt idx="147">
                    <c:v>0.20199999999999904</c:v>
                  </c:pt>
                  <c:pt idx="148">
                    <c:v>0.19799999999999898</c:v>
                  </c:pt>
                  <c:pt idx="149">
                    <c:v>0.19399999999999898</c:v>
                  </c:pt>
                  <c:pt idx="150">
                    <c:v>0.18999999999999895</c:v>
                  </c:pt>
                  <c:pt idx="151">
                    <c:v>0.18599999999999897</c:v>
                  </c:pt>
                  <c:pt idx="152">
                    <c:v>0.18199999999999894</c:v>
                  </c:pt>
                  <c:pt idx="153">
                    <c:v>0.17799999999999896</c:v>
                  </c:pt>
                  <c:pt idx="154">
                    <c:v>0.17399999999999893</c:v>
                  </c:pt>
                  <c:pt idx="155">
                    <c:v>0.16999999999999896</c:v>
                  </c:pt>
                  <c:pt idx="156">
                    <c:v>0.16599999999999887</c:v>
                  </c:pt>
                  <c:pt idx="157">
                    <c:v>0.16199999999999892</c:v>
                  </c:pt>
                  <c:pt idx="158">
                    <c:v>0.15799999999999886</c:v>
                  </c:pt>
                  <c:pt idx="159">
                    <c:v>0.15399999999999892</c:v>
                  </c:pt>
                  <c:pt idx="160">
                    <c:v>0.14999999999999886</c:v>
                  </c:pt>
                  <c:pt idx="161">
                    <c:v>0.14599999999999891</c:v>
                  </c:pt>
                  <c:pt idx="162">
                    <c:v>0.14199999999999885</c:v>
                  </c:pt>
                  <c:pt idx="163">
                    <c:v>0.13799999999999885</c:v>
                  </c:pt>
                  <c:pt idx="164">
                    <c:v>0.13399999999999879</c:v>
                  </c:pt>
                  <c:pt idx="165">
                    <c:v>0.12999999999999884</c:v>
                  </c:pt>
                  <c:pt idx="166">
                    <c:v>0.12599999999999878</c:v>
                  </c:pt>
                  <c:pt idx="167">
                    <c:v>0.12199999999999885</c:v>
                  </c:pt>
                  <c:pt idx="168">
                    <c:v>0.11799999999999879</c:v>
                  </c:pt>
                  <c:pt idx="169">
                    <c:v>0.11399999999999878</c:v>
                  </c:pt>
                  <c:pt idx="170">
                    <c:v>0.10999999999999874</c:v>
                  </c:pt>
                  <c:pt idx="171">
                    <c:v>0.10599999999999878</c:v>
                  </c:pt>
                  <c:pt idx="172">
                    <c:v>0.10199999999999873</c:v>
                  </c:pt>
                  <c:pt idx="173">
                    <c:v>9.7999999999998769E-2</c:v>
                  </c:pt>
                  <c:pt idx="174">
                    <c:v>9.3999999999998723E-2</c:v>
                  </c:pt>
                  <c:pt idx="175">
                    <c:v>8.9999999999998762E-2</c:v>
                  </c:pt>
                  <c:pt idx="176">
                    <c:v>8.5999999999998675E-2</c:v>
                  </c:pt>
                  <c:pt idx="177">
                    <c:v>8.1999999999998713E-2</c:v>
                  </c:pt>
                  <c:pt idx="178">
                    <c:v>7.7999999999998668E-2</c:v>
                  </c:pt>
                  <c:pt idx="179">
                    <c:v>7.3999999999998706E-2</c:v>
                  </c:pt>
                  <c:pt idx="180">
                    <c:v>6.9999999999998661E-2</c:v>
                  </c:pt>
                  <c:pt idx="181">
                    <c:v>6.5999999999998699E-2</c:v>
                  </c:pt>
                  <c:pt idx="182">
                    <c:v>6.1999999999998688E-2</c:v>
                  </c:pt>
                  <c:pt idx="183">
                    <c:v>5.7999999999998726E-2</c:v>
                  </c:pt>
                  <c:pt idx="184">
                    <c:v>5.3999999999998764E-2</c:v>
                  </c:pt>
                  <c:pt idx="185">
                    <c:v>4.9999999999998809E-2</c:v>
                  </c:pt>
                  <c:pt idx="186">
                    <c:v>4.5999999999998854E-2</c:v>
                  </c:pt>
                  <c:pt idx="187">
                    <c:v>4.1999999999998892E-2</c:v>
                  </c:pt>
                  <c:pt idx="188">
                    <c:v>3.7999999999998889E-2</c:v>
                  </c:pt>
                  <c:pt idx="189">
                    <c:v>3.3999999999998927E-2</c:v>
                  </c:pt>
                  <c:pt idx="190">
                    <c:v>2.9999999999998972E-2</c:v>
                  </c:pt>
                  <c:pt idx="191">
                    <c:v>2.599999999999901E-2</c:v>
                  </c:pt>
                  <c:pt idx="192">
                    <c:v>2.1999999999999048E-2</c:v>
                  </c:pt>
                  <c:pt idx="193">
                    <c:v>1.7999999999999051E-2</c:v>
                  </c:pt>
                  <c:pt idx="194">
                    <c:v>1.3999999999999091E-2</c:v>
                  </c:pt>
                  <c:pt idx="195">
                    <c:v>9.9999999999991294E-3</c:v>
                  </c:pt>
                  <c:pt idx="196">
                    <c:v>5.9999999999991709E-3</c:v>
                  </c:pt>
                  <c:pt idx="197">
                    <c:v>1.9999999999992125E-3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subsets'!$EF$11:$EF$211</c:f>
              <c:numCache>
                <c:formatCode>General</c:formatCode>
                <c:ptCount val="201"/>
                <c:pt idx="0">
                  <c:v>-0.2061403044047328</c:v>
                </c:pt>
                <c:pt idx="1">
                  <c:v>-0.20359626627191227</c:v>
                </c:pt>
                <c:pt idx="2">
                  <c:v>-0.20105222813909174</c:v>
                </c:pt>
                <c:pt idx="3">
                  <c:v>-0.19850819000627121</c:v>
                </c:pt>
                <c:pt idx="4">
                  <c:v>-0.19596415187345068</c:v>
                </c:pt>
                <c:pt idx="5">
                  <c:v>-0.19342011374063015</c:v>
                </c:pt>
                <c:pt idx="6">
                  <c:v>-0.19087607560780961</c:v>
                </c:pt>
                <c:pt idx="7">
                  <c:v>-0.18833203747498908</c:v>
                </c:pt>
                <c:pt idx="8">
                  <c:v>-0.18578799934216855</c:v>
                </c:pt>
                <c:pt idx="9">
                  <c:v>-0.18324396120934802</c:v>
                </c:pt>
                <c:pt idx="10">
                  <c:v>-0.18069992307652749</c:v>
                </c:pt>
                <c:pt idx="11">
                  <c:v>-0.17815588494370696</c:v>
                </c:pt>
                <c:pt idx="12">
                  <c:v>-0.17561184681088643</c:v>
                </c:pt>
                <c:pt idx="13">
                  <c:v>-0.1730678086780659</c:v>
                </c:pt>
                <c:pt idx="14">
                  <c:v>-0.17052377054524537</c:v>
                </c:pt>
                <c:pt idx="15">
                  <c:v>-0.16797973241242484</c:v>
                </c:pt>
                <c:pt idx="16">
                  <c:v>-0.16543569427960431</c:v>
                </c:pt>
                <c:pt idx="17">
                  <c:v>-0.16289165614678378</c:v>
                </c:pt>
                <c:pt idx="18">
                  <c:v>-0.16034761801396324</c:v>
                </c:pt>
                <c:pt idx="19">
                  <c:v>-0.15780357988114271</c:v>
                </c:pt>
                <c:pt idx="20">
                  <c:v>-0.15525954174832218</c:v>
                </c:pt>
                <c:pt idx="21">
                  <c:v>-0.15271550361550165</c:v>
                </c:pt>
                <c:pt idx="22">
                  <c:v>-0.15017146548268112</c:v>
                </c:pt>
                <c:pt idx="23">
                  <c:v>-0.14762742734986059</c:v>
                </c:pt>
                <c:pt idx="24">
                  <c:v>-0.14508338921704006</c:v>
                </c:pt>
                <c:pt idx="25">
                  <c:v>-0.14253935108421953</c:v>
                </c:pt>
                <c:pt idx="26">
                  <c:v>-0.139995312951399</c:v>
                </c:pt>
                <c:pt idx="27">
                  <c:v>-0.13745127481857847</c:v>
                </c:pt>
                <c:pt idx="28">
                  <c:v>-0.13490723668575794</c:v>
                </c:pt>
                <c:pt idx="29">
                  <c:v>-0.13236319855293741</c:v>
                </c:pt>
                <c:pt idx="30">
                  <c:v>-0.12981916042011687</c:v>
                </c:pt>
                <c:pt idx="31">
                  <c:v>-0.12727512228729634</c:v>
                </c:pt>
                <c:pt idx="32">
                  <c:v>-0.12473108415447581</c:v>
                </c:pt>
                <c:pt idx="33">
                  <c:v>-0.12218704602165528</c:v>
                </c:pt>
                <c:pt idx="34">
                  <c:v>-0.11964300788883475</c:v>
                </c:pt>
                <c:pt idx="35">
                  <c:v>-0.11709896975601422</c:v>
                </c:pt>
                <c:pt idx="36">
                  <c:v>-0.11455493162319369</c:v>
                </c:pt>
                <c:pt idx="37">
                  <c:v>-0.11201089349037316</c:v>
                </c:pt>
                <c:pt idx="38">
                  <c:v>-0.10946685535755263</c:v>
                </c:pt>
                <c:pt idx="39">
                  <c:v>-0.1069228172247321</c:v>
                </c:pt>
                <c:pt idx="40">
                  <c:v>-0.10437877909191157</c:v>
                </c:pt>
                <c:pt idx="41">
                  <c:v>-0.10183474095909104</c:v>
                </c:pt>
                <c:pt idx="42">
                  <c:v>-9.9290702826270505E-2</c:v>
                </c:pt>
                <c:pt idx="43">
                  <c:v>-9.6746664693449974E-2</c:v>
                </c:pt>
                <c:pt idx="44">
                  <c:v>-9.4202626560629443E-2</c:v>
                </c:pt>
                <c:pt idx="45">
                  <c:v>-9.1658588427808912E-2</c:v>
                </c:pt>
                <c:pt idx="46">
                  <c:v>-8.9114550294988382E-2</c:v>
                </c:pt>
                <c:pt idx="47">
                  <c:v>-8.6570512162167851E-2</c:v>
                </c:pt>
                <c:pt idx="48">
                  <c:v>-8.402647402934732E-2</c:v>
                </c:pt>
                <c:pt idx="49">
                  <c:v>-8.1482435896526789E-2</c:v>
                </c:pt>
                <c:pt idx="50">
                  <c:v>-7.8938397763706258E-2</c:v>
                </c:pt>
                <c:pt idx="51">
                  <c:v>-7.6394359630885728E-2</c:v>
                </c:pt>
                <c:pt idx="52">
                  <c:v>-7.3850321498065197E-2</c:v>
                </c:pt>
                <c:pt idx="53">
                  <c:v>-7.1306283365244666E-2</c:v>
                </c:pt>
                <c:pt idx="54">
                  <c:v>-6.8762245232424135E-2</c:v>
                </c:pt>
                <c:pt idx="55">
                  <c:v>-6.6218207099603604E-2</c:v>
                </c:pt>
                <c:pt idx="56">
                  <c:v>-6.3674168966783073E-2</c:v>
                </c:pt>
                <c:pt idx="57">
                  <c:v>-6.113013083396255E-2</c:v>
                </c:pt>
                <c:pt idx="58">
                  <c:v>-5.8586092701142026E-2</c:v>
                </c:pt>
                <c:pt idx="59">
                  <c:v>-5.6042054568321502E-2</c:v>
                </c:pt>
                <c:pt idx="60">
                  <c:v>-5.3498016435500978E-2</c:v>
                </c:pt>
                <c:pt idx="61">
                  <c:v>-5.0953978302680454E-2</c:v>
                </c:pt>
                <c:pt idx="62">
                  <c:v>-4.840994016985993E-2</c:v>
                </c:pt>
                <c:pt idx="63">
                  <c:v>-4.5865902037039406E-2</c:v>
                </c:pt>
                <c:pt idx="64">
                  <c:v>-4.3321863904218882E-2</c:v>
                </c:pt>
                <c:pt idx="65">
                  <c:v>-4.0777825771398359E-2</c:v>
                </c:pt>
                <c:pt idx="66">
                  <c:v>-3.8233787638577835E-2</c:v>
                </c:pt>
                <c:pt idx="67">
                  <c:v>-3.5689749505757311E-2</c:v>
                </c:pt>
                <c:pt idx="68">
                  <c:v>-3.3145711372936787E-2</c:v>
                </c:pt>
                <c:pt idx="69">
                  <c:v>-3.0601673240116263E-2</c:v>
                </c:pt>
                <c:pt idx="70">
                  <c:v>-2.8057635107295739E-2</c:v>
                </c:pt>
                <c:pt idx="71">
                  <c:v>-2.5513596974475215E-2</c:v>
                </c:pt>
                <c:pt idx="72">
                  <c:v>-2.2969558841654691E-2</c:v>
                </c:pt>
                <c:pt idx="73">
                  <c:v>-2.0425520708834168E-2</c:v>
                </c:pt>
                <c:pt idx="74">
                  <c:v>-1.7881482576013644E-2</c:v>
                </c:pt>
                <c:pt idx="75">
                  <c:v>-1.533744444319312E-2</c:v>
                </c:pt>
                <c:pt idx="76">
                  <c:v>-1.2793406310372596E-2</c:v>
                </c:pt>
                <c:pt idx="77">
                  <c:v>-1.0249368177552072E-2</c:v>
                </c:pt>
                <c:pt idx="78">
                  <c:v>-7.7053300447315481E-3</c:v>
                </c:pt>
                <c:pt idx="79">
                  <c:v>-5.1612919119110243E-3</c:v>
                </c:pt>
                <c:pt idx="80">
                  <c:v>-2.6172537790905E-3</c:v>
                </c:pt>
                <c:pt idx="81">
                  <c:v>-7.3215646269975641E-5</c:v>
                </c:pt>
                <c:pt idx="82">
                  <c:v>2.4708224865505487E-3</c:v>
                </c:pt>
                <c:pt idx="83">
                  <c:v>5.014860619371073E-3</c:v>
                </c:pt>
                <c:pt idx="84">
                  <c:v>7.5588987521915969E-3</c:v>
                </c:pt>
                <c:pt idx="85">
                  <c:v>1.0102936885012121E-2</c:v>
                </c:pt>
                <c:pt idx="86">
                  <c:v>1.2646975017832645E-2</c:v>
                </c:pt>
                <c:pt idx="87">
                  <c:v>1.5191013150653168E-2</c:v>
                </c:pt>
                <c:pt idx="88">
                  <c:v>1.7735051283473694E-2</c:v>
                </c:pt>
                <c:pt idx="89">
                  <c:v>2.0279089416294218E-2</c:v>
                </c:pt>
                <c:pt idx="90">
                  <c:v>2.2823127549114742E-2</c:v>
                </c:pt>
                <c:pt idx="91">
                  <c:v>2.5367165681935266E-2</c:v>
                </c:pt>
                <c:pt idx="92">
                  <c:v>2.791120381475579E-2</c:v>
                </c:pt>
                <c:pt idx="93">
                  <c:v>3.0455241947576314E-2</c:v>
                </c:pt>
                <c:pt idx="94">
                  <c:v>3.2999280080396841E-2</c:v>
                </c:pt>
                <c:pt idx="95">
                  <c:v>3.5543318213217365E-2</c:v>
                </c:pt>
                <c:pt idx="96">
                  <c:v>3.8087356346037889E-2</c:v>
                </c:pt>
                <c:pt idx="97">
                  <c:v>4.0631394478858412E-2</c:v>
                </c:pt>
                <c:pt idx="98">
                  <c:v>4.3175432611678936E-2</c:v>
                </c:pt>
                <c:pt idx="99">
                  <c:v>4.571947074449946E-2</c:v>
                </c:pt>
                <c:pt idx="100">
                  <c:v>4.8263508877319984E-2</c:v>
                </c:pt>
                <c:pt idx="101">
                  <c:v>5.0807547010140508E-2</c:v>
                </c:pt>
                <c:pt idx="102">
                  <c:v>5.3351585142961032E-2</c:v>
                </c:pt>
                <c:pt idx="103">
                  <c:v>5.5895623275781556E-2</c:v>
                </c:pt>
                <c:pt idx="104">
                  <c:v>5.843966140860208E-2</c:v>
                </c:pt>
                <c:pt idx="105">
                  <c:v>6.0983699541422604E-2</c:v>
                </c:pt>
                <c:pt idx="106">
                  <c:v>6.3527737674243134E-2</c:v>
                </c:pt>
                <c:pt idx="107">
                  <c:v>6.6071775807063665E-2</c:v>
                </c:pt>
                <c:pt idx="108">
                  <c:v>6.8615813939884196E-2</c:v>
                </c:pt>
                <c:pt idx="109">
                  <c:v>7.1159852072704727E-2</c:v>
                </c:pt>
                <c:pt idx="110">
                  <c:v>7.3703890205525258E-2</c:v>
                </c:pt>
                <c:pt idx="111">
                  <c:v>7.6247928338345788E-2</c:v>
                </c:pt>
                <c:pt idx="112">
                  <c:v>7.8791966471166319E-2</c:v>
                </c:pt>
                <c:pt idx="113">
                  <c:v>8.133600460398685E-2</c:v>
                </c:pt>
                <c:pt idx="114">
                  <c:v>8.3880042736807381E-2</c:v>
                </c:pt>
                <c:pt idx="115">
                  <c:v>8.6424080869627912E-2</c:v>
                </c:pt>
                <c:pt idx="116">
                  <c:v>8.8968119002448443E-2</c:v>
                </c:pt>
                <c:pt idx="117">
                  <c:v>9.1512157135268973E-2</c:v>
                </c:pt>
                <c:pt idx="118">
                  <c:v>9.4056195268089504E-2</c:v>
                </c:pt>
                <c:pt idx="119">
                  <c:v>9.6600233400910035E-2</c:v>
                </c:pt>
                <c:pt idx="120">
                  <c:v>9.9144271533730566E-2</c:v>
                </c:pt>
                <c:pt idx="121">
                  <c:v>0.1016883096665511</c:v>
                </c:pt>
                <c:pt idx="122">
                  <c:v>0.10423234779937163</c:v>
                </c:pt>
                <c:pt idx="123">
                  <c:v>0.10677638593219216</c:v>
                </c:pt>
                <c:pt idx="124">
                  <c:v>0.10932042406501269</c:v>
                </c:pt>
                <c:pt idx="125">
                  <c:v>0.11186446219783322</c:v>
                </c:pt>
                <c:pt idx="126">
                  <c:v>0.11440850033065375</c:v>
                </c:pt>
                <c:pt idx="127">
                  <c:v>0.11695253846347428</c:v>
                </c:pt>
                <c:pt idx="128">
                  <c:v>0.11949657659629481</c:v>
                </c:pt>
                <c:pt idx="129">
                  <c:v>0.12204061472911534</c:v>
                </c:pt>
                <c:pt idx="130">
                  <c:v>0.12458465286193587</c:v>
                </c:pt>
                <c:pt idx="131">
                  <c:v>0.1271286909947564</c:v>
                </c:pt>
                <c:pt idx="132">
                  <c:v>0.12967272912757694</c:v>
                </c:pt>
                <c:pt idx="133">
                  <c:v>0.13221676726039747</c:v>
                </c:pt>
                <c:pt idx="134">
                  <c:v>0.134760805393218</c:v>
                </c:pt>
                <c:pt idx="135">
                  <c:v>0.13730484352603853</c:v>
                </c:pt>
                <c:pt idx="136">
                  <c:v>0.13984888165885906</c:v>
                </c:pt>
                <c:pt idx="137">
                  <c:v>0.14239291979167959</c:v>
                </c:pt>
                <c:pt idx="138">
                  <c:v>0.14493695792450012</c:v>
                </c:pt>
                <c:pt idx="139">
                  <c:v>0.14748099605732065</c:v>
                </c:pt>
                <c:pt idx="140">
                  <c:v>0.15002503419014118</c:v>
                </c:pt>
                <c:pt idx="141">
                  <c:v>0.15256907232296171</c:v>
                </c:pt>
                <c:pt idx="142">
                  <c:v>0.15511311045578224</c:v>
                </c:pt>
                <c:pt idx="143">
                  <c:v>0.15765714858860277</c:v>
                </c:pt>
                <c:pt idx="144">
                  <c:v>0.16020118672142331</c:v>
                </c:pt>
                <c:pt idx="145">
                  <c:v>0.16274522485424384</c:v>
                </c:pt>
                <c:pt idx="146">
                  <c:v>0.16528926298706437</c:v>
                </c:pt>
                <c:pt idx="147">
                  <c:v>0.1678333011198849</c:v>
                </c:pt>
                <c:pt idx="148">
                  <c:v>0.17037733925270543</c:v>
                </c:pt>
                <c:pt idx="149">
                  <c:v>0.17292137738552596</c:v>
                </c:pt>
                <c:pt idx="150">
                  <c:v>0.17546541551834649</c:v>
                </c:pt>
                <c:pt idx="151">
                  <c:v>0.17800945365116702</c:v>
                </c:pt>
                <c:pt idx="152">
                  <c:v>0.18055349178398755</c:v>
                </c:pt>
                <c:pt idx="153">
                  <c:v>0.18309752991680808</c:v>
                </c:pt>
                <c:pt idx="154">
                  <c:v>0.18564156804962861</c:v>
                </c:pt>
                <c:pt idx="155">
                  <c:v>0.18818560618244914</c:v>
                </c:pt>
                <c:pt idx="156">
                  <c:v>0.19072964431526968</c:v>
                </c:pt>
                <c:pt idx="157">
                  <c:v>0.19327368244809021</c:v>
                </c:pt>
                <c:pt idx="158">
                  <c:v>0.19581772058091074</c:v>
                </c:pt>
                <c:pt idx="159">
                  <c:v>0.19836175871373127</c:v>
                </c:pt>
                <c:pt idx="160">
                  <c:v>0.2009057968465518</c:v>
                </c:pt>
                <c:pt idx="161">
                  <c:v>0.20344983497937233</c:v>
                </c:pt>
                <c:pt idx="162">
                  <c:v>0.20599387311219286</c:v>
                </c:pt>
                <c:pt idx="163">
                  <c:v>0.20853791124501339</c:v>
                </c:pt>
                <c:pt idx="164">
                  <c:v>0.21108194937783392</c:v>
                </c:pt>
                <c:pt idx="165">
                  <c:v>0.21362598751065445</c:v>
                </c:pt>
                <c:pt idx="166">
                  <c:v>0.21617002564347498</c:v>
                </c:pt>
                <c:pt idx="167">
                  <c:v>0.21871406377629551</c:v>
                </c:pt>
                <c:pt idx="168">
                  <c:v>0.22125810190911605</c:v>
                </c:pt>
                <c:pt idx="169">
                  <c:v>0.22380214004193658</c:v>
                </c:pt>
                <c:pt idx="170">
                  <c:v>0.22634617817475711</c:v>
                </c:pt>
                <c:pt idx="171">
                  <c:v>0.22889021630757764</c:v>
                </c:pt>
                <c:pt idx="172">
                  <c:v>0.23143425444039817</c:v>
                </c:pt>
                <c:pt idx="173">
                  <c:v>0.2339782925732187</c:v>
                </c:pt>
                <c:pt idx="174">
                  <c:v>0.23652233070603923</c:v>
                </c:pt>
                <c:pt idx="175">
                  <c:v>0.23906636883885976</c:v>
                </c:pt>
                <c:pt idx="176">
                  <c:v>0.24161040697168029</c:v>
                </c:pt>
                <c:pt idx="177">
                  <c:v>0.24415444510450082</c:v>
                </c:pt>
                <c:pt idx="178">
                  <c:v>0.24669848323732135</c:v>
                </c:pt>
                <c:pt idx="179">
                  <c:v>0.24924252137014188</c:v>
                </c:pt>
                <c:pt idx="180">
                  <c:v>0.25178655950296241</c:v>
                </c:pt>
                <c:pt idx="181">
                  <c:v>0.25433059763578292</c:v>
                </c:pt>
                <c:pt idx="182">
                  <c:v>0.25687463576860342</c:v>
                </c:pt>
                <c:pt idx="183">
                  <c:v>0.25941867390142392</c:v>
                </c:pt>
                <c:pt idx="184">
                  <c:v>0.26196271203424443</c:v>
                </c:pt>
                <c:pt idx="185">
                  <c:v>0.26450675016706493</c:v>
                </c:pt>
                <c:pt idx="186">
                  <c:v>0.26705078829988543</c:v>
                </c:pt>
                <c:pt idx="187">
                  <c:v>0.26959482643270594</c:v>
                </c:pt>
                <c:pt idx="188">
                  <c:v>0.27213886456552644</c:v>
                </c:pt>
                <c:pt idx="189">
                  <c:v>0.27468290269834694</c:v>
                </c:pt>
                <c:pt idx="190">
                  <c:v>0.27722694083116745</c:v>
                </c:pt>
                <c:pt idx="191">
                  <c:v>0.27977097896398795</c:v>
                </c:pt>
                <c:pt idx="192">
                  <c:v>0.28231501709680845</c:v>
                </c:pt>
                <c:pt idx="193">
                  <c:v>0.28485905522962895</c:v>
                </c:pt>
                <c:pt idx="194">
                  <c:v>0.28740309336244946</c:v>
                </c:pt>
                <c:pt idx="195">
                  <c:v>0.28994713149526996</c:v>
                </c:pt>
                <c:pt idx="196">
                  <c:v>0.29249116962809046</c:v>
                </c:pt>
                <c:pt idx="197">
                  <c:v>0.29503520776091097</c:v>
                </c:pt>
                <c:pt idx="198">
                  <c:v>0.29757924589373147</c:v>
                </c:pt>
                <c:pt idx="199">
                  <c:v>0.30012328402655197</c:v>
                </c:pt>
                <c:pt idx="200">
                  <c:v>0.30266732215937248</c:v>
                </c:pt>
              </c:numCache>
            </c:numRef>
          </c:xVal>
          <c:yVal>
            <c:numRef>
              <c:f>'d subsets'!$EH$11:$EH$211</c:f>
              <c:numCache>
                <c:formatCode>General</c:formatCode>
                <c:ptCount val="201"/>
                <c:pt idx="0">
                  <c:v>34</c:v>
                </c:pt>
                <c:pt idx="1">
                  <c:v>34</c:v>
                </c:pt>
                <c:pt idx="2">
                  <c:v>34</c:v>
                </c:pt>
                <c:pt idx="3">
                  <c:v>34</c:v>
                </c:pt>
                <c:pt idx="4">
                  <c:v>34</c:v>
                </c:pt>
                <c:pt idx="5">
                  <c:v>34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  <c:pt idx="12">
                  <c:v>34</c:v>
                </c:pt>
                <c:pt idx="13">
                  <c:v>34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  <c:pt idx="27">
                  <c:v>34</c:v>
                </c:pt>
                <c:pt idx="28">
                  <c:v>34</c:v>
                </c:pt>
                <c:pt idx="29">
                  <c:v>34</c:v>
                </c:pt>
                <c:pt idx="30">
                  <c:v>34</c:v>
                </c:pt>
                <c:pt idx="31">
                  <c:v>34</c:v>
                </c:pt>
                <c:pt idx="32">
                  <c:v>34</c:v>
                </c:pt>
                <c:pt idx="33">
                  <c:v>34</c:v>
                </c:pt>
                <c:pt idx="34">
                  <c:v>34</c:v>
                </c:pt>
                <c:pt idx="35">
                  <c:v>34</c:v>
                </c:pt>
                <c:pt idx="36">
                  <c:v>34</c:v>
                </c:pt>
                <c:pt idx="37">
                  <c:v>34</c:v>
                </c:pt>
                <c:pt idx="38">
                  <c:v>34</c:v>
                </c:pt>
                <c:pt idx="39">
                  <c:v>34</c:v>
                </c:pt>
                <c:pt idx="40">
                  <c:v>34</c:v>
                </c:pt>
                <c:pt idx="41">
                  <c:v>34</c:v>
                </c:pt>
                <c:pt idx="42">
                  <c:v>34</c:v>
                </c:pt>
                <c:pt idx="43">
                  <c:v>34</c:v>
                </c:pt>
                <c:pt idx="44">
                  <c:v>34</c:v>
                </c:pt>
                <c:pt idx="45">
                  <c:v>34</c:v>
                </c:pt>
                <c:pt idx="46">
                  <c:v>34</c:v>
                </c:pt>
                <c:pt idx="47">
                  <c:v>34</c:v>
                </c:pt>
                <c:pt idx="48">
                  <c:v>34</c:v>
                </c:pt>
                <c:pt idx="49">
                  <c:v>34</c:v>
                </c:pt>
                <c:pt idx="50">
                  <c:v>34</c:v>
                </c:pt>
                <c:pt idx="51">
                  <c:v>34</c:v>
                </c:pt>
                <c:pt idx="52">
                  <c:v>34</c:v>
                </c:pt>
                <c:pt idx="53">
                  <c:v>34</c:v>
                </c:pt>
                <c:pt idx="54">
                  <c:v>34</c:v>
                </c:pt>
                <c:pt idx="55">
                  <c:v>34</c:v>
                </c:pt>
                <c:pt idx="56">
                  <c:v>34</c:v>
                </c:pt>
                <c:pt idx="57">
                  <c:v>34</c:v>
                </c:pt>
                <c:pt idx="58">
                  <c:v>34</c:v>
                </c:pt>
                <c:pt idx="59">
                  <c:v>34</c:v>
                </c:pt>
                <c:pt idx="60">
                  <c:v>34</c:v>
                </c:pt>
                <c:pt idx="61">
                  <c:v>34</c:v>
                </c:pt>
                <c:pt idx="62">
                  <c:v>34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34</c:v>
                </c:pt>
                <c:pt idx="67">
                  <c:v>34</c:v>
                </c:pt>
                <c:pt idx="68">
                  <c:v>34</c:v>
                </c:pt>
                <c:pt idx="69">
                  <c:v>34</c:v>
                </c:pt>
                <c:pt idx="70">
                  <c:v>34</c:v>
                </c:pt>
                <c:pt idx="71">
                  <c:v>34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34</c:v>
                </c:pt>
                <c:pt idx="86">
                  <c:v>34</c:v>
                </c:pt>
                <c:pt idx="87">
                  <c:v>34</c:v>
                </c:pt>
                <c:pt idx="88">
                  <c:v>34</c:v>
                </c:pt>
                <c:pt idx="89">
                  <c:v>34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34</c:v>
                </c:pt>
                <c:pt idx="105">
                  <c:v>34</c:v>
                </c:pt>
                <c:pt idx="106">
                  <c:v>34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34</c:v>
                </c:pt>
                <c:pt idx="111">
                  <c:v>34</c:v>
                </c:pt>
                <c:pt idx="112">
                  <c:v>34</c:v>
                </c:pt>
                <c:pt idx="113">
                  <c:v>34</c:v>
                </c:pt>
                <c:pt idx="114">
                  <c:v>34</c:v>
                </c:pt>
                <c:pt idx="115">
                  <c:v>34</c:v>
                </c:pt>
                <c:pt idx="116">
                  <c:v>34</c:v>
                </c:pt>
                <c:pt idx="117">
                  <c:v>34</c:v>
                </c:pt>
                <c:pt idx="118">
                  <c:v>34</c:v>
                </c:pt>
                <c:pt idx="119">
                  <c:v>34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34</c:v>
                </c:pt>
                <c:pt idx="124">
                  <c:v>34</c:v>
                </c:pt>
                <c:pt idx="125">
                  <c:v>34</c:v>
                </c:pt>
                <c:pt idx="126">
                  <c:v>34</c:v>
                </c:pt>
                <c:pt idx="127">
                  <c:v>34</c:v>
                </c:pt>
                <c:pt idx="128">
                  <c:v>34</c:v>
                </c:pt>
                <c:pt idx="129">
                  <c:v>34</c:v>
                </c:pt>
                <c:pt idx="130">
                  <c:v>34</c:v>
                </c:pt>
                <c:pt idx="131">
                  <c:v>34</c:v>
                </c:pt>
                <c:pt idx="132">
                  <c:v>34</c:v>
                </c:pt>
                <c:pt idx="133">
                  <c:v>34</c:v>
                </c:pt>
                <c:pt idx="134">
                  <c:v>34</c:v>
                </c:pt>
                <c:pt idx="135">
                  <c:v>34</c:v>
                </c:pt>
                <c:pt idx="136">
                  <c:v>34</c:v>
                </c:pt>
                <c:pt idx="137">
                  <c:v>34</c:v>
                </c:pt>
                <c:pt idx="138">
                  <c:v>34</c:v>
                </c:pt>
                <c:pt idx="139">
                  <c:v>34</c:v>
                </c:pt>
                <c:pt idx="140">
                  <c:v>34</c:v>
                </c:pt>
                <c:pt idx="141">
                  <c:v>34</c:v>
                </c:pt>
                <c:pt idx="142">
                  <c:v>34</c:v>
                </c:pt>
                <c:pt idx="143">
                  <c:v>34</c:v>
                </c:pt>
                <c:pt idx="144">
                  <c:v>34</c:v>
                </c:pt>
                <c:pt idx="145">
                  <c:v>34</c:v>
                </c:pt>
                <c:pt idx="146">
                  <c:v>34</c:v>
                </c:pt>
                <c:pt idx="147">
                  <c:v>34</c:v>
                </c:pt>
                <c:pt idx="148">
                  <c:v>34</c:v>
                </c:pt>
                <c:pt idx="149">
                  <c:v>34</c:v>
                </c:pt>
                <c:pt idx="150">
                  <c:v>34</c:v>
                </c:pt>
                <c:pt idx="151">
                  <c:v>34</c:v>
                </c:pt>
                <c:pt idx="152">
                  <c:v>34</c:v>
                </c:pt>
                <c:pt idx="153">
                  <c:v>34</c:v>
                </c:pt>
                <c:pt idx="154">
                  <c:v>34</c:v>
                </c:pt>
                <c:pt idx="155">
                  <c:v>34</c:v>
                </c:pt>
                <c:pt idx="156">
                  <c:v>34</c:v>
                </c:pt>
                <c:pt idx="157">
                  <c:v>34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34</c:v>
                </c:pt>
                <c:pt idx="163">
                  <c:v>34</c:v>
                </c:pt>
                <c:pt idx="164">
                  <c:v>34</c:v>
                </c:pt>
                <c:pt idx="165">
                  <c:v>34</c:v>
                </c:pt>
                <c:pt idx="166">
                  <c:v>34</c:v>
                </c:pt>
                <c:pt idx="167">
                  <c:v>34</c:v>
                </c:pt>
                <c:pt idx="168">
                  <c:v>34</c:v>
                </c:pt>
                <c:pt idx="169">
                  <c:v>34</c:v>
                </c:pt>
                <c:pt idx="170">
                  <c:v>34</c:v>
                </c:pt>
                <c:pt idx="171">
                  <c:v>34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34</c:v>
                </c:pt>
                <c:pt idx="178">
                  <c:v>34</c:v>
                </c:pt>
                <c:pt idx="179">
                  <c:v>34</c:v>
                </c:pt>
                <c:pt idx="180">
                  <c:v>34</c:v>
                </c:pt>
                <c:pt idx="181">
                  <c:v>34</c:v>
                </c:pt>
                <c:pt idx="182">
                  <c:v>34</c:v>
                </c:pt>
                <c:pt idx="183">
                  <c:v>34</c:v>
                </c:pt>
                <c:pt idx="184">
                  <c:v>34</c:v>
                </c:pt>
                <c:pt idx="185">
                  <c:v>34</c:v>
                </c:pt>
                <c:pt idx="186">
                  <c:v>34</c:v>
                </c:pt>
                <c:pt idx="187">
                  <c:v>34</c:v>
                </c:pt>
                <c:pt idx="188">
                  <c:v>34</c:v>
                </c:pt>
                <c:pt idx="189">
                  <c:v>34</c:v>
                </c:pt>
                <c:pt idx="190">
                  <c:v>34</c:v>
                </c:pt>
                <c:pt idx="191">
                  <c:v>34</c:v>
                </c:pt>
                <c:pt idx="192">
                  <c:v>34</c:v>
                </c:pt>
                <c:pt idx="193">
                  <c:v>34</c:v>
                </c:pt>
                <c:pt idx="194">
                  <c:v>34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D61-458C-BEDF-3809F8AFF6B1}"/>
            </c:ext>
          </c:extLst>
        </c:ser>
        <c:ser>
          <c:idx val="38"/>
          <c:order val="39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subsets'!$EG$5:$EG$9</c:f>
              <c:numCache>
                <c:formatCode>General</c:formatCode>
                <c:ptCount val="5"/>
                <c:pt idx="0">
                  <c:v>4.826350887731963E-2</c:v>
                </c:pt>
                <c:pt idx="1">
                  <c:v>-0.2061403044047328</c:v>
                </c:pt>
                <c:pt idx="2">
                  <c:v>4.826350887731963E-2</c:v>
                </c:pt>
                <c:pt idx="3">
                  <c:v>0.30266732215937203</c:v>
                </c:pt>
                <c:pt idx="4">
                  <c:v>4.826350887731963E-2</c:v>
                </c:pt>
              </c:numCache>
            </c:numRef>
          </c:xVal>
          <c:yVal>
            <c:numRef>
              <c:f>'d subsets'!$EH$5:$EH$9</c:f>
              <c:numCache>
                <c:formatCode>General</c:formatCode>
                <c:ptCount val="5"/>
                <c:pt idx="0">
                  <c:v>34.4</c:v>
                </c:pt>
                <c:pt idx="1">
                  <c:v>34</c:v>
                </c:pt>
                <c:pt idx="2">
                  <c:v>33.6</c:v>
                </c:pt>
                <c:pt idx="3">
                  <c:v>34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D61-458C-BEDF-3809F8AFF6B1}"/>
            </c:ext>
          </c:extLst>
        </c:ser>
        <c:ser>
          <c:idx val="39"/>
          <c:order val="40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subsets'!$ED$11:$ED$211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2.0000000000000104E-3</c:v>
                  </c:pt>
                  <c:pt idx="4">
                    <c:v>5.9999999999999689E-3</c:v>
                  </c:pt>
                  <c:pt idx="5">
                    <c:v>9.9999999999999759E-3</c:v>
                  </c:pt>
                  <c:pt idx="6">
                    <c:v>1.3999999999999979E-2</c:v>
                  </c:pt>
                  <c:pt idx="7">
                    <c:v>1.7999999999999981E-2</c:v>
                  </c:pt>
                  <c:pt idx="8">
                    <c:v>2.1999999999999985E-2</c:v>
                  </c:pt>
                  <c:pt idx="9">
                    <c:v>2.5999999999999988E-2</c:v>
                  </c:pt>
                  <c:pt idx="10">
                    <c:v>2.9999999999999992E-2</c:v>
                  </c:pt>
                  <c:pt idx="11">
                    <c:v>3.3999999999999954E-2</c:v>
                  </c:pt>
                  <c:pt idx="12">
                    <c:v>3.7999999999999957E-2</c:v>
                  </c:pt>
                  <c:pt idx="13">
                    <c:v>4.1999999999999961E-2</c:v>
                  </c:pt>
                  <c:pt idx="14">
                    <c:v>4.5999999999999965E-2</c:v>
                  </c:pt>
                  <c:pt idx="15">
                    <c:v>4.9999999999999968E-2</c:v>
                  </c:pt>
                  <c:pt idx="16">
                    <c:v>5.3999999999999972E-2</c:v>
                  </c:pt>
                  <c:pt idx="17">
                    <c:v>5.7999999999999934E-2</c:v>
                  </c:pt>
                  <c:pt idx="18">
                    <c:v>6.1999999999999937E-2</c:v>
                  </c:pt>
                  <c:pt idx="19">
                    <c:v>6.5999999999999948E-2</c:v>
                  </c:pt>
                  <c:pt idx="20">
                    <c:v>6.9999999999999951E-2</c:v>
                  </c:pt>
                  <c:pt idx="21">
                    <c:v>7.3999999999999955E-2</c:v>
                  </c:pt>
                  <c:pt idx="22">
                    <c:v>7.7999999999999958E-2</c:v>
                  </c:pt>
                  <c:pt idx="23">
                    <c:v>8.1999999999999962E-2</c:v>
                  </c:pt>
                  <c:pt idx="24">
                    <c:v>8.5999999999999924E-2</c:v>
                  </c:pt>
                  <c:pt idx="25">
                    <c:v>8.9999999999999927E-2</c:v>
                  </c:pt>
                  <c:pt idx="26">
                    <c:v>9.3999999999999931E-2</c:v>
                  </c:pt>
                  <c:pt idx="27">
                    <c:v>9.7999999999999934E-2</c:v>
                  </c:pt>
                  <c:pt idx="28">
                    <c:v>0.10199999999999994</c:v>
                  </c:pt>
                  <c:pt idx="29">
                    <c:v>0.10599999999999994</c:v>
                  </c:pt>
                  <c:pt idx="30">
                    <c:v>0.10999999999999995</c:v>
                  </c:pt>
                  <c:pt idx="31">
                    <c:v>0.11399999999999989</c:v>
                  </c:pt>
                  <c:pt idx="32">
                    <c:v>0.1179999999999999</c:v>
                  </c:pt>
                  <c:pt idx="33">
                    <c:v>0.1219999999999999</c:v>
                  </c:pt>
                  <c:pt idx="34">
                    <c:v>0.12599999999999989</c:v>
                  </c:pt>
                  <c:pt idx="35">
                    <c:v>0.12999999999999989</c:v>
                  </c:pt>
                  <c:pt idx="36">
                    <c:v>0.1339999999999999</c:v>
                  </c:pt>
                  <c:pt idx="37">
                    <c:v>0.13799999999999987</c:v>
                  </c:pt>
                  <c:pt idx="38">
                    <c:v>0.14199999999999988</c:v>
                  </c:pt>
                  <c:pt idx="39">
                    <c:v>0.14599999999999988</c:v>
                  </c:pt>
                  <c:pt idx="40">
                    <c:v>0.14999999999999988</c:v>
                  </c:pt>
                  <c:pt idx="41">
                    <c:v>0.15399999999999989</c:v>
                  </c:pt>
                  <c:pt idx="42">
                    <c:v>0.15799999999999989</c:v>
                  </c:pt>
                  <c:pt idx="43">
                    <c:v>0.16199999999999989</c:v>
                  </c:pt>
                  <c:pt idx="44">
                    <c:v>0.16599999999999984</c:v>
                  </c:pt>
                  <c:pt idx="45">
                    <c:v>0.16999999999999985</c:v>
                  </c:pt>
                  <c:pt idx="46">
                    <c:v>0.17399999999999985</c:v>
                  </c:pt>
                  <c:pt idx="47">
                    <c:v>0.17799999999999985</c:v>
                  </c:pt>
                  <c:pt idx="48">
                    <c:v>0.18199999999999986</c:v>
                  </c:pt>
                  <c:pt idx="49">
                    <c:v>0.18599999999999986</c:v>
                  </c:pt>
                  <c:pt idx="50">
                    <c:v>0.18999999999999986</c:v>
                  </c:pt>
                  <c:pt idx="51">
                    <c:v>0.19399999999999984</c:v>
                  </c:pt>
                  <c:pt idx="52">
                    <c:v>0.19799999999999984</c:v>
                  </c:pt>
                  <c:pt idx="53">
                    <c:v>0.20199999999999985</c:v>
                  </c:pt>
                  <c:pt idx="54">
                    <c:v>0.20599999999999985</c:v>
                  </c:pt>
                  <c:pt idx="55">
                    <c:v>0.20999999999999985</c:v>
                  </c:pt>
                  <c:pt idx="56">
                    <c:v>0.21399999999999986</c:v>
                  </c:pt>
                  <c:pt idx="57">
                    <c:v>0.21799999999999986</c:v>
                  </c:pt>
                  <c:pt idx="58">
                    <c:v>0.22199999999999986</c:v>
                  </c:pt>
                  <c:pt idx="59">
                    <c:v>0.22599999999999981</c:v>
                  </c:pt>
                  <c:pt idx="60">
                    <c:v>0.22999999999999982</c:v>
                  </c:pt>
                  <c:pt idx="61">
                    <c:v>0.23399999999999982</c:v>
                  </c:pt>
                  <c:pt idx="62">
                    <c:v>0.23799999999999982</c:v>
                  </c:pt>
                  <c:pt idx="63">
                    <c:v>0.24199999999999977</c:v>
                  </c:pt>
                  <c:pt idx="64">
                    <c:v>0.24599999999999977</c:v>
                  </c:pt>
                  <c:pt idx="65">
                    <c:v>0.24999999999999978</c:v>
                  </c:pt>
                  <c:pt idx="66">
                    <c:v>0.25399999999999978</c:v>
                  </c:pt>
                  <c:pt idx="67">
                    <c:v>0.25799999999999979</c:v>
                  </c:pt>
                  <c:pt idx="68">
                    <c:v>0.26199999999999979</c:v>
                  </c:pt>
                  <c:pt idx="69">
                    <c:v>0.26599999999999979</c:v>
                  </c:pt>
                  <c:pt idx="70">
                    <c:v>0.2699999999999998</c:v>
                  </c:pt>
                  <c:pt idx="71">
                    <c:v>0.2739999999999998</c:v>
                  </c:pt>
                  <c:pt idx="72">
                    <c:v>0.2779999999999998</c:v>
                  </c:pt>
                  <c:pt idx="73">
                    <c:v>0.28199999999999975</c:v>
                  </c:pt>
                  <c:pt idx="74">
                    <c:v>0.28599999999999975</c:v>
                  </c:pt>
                  <c:pt idx="75">
                    <c:v>0.28999999999999981</c:v>
                  </c:pt>
                  <c:pt idx="76">
                    <c:v>0.29399999999999982</c:v>
                  </c:pt>
                  <c:pt idx="77">
                    <c:v>0.29799999999999977</c:v>
                  </c:pt>
                  <c:pt idx="78">
                    <c:v>0.30199999999999977</c:v>
                  </c:pt>
                  <c:pt idx="79">
                    <c:v>0.30599999999999977</c:v>
                  </c:pt>
                  <c:pt idx="80">
                    <c:v>0.30999999999999978</c:v>
                  </c:pt>
                  <c:pt idx="81">
                    <c:v>0.31399999999999978</c:v>
                  </c:pt>
                  <c:pt idx="82">
                    <c:v>0.31799999999999978</c:v>
                  </c:pt>
                  <c:pt idx="83">
                    <c:v>0.32199999999999979</c:v>
                  </c:pt>
                  <c:pt idx="84">
                    <c:v>0.32599999999999979</c:v>
                  </c:pt>
                  <c:pt idx="85">
                    <c:v>0.32999999999999974</c:v>
                  </c:pt>
                  <c:pt idx="86">
                    <c:v>0.33399999999999974</c:v>
                  </c:pt>
                  <c:pt idx="87">
                    <c:v>0.33799999999999975</c:v>
                  </c:pt>
                  <c:pt idx="88">
                    <c:v>0.34199999999999975</c:v>
                  </c:pt>
                  <c:pt idx="89">
                    <c:v>0.34599999999999975</c:v>
                  </c:pt>
                  <c:pt idx="90">
                    <c:v>0.34999999999999976</c:v>
                  </c:pt>
                  <c:pt idx="91">
                    <c:v>0.3539999999999997</c:v>
                  </c:pt>
                  <c:pt idx="92">
                    <c:v>0.35799999999999971</c:v>
                  </c:pt>
                  <c:pt idx="93">
                    <c:v>0.36199999999999971</c:v>
                  </c:pt>
                  <c:pt idx="94">
                    <c:v>0.36599999999999971</c:v>
                  </c:pt>
                  <c:pt idx="95">
                    <c:v>0.36999999999999972</c:v>
                  </c:pt>
                  <c:pt idx="96">
                    <c:v>0.37399999999999972</c:v>
                  </c:pt>
                  <c:pt idx="97">
                    <c:v>0.37799999999999973</c:v>
                  </c:pt>
                  <c:pt idx="98">
                    <c:v>0.38199999999999967</c:v>
                  </c:pt>
                  <c:pt idx="99">
                    <c:v>0.38599999999999968</c:v>
                  </c:pt>
                  <c:pt idx="100">
                    <c:v>0.38999999999999968</c:v>
                  </c:pt>
                  <c:pt idx="101">
                    <c:v>0.38600000000000034</c:v>
                  </c:pt>
                  <c:pt idx="102">
                    <c:v>0.38200000000000034</c:v>
                  </c:pt>
                  <c:pt idx="103">
                    <c:v>0.37800000000000034</c:v>
                  </c:pt>
                  <c:pt idx="104">
                    <c:v>0.37400000000000033</c:v>
                  </c:pt>
                  <c:pt idx="105">
                    <c:v>0.37000000000000033</c:v>
                  </c:pt>
                  <c:pt idx="106">
                    <c:v>0.36600000000000033</c:v>
                  </c:pt>
                  <c:pt idx="107">
                    <c:v>0.36200000000000032</c:v>
                  </c:pt>
                  <c:pt idx="108">
                    <c:v>0.35800000000000032</c:v>
                  </c:pt>
                  <c:pt idx="109">
                    <c:v>0.35400000000000031</c:v>
                  </c:pt>
                  <c:pt idx="110">
                    <c:v>0.35000000000000031</c:v>
                  </c:pt>
                  <c:pt idx="111">
                    <c:v>0.34600000000000031</c:v>
                  </c:pt>
                  <c:pt idx="112">
                    <c:v>0.34200000000000036</c:v>
                  </c:pt>
                  <c:pt idx="113">
                    <c:v>0.33800000000000036</c:v>
                  </c:pt>
                  <c:pt idx="114">
                    <c:v>0.33400000000000035</c:v>
                  </c:pt>
                  <c:pt idx="115">
                    <c:v>0.33000000000000035</c:v>
                  </c:pt>
                  <c:pt idx="116">
                    <c:v>0.32600000000000035</c:v>
                  </c:pt>
                  <c:pt idx="117">
                    <c:v>0.3220000000000004</c:v>
                  </c:pt>
                  <c:pt idx="118">
                    <c:v>0.31800000000000039</c:v>
                  </c:pt>
                  <c:pt idx="119">
                    <c:v>0.31400000000000039</c:v>
                  </c:pt>
                  <c:pt idx="120">
                    <c:v>0.31000000000000039</c:v>
                  </c:pt>
                  <c:pt idx="121">
                    <c:v>0.30600000000000038</c:v>
                  </c:pt>
                  <c:pt idx="122">
                    <c:v>0.30200000000000038</c:v>
                  </c:pt>
                  <c:pt idx="123">
                    <c:v>0.29800000000000038</c:v>
                  </c:pt>
                  <c:pt idx="124">
                    <c:v>0.29400000000000037</c:v>
                  </c:pt>
                  <c:pt idx="125">
                    <c:v>0.29000000000000037</c:v>
                  </c:pt>
                  <c:pt idx="126">
                    <c:v>0.28600000000000037</c:v>
                  </c:pt>
                  <c:pt idx="127">
                    <c:v>0.28200000000000042</c:v>
                  </c:pt>
                  <c:pt idx="128">
                    <c:v>0.27800000000000041</c:v>
                  </c:pt>
                  <c:pt idx="129">
                    <c:v>0.27400000000000041</c:v>
                  </c:pt>
                  <c:pt idx="130">
                    <c:v>0.27000000000000041</c:v>
                  </c:pt>
                  <c:pt idx="131">
                    <c:v>0.2660000000000004</c:v>
                  </c:pt>
                  <c:pt idx="132">
                    <c:v>0.2620000000000004</c:v>
                  </c:pt>
                  <c:pt idx="133">
                    <c:v>0.2580000000000004</c:v>
                  </c:pt>
                  <c:pt idx="134">
                    <c:v>0.25400000000000039</c:v>
                  </c:pt>
                  <c:pt idx="135">
                    <c:v>0.25000000000000039</c:v>
                  </c:pt>
                  <c:pt idx="136">
                    <c:v>0.24600000000000039</c:v>
                  </c:pt>
                  <c:pt idx="137">
                    <c:v>0.24200000000000038</c:v>
                  </c:pt>
                  <c:pt idx="138">
                    <c:v>0.23800000000000041</c:v>
                  </c:pt>
                  <c:pt idx="139">
                    <c:v>0.2340000000000004</c:v>
                  </c:pt>
                  <c:pt idx="140">
                    <c:v>0.23000000000000043</c:v>
                  </c:pt>
                  <c:pt idx="141">
                    <c:v>0.22600000000000042</c:v>
                  </c:pt>
                  <c:pt idx="142">
                    <c:v>0.22200000000000042</c:v>
                  </c:pt>
                  <c:pt idx="143">
                    <c:v>0.21800000000000047</c:v>
                  </c:pt>
                  <c:pt idx="144">
                    <c:v>0.21400000000000047</c:v>
                  </c:pt>
                  <c:pt idx="145">
                    <c:v>0.21000000000000046</c:v>
                  </c:pt>
                  <c:pt idx="146">
                    <c:v>0.20600000000000046</c:v>
                  </c:pt>
                  <c:pt idx="147">
                    <c:v>0.20200000000000046</c:v>
                  </c:pt>
                  <c:pt idx="148">
                    <c:v>0.19800000000000045</c:v>
                  </c:pt>
                  <c:pt idx="149">
                    <c:v>0.19400000000000045</c:v>
                  </c:pt>
                  <c:pt idx="150">
                    <c:v>0.19000000000000045</c:v>
                  </c:pt>
                  <c:pt idx="151">
                    <c:v>0.18600000000000044</c:v>
                  </c:pt>
                  <c:pt idx="152">
                    <c:v>0.18200000000000049</c:v>
                  </c:pt>
                  <c:pt idx="153">
                    <c:v>0.17800000000000049</c:v>
                  </c:pt>
                  <c:pt idx="154">
                    <c:v>0.17400000000000049</c:v>
                  </c:pt>
                  <c:pt idx="155">
                    <c:v>0.17000000000000048</c:v>
                  </c:pt>
                  <c:pt idx="156">
                    <c:v>0.16600000000000048</c:v>
                  </c:pt>
                  <c:pt idx="157">
                    <c:v>0.16200000000000048</c:v>
                  </c:pt>
                  <c:pt idx="158">
                    <c:v>0.1580000000000005</c:v>
                  </c:pt>
                  <c:pt idx="159">
                    <c:v>0.1540000000000005</c:v>
                  </c:pt>
                  <c:pt idx="160">
                    <c:v>0.15000000000000049</c:v>
                  </c:pt>
                  <c:pt idx="161">
                    <c:v>0.14600000000000049</c:v>
                  </c:pt>
                  <c:pt idx="162">
                    <c:v>0.14200000000000049</c:v>
                  </c:pt>
                  <c:pt idx="163">
                    <c:v>0.13800000000000048</c:v>
                  </c:pt>
                  <c:pt idx="164">
                    <c:v>0.13400000000000034</c:v>
                  </c:pt>
                  <c:pt idx="165">
                    <c:v>0.13000000000000034</c:v>
                  </c:pt>
                  <c:pt idx="166">
                    <c:v>0.12600000000000033</c:v>
                  </c:pt>
                  <c:pt idx="167">
                    <c:v>0.12200000000000034</c:v>
                  </c:pt>
                  <c:pt idx="168">
                    <c:v>0.1180000000000004</c:v>
                  </c:pt>
                  <c:pt idx="169">
                    <c:v>0.11400000000000039</c:v>
                  </c:pt>
                  <c:pt idx="170">
                    <c:v>0.11000000000000039</c:v>
                  </c:pt>
                  <c:pt idx="171">
                    <c:v>0.10600000000000039</c:v>
                  </c:pt>
                  <c:pt idx="172">
                    <c:v>0.10200000000000038</c:v>
                  </c:pt>
                  <c:pt idx="173">
                    <c:v>9.8000000000000378E-2</c:v>
                  </c:pt>
                  <c:pt idx="174">
                    <c:v>9.4000000000000375E-2</c:v>
                  </c:pt>
                  <c:pt idx="175">
                    <c:v>9.0000000000000413E-2</c:v>
                  </c:pt>
                  <c:pt idx="176">
                    <c:v>8.6000000000000409E-2</c:v>
                  </c:pt>
                  <c:pt idx="177">
                    <c:v>8.2000000000000406E-2</c:v>
                  </c:pt>
                  <c:pt idx="178">
                    <c:v>7.8000000000000402E-2</c:v>
                  </c:pt>
                  <c:pt idx="179">
                    <c:v>7.4000000000000399E-2</c:v>
                  </c:pt>
                  <c:pt idx="180">
                    <c:v>7.0000000000000395E-2</c:v>
                  </c:pt>
                  <c:pt idx="181">
                    <c:v>6.6000000000000392E-2</c:v>
                  </c:pt>
                  <c:pt idx="182">
                    <c:v>6.2000000000000423E-2</c:v>
                  </c:pt>
                  <c:pt idx="183">
                    <c:v>5.8000000000000419E-2</c:v>
                  </c:pt>
                  <c:pt idx="184">
                    <c:v>5.4000000000000416E-2</c:v>
                  </c:pt>
                  <c:pt idx="185">
                    <c:v>5.0000000000000412E-2</c:v>
                  </c:pt>
                  <c:pt idx="186">
                    <c:v>4.6000000000000409E-2</c:v>
                  </c:pt>
                  <c:pt idx="187">
                    <c:v>4.2000000000000405E-2</c:v>
                  </c:pt>
                  <c:pt idx="188">
                    <c:v>3.8000000000000443E-2</c:v>
                  </c:pt>
                  <c:pt idx="189">
                    <c:v>3.400000000000044E-2</c:v>
                  </c:pt>
                  <c:pt idx="190">
                    <c:v>3.0000000000000436E-2</c:v>
                  </c:pt>
                  <c:pt idx="191">
                    <c:v>2.6000000000000432E-2</c:v>
                  </c:pt>
                  <c:pt idx="192">
                    <c:v>2.2000000000000429E-2</c:v>
                  </c:pt>
                  <c:pt idx="193">
                    <c:v>1.8000000000000425E-2</c:v>
                  </c:pt>
                  <c:pt idx="194">
                    <c:v>1.4000000000000424E-2</c:v>
                  </c:pt>
                  <c:pt idx="195">
                    <c:v>1.0000000000000462E-2</c:v>
                  </c:pt>
                  <c:pt idx="196">
                    <c:v>6.0000000000004581E-3</c:v>
                  </c:pt>
                  <c:pt idx="197">
                    <c:v>2.0000000000004545E-3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'd subsets'!$ED$11:$ED$211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2.0000000000000104E-3</c:v>
                  </c:pt>
                  <c:pt idx="4">
                    <c:v>5.9999999999999689E-3</c:v>
                  </c:pt>
                  <c:pt idx="5">
                    <c:v>9.9999999999999759E-3</c:v>
                  </c:pt>
                  <c:pt idx="6">
                    <c:v>1.3999999999999979E-2</c:v>
                  </c:pt>
                  <c:pt idx="7">
                    <c:v>1.7999999999999981E-2</c:v>
                  </c:pt>
                  <c:pt idx="8">
                    <c:v>2.1999999999999985E-2</c:v>
                  </c:pt>
                  <c:pt idx="9">
                    <c:v>2.5999999999999988E-2</c:v>
                  </c:pt>
                  <c:pt idx="10">
                    <c:v>2.9999999999999992E-2</c:v>
                  </c:pt>
                  <c:pt idx="11">
                    <c:v>3.3999999999999954E-2</c:v>
                  </c:pt>
                  <c:pt idx="12">
                    <c:v>3.7999999999999957E-2</c:v>
                  </c:pt>
                  <c:pt idx="13">
                    <c:v>4.1999999999999961E-2</c:v>
                  </c:pt>
                  <c:pt idx="14">
                    <c:v>4.5999999999999965E-2</c:v>
                  </c:pt>
                  <c:pt idx="15">
                    <c:v>4.9999999999999968E-2</c:v>
                  </c:pt>
                  <c:pt idx="16">
                    <c:v>5.3999999999999972E-2</c:v>
                  </c:pt>
                  <c:pt idx="17">
                    <c:v>5.7999999999999934E-2</c:v>
                  </c:pt>
                  <c:pt idx="18">
                    <c:v>6.1999999999999937E-2</c:v>
                  </c:pt>
                  <c:pt idx="19">
                    <c:v>6.5999999999999948E-2</c:v>
                  </c:pt>
                  <c:pt idx="20">
                    <c:v>6.9999999999999951E-2</c:v>
                  </c:pt>
                  <c:pt idx="21">
                    <c:v>7.3999999999999955E-2</c:v>
                  </c:pt>
                  <c:pt idx="22">
                    <c:v>7.7999999999999958E-2</c:v>
                  </c:pt>
                  <c:pt idx="23">
                    <c:v>8.1999999999999962E-2</c:v>
                  </c:pt>
                  <c:pt idx="24">
                    <c:v>8.5999999999999924E-2</c:v>
                  </c:pt>
                  <c:pt idx="25">
                    <c:v>8.9999999999999927E-2</c:v>
                  </c:pt>
                  <c:pt idx="26">
                    <c:v>9.3999999999999931E-2</c:v>
                  </c:pt>
                  <c:pt idx="27">
                    <c:v>9.7999999999999934E-2</c:v>
                  </c:pt>
                  <c:pt idx="28">
                    <c:v>0.10199999999999994</c:v>
                  </c:pt>
                  <c:pt idx="29">
                    <c:v>0.10599999999999994</c:v>
                  </c:pt>
                  <c:pt idx="30">
                    <c:v>0.10999999999999995</c:v>
                  </c:pt>
                  <c:pt idx="31">
                    <c:v>0.11399999999999989</c:v>
                  </c:pt>
                  <c:pt idx="32">
                    <c:v>0.1179999999999999</c:v>
                  </c:pt>
                  <c:pt idx="33">
                    <c:v>0.1219999999999999</c:v>
                  </c:pt>
                  <c:pt idx="34">
                    <c:v>0.12599999999999989</c:v>
                  </c:pt>
                  <c:pt idx="35">
                    <c:v>0.12999999999999989</c:v>
                  </c:pt>
                  <c:pt idx="36">
                    <c:v>0.1339999999999999</c:v>
                  </c:pt>
                  <c:pt idx="37">
                    <c:v>0.13799999999999987</c:v>
                  </c:pt>
                  <c:pt idx="38">
                    <c:v>0.14199999999999988</c:v>
                  </c:pt>
                  <c:pt idx="39">
                    <c:v>0.14599999999999988</c:v>
                  </c:pt>
                  <c:pt idx="40">
                    <c:v>0.14999999999999988</c:v>
                  </c:pt>
                  <c:pt idx="41">
                    <c:v>0.15399999999999989</c:v>
                  </c:pt>
                  <c:pt idx="42">
                    <c:v>0.15799999999999989</c:v>
                  </c:pt>
                  <c:pt idx="43">
                    <c:v>0.16199999999999989</c:v>
                  </c:pt>
                  <c:pt idx="44">
                    <c:v>0.16599999999999984</c:v>
                  </c:pt>
                  <c:pt idx="45">
                    <c:v>0.16999999999999985</c:v>
                  </c:pt>
                  <c:pt idx="46">
                    <c:v>0.17399999999999985</c:v>
                  </c:pt>
                  <c:pt idx="47">
                    <c:v>0.17799999999999985</c:v>
                  </c:pt>
                  <c:pt idx="48">
                    <c:v>0.18199999999999986</c:v>
                  </c:pt>
                  <c:pt idx="49">
                    <c:v>0.18599999999999986</c:v>
                  </c:pt>
                  <c:pt idx="50">
                    <c:v>0.18999999999999986</c:v>
                  </c:pt>
                  <c:pt idx="51">
                    <c:v>0.19399999999999984</c:v>
                  </c:pt>
                  <c:pt idx="52">
                    <c:v>0.19799999999999984</c:v>
                  </c:pt>
                  <c:pt idx="53">
                    <c:v>0.20199999999999985</c:v>
                  </c:pt>
                  <c:pt idx="54">
                    <c:v>0.20599999999999985</c:v>
                  </c:pt>
                  <c:pt idx="55">
                    <c:v>0.20999999999999985</c:v>
                  </c:pt>
                  <c:pt idx="56">
                    <c:v>0.21399999999999986</c:v>
                  </c:pt>
                  <c:pt idx="57">
                    <c:v>0.21799999999999986</c:v>
                  </c:pt>
                  <c:pt idx="58">
                    <c:v>0.22199999999999986</c:v>
                  </c:pt>
                  <c:pt idx="59">
                    <c:v>0.22599999999999981</c:v>
                  </c:pt>
                  <c:pt idx="60">
                    <c:v>0.22999999999999982</c:v>
                  </c:pt>
                  <c:pt idx="61">
                    <c:v>0.23399999999999982</c:v>
                  </c:pt>
                  <c:pt idx="62">
                    <c:v>0.23799999999999982</c:v>
                  </c:pt>
                  <c:pt idx="63">
                    <c:v>0.24199999999999977</c:v>
                  </c:pt>
                  <c:pt idx="64">
                    <c:v>0.24599999999999977</c:v>
                  </c:pt>
                  <c:pt idx="65">
                    <c:v>0.24999999999999978</c:v>
                  </c:pt>
                  <c:pt idx="66">
                    <c:v>0.25399999999999978</c:v>
                  </c:pt>
                  <c:pt idx="67">
                    <c:v>0.25799999999999979</c:v>
                  </c:pt>
                  <c:pt idx="68">
                    <c:v>0.26199999999999979</c:v>
                  </c:pt>
                  <c:pt idx="69">
                    <c:v>0.26599999999999979</c:v>
                  </c:pt>
                  <c:pt idx="70">
                    <c:v>0.2699999999999998</c:v>
                  </c:pt>
                  <c:pt idx="71">
                    <c:v>0.2739999999999998</c:v>
                  </c:pt>
                  <c:pt idx="72">
                    <c:v>0.2779999999999998</c:v>
                  </c:pt>
                  <c:pt idx="73">
                    <c:v>0.28199999999999975</c:v>
                  </c:pt>
                  <c:pt idx="74">
                    <c:v>0.28599999999999975</c:v>
                  </c:pt>
                  <c:pt idx="75">
                    <c:v>0.28999999999999981</c:v>
                  </c:pt>
                  <c:pt idx="76">
                    <c:v>0.29399999999999982</c:v>
                  </c:pt>
                  <c:pt idx="77">
                    <c:v>0.29799999999999977</c:v>
                  </c:pt>
                  <c:pt idx="78">
                    <c:v>0.30199999999999977</c:v>
                  </c:pt>
                  <c:pt idx="79">
                    <c:v>0.30599999999999977</c:v>
                  </c:pt>
                  <c:pt idx="80">
                    <c:v>0.30999999999999978</c:v>
                  </c:pt>
                  <c:pt idx="81">
                    <c:v>0.31399999999999978</c:v>
                  </c:pt>
                  <c:pt idx="82">
                    <c:v>0.31799999999999978</c:v>
                  </c:pt>
                  <c:pt idx="83">
                    <c:v>0.32199999999999979</c:v>
                  </c:pt>
                  <c:pt idx="84">
                    <c:v>0.32599999999999979</c:v>
                  </c:pt>
                  <c:pt idx="85">
                    <c:v>0.32999999999999974</c:v>
                  </c:pt>
                  <c:pt idx="86">
                    <c:v>0.33399999999999974</c:v>
                  </c:pt>
                  <c:pt idx="87">
                    <c:v>0.33799999999999975</c:v>
                  </c:pt>
                  <c:pt idx="88">
                    <c:v>0.34199999999999975</c:v>
                  </c:pt>
                  <c:pt idx="89">
                    <c:v>0.34599999999999975</c:v>
                  </c:pt>
                  <c:pt idx="90">
                    <c:v>0.34999999999999976</c:v>
                  </c:pt>
                  <c:pt idx="91">
                    <c:v>0.3539999999999997</c:v>
                  </c:pt>
                  <c:pt idx="92">
                    <c:v>0.35799999999999971</c:v>
                  </c:pt>
                  <c:pt idx="93">
                    <c:v>0.36199999999999971</c:v>
                  </c:pt>
                  <c:pt idx="94">
                    <c:v>0.36599999999999971</c:v>
                  </c:pt>
                  <c:pt idx="95">
                    <c:v>0.36999999999999972</c:v>
                  </c:pt>
                  <c:pt idx="96">
                    <c:v>0.37399999999999972</c:v>
                  </c:pt>
                  <c:pt idx="97">
                    <c:v>0.37799999999999973</c:v>
                  </c:pt>
                  <c:pt idx="98">
                    <c:v>0.38199999999999967</c:v>
                  </c:pt>
                  <c:pt idx="99">
                    <c:v>0.38599999999999968</c:v>
                  </c:pt>
                  <c:pt idx="100">
                    <c:v>0.38999999999999968</c:v>
                  </c:pt>
                  <c:pt idx="101">
                    <c:v>0.38600000000000034</c:v>
                  </c:pt>
                  <c:pt idx="102">
                    <c:v>0.38200000000000034</c:v>
                  </c:pt>
                  <c:pt idx="103">
                    <c:v>0.37800000000000034</c:v>
                  </c:pt>
                  <c:pt idx="104">
                    <c:v>0.37400000000000033</c:v>
                  </c:pt>
                  <c:pt idx="105">
                    <c:v>0.37000000000000033</c:v>
                  </c:pt>
                  <c:pt idx="106">
                    <c:v>0.36600000000000033</c:v>
                  </c:pt>
                  <c:pt idx="107">
                    <c:v>0.36200000000000032</c:v>
                  </c:pt>
                  <c:pt idx="108">
                    <c:v>0.35800000000000032</c:v>
                  </c:pt>
                  <c:pt idx="109">
                    <c:v>0.35400000000000031</c:v>
                  </c:pt>
                  <c:pt idx="110">
                    <c:v>0.35000000000000031</c:v>
                  </c:pt>
                  <c:pt idx="111">
                    <c:v>0.34600000000000031</c:v>
                  </c:pt>
                  <c:pt idx="112">
                    <c:v>0.34200000000000036</c:v>
                  </c:pt>
                  <c:pt idx="113">
                    <c:v>0.33800000000000036</c:v>
                  </c:pt>
                  <c:pt idx="114">
                    <c:v>0.33400000000000035</c:v>
                  </c:pt>
                  <c:pt idx="115">
                    <c:v>0.33000000000000035</c:v>
                  </c:pt>
                  <c:pt idx="116">
                    <c:v>0.32600000000000035</c:v>
                  </c:pt>
                  <c:pt idx="117">
                    <c:v>0.3220000000000004</c:v>
                  </c:pt>
                  <c:pt idx="118">
                    <c:v>0.31800000000000039</c:v>
                  </c:pt>
                  <c:pt idx="119">
                    <c:v>0.31400000000000039</c:v>
                  </c:pt>
                  <c:pt idx="120">
                    <c:v>0.31000000000000039</c:v>
                  </c:pt>
                  <c:pt idx="121">
                    <c:v>0.30600000000000038</c:v>
                  </c:pt>
                  <c:pt idx="122">
                    <c:v>0.30200000000000038</c:v>
                  </c:pt>
                  <c:pt idx="123">
                    <c:v>0.29800000000000038</c:v>
                  </c:pt>
                  <c:pt idx="124">
                    <c:v>0.29400000000000037</c:v>
                  </c:pt>
                  <c:pt idx="125">
                    <c:v>0.29000000000000037</c:v>
                  </c:pt>
                  <c:pt idx="126">
                    <c:v>0.28600000000000037</c:v>
                  </c:pt>
                  <c:pt idx="127">
                    <c:v>0.28200000000000042</c:v>
                  </c:pt>
                  <c:pt idx="128">
                    <c:v>0.27800000000000041</c:v>
                  </c:pt>
                  <c:pt idx="129">
                    <c:v>0.27400000000000041</c:v>
                  </c:pt>
                  <c:pt idx="130">
                    <c:v>0.27000000000000041</c:v>
                  </c:pt>
                  <c:pt idx="131">
                    <c:v>0.2660000000000004</c:v>
                  </c:pt>
                  <c:pt idx="132">
                    <c:v>0.2620000000000004</c:v>
                  </c:pt>
                  <c:pt idx="133">
                    <c:v>0.2580000000000004</c:v>
                  </c:pt>
                  <c:pt idx="134">
                    <c:v>0.25400000000000039</c:v>
                  </c:pt>
                  <c:pt idx="135">
                    <c:v>0.25000000000000039</c:v>
                  </c:pt>
                  <c:pt idx="136">
                    <c:v>0.24600000000000039</c:v>
                  </c:pt>
                  <c:pt idx="137">
                    <c:v>0.24200000000000038</c:v>
                  </c:pt>
                  <c:pt idx="138">
                    <c:v>0.23800000000000041</c:v>
                  </c:pt>
                  <c:pt idx="139">
                    <c:v>0.2340000000000004</c:v>
                  </c:pt>
                  <c:pt idx="140">
                    <c:v>0.23000000000000043</c:v>
                  </c:pt>
                  <c:pt idx="141">
                    <c:v>0.22600000000000042</c:v>
                  </c:pt>
                  <c:pt idx="142">
                    <c:v>0.22200000000000042</c:v>
                  </c:pt>
                  <c:pt idx="143">
                    <c:v>0.21800000000000047</c:v>
                  </c:pt>
                  <c:pt idx="144">
                    <c:v>0.21400000000000047</c:v>
                  </c:pt>
                  <c:pt idx="145">
                    <c:v>0.21000000000000046</c:v>
                  </c:pt>
                  <c:pt idx="146">
                    <c:v>0.20600000000000046</c:v>
                  </c:pt>
                  <c:pt idx="147">
                    <c:v>0.20200000000000046</c:v>
                  </c:pt>
                  <c:pt idx="148">
                    <c:v>0.19800000000000045</c:v>
                  </c:pt>
                  <c:pt idx="149">
                    <c:v>0.19400000000000045</c:v>
                  </c:pt>
                  <c:pt idx="150">
                    <c:v>0.19000000000000045</c:v>
                  </c:pt>
                  <c:pt idx="151">
                    <c:v>0.18600000000000044</c:v>
                  </c:pt>
                  <c:pt idx="152">
                    <c:v>0.18200000000000049</c:v>
                  </c:pt>
                  <c:pt idx="153">
                    <c:v>0.17800000000000049</c:v>
                  </c:pt>
                  <c:pt idx="154">
                    <c:v>0.17400000000000049</c:v>
                  </c:pt>
                  <c:pt idx="155">
                    <c:v>0.17000000000000048</c:v>
                  </c:pt>
                  <c:pt idx="156">
                    <c:v>0.16600000000000048</c:v>
                  </c:pt>
                  <c:pt idx="157">
                    <c:v>0.16200000000000048</c:v>
                  </c:pt>
                  <c:pt idx="158">
                    <c:v>0.1580000000000005</c:v>
                  </c:pt>
                  <c:pt idx="159">
                    <c:v>0.1540000000000005</c:v>
                  </c:pt>
                  <c:pt idx="160">
                    <c:v>0.15000000000000049</c:v>
                  </c:pt>
                  <c:pt idx="161">
                    <c:v>0.14600000000000049</c:v>
                  </c:pt>
                  <c:pt idx="162">
                    <c:v>0.14200000000000049</c:v>
                  </c:pt>
                  <c:pt idx="163">
                    <c:v>0.13800000000000048</c:v>
                  </c:pt>
                  <c:pt idx="164">
                    <c:v>0.13400000000000034</c:v>
                  </c:pt>
                  <c:pt idx="165">
                    <c:v>0.13000000000000034</c:v>
                  </c:pt>
                  <c:pt idx="166">
                    <c:v>0.12600000000000033</c:v>
                  </c:pt>
                  <c:pt idx="167">
                    <c:v>0.12200000000000034</c:v>
                  </c:pt>
                  <c:pt idx="168">
                    <c:v>0.1180000000000004</c:v>
                  </c:pt>
                  <c:pt idx="169">
                    <c:v>0.11400000000000039</c:v>
                  </c:pt>
                  <c:pt idx="170">
                    <c:v>0.11000000000000039</c:v>
                  </c:pt>
                  <c:pt idx="171">
                    <c:v>0.10600000000000039</c:v>
                  </c:pt>
                  <c:pt idx="172">
                    <c:v>0.10200000000000038</c:v>
                  </c:pt>
                  <c:pt idx="173">
                    <c:v>9.8000000000000378E-2</c:v>
                  </c:pt>
                  <c:pt idx="174">
                    <c:v>9.4000000000000375E-2</c:v>
                  </c:pt>
                  <c:pt idx="175">
                    <c:v>9.0000000000000413E-2</c:v>
                  </c:pt>
                  <c:pt idx="176">
                    <c:v>8.6000000000000409E-2</c:v>
                  </c:pt>
                  <c:pt idx="177">
                    <c:v>8.2000000000000406E-2</c:v>
                  </c:pt>
                  <c:pt idx="178">
                    <c:v>7.8000000000000402E-2</c:v>
                  </c:pt>
                  <c:pt idx="179">
                    <c:v>7.4000000000000399E-2</c:v>
                  </c:pt>
                  <c:pt idx="180">
                    <c:v>7.0000000000000395E-2</c:v>
                  </c:pt>
                  <c:pt idx="181">
                    <c:v>6.6000000000000392E-2</c:v>
                  </c:pt>
                  <c:pt idx="182">
                    <c:v>6.2000000000000423E-2</c:v>
                  </c:pt>
                  <c:pt idx="183">
                    <c:v>5.8000000000000419E-2</c:v>
                  </c:pt>
                  <c:pt idx="184">
                    <c:v>5.4000000000000416E-2</c:v>
                  </c:pt>
                  <c:pt idx="185">
                    <c:v>5.0000000000000412E-2</c:v>
                  </c:pt>
                  <c:pt idx="186">
                    <c:v>4.6000000000000409E-2</c:v>
                  </c:pt>
                  <c:pt idx="187">
                    <c:v>4.2000000000000405E-2</c:v>
                  </c:pt>
                  <c:pt idx="188">
                    <c:v>3.8000000000000443E-2</c:v>
                  </c:pt>
                  <c:pt idx="189">
                    <c:v>3.400000000000044E-2</c:v>
                  </c:pt>
                  <c:pt idx="190">
                    <c:v>3.0000000000000436E-2</c:v>
                  </c:pt>
                  <c:pt idx="191">
                    <c:v>2.6000000000000432E-2</c:v>
                  </c:pt>
                  <c:pt idx="192">
                    <c:v>2.2000000000000429E-2</c:v>
                  </c:pt>
                  <c:pt idx="193">
                    <c:v>1.8000000000000425E-2</c:v>
                  </c:pt>
                  <c:pt idx="194">
                    <c:v>1.4000000000000424E-2</c:v>
                  </c:pt>
                  <c:pt idx="195">
                    <c:v>1.0000000000000462E-2</c:v>
                  </c:pt>
                  <c:pt idx="196">
                    <c:v>6.0000000000004581E-3</c:v>
                  </c:pt>
                  <c:pt idx="197">
                    <c:v>2.0000000000004545E-3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subsets'!$EA$11:$EA$211</c:f>
              <c:numCache>
                <c:formatCode>General</c:formatCode>
                <c:ptCount val="201"/>
                <c:pt idx="0">
                  <c:v>0.52524009014222506</c:v>
                </c:pt>
                <c:pt idx="1">
                  <c:v>0.52814741630318018</c:v>
                </c:pt>
                <c:pt idx="2">
                  <c:v>0.53105474246413531</c:v>
                </c:pt>
                <c:pt idx="3">
                  <c:v>0.53396206862509044</c:v>
                </c:pt>
                <c:pt idx="4">
                  <c:v>0.53686939478604556</c:v>
                </c:pt>
                <c:pt idx="5">
                  <c:v>0.53977672094700069</c:v>
                </c:pt>
                <c:pt idx="6">
                  <c:v>0.54268404710795581</c:v>
                </c:pt>
                <c:pt idx="7">
                  <c:v>0.54559137326891094</c:v>
                </c:pt>
                <c:pt idx="8">
                  <c:v>0.54849869942986607</c:v>
                </c:pt>
                <c:pt idx="9">
                  <c:v>0.55140602559082119</c:v>
                </c:pt>
                <c:pt idx="10">
                  <c:v>0.55431335175177632</c:v>
                </c:pt>
                <c:pt idx="11">
                  <c:v>0.55722067791273144</c:v>
                </c:pt>
                <c:pt idx="12">
                  <c:v>0.56012800407368657</c:v>
                </c:pt>
                <c:pt idx="13">
                  <c:v>0.5630353302346417</c:v>
                </c:pt>
                <c:pt idx="14">
                  <c:v>0.56594265639559682</c:v>
                </c:pt>
                <c:pt idx="15">
                  <c:v>0.56884998255655195</c:v>
                </c:pt>
                <c:pt idx="16">
                  <c:v>0.57175730871750707</c:v>
                </c:pt>
                <c:pt idx="17">
                  <c:v>0.5746646348784622</c:v>
                </c:pt>
                <c:pt idx="18">
                  <c:v>0.57757196103941733</c:v>
                </c:pt>
                <c:pt idx="19">
                  <c:v>0.58047928720037245</c:v>
                </c:pt>
                <c:pt idx="20">
                  <c:v>0.58338661336132758</c:v>
                </c:pt>
                <c:pt idx="21">
                  <c:v>0.5862939395222827</c:v>
                </c:pt>
                <c:pt idx="22">
                  <c:v>0.58920126568323783</c:v>
                </c:pt>
                <c:pt idx="23">
                  <c:v>0.59210859184419296</c:v>
                </c:pt>
                <c:pt idx="24">
                  <c:v>0.59501591800514808</c:v>
                </c:pt>
                <c:pt idx="25">
                  <c:v>0.59792324416610321</c:v>
                </c:pt>
                <c:pt idx="26">
                  <c:v>0.60083057032705833</c:v>
                </c:pt>
                <c:pt idx="27">
                  <c:v>0.60373789648801346</c:v>
                </c:pt>
                <c:pt idx="28">
                  <c:v>0.60664522264896859</c:v>
                </c:pt>
                <c:pt idx="29">
                  <c:v>0.60955254880992371</c:v>
                </c:pt>
                <c:pt idx="30">
                  <c:v>0.61245987497087884</c:v>
                </c:pt>
                <c:pt idx="31">
                  <c:v>0.61536720113183396</c:v>
                </c:pt>
                <c:pt idx="32">
                  <c:v>0.61827452729278909</c:v>
                </c:pt>
                <c:pt idx="33">
                  <c:v>0.62118185345374421</c:v>
                </c:pt>
                <c:pt idx="34">
                  <c:v>0.62408917961469934</c:v>
                </c:pt>
                <c:pt idx="35">
                  <c:v>0.62699650577565447</c:v>
                </c:pt>
                <c:pt idx="36">
                  <c:v>0.62990383193660959</c:v>
                </c:pt>
                <c:pt idx="37">
                  <c:v>0.63281115809756472</c:v>
                </c:pt>
                <c:pt idx="38">
                  <c:v>0.63571848425851984</c:v>
                </c:pt>
                <c:pt idx="39">
                  <c:v>0.63862581041947497</c:v>
                </c:pt>
                <c:pt idx="40">
                  <c:v>0.6415331365804301</c:v>
                </c:pt>
                <c:pt idx="41">
                  <c:v>0.64444046274138522</c:v>
                </c:pt>
                <c:pt idx="42">
                  <c:v>0.64734778890234035</c:v>
                </c:pt>
                <c:pt idx="43">
                  <c:v>0.65025511506329547</c:v>
                </c:pt>
                <c:pt idx="44">
                  <c:v>0.6531624412242506</c:v>
                </c:pt>
                <c:pt idx="45">
                  <c:v>0.65606976738520573</c:v>
                </c:pt>
                <c:pt idx="46">
                  <c:v>0.65897709354616085</c:v>
                </c:pt>
                <c:pt idx="47">
                  <c:v>0.66188441970711598</c:v>
                </c:pt>
                <c:pt idx="48">
                  <c:v>0.6647917458680711</c:v>
                </c:pt>
                <c:pt idx="49">
                  <c:v>0.66769907202902623</c:v>
                </c:pt>
                <c:pt idx="50">
                  <c:v>0.67060639818998136</c:v>
                </c:pt>
                <c:pt idx="51">
                  <c:v>0.67351372435093648</c:v>
                </c:pt>
                <c:pt idx="52">
                  <c:v>0.67642105051189161</c:v>
                </c:pt>
                <c:pt idx="53">
                  <c:v>0.67932837667284673</c:v>
                </c:pt>
                <c:pt idx="54">
                  <c:v>0.68223570283380186</c:v>
                </c:pt>
                <c:pt idx="55">
                  <c:v>0.68514302899475699</c:v>
                </c:pt>
                <c:pt idx="56">
                  <c:v>0.68805035515571211</c:v>
                </c:pt>
                <c:pt idx="57">
                  <c:v>0.69095768131666724</c:v>
                </c:pt>
                <c:pt idx="58">
                  <c:v>0.69386500747762236</c:v>
                </c:pt>
                <c:pt idx="59">
                  <c:v>0.69677233363857749</c:v>
                </c:pt>
                <c:pt idx="60">
                  <c:v>0.69967965979953262</c:v>
                </c:pt>
                <c:pt idx="61">
                  <c:v>0.70258698596048774</c:v>
                </c:pt>
                <c:pt idx="62">
                  <c:v>0.70549431212144287</c:v>
                </c:pt>
                <c:pt idx="63">
                  <c:v>0.70840163828239799</c:v>
                </c:pt>
                <c:pt idx="64">
                  <c:v>0.71130896444335312</c:v>
                </c:pt>
                <c:pt idx="65">
                  <c:v>0.71421629060430825</c:v>
                </c:pt>
                <c:pt idx="66">
                  <c:v>0.71712361676526337</c:v>
                </c:pt>
                <c:pt idx="67">
                  <c:v>0.7200309429262185</c:v>
                </c:pt>
                <c:pt idx="68">
                  <c:v>0.72293826908717362</c:v>
                </c:pt>
                <c:pt idx="69">
                  <c:v>0.72584559524812875</c:v>
                </c:pt>
                <c:pt idx="70">
                  <c:v>0.72875292140908388</c:v>
                </c:pt>
                <c:pt idx="71">
                  <c:v>0.731660247570039</c:v>
                </c:pt>
                <c:pt idx="72">
                  <c:v>0.73456757373099413</c:v>
                </c:pt>
                <c:pt idx="73">
                  <c:v>0.73747489989194925</c:v>
                </c:pt>
                <c:pt idx="74">
                  <c:v>0.74038222605290438</c:v>
                </c:pt>
                <c:pt idx="75">
                  <c:v>0.74328955221385951</c:v>
                </c:pt>
                <c:pt idx="76">
                  <c:v>0.74619687837481463</c:v>
                </c:pt>
                <c:pt idx="77">
                  <c:v>0.74910420453576976</c:v>
                </c:pt>
                <c:pt idx="78">
                  <c:v>0.75201153069672488</c:v>
                </c:pt>
                <c:pt idx="79">
                  <c:v>0.75491885685768001</c:v>
                </c:pt>
                <c:pt idx="80">
                  <c:v>0.75782618301863514</c:v>
                </c:pt>
                <c:pt idx="81">
                  <c:v>0.76073350917959026</c:v>
                </c:pt>
                <c:pt idx="82">
                  <c:v>0.76364083534054539</c:v>
                </c:pt>
                <c:pt idx="83">
                  <c:v>0.76654816150150051</c:v>
                </c:pt>
                <c:pt idx="84">
                  <c:v>0.76945548766245564</c:v>
                </c:pt>
                <c:pt idx="85">
                  <c:v>0.77236281382341077</c:v>
                </c:pt>
                <c:pt idx="86">
                  <c:v>0.77527013998436589</c:v>
                </c:pt>
                <c:pt idx="87">
                  <c:v>0.77817746614532102</c:v>
                </c:pt>
                <c:pt idx="88">
                  <c:v>0.78108479230627614</c:v>
                </c:pt>
                <c:pt idx="89">
                  <c:v>0.78399211846723127</c:v>
                </c:pt>
                <c:pt idx="90">
                  <c:v>0.7868994446281864</c:v>
                </c:pt>
                <c:pt idx="91">
                  <c:v>0.78980677078914152</c:v>
                </c:pt>
                <c:pt idx="92">
                  <c:v>0.79271409695009665</c:v>
                </c:pt>
                <c:pt idx="93">
                  <c:v>0.79562142311105177</c:v>
                </c:pt>
                <c:pt idx="94">
                  <c:v>0.7985287492720069</c:v>
                </c:pt>
                <c:pt idx="95">
                  <c:v>0.80143607543296203</c:v>
                </c:pt>
                <c:pt idx="96">
                  <c:v>0.80434340159391715</c:v>
                </c:pt>
                <c:pt idx="97">
                  <c:v>0.80725072775487228</c:v>
                </c:pt>
                <c:pt idx="98">
                  <c:v>0.8101580539158274</c:v>
                </c:pt>
                <c:pt idx="99">
                  <c:v>0.81306538007678253</c:v>
                </c:pt>
                <c:pt idx="100">
                  <c:v>0.81597270623773765</c:v>
                </c:pt>
                <c:pt idx="101">
                  <c:v>0.81888003239869278</c:v>
                </c:pt>
                <c:pt idx="102">
                  <c:v>0.82178735855964791</c:v>
                </c:pt>
                <c:pt idx="103">
                  <c:v>0.82469468472060303</c:v>
                </c:pt>
                <c:pt idx="104">
                  <c:v>0.82760201088155816</c:v>
                </c:pt>
                <c:pt idx="105">
                  <c:v>0.83050933704251328</c:v>
                </c:pt>
                <c:pt idx="106">
                  <c:v>0.83341666320346841</c:v>
                </c:pt>
                <c:pt idx="107">
                  <c:v>0.83632398936442354</c:v>
                </c:pt>
                <c:pt idx="108">
                  <c:v>0.83923131552537866</c:v>
                </c:pt>
                <c:pt idx="109">
                  <c:v>0.84213864168633379</c:v>
                </c:pt>
                <c:pt idx="110">
                  <c:v>0.84504596784728891</c:v>
                </c:pt>
                <c:pt idx="111">
                  <c:v>0.84795329400824404</c:v>
                </c:pt>
                <c:pt idx="112">
                  <c:v>0.85086062016919917</c:v>
                </c:pt>
                <c:pt idx="113">
                  <c:v>0.85376794633015429</c:v>
                </c:pt>
                <c:pt idx="114">
                  <c:v>0.85667527249110942</c:v>
                </c:pt>
                <c:pt idx="115">
                  <c:v>0.85958259865206454</c:v>
                </c:pt>
                <c:pt idx="116">
                  <c:v>0.86248992481301967</c:v>
                </c:pt>
                <c:pt idx="117">
                  <c:v>0.8653972509739748</c:v>
                </c:pt>
                <c:pt idx="118">
                  <c:v>0.86830457713492992</c:v>
                </c:pt>
                <c:pt idx="119">
                  <c:v>0.87121190329588505</c:v>
                </c:pt>
                <c:pt idx="120">
                  <c:v>0.87411922945684017</c:v>
                </c:pt>
                <c:pt idx="121">
                  <c:v>0.8770265556177953</c:v>
                </c:pt>
                <c:pt idx="122">
                  <c:v>0.87993388177875043</c:v>
                </c:pt>
                <c:pt idx="123">
                  <c:v>0.88284120793970555</c:v>
                </c:pt>
                <c:pt idx="124">
                  <c:v>0.88574853410066068</c:v>
                </c:pt>
                <c:pt idx="125">
                  <c:v>0.8886558602616158</c:v>
                </c:pt>
                <c:pt idx="126">
                  <c:v>0.89156318642257093</c:v>
                </c:pt>
                <c:pt idx="127">
                  <c:v>0.89447051258352606</c:v>
                </c:pt>
                <c:pt idx="128">
                  <c:v>0.89737783874448118</c:v>
                </c:pt>
                <c:pt idx="129">
                  <c:v>0.90028516490543631</c:v>
                </c:pt>
                <c:pt idx="130">
                  <c:v>0.90319249106639143</c:v>
                </c:pt>
                <c:pt idx="131">
                  <c:v>0.90609981722734656</c:v>
                </c:pt>
                <c:pt idx="132">
                  <c:v>0.90900714338830169</c:v>
                </c:pt>
                <c:pt idx="133">
                  <c:v>0.91191446954925681</c:v>
                </c:pt>
                <c:pt idx="134">
                  <c:v>0.91482179571021194</c:v>
                </c:pt>
                <c:pt idx="135">
                  <c:v>0.91772912187116706</c:v>
                </c:pt>
                <c:pt idx="136">
                  <c:v>0.92063644803212219</c:v>
                </c:pt>
                <c:pt idx="137">
                  <c:v>0.92354377419307732</c:v>
                </c:pt>
                <c:pt idx="138">
                  <c:v>0.92645110035403244</c:v>
                </c:pt>
                <c:pt idx="139">
                  <c:v>0.92935842651498757</c:v>
                </c:pt>
                <c:pt idx="140">
                  <c:v>0.93226575267594269</c:v>
                </c:pt>
                <c:pt idx="141">
                  <c:v>0.93517307883689782</c:v>
                </c:pt>
                <c:pt idx="142">
                  <c:v>0.93808040499785295</c:v>
                </c:pt>
                <c:pt idx="143">
                  <c:v>0.94098773115880807</c:v>
                </c:pt>
                <c:pt idx="144">
                  <c:v>0.9438950573197632</c:v>
                </c:pt>
                <c:pt idx="145">
                  <c:v>0.94680238348071832</c:v>
                </c:pt>
                <c:pt idx="146">
                  <c:v>0.94970970964167345</c:v>
                </c:pt>
                <c:pt idx="147">
                  <c:v>0.95261703580262858</c:v>
                </c:pt>
                <c:pt idx="148">
                  <c:v>0.9555243619635837</c:v>
                </c:pt>
                <c:pt idx="149">
                  <c:v>0.95843168812453883</c:v>
                </c:pt>
                <c:pt idx="150">
                  <c:v>0.96133901428549395</c:v>
                </c:pt>
                <c:pt idx="151">
                  <c:v>0.96424634044644908</c:v>
                </c:pt>
                <c:pt idx="152">
                  <c:v>0.96715366660740421</c:v>
                </c:pt>
                <c:pt idx="153">
                  <c:v>0.97006099276835933</c:v>
                </c:pt>
                <c:pt idx="154">
                  <c:v>0.97296831892931446</c:v>
                </c:pt>
                <c:pt idx="155">
                  <c:v>0.97587564509026958</c:v>
                </c:pt>
                <c:pt idx="156">
                  <c:v>0.97878297125122471</c:v>
                </c:pt>
                <c:pt idx="157">
                  <c:v>0.98169029741217984</c:v>
                </c:pt>
                <c:pt idx="158">
                  <c:v>0.98459762357313496</c:v>
                </c:pt>
                <c:pt idx="159">
                  <c:v>0.98750494973409009</c:v>
                </c:pt>
                <c:pt idx="160">
                  <c:v>0.99041227589504521</c:v>
                </c:pt>
                <c:pt idx="161">
                  <c:v>0.99331960205600034</c:v>
                </c:pt>
                <c:pt idx="162">
                  <c:v>0.99622692821695547</c:v>
                </c:pt>
                <c:pt idx="163">
                  <c:v>0.99913425437791059</c:v>
                </c:pt>
                <c:pt idx="164">
                  <c:v>1.0020415805388658</c:v>
                </c:pt>
                <c:pt idx="165">
                  <c:v>1.004948906699821</c:v>
                </c:pt>
                <c:pt idx="166">
                  <c:v>1.0078562328607761</c:v>
                </c:pt>
                <c:pt idx="167">
                  <c:v>1.0107635590217312</c:v>
                </c:pt>
                <c:pt idx="168">
                  <c:v>1.0136708851826863</c:v>
                </c:pt>
                <c:pt idx="169">
                  <c:v>1.0165782113436415</c:v>
                </c:pt>
                <c:pt idx="170">
                  <c:v>1.0194855375045966</c:v>
                </c:pt>
                <c:pt idx="171">
                  <c:v>1.0223928636655517</c:v>
                </c:pt>
                <c:pt idx="172">
                  <c:v>1.0253001898265068</c:v>
                </c:pt>
                <c:pt idx="173">
                  <c:v>1.028207515987462</c:v>
                </c:pt>
                <c:pt idx="174">
                  <c:v>1.0311148421484171</c:v>
                </c:pt>
                <c:pt idx="175">
                  <c:v>1.0340221683093722</c:v>
                </c:pt>
                <c:pt idx="176">
                  <c:v>1.0369294944703273</c:v>
                </c:pt>
                <c:pt idx="177">
                  <c:v>1.0398368206312825</c:v>
                </c:pt>
                <c:pt idx="178">
                  <c:v>1.0427441467922376</c:v>
                </c:pt>
                <c:pt idx="179">
                  <c:v>1.0456514729531927</c:v>
                </c:pt>
                <c:pt idx="180">
                  <c:v>1.0485587991141478</c:v>
                </c:pt>
                <c:pt idx="181">
                  <c:v>1.051466125275103</c:v>
                </c:pt>
                <c:pt idx="182">
                  <c:v>1.0543734514360581</c:v>
                </c:pt>
                <c:pt idx="183">
                  <c:v>1.0572807775970132</c:v>
                </c:pt>
                <c:pt idx="184">
                  <c:v>1.0601881037579683</c:v>
                </c:pt>
                <c:pt idx="185">
                  <c:v>1.0630954299189235</c:v>
                </c:pt>
                <c:pt idx="186">
                  <c:v>1.0660027560798786</c:v>
                </c:pt>
                <c:pt idx="187">
                  <c:v>1.0689100822408337</c:v>
                </c:pt>
                <c:pt idx="188">
                  <c:v>1.0718174084017889</c:v>
                </c:pt>
                <c:pt idx="189">
                  <c:v>1.074724734562744</c:v>
                </c:pt>
                <c:pt idx="190">
                  <c:v>1.0776320607236991</c:v>
                </c:pt>
                <c:pt idx="191">
                  <c:v>1.0805393868846542</c:v>
                </c:pt>
                <c:pt idx="192">
                  <c:v>1.0834467130456094</c:v>
                </c:pt>
                <c:pt idx="193">
                  <c:v>1.0863540392065645</c:v>
                </c:pt>
                <c:pt idx="194">
                  <c:v>1.0892613653675196</c:v>
                </c:pt>
                <c:pt idx="195">
                  <c:v>1.0921686915284747</c:v>
                </c:pt>
                <c:pt idx="196">
                  <c:v>1.0950760176894299</c:v>
                </c:pt>
                <c:pt idx="197">
                  <c:v>1.097983343850385</c:v>
                </c:pt>
                <c:pt idx="198">
                  <c:v>1.1008906700113401</c:v>
                </c:pt>
                <c:pt idx="199">
                  <c:v>1.1037979961722952</c:v>
                </c:pt>
                <c:pt idx="200">
                  <c:v>1.1067053223332504</c:v>
                </c:pt>
              </c:numCache>
            </c:numRef>
          </c:xVal>
          <c:yVal>
            <c:numRef>
              <c:f>'d subsets'!$EC$11:$EC$211</c:f>
              <c:numCache>
                <c:formatCode>General</c:formatCode>
                <c:ptCount val="201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  <c:pt idx="5">
                  <c:v>33</c:v>
                </c:pt>
                <c:pt idx="6">
                  <c:v>33</c:v>
                </c:pt>
                <c:pt idx="7">
                  <c:v>33</c:v>
                </c:pt>
                <c:pt idx="8">
                  <c:v>33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33</c:v>
                </c:pt>
                <c:pt idx="19">
                  <c:v>33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33</c:v>
                </c:pt>
                <c:pt idx="25">
                  <c:v>33</c:v>
                </c:pt>
                <c:pt idx="26">
                  <c:v>33</c:v>
                </c:pt>
                <c:pt idx="27">
                  <c:v>33</c:v>
                </c:pt>
                <c:pt idx="28">
                  <c:v>33</c:v>
                </c:pt>
                <c:pt idx="29">
                  <c:v>33</c:v>
                </c:pt>
                <c:pt idx="30">
                  <c:v>33</c:v>
                </c:pt>
                <c:pt idx="31">
                  <c:v>33</c:v>
                </c:pt>
                <c:pt idx="32">
                  <c:v>33</c:v>
                </c:pt>
                <c:pt idx="33">
                  <c:v>33</c:v>
                </c:pt>
                <c:pt idx="34">
                  <c:v>33</c:v>
                </c:pt>
                <c:pt idx="35">
                  <c:v>33</c:v>
                </c:pt>
                <c:pt idx="36">
                  <c:v>33</c:v>
                </c:pt>
                <c:pt idx="37">
                  <c:v>33</c:v>
                </c:pt>
                <c:pt idx="38">
                  <c:v>33</c:v>
                </c:pt>
                <c:pt idx="39">
                  <c:v>33</c:v>
                </c:pt>
                <c:pt idx="40">
                  <c:v>33</c:v>
                </c:pt>
                <c:pt idx="41">
                  <c:v>33</c:v>
                </c:pt>
                <c:pt idx="42">
                  <c:v>33</c:v>
                </c:pt>
                <c:pt idx="43">
                  <c:v>33</c:v>
                </c:pt>
                <c:pt idx="44">
                  <c:v>33</c:v>
                </c:pt>
                <c:pt idx="45">
                  <c:v>33</c:v>
                </c:pt>
                <c:pt idx="46">
                  <c:v>33</c:v>
                </c:pt>
                <c:pt idx="47">
                  <c:v>33</c:v>
                </c:pt>
                <c:pt idx="48">
                  <c:v>33</c:v>
                </c:pt>
                <c:pt idx="49">
                  <c:v>33</c:v>
                </c:pt>
                <c:pt idx="50">
                  <c:v>33</c:v>
                </c:pt>
                <c:pt idx="51">
                  <c:v>33</c:v>
                </c:pt>
                <c:pt idx="52">
                  <c:v>33</c:v>
                </c:pt>
                <c:pt idx="53">
                  <c:v>33</c:v>
                </c:pt>
                <c:pt idx="54">
                  <c:v>33</c:v>
                </c:pt>
                <c:pt idx="55">
                  <c:v>33</c:v>
                </c:pt>
                <c:pt idx="56">
                  <c:v>33</c:v>
                </c:pt>
                <c:pt idx="57">
                  <c:v>33</c:v>
                </c:pt>
                <c:pt idx="58">
                  <c:v>33</c:v>
                </c:pt>
                <c:pt idx="59">
                  <c:v>33</c:v>
                </c:pt>
                <c:pt idx="60">
                  <c:v>33</c:v>
                </c:pt>
                <c:pt idx="61">
                  <c:v>33</c:v>
                </c:pt>
                <c:pt idx="62">
                  <c:v>33</c:v>
                </c:pt>
                <c:pt idx="63">
                  <c:v>33</c:v>
                </c:pt>
                <c:pt idx="64">
                  <c:v>33</c:v>
                </c:pt>
                <c:pt idx="65">
                  <c:v>33</c:v>
                </c:pt>
                <c:pt idx="66">
                  <c:v>33</c:v>
                </c:pt>
                <c:pt idx="67">
                  <c:v>33</c:v>
                </c:pt>
                <c:pt idx="68">
                  <c:v>33</c:v>
                </c:pt>
                <c:pt idx="69">
                  <c:v>33</c:v>
                </c:pt>
                <c:pt idx="70">
                  <c:v>33</c:v>
                </c:pt>
                <c:pt idx="71">
                  <c:v>33</c:v>
                </c:pt>
                <c:pt idx="72">
                  <c:v>33</c:v>
                </c:pt>
                <c:pt idx="73">
                  <c:v>33</c:v>
                </c:pt>
                <c:pt idx="74">
                  <c:v>33</c:v>
                </c:pt>
                <c:pt idx="75">
                  <c:v>33</c:v>
                </c:pt>
                <c:pt idx="76">
                  <c:v>33</c:v>
                </c:pt>
                <c:pt idx="77">
                  <c:v>33</c:v>
                </c:pt>
                <c:pt idx="78">
                  <c:v>33</c:v>
                </c:pt>
                <c:pt idx="79">
                  <c:v>33</c:v>
                </c:pt>
                <c:pt idx="80">
                  <c:v>33</c:v>
                </c:pt>
                <c:pt idx="81">
                  <c:v>33</c:v>
                </c:pt>
                <c:pt idx="82">
                  <c:v>33</c:v>
                </c:pt>
                <c:pt idx="83">
                  <c:v>33</c:v>
                </c:pt>
                <c:pt idx="84">
                  <c:v>33</c:v>
                </c:pt>
                <c:pt idx="85">
                  <c:v>33</c:v>
                </c:pt>
                <c:pt idx="86">
                  <c:v>33</c:v>
                </c:pt>
                <c:pt idx="87">
                  <c:v>33</c:v>
                </c:pt>
                <c:pt idx="88">
                  <c:v>33</c:v>
                </c:pt>
                <c:pt idx="89">
                  <c:v>33</c:v>
                </c:pt>
                <c:pt idx="90">
                  <c:v>33</c:v>
                </c:pt>
                <c:pt idx="91">
                  <c:v>33</c:v>
                </c:pt>
                <c:pt idx="92">
                  <c:v>33</c:v>
                </c:pt>
                <c:pt idx="93">
                  <c:v>33</c:v>
                </c:pt>
                <c:pt idx="94">
                  <c:v>33</c:v>
                </c:pt>
                <c:pt idx="95">
                  <c:v>33</c:v>
                </c:pt>
                <c:pt idx="96">
                  <c:v>33</c:v>
                </c:pt>
                <c:pt idx="97">
                  <c:v>33</c:v>
                </c:pt>
                <c:pt idx="98">
                  <c:v>33</c:v>
                </c:pt>
                <c:pt idx="99">
                  <c:v>33</c:v>
                </c:pt>
                <c:pt idx="100">
                  <c:v>33</c:v>
                </c:pt>
                <c:pt idx="101">
                  <c:v>33</c:v>
                </c:pt>
                <c:pt idx="102">
                  <c:v>33</c:v>
                </c:pt>
                <c:pt idx="103">
                  <c:v>33</c:v>
                </c:pt>
                <c:pt idx="104">
                  <c:v>33</c:v>
                </c:pt>
                <c:pt idx="105">
                  <c:v>33</c:v>
                </c:pt>
                <c:pt idx="106">
                  <c:v>33</c:v>
                </c:pt>
                <c:pt idx="107">
                  <c:v>33</c:v>
                </c:pt>
                <c:pt idx="108">
                  <c:v>33</c:v>
                </c:pt>
                <c:pt idx="109">
                  <c:v>33</c:v>
                </c:pt>
                <c:pt idx="110">
                  <c:v>33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33</c:v>
                </c:pt>
                <c:pt idx="115">
                  <c:v>33</c:v>
                </c:pt>
                <c:pt idx="116">
                  <c:v>33</c:v>
                </c:pt>
                <c:pt idx="117">
                  <c:v>33</c:v>
                </c:pt>
                <c:pt idx="118">
                  <c:v>33</c:v>
                </c:pt>
                <c:pt idx="119">
                  <c:v>33</c:v>
                </c:pt>
                <c:pt idx="120">
                  <c:v>33</c:v>
                </c:pt>
                <c:pt idx="121">
                  <c:v>33</c:v>
                </c:pt>
                <c:pt idx="122">
                  <c:v>33</c:v>
                </c:pt>
                <c:pt idx="123">
                  <c:v>33</c:v>
                </c:pt>
                <c:pt idx="124">
                  <c:v>33</c:v>
                </c:pt>
                <c:pt idx="125">
                  <c:v>33</c:v>
                </c:pt>
                <c:pt idx="126">
                  <c:v>33</c:v>
                </c:pt>
                <c:pt idx="127">
                  <c:v>33</c:v>
                </c:pt>
                <c:pt idx="128">
                  <c:v>33</c:v>
                </c:pt>
                <c:pt idx="129">
                  <c:v>33</c:v>
                </c:pt>
                <c:pt idx="130">
                  <c:v>33</c:v>
                </c:pt>
                <c:pt idx="131">
                  <c:v>33</c:v>
                </c:pt>
                <c:pt idx="132">
                  <c:v>33</c:v>
                </c:pt>
                <c:pt idx="133">
                  <c:v>33</c:v>
                </c:pt>
                <c:pt idx="134">
                  <c:v>33</c:v>
                </c:pt>
                <c:pt idx="135">
                  <c:v>33</c:v>
                </c:pt>
                <c:pt idx="136">
                  <c:v>33</c:v>
                </c:pt>
                <c:pt idx="137">
                  <c:v>33</c:v>
                </c:pt>
                <c:pt idx="138">
                  <c:v>33</c:v>
                </c:pt>
                <c:pt idx="139">
                  <c:v>33</c:v>
                </c:pt>
                <c:pt idx="140">
                  <c:v>33</c:v>
                </c:pt>
                <c:pt idx="141">
                  <c:v>33</c:v>
                </c:pt>
                <c:pt idx="142">
                  <c:v>33</c:v>
                </c:pt>
                <c:pt idx="143">
                  <c:v>33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33</c:v>
                </c:pt>
                <c:pt idx="148">
                  <c:v>33</c:v>
                </c:pt>
                <c:pt idx="149">
                  <c:v>33</c:v>
                </c:pt>
                <c:pt idx="150">
                  <c:v>33</c:v>
                </c:pt>
                <c:pt idx="151">
                  <c:v>33</c:v>
                </c:pt>
                <c:pt idx="152">
                  <c:v>33</c:v>
                </c:pt>
                <c:pt idx="153">
                  <c:v>33</c:v>
                </c:pt>
                <c:pt idx="154">
                  <c:v>33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33</c:v>
                </c:pt>
                <c:pt idx="159">
                  <c:v>33</c:v>
                </c:pt>
                <c:pt idx="160">
                  <c:v>33</c:v>
                </c:pt>
                <c:pt idx="161">
                  <c:v>33</c:v>
                </c:pt>
                <c:pt idx="162">
                  <c:v>33</c:v>
                </c:pt>
                <c:pt idx="163">
                  <c:v>33</c:v>
                </c:pt>
                <c:pt idx="164">
                  <c:v>33</c:v>
                </c:pt>
                <c:pt idx="165">
                  <c:v>33</c:v>
                </c:pt>
                <c:pt idx="166">
                  <c:v>33</c:v>
                </c:pt>
                <c:pt idx="167">
                  <c:v>33</c:v>
                </c:pt>
                <c:pt idx="168">
                  <c:v>33</c:v>
                </c:pt>
                <c:pt idx="169">
                  <c:v>33</c:v>
                </c:pt>
                <c:pt idx="170">
                  <c:v>33</c:v>
                </c:pt>
                <c:pt idx="171">
                  <c:v>33</c:v>
                </c:pt>
                <c:pt idx="172">
                  <c:v>33</c:v>
                </c:pt>
                <c:pt idx="173">
                  <c:v>33</c:v>
                </c:pt>
                <c:pt idx="174">
                  <c:v>33</c:v>
                </c:pt>
                <c:pt idx="175">
                  <c:v>33</c:v>
                </c:pt>
                <c:pt idx="176">
                  <c:v>33</c:v>
                </c:pt>
                <c:pt idx="177">
                  <c:v>33</c:v>
                </c:pt>
                <c:pt idx="178">
                  <c:v>33</c:v>
                </c:pt>
                <c:pt idx="179">
                  <c:v>33</c:v>
                </c:pt>
                <c:pt idx="180">
                  <c:v>33</c:v>
                </c:pt>
                <c:pt idx="181">
                  <c:v>33</c:v>
                </c:pt>
                <c:pt idx="182">
                  <c:v>33</c:v>
                </c:pt>
                <c:pt idx="183">
                  <c:v>33</c:v>
                </c:pt>
                <c:pt idx="184">
                  <c:v>33</c:v>
                </c:pt>
                <c:pt idx="185">
                  <c:v>33</c:v>
                </c:pt>
                <c:pt idx="186">
                  <c:v>33</c:v>
                </c:pt>
                <c:pt idx="187">
                  <c:v>33</c:v>
                </c:pt>
                <c:pt idx="188">
                  <c:v>33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33</c:v>
                </c:pt>
                <c:pt idx="196">
                  <c:v>33</c:v>
                </c:pt>
                <c:pt idx="197">
                  <c:v>33</c:v>
                </c:pt>
                <c:pt idx="198">
                  <c:v>33</c:v>
                </c:pt>
                <c:pt idx="199">
                  <c:v>33</c:v>
                </c:pt>
                <c:pt idx="200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D61-458C-BEDF-3809F8AFF6B1}"/>
            </c:ext>
          </c:extLst>
        </c:ser>
        <c:ser>
          <c:idx val="37"/>
          <c:order val="4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subsets'!$EB$5:$EB$9</c:f>
              <c:numCache>
                <c:formatCode>General</c:formatCode>
                <c:ptCount val="5"/>
                <c:pt idx="0">
                  <c:v>0.81597270623773788</c:v>
                </c:pt>
                <c:pt idx="1">
                  <c:v>0.52524009014222506</c:v>
                </c:pt>
                <c:pt idx="2">
                  <c:v>0.81597270623773788</c:v>
                </c:pt>
                <c:pt idx="3">
                  <c:v>1.1067053223332506</c:v>
                </c:pt>
                <c:pt idx="4">
                  <c:v>0.81597270623773788</c:v>
                </c:pt>
              </c:numCache>
            </c:numRef>
          </c:xVal>
          <c:yVal>
            <c:numRef>
              <c:f>'d subsets'!$EC$5:$EC$9</c:f>
              <c:numCache>
                <c:formatCode>General</c:formatCode>
                <c:ptCount val="5"/>
                <c:pt idx="0">
                  <c:v>33.4</c:v>
                </c:pt>
                <c:pt idx="1">
                  <c:v>33</c:v>
                </c:pt>
                <c:pt idx="2">
                  <c:v>32.6</c:v>
                </c:pt>
                <c:pt idx="3">
                  <c:v>33</c:v>
                </c:pt>
                <c:pt idx="4">
                  <c:v>33.4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D61-458C-BEDF-3809F8AFF6B1}"/>
            </c:ext>
          </c:extLst>
        </c:ser>
        <c:ser>
          <c:idx val="40"/>
          <c:order val="42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AU"/>
                      <a:t>Overall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2B-9D61-458C-BEDF-3809F8AFF6B1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pPr algn="r">
                      <a:defRPr sz="1000" b="0" i="0" u="none" strike="noStrike" baseline="0">
                        <a:solidFill>
                          <a:srgbClr val="FF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AU" sz="1000" b="0" i="0" u="none" strike="noStrike" baseline="0">
                        <a:solidFill>
                          <a:srgbClr val="FF0000"/>
                        </a:solidFill>
                        <a:latin typeface="Arial"/>
                        <a:cs typeface="Arial"/>
                      </a:rPr>
                      <a:t>Red</a:t>
                    </a:r>
                    <a:r>
                      <a:rPr lang="en-AU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group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2C-9D61-458C-BEDF-3809F8AFF6B1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pPr algn="r">
                      <a:defRPr sz="1000" b="0" i="0" u="none" strike="noStrike" baseline="0">
                        <a:solidFill>
                          <a:srgbClr val="0000FF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AU" sz="1000" b="0" i="0" u="none" strike="noStrike" baseline="0">
                        <a:solidFill>
                          <a:srgbClr val="0000FF"/>
                        </a:solidFill>
                        <a:latin typeface="Arial"/>
                        <a:cs typeface="Arial"/>
                      </a:rPr>
                      <a:t>Blue</a:t>
                    </a:r>
                    <a:r>
                      <a:rPr lang="en-AU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group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2D-9D61-458C-BEDF-3809F8AFF6B1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AU"/>
                      <a:t>Difference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2E-9D61-458C-BEDF-3809F8AFF6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 subsets'!$BU$2:$BU$5</c:f>
              <c:numCache>
                <c:formatCode>General</c:formatCode>
                <c:ptCount val="4"/>
                <c:pt idx="0">
                  <c:v>-0.33806116581249379</c:v>
                </c:pt>
                <c:pt idx="1">
                  <c:v>-0.33806116581249379</c:v>
                </c:pt>
                <c:pt idx="2">
                  <c:v>-0.33806116581249379</c:v>
                </c:pt>
                <c:pt idx="3">
                  <c:v>-0.33806116581249379</c:v>
                </c:pt>
              </c:numCache>
            </c:numRef>
          </c:xVal>
          <c:yVal>
            <c:numRef>
              <c:f>'d subsets'!$BV$2:$BV$5</c:f>
              <c:numCache>
                <c:formatCode>General</c:formatCode>
                <c:ptCount val="4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D61-458C-BEDF-3809F8AFF6B1}"/>
            </c:ext>
          </c:extLst>
        </c:ser>
        <c:ser>
          <c:idx val="41"/>
          <c:order val="4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'd subsets'!$BU$16</c:f>
                  <c:strCache>
                    <c:ptCount val="1"/>
                    <c:pt idx="0">
                      <c:v>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{9464E8B4-9256-400B-A52C-8DA028442D15}</c15:txfldGUID>
                      <c15:f>'d subsets'!$BU$16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9D61-458C-BEDF-3809F8AFF6B1}"/>
                </c:ext>
              </c:extLst>
            </c:dLbl>
            <c:dLbl>
              <c:idx val="1"/>
              <c:tx>
                <c:strRef>
                  <c:f>'d subsets'!$BU$17</c:f>
                  <c:strCache>
                    <c:ptCount val="1"/>
                    <c:pt idx="0">
                      <c:v>1.8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{9D22E67C-0785-4369-9017-873DA4CF4843}</c15:txfldGUID>
                      <c15:f>'d subsets'!$BU$17</c15:f>
                      <c15:dlblFieldTableCache>
                        <c:ptCount val="1"/>
                        <c:pt idx="0">
                          <c:v>1.8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9D61-458C-BEDF-3809F8AFF6B1}"/>
                </c:ext>
              </c:extLst>
            </c:dLbl>
            <c:dLbl>
              <c:idx val="2"/>
              <c:tx>
                <c:strRef>
                  <c:f>'d subsets'!$BU$18</c:f>
                  <c:strCache>
                    <c:ptCount val="1"/>
                    <c:pt idx="0">
                      <c:v>1.6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{5E6556C0-0B18-4696-A17B-0BF2865E7DAC}</c15:txfldGUID>
                      <c15:f>'d subsets'!$BU$18</c15:f>
                      <c15:dlblFieldTableCache>
                        <c:ptCount val="1"/>
                        <c:pt idx="0">
                          <c:v>1.6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9D61-458C-BEDF-3809F8AFF6B1}"/>
                </c:ext>
              </c:extLst>
            </c:dLbl>
            <c:dLbl>
              <c:idx val="3"/>
              <c:tx>
                <c:strRef>
                  <c:f>'d subsets'!$BU$19</c:f>
                  <c:strCache>
                    <c:ptCount val="1"/>
                    <c:pt idx="0">
                      <c:v>1.4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{56B1D272-A0D5-4F69-9236-6A5A3130BAFA}</c15:txfldGUID>
                      <c15:f>'d subsets'!$BU$19</c15:f>
                      <c15:dlblFieldTableCache>
                        <c:ptCount val="1"/>
                        <c:pt idx="0">
                          <c:v>1.4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9D61-458C-BEDF-3809F8AFF6B1}"/>
                </c:ext>
              </c:extLst>
            </c:dLbl>
            <c:dLbl>
              <c:idx val="4"/>
              <c:tx>
                <c:strRef>
                  <c:f>'d subsets'!$BU$20</c:f>
                  <c:strCache>
                    <c:ptCount val="1"/>
                    <c:pt idx="0">
                      <c:v>1.2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{C61AA4ED-420B-45A8-9F6B-8108D6159EDC}</c15:txfldGUID>
                      <c15:f>'d subsets'!$BU$20</c15:f>
                      <c15:dlblFieldTableCache>
                        <c:ptCount val="1"/>
                        <c:pt idx="0">
                          <c:v>1.2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9D61-458C-BEDF-3809F8AFF6B1}"/>
                </c:ext>
              </c:extLst>
            </c:dLbl>
            <c:dLbl>
              <c:idx val="5"/>
              <c:tx>
                <c:strRef>
                  <c:f>'d subsets'!$BU$21</c:f>
                  <c:strCache>
                    <c:ptCount val="1"/>
                    <c:pt idx="0">
                      <c:v>1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{92A8C8CB-283D-4C15-AD5F-29AED621DBA2}</c15:txfldGUID>
                      <c15:f>'d subsets'!$BU$21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9D61-458C-BEDF-3809F8AFF6B1}"/>
                </c:ext>
              </c:extLst>
            </c:dLbl>
            <c:dLbl>
              <c:idx val="6"/>
              <c:tx>
                <c:strRef>
                  <c:f>'d subsets'!$BU$22</c:f>
                  <c:strCache>
                    <c:ptCount val="1"/>
                    <c:pt idx="0">
                      <c:v>0.8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{51BEAE67-A907-431E-A4B1-FE48F4D4BA83}</c15:txfldGUID>
                      <c15:f>'d subsets'!$BU$22</c15:f>
                      <c15:dlblFieldTableCache>
                        <c:ptCount val="1"/>
                        <c:pt idx="0">
                          <c:v>0.8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9D61-458C-BEDF-3809F8AFF6B1}"/>
                </c:ext>
              </c:extLst>
            </c:dLbl>
            <c:dLbl>
              <c:idx val="7"/>
              <c:tx>
                <c:strRef>
                  <c:f>'d subsets'!$BU$23</c:f>
                  <c:strCache>
                    <c:ptCount val="1"/>
                    <c:pt idx="0">
                      <c:v>0.6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{76511189-413D-4A12-97A6-6F1F3AD91E8C}</c15:txfldGUID>
                      <c15:f>'d subsets'!$BU$23</c15:f>
                      <c15:dlblFieldTableCache>
                        <c:ptCount val="1"/>
                        <c:pt idx="0">
                          <c:v>0.6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9D61-458C-BEDF-3809F8AFF6B1}"/>
                </c:ext>
              </c:extLst>
            </c:dLbl>
            <c:dLbl>
              <c:idx val="8"/>
              <c:layout/>
              <c:tx>
                <c:strRef>
                  <c:f>'d subsets'!$BU$24</c:f>
                  <c:strCache>
                    <c:ptCount val="1"/>
                    <c:pt idx="0">
                      <c:v>0.4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{1C3044C2-B800-4944-ADD2-D843FC1D99A0}</c15:txfldGUID>
                      <c15:f>'d subsets'!$BU$24</c15:f>
                      <c15:dlblFieldTableCache>
                        <c:ptCount val="1"/>
                        <c:pt idx="0">
                          <c:v>0.4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9D61-458C-BEDF-3809F8AFF6B1}"/>
                </c:ext>
              </c:extLst>
            </c:dLbl>
            <c:dLbl>
              <c:idx val="9"/>
              <c:layout/>
              <c:tx>
                <c:strRef>
                  <c:f>'d subsets'!$BU$25</c:f>
                  <c:strCache>
                    <c:ptCount val="1"/>
                    <c:pt idx="0">
                      <c:v>0.2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{C2D321E2-C24F-411B-B1F3-450EFB09DF37}</c15:txfldGUID>
                      <c15:f>'d subsets'!$BU$25</c15:f>
                      <c15:dlblFieldTableCache>
                        <c:ptCount val="1"/>
                        <c:pt idx="0">
                          <c:v>0.2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9D61-458C-BEDF-3809F8AFF6B1}"/>
                </c:ext>
              </c:extLst>
            </c:dLbl>
            <c:dLbl>
              <c:idx val="10"/>
              <c:layout/>
              <c:tx>
                <c:strRef>
                  <c:f>'d subsets'!$BU$26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{30BF9A6E-3009-4166-B832-B87530F9675D}</c15:txfldGUID>
                      <c15:f>'d subsets'!$BU$26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9D61-458C-BEDF-3809F8AFF6B1}"/>
                </c:ext>
              </c:extLst>
            </c:dLbl>
            <c:dLbl>
              <c:idx val="11"/>
              <c:layout/>
              <c:tx>
                <c:strRef>
                  <c:f>'d subsets'!$BU$27</c:f>
                  <c:strCache>
                    <c:ptCount val="1"/>
                    <c:pt idx="0">
                      <c:v>-0.2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{40B2DF56-1287-437A-BA70-E2BA9C8ACB40}</c15:txfldGUID>
                      <c15:f>'d subsets'!$BU$27</c15:f>
                      <c15:dlblFieldTableCache>
                        <c:ptCount val="1"/>
                        <c:pt idx="0">
                          <c:v>-0.2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9D61-458C-BEDF-3809F8AFF6B1}"/>
                </c:ext>
              </c:extLst>
            </c:dLbl>
            <c:dLbl>
              <c:idx val="12"/>
              <c:layout/>
              <c:tx>
                <c:strRef>
                  <c:f>'d subsets'!$BU$28</c:f>
                  <c:strCache>
                    <c:ptCount val="1"/>
                    <c:pt idx="0">
                      <c:v>-0.4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{D1F5F7BE-611C-40DE-9F05-C4BC1B253A6D}</c15:txfldGUID>
                      <c15:f>'d subsets'!$BU$28</c15:f>
                      <c15:dlblFieldTableCache>
                        <c:ptCount val="1"/>
                        <c:pt idx="0">
                          <c:v>-0.4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9D61-458C-BEDF-3809F8AFF6B1}"/>
                </c:ext>
              </c:extLst>
            </c:dLbl>
            <c:dLbl>
              <c:idx val="13"/>
              <c:layout/>
              <c:tx>
                <c:strRef>
                  <c:f>'d subsets'!$BU$29</c:f>
                  <c:strCache>
                    <c:ptCount val="1"/>
                    <c:pt idx="0">
                      <c:v>-0.6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{FBB6FB48-0FE9-4A9F-B0DF-0A67277A2395}</c15:txfldGUID>
                      <c15:f>'d subsets'!$BU$29</c15:f>
                      <c15:dlblFieldTableCache>
                        <c:ptCount val="1"/>
                        <c:pt idx="0">
                          <c:v>-0.6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9D61-458C-BEDF-3809F8AFF6B1}"/>
                </c:ext>
              </c:extLst>
            </c:dLbl>
            <c:dLbl>
              <c:idx val="14"/>
              <c:layout/>
              <c:tx>
                <c:strRef>
                  <c:f>'d subsets'!$BU$30</c:f>
                  <c:strCache>
                    <c:ptCount val="1"/>
                    <c:pt idx="0">
                      <c:v>-0.8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{29545114-0331-4028-88CF-D6C546FCF20D}</c15:txfldGUID>
                      <c15:f>'d subsets'!$BU$30</c15:f>
                      <c15:dlblFieldTableCache>
                        <c:ptCount val="1"/>
                        <c:pt idx="0">
                          <c:v>-0.8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9D61-458C-BEDF-3809F8AFF6B1}"/>
                </c:ext>
              </c:extLst>
            </c:dLbl>
            <c:dLbl>
              <c:idx val="15"/>
              <c:layout/>
              <c:tx>
                <c:strRef>
                  <c:f>'d subsets'!$BU$31</c:f>
                  <c:strCache>
                    <c:ptCount val="1"/>
                    <c:pt idx="0">
                      <c:v>-1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{CE899A58-A33D-4F40-B2E0-DBFD6641A6AC}</c15:txfldGUID>
                      <c15:f>'d subsets'!$BU$31</c15:f>
                      <c15:dlblFieldTableCache>
                        <c:ptCount val="1"/>
                        <c:pt idx="0">
                          <c:v>-1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9D61-458C-BEDF-3809F8AFF6B1}"/>
                </c:ext>
              </c:extLst>
            </c:dLbl>
            <c:dLbl>
              <c:idx val="16"/>
              <c:layout/>
              <c:tx>
                <c:strRef>
                  <c:f>'d subsets'!$BU$32</c:f>
                  <c:strCache>
                    <c:ptCount val="1"/>
                    <c:pt idx="0">
                      <c:v>-1.2</c:v>
                    </c:pt>
                  </c:strCache>
                </c:strRef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{C500C694-9C03-45FC-886C-86DB6E3A37AD}</c15:txfldGUID>
                      <c15:f>'d subsets'!$BU$32</c15:f>
                      <c15:dlblFieldTableCache>
                        <c:ptCount val="1"/>
                        <c:pt idx="0">
                          <c:v>-1.2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9D61-458C-BEDF-3809F8AFF6B1}"/>
                </c:ext>
              </c:extLst>
            </c:dLbl>
            <c:dLbl>
              <c:idx val="17"/>
              <c:tx>
                <c:strRef>
                  <c:f>'d subsets'!$BU$33</c:f>
                  <c:strCache>
                    <c:ptCount val="1"/>
                    <c:pt idx="0">
                      <c:v>-1.4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{FCA77056-2170-432F-80E8-CAAFC77F4AEA}</c15:txfldGUID>
                      <c15:f>'d subsets'!$BU$33</c15:f>
                      <c15:dlblFieldTableCache>
                        <c:ptCount val="1"/>
                        <c:pt idx="0">
                          <c:v>-1.4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9D61-458C-BEDF-3809F8AFF6B1}"/>
                </c:ext>
              </c:extLst>
            </c:dLbl>
            <c:dLbl>
              <c:idx val="18"/>
              <c:tx>
                <c:strRef>
                  <c:f>'d subsets'!$BU$34</c:f>
                  <c:strCache>
                    <c:ptCount val="1"/>
                    <c:pt idx="0">
                      <c:v>-1.6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{0B15F9AA-841C-451E-8AA2-AB2716F48A58}</c15:txfldGUID>
                      <c15:f>'d subsets'!$BU$34</c15:f>
                      <c15:dlblFieldTableCache>
                        <c:ptCount val="1"/>
                        <c:pt idx="0">
                          <c:v>-1.6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9D61-458C-BEDF-3809F8AFF6B1}"/>
                </c:ext>
              </c:extLst>
            </c:dLbl>
            <c:dLbl>
              <c:idx val="19"/>
              <c:tx>
                <c:strRef>
                  <c:f>'d subsets'!$BU$35</c:f>
                  <c:strCache>
                    <c:ptCount val="1"/>
                    <c:pt idx="0">
                      <c:v>-1.8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{1D098AE8-A566-43AB-B248-0FED93585841}</c15:txfldGUID>
                      <c15:f>'d subsets'!$BU$35</c15:f>
                      <c15:dlblFieldTableCache>
                        <c:ptCount val="1"/>
                        <c:pt idx="0">
                          <c:v>-1.8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9D61-458C-BEDF-3809F8AFF6B1}"/>
                </c:ext>
              </c:extLst>
            </c:dLbl>
            <c:dLbl>
              <c:idx val="20"/>
              <c:tx>
                <c:strRef>
                  <c:f>'d subsets'!$BU$36</c:f>
                  <c:strCache>
                    <c:ptCount val="1"/>
                    <c:pt idx="0">
                      <c:v>-2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{0A3D1601-D4EA-49DB-86AC-A22CA7207553}</c15:txfldGUID>
                      <c15:f>'d subsets'!$BU$36</c15:f>
                      <c15:dlblFieldTableCache>
                        <c:ptCount val="1"/>
                        <c:pt idx="0">
                          <c:v>-2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9D61-458C-BEDF-3809F8AFF6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 subsets'!$BW$16:$BW$36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1.2159727062377379</c:v>
                </c:pt>
                <c:pt idx="9">
                  <c:v>1.0159727062377379</c:v>
                </c:pt>
                <c:pt idx="10">
                  <c:v>0.81597270623773788</c:v>
                </c:pt>
                <c:pt idx="11">
                  <c:v>0.61597270623773781</c:v>
                </c:pt>
                <c:pt idx="12">
                  <c:v>0.41597270623773785</c:v>
                </c:pt>
                <c:pt idx="13">
                  <c:v>0.21597270623773779</c:v>
                </c:pt>
                <c:pt idx="14">
                  <c:v>1.5972706237737833E-2</c:v>
                </c:pt>
                <c:pt idx="15">
                  <c:v>-0.18402729376226212</c:v>
                </c:pt>
                <c:pt idx="16">
                  <c:v>-0.3840272937622623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xVal>
          <c:yVal>
            <c:numRef>
              <c:f>'d subsets'!$BX$16:$BX$36</c:f>
              <c:numCache>
                <c:formatCode>General</c:formatCode>
                <c:ptCount val="21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  <c:pt idx="7">
                  <c:v>39</c:v>
                </c:pt>
                <c:pt idx="8">
                  <c:v>39</c:v>
                </c:pt>
                <c:pt idx="9">
                  <c:v>39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39</c:v>
                </c:pt>
                <c:pt idx="17">
                  <c:v>39</c:v>
                </c:pt>
                <c:pt idx="18">
                  <c:v>39</c:v>
                </c:pt>
                <c:pt idx="19">
                  <c:v>39</c:v>
                </c:pt>
                <c:pt idx="20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D61-458C-BEDF-3809F8AFF6B1}"/>
            </c:ext>
          </c:extLst>
        </c:ser>
        <c:ser>
          <c:idx val="42"/>
          <c:order val="44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AU"/>
                      <a:t>Difference axis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46-9D61-458C-BEDF-3809F8AFF6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 subsets'!$BW$8</c:f>
              <c:numCache>
                <c:formatCode>General</c:formatCode>
                <c:ptCount val="1"/>
                <c:pt idx="0">
                  <c:v>0.43211810755752877</c:v>
                </c:pt>
              </c:numCache>
            </c:numRef>
          </c:xVal>
          <c:yVal>
            <c:numRef>
              <c:f>'d subsets'!$BX$8</c:f>
              <c:numCache>
                <c:formatCode>General</c:formatCode>
                <c:ptCount val="1"/>
                <c:pt idx="0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D61-458C-BEDF-3809F8AFF6B1}"/>
            </c:ext>
          </c:extLst>
        </c:ser>
        <c:ser>
          <c:idx val="43"/>
          <c:order val="45"/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subsets'!$BX$10</c:f>
                <c:numCache>
                  <c:formatCode>General</c:formatCode>
                  <c:ptCount val="1"/>
                  <c:pt idx="0">
                    <c:v>0.38632467468981352</c:v>
                  </c:pt>
                </c:numCache>
              </c:numRef>
            </c:plus>
            <c:minus>
              <c:numRef>
                <c:f>'d subsets'!$BX$10</c:f>
                <c:numCache>
                  <c:formatCode>General</c:formatCode>
                  <c:ptCount val="1"/>
                  <c:pt idx="0">
                    <c:v>0.38632467468981352</c:v>
                  </c:pt>
                </c:numCache>
              </c:numRef>
            </c:minus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subsets'!$BW$7</c:f>
              <c:numCache>
                <c:formatCode>General</c:formatCode>
                <c:ptCount val="1"/>
                <c:pt idx="0">
                  <c:v>4.826350887731963E-2</c:v>
                </c:pt>
              </c:numCache>
            </c:numRef>
          </c:xVal>
          <c:yVal>
            <c:numRef>
              <c:f>'d subsets'!$BX$7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D61-458C-BEDF-3809F8AFF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95392"/>
        <c:axId val="51997312"/>
      </c:scatterChart>
      <c:valAx>
        <c:axId val="519953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d</a:t>
                </a:r>
              </a:p>
            </c:rich>
          </c:tx>
          <c:layout>
            <c:manualLayout>
              <c:xMode val="edge"/>
              <c:yMode val="edge"/>
              <c:x val="0.48604347233469386"/>
              <c:y val="1.699348574536069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80008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997312"/>
        <c:crossesAt val="0"/>
        <c:crossBetween val="midCat"/>
      </c:valAx>
      <c:valAx>
        <c:axId val="51997312"/>
        <c:scaling>
          <c:orientation val="maxMin"/>
          <c:max val="41.9"/>
          <c:min val="0"/>
        </c:scaling>
        <c:delete val="0"/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9525">
            <a:noFill/>
          </a:ln>
        </c:spPr>
        <c:crossAx val="51995392"/>
        <c:crossesAt val="0"/>
        <c:crossBetween val="midCat"/>
        <c:majorUnit val="1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 paperSize="9" orientation="landscape" horizontalDpi="-3" verticalDpi="-3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Correlation</a:t>
            </a:r>
            <a:r>
              <a:rPr lang="en-AU" sz="1425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 r</a:t>
            </a:r>
          </a:p>
        </c:rich>
      </c:tx>
      <c:layout>
        <c:manualLayout>
          <c:xMode val="edge"/>
          <c:yMode val="edge"/>
          <c:x val="0.41652323580034439"/>
          <c:y val="8.2372389161273728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2702237521514653E-2"/>
          <c:y val="0.10708410590965588"/>
          <c:w val="0.93631669535283968"/>
          <c:h val="0.85667284727724669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56-4D75-917D-6C5C836EB4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plus"/>
            <c:errValType val="cust"/>
            <c:noEndCap val="1"/>
            <c:plus>
              <c:numRef>
                <c:f>'Single r'!$BS$3</c:f>
                <c:numCache>
                  <c:formatCode>General</c:formatCode>
                  <c:ptCount val="1"/>
                  <c:pt idx="0">
                    <c:v>33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'Single r'!$BQ$3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'Single r'!$BR$3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56-4D75-917D-6C5C836EB499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r'!$BQ$7:$BQ$36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r'!$BR$7:$BR$36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56-4D75-917D-6C5C836EB499}"/>
            </c:ext>
          </c:extLst>
        </c:ser>
        <c:ser>
          <c:idx val="7"/>
          <c:order val="2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r'!$CS$3:$CS$32</c:f>
              <c:numCache>
                <c:formatCode>General</c:formatCode>
                <c:ptCount val="30"/>
                <c:pt idx="0">
                  <c:v>0.67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0.23100000000000001</c:v>
                </c:pt>
                <c:pt idx="10">
                  <c:v>#N/A</c:v>
                </c:pt>
                <c:pt idx="11">
                  <c:v>0.41</c:v>
                </c:pt>
                <c:pt idx="12">
                  <c:v>0.34</c:v>
                </c:pt>
                <c:pt idx="13">
                  <c:v>#N/A</c:v>
                </c:pt>
                <c:pt idx="14">
                  <c:v>#N/A</c:v>
                </c:pt>
                <c:pt idx="15">
                  <c:v>0.58299999999999996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56-4D75-917D-6C5C836EB499}"/>
            </c:ext>
          </c:extLst>
        </c:ser>
        <c:ser>
          <c:idx val="8"/>
          <c:order val="3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r'!$CR$3:$CR$32</c:f>
              <c:numCache>
                <c:formatCode>General</c:formatCode>
                <c:ptCount val="30"/>
                <c:pt idx="0">
                  <c:v>#N/A</c:v>
                </c:pt>
                <c:pt idx="1">
                  <c:v>0.51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0.22750000000000001</c:v>
                </c:pt>
                <c:pt idx="6">
                  <c:v>#N/A</c:v>
                </c:pt>
                <c:pt idx="7">
                  <c:v>0.104</c:v>
                </c:pt>
                <c:pt idx="8">
                  <c:v>#N/A</c:v>
                </c:pt>
                <c:pt idx="9">
                  <c:v>#N/A</c:v>
                </c:pt>
                <c:pt idx="10">
                  <c:v>0.67</c:v>
                </c:pt>
                <c:pt idx="11">
                  <c:v>#N/A</c:v>
                </c:pt>
                <c:pt idx="12">
                  <c:v>#N/A</c:v>
                </c:pt>
                <c:pt idx="13">
                  <c:v>0.31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56-4D75-917D-6C5C836EB499}"/>
            </c:ext>
          </c:extLst>
        </c:ser>
        <c:ser>
          <c:idx val="9"/>
          <c:order val="4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r'!$CQ$3:$CQ$32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56-4D75-917D-6C5C836EB499}"/>
            </c:ext>
          </c:extLst>
        </c:ser>
        <c:ser>
          <c:idx val="10"/>
          <c:order val="5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r'!$CP$3:$CP$32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0.4</c:v>
                </c:pt>
                <c:pt idx="3">
                  <c:v>#N/A</c:v>
                </c:pt>
                <c:pt idx="4">
                  <c:v>0.47</c:v>
                </c:pt>
                <c:pt idx="5">
                  <c:v>#N/A</c:v>
                </c:pt>
                <c:pt idx="6">
                  <c:v>-0.224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0.54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56-4D75-917D-6C5C836EB499}"/>
            </c:ext>
          </c:extLst>
        </c:ser>
        <c:ser>
          <c:idx val="11"/>
          <c:order val="6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r'!$CO$3:$CO$32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0.32200000000000001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56-4D75-917D-6C5C836EB499}"/>
            </c:ext>
          </c:extLst>
        </c:ser>
        <c:ser>
          <c:idx val="12"/>
          <c:order val="7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r'!$CN$3:$CN$32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56-4D75-917D-6C5C836EB499}"/>
            </c:ext>
          </c:extLst>
        </c:ser>
        <c:ser>
          <c:idx val="13"/>
          <c:order val="8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r'!$CM$3:$CM$32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56-4D75-917D-6C5C836EB499}"/>
            </c:ext>
          </c:extLst>
        </c:ser>
        <c:ser>
          <c:idx val="14"/>
          <c:order val="9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r'!$CL$3:$CL$32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56-4D75-917D-6C5C836EB499}"/>
            </c:ext>
          </c:extLst>
        </c:ser>
        <c:ser>
          <c:idx val="15"/>
          <c:order val="10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r'!$CK$3:$CK$32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56-4D75-917D-6C5C836EB499}"/>
            </c:ext>
          </c:extLst>
        </c:ser>
        <c:ser>
          <c:idx val="36"/>
          <c:order val="11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'Single r'!$BQ$51:$BQ$251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3.9551695252271202E-16</c:v>
                  </c:pt>
                  <c:pt idx="11">
                    <c:v>4.0000000000003991E-3</c:v>
                  </c:pt>
                  <c:pt idx="12">
                    <c:v>8.0000000000004443E-3</c:v>
                  </c:pt>
                  <c:pt idx="13">
                    <c:v>1.2000000000000448E-2</c:v>
                  </c:pt>
                  <c:pt idx="14">
                    <c:v>1.6000000000000493E-2</c:v>
                  </c:pt>
                  <c:pt idx="15">
                    <c:v>2.0000000000000545E-2</c:v>
                  </c:pt>
                  <c:pt idx="16">
                    <c:v>2.4000000000000542E-2</c:v>
                  </c:pt>
                  <c:pt idx="17">
                    <c:v>2.8000000000000601E-2</c:v>
                  </c:pt>
                  <c:pt idx="18">
                    <c:v>3.2000000000000604E-2</c:v>
                  </c:pt>
                  <c:pt idx="19">
                    <c:v>3.600000000000065E-2</c:v>
                  </c:pt>
                  <c:pt idx="20">
                    <c:v>4.0000000000000653E-2</c:v>
                  </c:pt>
                  <c:pt idx="21">
                    <c:v>4.4000000000000698E-2</c:v>
                  </c:pt>
                  <c:pt idx="22">
                    <c:v>4.8000000000000743E-2</c:v>
                  </c:pt>
                  <c:pt idx="23">
                    <c:v>5.2000000000000747E-2</c:v>
                  </c:pt>
                  <c:pt idx="24">
                    <c:v>5.6000000000000806E-2</c:v>
                  </c:pt>
                  <c:pt idx="25">
                    <c:v>6.000000000000081E-2</c:v>
                  </c:pt>
                  <c:pt idx="26">
                    <c:v>6.4000000000000862E-2</c:v>
                  </c:pt>
                  <c:pt idx="27">
                    <c:v>6.8000000000000865E-2</c:v>
                  </c:pt>
                  <c:pt idx="28">
                    <c:v>7.2000000000000897E-2</c:v>
                  </c:pt>
                  <c:pt idx="29">
                    <c:v>7.6000000000000956E-2</c:v>
                  </c:pt>
                  <c:pt idx="30">
                    <c:v>8.0000000000000959E-2</c:v>
                  </c:pt>
                  <c:pt idx="31">
                    <c:v>8.4000000000000991E-2</c:v>
                  </c:pt>
                  <c:pt idx="32">
                    <c:v>8.8000000000000994E-2</c:v>
                  </c:pt>
                  <c:pt idx="33">
                    <c:v>9.2000000000001053E-2</c:v>
                  </c:pt>
                  <c:pt idx="34">
                    <c:v>9.6000000000001057E-2</c:v>
                  </c:pt>
                  <c:pt idx="35">
                    <c:v>0.10000000000000109</c:v>
                  </c:pt>
                  <c:pt idx="36">
                    <c:v>0.10400000000000115</c:v>
                  </c:pt>
                  <c:pt idx="37">
                    <c:v>0.10800000000000115</c:v>
                  </c:pt>
                  <c:pt idx="38">
                    <c:v>0.11200000000000121</c:v>
                  </c:pt>
                  <c:pt idx="39">
                    <c:v>0.11600000000000121</c:v>
                  </c:pt>
                  <c:pt idx="40">
                    <c:v>0.12000000000000124</c:v>
                  </c:pt>
                  <c:pt idx="41">
                    <c:v>0.12400000000000125</c:v>
                  </c:pt>
                  <c:pt idx="42">
                    <c:v>0.12800000000000131</c:v>
                  </c:pt>
                  <c:pt idx="43">
                    <c:v>0.13200000000000137</c:v>
                  </c:pt>
                  <c:pt idx="44">
                    <c:v>0.13600000000000137</c:v>
                  </c:pt>
                  <c:pt idx="45">
                    <c:v>0.1400000000000014</c:v>
                  </c:pt>
                  <c:pt idx="46">
                    <c:v>0.1440000000000014</c:v>
                  </c:pt>
                  <c:pt idx="47">
                    <c:v>0.14800000000000146</c:v>
                  </c:pt>
                  <c:pt idx="48">
                    <c:v>0.15200000000000147</c:v>
                  </c:pt>
                  <c:pt idx="49">
                    <c:v>0.1560000000000015</c:v>
                  </c:pt>
                  <c:pt idx="50">
                    <c:v>0.1600000000000015</c:v>
                  </c:pt>
                  <c:pt idx="51">
                    <c:v>0.16400000000000156</c:v>
                  </c:pt>
                  <c:pt idx="52">
                    <c:v>0.16800000000000162</c:v>
                  </c:pt>
                  <c:pt idx="53">
                    <c:v>0.17200000000000162</c:v>
                  </c:pt>
                  <c:pt idx="54">
                    <c:v>0.17600000000000166</c:v>
                  </c:pt>
                  <c:pt idx="55">
                    <c:v>0.18000000000000171</c:v>
                  </c:pt>
                  <c:pt idx="56">
                    <c:v>0.18400000000000172</c:v>
                  </c:pt>
                  <c:pt idx="57">
                    <c:v>0.18800000000000172</c:v>
                  </c:pt>
                  <c:pt idx="58">
                    <c:v>0.19200000000000175</c:v>
                  </c:pt>
                  <c:pt idx="59">
                    <c:v>0.19600000000000181</c:v>
                  </c:pt>
                  <c:pt idx="60">
                    <c:v>0.20000000000000182</c:v>
                  </c:pt>
                  <c:pt idx="61">
                    <c:v>0.20400000000000187</c:v>
                  </c:pt>
                  <c:pt idx="62">
                    <c:v>0.20800000000000191</c:v>
                  </c:pt>
                  <c:pt idx="63">
                    <c:v>0.21200000000000194</c:v>
                  </c:pt>
                  <c:pt idx="64">
                    <c:v>0.21600000000000194</c:v>
                  </c:pt>
                  <c:pt idx="65">
                    <c:v>0.22000000000000194</c:v>
                  </c:pt>
                  <c:pt idx="66">
                    <c:v>0.224000000000002</c:v>
                  </c:pt>
                  <c:pt idx="67">
                    <c:v>0.22800000000000201</c:v>
                  </c:pt>
                  <c:pt idx="68">
                    <c:v>0.23200000000000207</c:v>
                  </c:pt>
                  <c:pt idx="69">
                    <c:v>0.23600000000000212</c:v>
                  </c:pt>
                  <c:pt idx="70">
                    <c:v>0.24000000000000213</c:v>
                  </c:pt>
                  <c:pt idx="71">
                    <c:v>0.24400000000000213</c:v>
                  </c:pt>
                  <c:pt idx="72">
                    <c:v>0.24800000000000219</c:v>
                  </c:pt>
                  <c:pt idx="73">
                    <c:v>0.25200000000000222</c:v>
                  </c:pt>
                  <c:pt idx="74">
                    <c:v>0.25600000000000223</c:v>
                  </c:pt>
                  <c:pt idx="75">
                    <c:v>0.26000000000000228</c:v>
                  </c:pt>
                  <c:pt idx="76">
                    <c:v>0.26400000000000234</c:v>
                  </c:pt>
                  <c:pt idx="77">
                    <c:v>0.26800000000000235</c:v>
                  </c:pt>
                  <c:pt idx="78">
                    <c:v>0.27200000000000241</c:v>
                  </c:pt>
                  <c:pt idx="79">
                    <c:v>0.27600000000000241</c:v>
                  </c:pt>
                  <c:pt idx="80">
                    <c:v>0.28000000000000247</c:v>
                  </c:pt>
                  <c:pt idx="81">
                    <c:v>0.28400000000000247</c:v>
                  </c:pt>
                  <c:pt idx="82">
                    <c:v>0.28800000000000253</c:v>
                  </c:pt>
                  <c:pt idx="83">
                    <c:v>0.29200000000000254</c:v>
                  </c:pt>
                  <c:pt idx="84">
                    <c:v>0.29600000000000254</c:v>
                  </c:pt>
                  <c:pt idx="85">
                    <c:v>0.3000000000000026</c:v>
                  </c:pt>
                  <c:pt idx="86">
                    <c:v>0.3040000000000026</c:v>
                  </c:pt>
                  <c:pt idx="87">
                    <c:v>0.30800000000000266</c:v>
                  </c:pt>
                  <c:pt idx="88">
                    <c:v>0.31200000000000266</c:v>
                  </c:pt>
                  <c:pt idx="89">
                    <c:v>0.31600000000000272</c:v>
                  </c:pt>
                  <c:pt idx="90">
                    <c:v>0.32000000000000278</c:v>
                  </c:pt>
                  <c:pt idx="91">
                    <c:v>0.32400000000000279</c:v>
                  </c:pt>
                  <c:pt idx="92">
                    <c:v>0.32800000000000279</c:v>
                  </c:pt>
                  <c:pt idx="93">
                    <c:v>0.33200000000000279</c:v>
                  </c:pt>
                  <c:pt idx="94">
                    <c:v>0.33600000000000285</c:v>
                  </c:pt>
                  <c:pt idx="95">
                    <c:v>0.34000000000000286</c:v>
                  </c:pt>
                  <c:pt idx="96">
                    <c:v>0.34400000000000291</c:v>
                  </c:pt>
                  <c:pt idx="97">
                    <c:v>0.34800000000000297</c:v>
                  </c:pt>
                  <c:pt idx="98">
                    <c:v>0.35200000000000298</c:v>
                  </c:pt>
                  <c:pt idx="99">
                    <c:v>0.35600000000000304</c:v>
                  </c:pt>
                  <c:pt idx="100">
                    <c:v>0.35999999999999704</c:v>
                  </c:pt>
                  <c:pt idx="101">
                    <c:v>0.35599999999999704</c:v>
                  </c:pt>
                  <c:pt idx="102">
                    <c:v>0.35199999999999704</c:v>
                  </c:pt>
                  <c:pt idx="103">
                    <c:v>0.34799999999999698</c:v>
                  </c:pt>
                  <c:pt idx="104">
                    <c:v>0.34399999999999692</c:v>
                  </c:pt>
                  <c:pt idx="105">
                    <c:v>0.33999999999999692</c:v>
                  </c:pt>
                  <c:pt idx="106">
                    <c:v>0.33599999999999686</c:v>
                  </c:pt>
                  <c:pt idx="107">
                    <c:v>0.33199999999999685</c:v>
                  </c:pt>
                  <c:pt idx="108">
                    <c:v>0.32799999999999679</c:v>
                  </c:pt>
                  <c:pt idx="109">
                    <c:v>0.32399999999999679</c:v>
                  </c:pt>
                  <c:pt idx="110">
                    <c:v>0.31999999999999679</c:v>
                  </c:pt>
                  <c:pt idx="111">
                    <c:v>0.31599999999999673</c:v>
                  </c:pt>
                  <c:pt idx="112">
                    <c:v>0.31199999999999672</c:v>
                  </c:pt>
                  <c:pt idx="113">
                    <c:v>0.30799999999999667</c:v>
                  </c:pt>
                  <c:pt idx="114">
                    <c:v>0.30399999999999666</c:v>
                  </c:pt>
                  <c:pt idx="115">
                    <c:v>0.2999999999999966</c:v>
                  </c:pt>
                  <c:pt idx="116">
                    <c:v>0.2959999999999966</c:v>
                  </c:pt>
                  <c:pt idx="117">
                    <c:v>0.29199999999999654</c:v>
                  </c:pt>
                  <c:pt idx="118">
                    <c:v>0.28799999999999654</c:v>
                  </c:pt>
                  <c:pt idx="119">
                    <c:v>0.28399999999999653</c:v>
                  </c:pt>
                  <c:pt idx="120">
                    <c:v>0.27999999999999647</c:v>
                  </c:pt>
                  <c:pt idx="121">
                    <c:v>0.27599999999999647</c:v>
                  </c:pt>
                  <c:pt idx="122">
                    <c:v>0.27199999999999641</c:v>
                  </c:pt>
                  <c:pt idx="123">
                    <c:v>0.26799999999999641</c:v>
                  </c:pt>
                  <c:pt idx="124">
                    <c:v>0.26399999999999635</c:v>
                  </c:pt>
                  <c:pt idx="125">
                    <c:v>0.25999999999999629</c:v>
                  </c:pt>
                  <c:pt idx="126">
                    <c:v>0.25599999999999629</c:v>
                  </c:pt>
                  <c:pt idx="127">
                    <c:v>0.25199999999999623</c:v>
                  </c:pt>
                  <c:pt idx="128">
                    <c:v>0.2479999999999962</c:v>
                  </c:pt>
                  <c:pt idx="129">
                    <c:v>0.24399999999999619</c:v>
                  </c:pt>
                  <c:pt idx="130">
                    <c:v>0.23999999999999619</c:v>
                  </c:pt>
                  <c:pt idx="131">
                    <c:v>0.23599999999999613</c:v>
                  </c:pt>
                  <c:pt idx="132">
                    <c:v>0.23199999999999607</c:v>
                  </c:pt>
                  <c:pt idx="133">
                    <c:v>0.22799999999999607</c:v>
                  </c:pt>
                  <c:pt idx="134">
                    <c:v>0.22399999999999601</c:v>
                  </c:pt>
                  <c:pt idx="135">
                    <c:v>0.21999999999999595</c:v>
                  </c:pt>
                  <c:pt idx="136">
                    <c:v>0.21599999999999595</c:v>
                  </c:pt>
                  <c:pt idx="137">
                    <c:v>0.21199999999999594</c:v>
                  </c:pt>
                  <c:pt idx="138">
                    <c:v>0.20799999999999591</c:v>
                  </c:pt>
                  <c:pt idx="139">
                    <c:v>0.20399999999999588</c:v>
                  </c:pt>
                  <c:pt idx="140">
                    <c:v>0.19999999999999588</c:v>
                  </c:pt>
                  <c:pt idx="141">
                    <c:v>0.19599999999999582</c:v>
                  </c:pt>
                  <c:pt idx="142">
                    <c:v>0.19199999999999576</c:v>
                  </c:pt>
                  <c:pt idx="143">
                    <c:v>0.18799999999999575</c:v>
                  </c:pt>
                  <c:pt idx="144">
                    <c:v>0.18399999999999575</c:v>
                  </c:pt>
                  <c:pt idx="145">
                    <c:v>0.17999999999999572</c:v>
                  </c:pt>
                  <c:pt idx="146">
                    <c:v>0.17599999999999566</c:v>
                  </c:pt>
                  <c:pt idx="147">
                    <c:v>0.17199999999999566</c:v>
                  </c:pt>
                  <c:pt idx="148">
                    <c:v>0.16799999999999563</c:v>
                  </c:pt>
                  <c:pt idx="149">
                    <c:v>0.16399999999999557</c:v>
                  </c:pt>
                  <c:pt idx="150">
                    <c:v>0.15999999999999556</c:v>
                  </c:pt>
                  <c:pt idx="151">
                    <c:v>0.1559999999999955</c:v>
                  </c:pt>
                  <c:pt idx="152">
                    <c:v>0.1519999999999955</c:v>
                  </c:pt>
                  <c:pt idx="153">
                    <c:v>0.14799999999999547</c:v>
                  </c:pt>
                  <c:pt idx="154">
                    <c:v>0.14399999999999546</c:v>
                  </c:pt>
                  <c:pt idx="155">
                    <c:v>0.13999999999999541</c:v>
                  </c:pt>
                  <c:pt idx="156">
                    <c:v>0.1359999999999954</c:v>
                  </c:pt>
                  <c:pt idx="157">
                    <c:v>0.13199999999999537</c:v>
                  </c:pt>
                  <c:pt idx="158">
                    <c:v>0.12799999999999531</c:v>
                  </c:pt>
                  <c:pt idx="159">
                    <c:v>0.12399999999999531</c:v>
                  </c:pt>
                  <c:pt idx="160">
                    <c:v>0.11999999999999525</c:v>
                  </c:pt>
                  <c:pt idx="161">
                    <c:v>0.11599999999999525</c:v>
                  </c:pt>
                  <c:pt idx="162">
                    <c:v>0.11199999999999521</c:v>
                  </c:pt>
                  <c:pt idx="163">
                    <c:v>0.10799999999999521</c:v>
                  </c:pt>
                  <c:pt idx="164">
                    <c:v>0.10399999999999515</c:v>
                  </c:pt>
                  <c:pt idx="165">
                    <c:v>9.9999999999995093E-2</c:v>
                  </c:pt>
                  <c:pt idx="166">
                    <c:v>9.5999999999995089E-2</c:v>
                  </c:pt>
                  <c:pt idx="167">
                    <c:v>9.1999999999995058E-2</c:v>
                  </c:pt>
                  <c:pt idx="168">
                    <c:v>8.7999999999995054E-2</c:v>
                  </c:pt>
                  <c:pt idx="169">
                    <c:v>8.3999999999994995E-2</c:v>
                  </c:pt>
                  <c:pt idx="170">
                    <c:v>7.9999999999994992E-2</c:v>
                  </c:pt>
                  <c:pt idx="171">
                    <c:v>7.599999999999496E-2</c:v>
                  </c:pt>
                  <c:pt idx="172">
                    <c:v>7.1999999999994901E-2</c:v>
                  </c:pt>
                  <c:pt idx="173">
                    <c:v>6.7999999999994898E-2</c:v>
                  </c:pt>
                  <c:pt idx="174">
                    <c:v>6.3999999999994867E-2</c:v>
                  </c:pt>
                  <c:pt idx="175">
                    <c:v>5.9999999999994856E-2</c:v>
                  </c:pt>
                  <c:pt idx="176">
                    <c:v>5.5999999999994811E-2</c:v>
                  </c:pt>
                  <c:pt idx="177">
                    <c:v>5.1999999999994807E-2</c:v>
                  </c:pt>
                  <c:pt idx="178">
                    <c:v>4.7999999999994748E-2</c:v>
                  </c:pt>
                  <c:pt idx="179">
                    <c:v>4.3999999999994703E-2</c:v>
                  </c:pt>
                  <c:pt idx="180">
                    <c:v>3.99999999999947E-2</c:v>
                  </c:pt>
                  <c:pt idx="181">
                    <c:v>3.5999999999994654E-2</c:v>
                  </c:pt>
                  <c:pt idx="182">
                    <c:v>3.1999999999994651E-2</c:v>
                  </c:pt>
                  <c:pt idx="183">
                    <c:v>2.7999999999994606E-2</c:v>
                  </c:pt>
                  <c:pt idx="184">
                    <c:v>2.3999999999994602E-2</c:v>
                  </c:pt>
                  <c:pt idx="185">
                    <c:v>1.999999999999455E-2</c:v>
                  </c:pt>
                  <c:pt idx="186">
                    <c:v>1.5999999999994498E-2</c:v>
                  </c:pt>
                  <c:pt idx="187">
                    <c:v>1.1999999999994494E-2</c:v>
                  </c:pt>
                  <c:pt idx="188">
                    <c:v>7.9999999999944491E-3</c:v>
                  </c:pt>
                  <c:pt idx="189">
                    <c:v>3.9999999999944455E-3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'Single r'!$BQ$51:$BQ$251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3.9551695252271202E-16</c:v>
                  </c:pt>
                  <c:pt idx="11">
                    <c:v>4.0000000000003991E-3</c:v>
                  </c:pt>
                  <c:pt idx="12">
                    <c:v>8.0000000000004443E-3</c:v>
                  </c:pt>
                  <c:pt idx="13">
                    <c:v>1.2000000000000448E-2</c:v>
                  </c:pt>
                  <c:pt idx="14">
                    <c:v>1.6000000000000493E-2</c:v>
                  </c:pt>
                  <c:pt idx="15">
                    <c:v>2.0000000000000545E-2</c:v>
                  </c:pt>
                  <c:pt idx="16">
                    <c:v>2.4000000000000542E-2</c:v>
                  </c:pt>
                  <c:pt idx="17">
                    <c:v>2.8000000000000601E-2</c:v>
                  </c:pt>
                  <c:pt idx="18">
                    <c:v>3.2000000000000604E-2</c:v>
                  </c:pt>
                  <c:pt idx="19">
                    <c:v>3.600000000000065E-2</c:v>
                  </c:pt>
                  <c:pt idx="20">
                    <c:v>4.0000000000000653E-2</c:v>
                  </c:pt>
                  <c:pt idx="21">
                    <c:v>4.4000000000000698E-2</c:v>
                  </c:pt>
                  <c:pt idx="22">
                    <c:v>4.8000000000000743E-2</c:v>
                  </c:pt>
                  <c:pt idx="23">
                    <c:v>5.2000000000000747E-2</c:v>
                  </c:pt>
                  <c:pt idx="24">
                    <c:v>5.6000000000000806E-2</c:v>
                  </c:pt>
                  <c:pt idx="25">
                    <c:v>6.000000000000081E-2</c:v>
                  </c:pt>
                  <c:pt idx="26">
                    <c:v>6.4000000000000862E-2</c:v>
                  </c:pt>
                  <c:pt idx="27">
                    <c:v>6.8000000000000865E-2</c:v>
                  </c:pt>
                  <c:pt idx="28">
                    <c:v>7.2000000000000897E-2</c:v>
                  </c:pt>
                  <c:pt idx="29">
                    <c:v>7.6000000000000956E-2</c:v>
                  </c:pt>
                  <c:pt idx="30">
                    <c:v>8.0000000000000959E-2</c:v>
                  </c:pt>
                  <c:pt idx="31">
                    <c:v>8.4000000000000991E-2</c:v>
                  </c:pt>
                  <c:pt idx="32">
                    <c:v>8.8000000000000994E-2</c:v>
                  </c:pt>
                  <c:pt idx="33">
                    <c:v>9.2000000000001053E-2</c:v>
                  </c:pt>
                  <c:pt idx="34">
                    <c:v>9.6000000000001057E-2</c:v>
                  </c:pt>
                  <c:pt idx="35">
                    <c:v>0.10000000000000109</c:v>
                  </c:pt>
                  <c:pt idx="36">
                    <c:v>0.10400000000000115</c:v>
                  </c:pt>
                  <c:pt idx="37">
                    <c:v>0.10800000000000115</c:v>
                  </c:pt>
                  <c:pt idx="38">
                    <c:v>0.11200000000000121</c:v>
                  </c:pt>
                  <c:pt idx="39">
                    <c:v>0.11600000000000121</c:v>
                  </c:pt>
                  <c:pt idx="40">
                    <c:v>0.12000000000000124</c:v>
                  </c:pt>
                  <c:pt idx="41">
                    <c:v>0.12400000000000125</c:v>
                  </c:pt>
                  <c:pt idx="42">
                    <c:v>0.12800000000000131</c:v>
                  </c:pt>
                  <c:pt idx="43">
                    <c:v>0.13200000000000137</c:v>
                  </c:pt>
                  <c:pt idx="44">
                    <c:v>0.13600000000000137</c:v>
                  </c:pt>
                  <c:pt idx="45">
                    <c:v>0.1400000000000014</c:v>
                  </c:pt>
                  <c:pt idx="46">
                    <c:v>0.1440000000000014</c:v>
                  </c:pt>
                  <c:pt idx="47">
                    <c:v>0.14800000000000146</c:v>
                  </c:pt>
                  <c:pt idx="48">
                    <c:v>0.15200000000000147</c:v>
                  </c:pt>
                  <c:pt idx="49">
                    <c:v>0.1560000000000015</c:v>
                  </c:pt>
                  <c:pt idx="50">
                    <c:v>0.1600000000000015</c:v>
                  </c:pt>
                  <c:pt idx="51">
                    <c:v>0.16400000000000156</c:v>
                  </c:pt>
                  <c:pt idx="52">
                    <c:v>0.16800000000000162</c:v>
                  </c:pt>
                  <c:pt idx="53">
                    <c:v>0.17200000000000162</c:v>
                  </c:pt>
                  <c:pt idx="54">
                    <c:v>0.17600000000000166</c:v>
                  </c:pt>
                  <c:pt idx="55">
                    <c:v>0.18000000000000171</c:v>
                  </c:pt>
                  <c:pt idx="56">
                    <c:v>0.18400000000000172</c:v>
                  </c:pt>
                  <c:pt idx="57">
                    <c:v>0.18800000000000172</c:v>
                  </c:pt>
                  <c:pt idx="58">
                    <c:v>0.19200000000000175</c:v>
                  </c:pt>
                  <c:pt idx="59">
                    <c:v>0.19600000000000181</c:v>
                  </c:pt>
                  <c:pt idx="60">
                    <c:v>0.20000000000000182</c:v>
                  </c:pt>
                  <c:pt idx="61">
                    <c:v>0.20400000000000187</c:v>
                  </c:pt>
                  <c:pt idx="62">
                    <c:v>0.20800000000000191</c:v>
                  </c:pt>
                  <c:pt idx="63">
                    <c:v>0.21200000000000194</c:v>
                  </c:pt>
                  <c:pt idx="64">
                    <c:v>0.21600000000000194</c:v>
                  </c:pt>
                  <c:pt idx="65">
                    <c:v>0.22000000000000194</c:v>
                  </c:pt>
                  <c:pt idx="66">
                    <c:v>0.224000000000002</c:v>
                  </c:pt>
                  <c:pt idx="67">
                    <c:v>0.22800000000000201</c:v>
                  </c:pt>
                  <c:pt idx="68">
                    <c:v>0.23200000000000207</c:v>
                  </c:pt>
                  <c:pt idx="69">
                    <c:v>0.23600000000000212</c:v>
                  </c:pt>
                  <c:pt idx="70">
                    <c:v>0.24000000000000213</c:v>
                  </c:pt>
                  <c:pt idx="71">
                    <c:v>0.24400000000000213</c:v>
                  </c:pt>
                  <c:pt idx="72">
                    <c:v>0.24800000000000219</c:v>
                  </c:pt>
                  <c:pt idx="73">
                    <c:v>0.25200000000000222</c:v>
                  </c:pt>
                  <c:pt idx="74">
                    <c:v>0.25600000000000223</c:v>
                  </c:pt>
                  <c:pt idx="75">
                    <c:v>0.26000000000000228</c:v>
                  </c:pt>
                  <c:pt idx="76">
                    <c:v>0.26400000000000234</c:v>
                  </c:pt>
                  <c:pt idx="77">
                    <c:v>0.26800000000000235</c:v>
                  </c:pt>
                  <c:pt idx="78">
                    <c:v>0.27200000000000241</c:v>
                  </c:pt>
                  <c:pt idx="79">
                    <c:v>0.27600000000000241</c:v>
                  </c:pt>
                  <c:pt idx="80">
                    <c:v>0.28000000000000247</c:v>
                  </c:pt>
                  <c:pt idx="81">
                    <c:v>0.28400000000000247</c:v>
                  </c:pt>
                  <c:pt idx="82">
                    <c:v>0.28800000000000253</c:v>
                  </c:pt>
                  <c:pt idx="83">
                    <c:v>0.29200000000000254</c:v>
                  </c:pt>
                  <c:pt idx="84">
                    <c:v>0.29600000000000254</c:v>
                  </c:pt>
                  <c:pt idx="85">
                    <c:v>0.3000000000000026</c:v>
                  </c:pt>
                  <c:pt idx="86">
                    <c:v>0.3040000000000026</c:v>
                  </c:pt>
                  <c:pt idx="87">
                    <c:v>0.30800000000000266</c:v>
                  </c:pt>
                  <c:pt idx="88">
                    <c:v>0.31200000000000266</c:v>
                  </c:pt>
                  <c:pt idx="89">
                    <c:v>0.31600000000000272</c:v>
                  </c:pt>
                  <c:pt idx="90">
                    <c:v>0.32000000000000278</c:v>
                  </c:pt>
                  <c:pt idx="91">
                    <c:v>0.32400000000000279</c:v>
                  </c:pt>
                  <c:pt idx="92">
                    <c:v>0.32800000000000279</c:v>
                  </c:pt>
                  <c:pt idx="93">
                    <c:v>0.33200000000000279</c:v>
                  </c:pt>
                  <c:pt idx="94">
                    <c:v>0.33600000000000285</c:v>
                  </c:pt>
                  <c:pt idx="95">
                    <c:v>0.34000000000000286</c:v>
                  </c:pt>
                  <c:pt idx="96">
                    <c:v>0.34400000000000291</c:v>
                  </c:pt>
                  <c:pt idx="97">
                    <c:v>0.34800000000000297</c:v>
                  </c:pt>
                  <c:pt idx="98">
                    <c:v>0.35200000000000298</c:v>
                  </c:pt>
                  <c:pt idx="99">
                    <c:v>0.35600000000000304</c:v>
                  </c:pt>
                  <c:pt idx="100">
                    <c:v>0.35999999999999704</c:v>
                  </c:pt>
                  <c:pt idx="101">
                    <c:v>0.35599999999999704</c:v>
                  </c:pt>
                  <c:pt idx="102">
                    <c:v>0.35199999999999704</c:v>
                  </c:pt>
                  <c:pt idx="103">
                    <c:v>0.34799999999999698</c:v>
                  </c:pt>
                  <c:pt idx="104">
                    <c:v>0.34399999999999692</c:v>
                  </c:pt>
                  <c:pt idx="105">
                    <c:v>0.33999999999999692</c:v>
                  </c:pt>
                  <c:pt idx="106">
                    <c:v>0.33599999999999686</c:v>
                  </c:pt>
                  <c:pt idx="107">
                    <c:v>0.33199999999999685</c:v>
                  </c:pt>
                  <c:pt idx="108">
                    <c:v>0.32799999999999679</c:v>
                  </c:pt>
                  <c:pt idx="109">
                    <c:v>0.32399999999999679</c:v>
                  </c:pt>
                  <c:pt idx="110">
                    <c:v>0.31999999999999679</c:v>
                  </c:pt>
                  <c:pt idx="111">
                    <c:v>0.31599999999999673</c:v>
                  </c:pt>
                  <c:pt idx="112">
                    <c:v>0.31199999999999672</c:v>
                  </c:pt>
                  <c:pt idx="113">
                    <c:v>0.30799999999999667</c:v>
                  </c:pt>
                  <c:pt idx="114">
                    <c:v>0.30399999999999666</c:v>
                  </c:pt>
                  <c:pt idx="115">
                    <c:v>0.2999999999999966</c:v>
                  </c:pt>
                  <c:pt idx="116">
                    <c:v>0.2959999999999966</c:v>
                  </c:pt>
                  <c:pt idx="117">
                    <c:v>0.29199999999999654</c:v>
                  </c:pt>
                  <c:pt idx="118">
                    <c:v>0.28799999999999654</c:v>
                  </c:pt>
                  <c:pt idx="119">
                    <c:v>0.28399999999999653</c:v>
                  </c:pt>
                  <c:pt idx="120">
                    <c:v>0.27999999999999647</c:v>
                  </c:pt>
                  <c:pt idx="121">
                    <c:v>0.27599999999999647</c:v>
                  </c:pt>
                  <c:pt idx="122">
                    <c:v>0.27199999999999641</c:v>
                  </c:pt>
                  <c:pt idx="123">
                    <c:v>0.26799999999999641</c:v>
                  </c:pt>
                  <c:pt idx="124">
                    <c:v>0.26399999999999635</c:v>
                  </c:pt>
                  <c:pt idx="125">
                    <c:v>0.25999999999999629</c:v>
                  </c:pt>
                  <c:pt idx="126">
                    <c:v>0.25599999999999629</c:v>
                  </c:pt>
                  <c:pt idx="127">
                    <c:v>0.25199999999999623</c:v>
                  </c:pt>
                  <c:pt idx="128">
                    <c:v>0.2479999999999962</c:v>
                  </c:pt>
                  <c:pt idx="129">
                    <c:v>0.24399999999999619</c:v>
                  </c:pt>
                  <c:pt idx="130">
                    <c:v>0.23999999999999619</c:v>
                  </c:pt>
                  <c:pt idx="131">
                    <c:v>0.23599999999999613</c:v>
                  </c:pt>
                  <c:pt idx="132">
                    <c:v>0.23199999999999607</c:v>
                  </c:pt>
                  <c:pt idx="133">
                    <c:v>0.22799999999999607</c:v>
                  </c:pt>
                  <c:pt idx="134">
                    <c:v>0.22399999999999601</c:v>
                  </c:pt>
                  <c:pt idx="135">
                    <c:v>0.21999999999999595</c:v>
                  </c:pt>
                  <c:pt idx="136">
                    <c:v>0.21599999999999595</c:v>
                  </c:pt>
                  <c:pt idx="137">
                    <c:v>0.21199999999999594</c:v>
                  </c:pt>
                  <c:pt idx="138">
                    <c:v>0.20799999999999591</c:v>
                  </c:pt>
                  <c:pt idx="139">
                    <c:v>0.20399999999999588</c:v>
                  </c:pt>
                  <c:pt idx="140">
                    <c:v>0.19999999999999588</c:v>
                  </c:pt>
                  <c:pt idx="141">
                    <c:v>0.19599999999999582</c:v>
                  </c:pt>
                  <c:pt idx="142">
                    <c:v>0.19199999999999576</c:v>
                  </c:pt>
                  <c:pt idx="143">
                    <c:v>0.18799999999999575</c:v>
                  </c:pt>
                  <c:pt idx="144">
                    <c:v>0.18399999999999575</c:v>
                  </c:pt>
                  <c:pt idx="145">
                    <c:v>0.17999999999999572</c:v>
                  </c:pt>
                  <c:pt idx="146">
                    <c:v>0.17599999999999566</c:v>
                  </c:pt>
                  <c:pt idx="147">
                    <c:v>0.17199999999999566</c:v>
                  </c:pt>
                  <c:pt idx="148">
                    <c:v>0.16799999999999563</c:v>
                  </c:pt>
                  <c:pt idx="149">
                    <c:v>0.16399999999999557</c:v>
                  </c:pt>
                  <c:pt idx="150">
                    <c:v>0.15999999999999556</c:v>
                  </c:pt>
                  <c:pt idx="151">
                    <c:v>0.1559999999999955</c:v>
                  </c:pt>
                  <c:pt idx="152">
                    <c:v>0.1519999999999955</c:v>
                  </c:pt>
                  <c:pt idx="153">
                    <c:v>0.14799999999999547</c:v>
                  </c:pt>
                  <c:pt idx="154">
                    <c:v>0.14399999999999546</c:v>
                  </c:pt>
                  <c:pt idx="155">
                    <c:v>0.13999999999999541</c:v>
                  </c:pt>
                  <c:pt idx="156">
                    <c:v>0.1359999999999954</c:v>
                  </c:pt>
                  <c:pt idx="157">
                    <c:v>0.13199999999999537</c:v>
                  </c:pt>
                  <c:pt idx="158">
                    <c:v>0.12799999999999531</c:v>
                  </c:pt>
                  <c:pt idx="159">
                    <c:v>0.12399999999999531</c:v>
                  </c:pt>
                  <c:pt idx="160">
                    <c:v>0.11999999999999525</c:v>
                  </c:pt>
                  <c:pt idx="161">
                    <c:v>0.11599999999999525</c:v>
                  </c:pt>
                  <c:pt idx="162">
                    <c:v>0.11199999999999521</c:v>
                  </c:pt>
                  <c:pt idx="163">
                    <c:v>0.10799999999999521</c:v>
                  </c:pt>
                  <c:pt idx="164">
                    <c:v>0.10399999999999515</c:v>
                  </c:pt>
                  <c:pt idx="165">
                    <c:v>9.9999999999995093E-2</c:v>
                  </c:pt>
                  <c:pt idx="166">
                    <c:v>9.5999999999995089E-2</c:v>
                  </c:pt>
                  <c:pt idx="167">
                    <c:v>9.1999999999995058E-2</c:v>
                  </c:pt>
                  <c:pt idx="168">
                    <c:v>8.7999999999995054E-2</c:v>
                  </c:pt>
                  <c:pt idx="169">
                    <c:v>8.3999999999994995E-2</c:v>
                  </c:pt>
                  <c:pt idx="170">
                    <c:v>7.9999999999994992E-2</c:v>
                  </c:pt>
                  <c:pt idx="171">
                    <c:v>7.599999999999496E-2</c:v>
                  </c:pt>
                  <c:pt idx="172">
                    <c:v>7.1999999999994901E-2</c:v>
                  </c:pt>
                  <c:pt idx="173">
                    <c:v>6.7999999999994898E-2</c:v>
                  </c:pt>
                  <c:pt idx="174">
                    <c:v>6.3999999999994867E-2</c:v>
                  </c:pt>
                  <c:pt idx="175">
                    <c:v>5.9999999999994856E-2</c:v>
                  </c:pt>
                  <c:pt idx="176">
                    <c:v>5.5999999999994811E-2</c:v>
                  </c:pt>
                  <c:pt idx="177">
                    <c:v>5.1999999999994807E-2</c:v>
                  </c:pt>
                  <c:pt idx="178">
                    <c:v>4.7999999999994748E-2</c:v>
                  </c:pt>
                  <c:pt idx="179">
                    <c:v>4.3999999999994703E-2</c:v>
                  </c:pt>
                  <c:pt idx="180">
                    <c:v>3.99999999999947E-2</c:v>
                  </c:pt>
                  <c:pt idx="181">
                    <c:v>3.5999999999994654E-2</c:v>
                  </c:pt>
                  <c:pt idx="182">
                    <c:v>3.1999999999994651E-2</c:v>
                  </c:pt>
                  <c:pt idx="183">
                    <c:v>2.7999999999994606E-2</c:v>
                  </c:pt>
                  <c:pt idx="184">
                    <c:v>2.3999999999994602E-2</c:v>
                  </c:pt>
                  <c:pt idx="185">
                    <c:v>1.999999999999455E-2</c:v>
                  </c:pt>
                  <c:pt idx="186">
                    <c:v>1.5999999999994498E-2</c:v>
                  </c:pt>
                  <c:pt idx="187">
                    <c:v>1.1999999999994494E-2</c:v>
                  </c:pt>
                  <c:pt idx="188">
                    <c:v>7.9999999999944491E-3</c:v>
                  </c:pt>
                  <c:pt idx="189">
                    <c:v>3.9999999999944455E-3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'Single r'!$BO$51:$BO$251</c:f>
              <c:numCache>
                <c:formatCode>General</c:formatCode>
                <c:ptCount val="201"/>
                <c:pt idx="0">
                  <c:v>0.279737307165981</c:v>
                </c:pt>
                <c:pt idx="1">
                  <c:v>0.28100052127513286</c:v>
                </c:pt>
                <c:pt idx="2">
                  <c:v>0.28226373538428473</c:v>
                </c:pt>
                <c:pt idx="3">
                  <c:v>0.2835269494934366</c:v>
                </c:pt>
                <c:pt idx="4">
                  <c:v>0.28479016360258846</c:v>
                </c:pt>
                <c:pt idx="5">
                  <c:v>0.28605337771174033</c:v>
                </c:pt>
                <c:pt idx="6">
                  <c:v>0.2873165918208922</c:v>
                </c:pt>
                <c:pt idx="7">
                  <c:v>0.28857980593004406</c:v>
                </c:pt>
                <c:pt idx="8">
                  <c:v>0.28984302003919593</c:v>
                </c:pt>
                <c:pt idx="9">
                  <c:v>0.2911062341483478</c:v>
                </c:pt>
                <c:pt idx="10">
                  <c:v>0.29236944825749966</c:v>
                </c:pt>
                <c:pt idx="11">
                  <c:v>0.29363266236665153</c:v>
                </c:pt>
                <c:pt idx="12">
                  <c:v>0.2948958764758034</c:v>
                </c:pt>
                <c:pt idx="13">
                  <c:v>0.29615909058495526</c:v>
                </c:pt>
                <c:pt idx="14">
                  <c:v>0.29742230469410713</c:v>
                </c:pt>
                <c:pt idx="15">
                  <c:v>0.298685518803259</c:v>
                </c:pt>
                <c:pt idx="16">
                  <c:v>0.29994873291241086</c:v>
                </c:pt>
                <c:pt idx="17">
                  <c:v>0.30121194702156273</c:v>
                </c:pt>
                <c:pt idx="18">
                  <c:v>0.3024751611307146</c:v>
                </c:pt>
                <c:pt idx="19">
                  <c:v>0.30373837523986646</c:v>
                </c:pt>
                <c:pt idx="20">
                  <c:v>0.30500158934901833</c:v>
                </c:pt>
                <c:pt idx="21">
                  <c:v>0.3062648034581702</c:v>
                </c:pt>
                <c:pt idx="22">
                  <c:v>0.30752801756732207</c:v>
                </c:pt>
                <c:pt idx="23">
                  <c:v>0.30879123167647393</c:v>
                </c:pt>
                <c:pt idx="24">
                  <c:v>0.3100544457856258</c:v>
                </c:pt>
                <c:pt idx="25">
                  <c:v>0.31131765989477767</c:v>
                </c:pt>
                <c:pt idx="26">
                  <c:v>0.31258087400392953</c:v>
                </c:pt>
                <c:pt idx="27">
                  <c:v>0.3138440881130814</c:v>
                </c:pt>
                <c:pt idx="28">
                  <c:v>0.31510730222223327</c:v>
                </c:pt>
                <c:pt idx="29">
                  <c:v>0.31637051633138513</c:v>
                </c:pt>
                <c:pt idx="30">
                  <c:v>0.317633730440537</c:v>
                </c:pt>
                <c:pt idx="31">
                  <c:v>0.31889694454968887</c:v>
                </c:pt>
                <c:pt idx="32">
                  <c:v>0.32016015865884073</c:v>
                </c:pt>
                <c:pt idx="33">
                  <c:v>0.3214233727679926</c:v>
                </c:pt>
                <c:pt idx="34">
                  <c:v>0.32268658687714447</c:v>
                </c:pt>
                <c:pt idx="35">
                  <c:v>0.32394980098629633</c:v>
                </c:pt>
                <c:pt idx="36">
                  <c:v>0.3252130150954482</c:v>
                </c:pt>
                <c:pt idx="37">
                  <c:v>0.32647622920460007</c:v>
                </c:pt>
                <c:pt idx="38">
                  <c:v>0.32773944331375193</c:v>
                </c:pt>
                <c:pt idx="39">
                  <c:v>0.3290026574229038</c:v>
                </c:pt>
                <c:pt idx="40">
                  <c:v>0.33026587153205567</c:v>
                </c:pt>
                <c:pt idx="41">
                  <c:v>0.33152908564120753</c:v>
                </c:pt>
                <c:pt idx="42">
                  <c:v>0.3327922997503594</c:v>
                </c:pt>
                <c:pt idx="43">
                  <c:v>0.33405551385951127</c:v>
                </c:pt>
                <c:pt idx="44">
                  <c:v>0.33531872796866313</c:v>
                </c:pt>
                <c:pt idx="45">
                  <c:v>0.336581942077815</c:v>
                </c:pt>
                <c:pt idx="46">
                  <c:v>0.33784515618696687</c:v>
                </c:pt>
                <c:pt idx="47">
                  <c:v>0.33910837029611873</c:v>
                </c:pt>
                <c:pt idx="48">
                  <c:v>0.3403715844052706</c:v>
                </c:pt>
                <c:pt idx="49">
                  <c:v>0.34163479851442247</c:v>
                </c:pt>
                <c:pt idx="50">
                  <c:v>0.34289801262357433</c:v>
                </c:pt>
                <c:pt idx="51">
                  <c:v>0.3441612267327262</c:v>
                </c:pt>
                <c:pt idx="52">
                  <c:v>0.34542444084187807</c:v>
                </c:pt>
                <c:pt idx="53">
                  <c:v>0.34668765495102993</c:v>
                </c:pt>
                <c:pt idx="54">
                  <c:v>0.3479508690601818</c:v>
                </c:pt>
                <c:pt idx="55">
                  <c:v>0.34921408316933367</c:v>
                </c:pt>
                <c:pt idx="56">
                  <c:v>0.35047729727848553</c:v>
                </c:pt>
                <c:pt idx="57">
                  <c:v>0.3517405113876374</c:v>
                </c:pt>
                <c:pt idx="58">
                  <c:v>0.35300372549678927</c:v>
                </c:pt>
                <c:pt idx="59">
                  <c:v>0.35426693960594113</c:v>
                </c:pt>
                <c:pt idx="60">
                  <c:v>0.355530153715093</c:v>
                </c:pt>
                <c:pt idx="61">
                  <c:v>0.35679336782424487</c:v>
                </c:pt>
                <c:pt idx="62">
                  <c:v>0.35805658193339673</c:v>
                </c:pt>
                <c:pt idx="63">
                  <c:v>0.3593197960425486</c:v>
                </c:pt>
                <c:pt idx="64">
                  <c:v>0.36058301015170047</c:v>
                </c:pt>
                <c:pt idx="65">
                  <c:v>0.36184622426085233</c:v>
                </c:pt>
                <c:pt idx="66">
                  <c:v>0.3631094383700042</c:v>
                </c:pt>
                <c:pt idx="67">
                  <c:v>0.36437265247915607</c:v>
                </c:pt>
                <c:pt idx="68">
                  <c:v>0.36563586658830793</c:v>
                </c:pt>
                <c:pt idx="69">
                  <c:v>0.3668990806974598</c:v>
                </c:pt>
                <c:pt idx="70">
                  <c:v>0.36816229480661167</c:v>
                </c:pt>
                <c:pt idx="71">
                  <c:v>0.36942550891576353</c:v>
                </c:pt>
                <c:pt idx="72">
                  <c:v>0.3706887230249154</c:v>
                </c:pt>
                <c:pt idx="73">
                  <c:v>0.37195193713406727</c:v>
                </c:pt>
                <c:pt idx="74">
                  <c:v>0.37321515124321913</c:v>
                </c:pt>
                <c:pt idx="75">
                  <c:v>0.374478365352371</c:v>
                </c:pt>
                <c:pt idx="76">
                  <c:v>0.37574157946152287</c:v>
                </c:pt>
                <c:pt idx="77">
                  <c:v>0.37700479357067473</c:v>
                </c:pt>
                <c:pt idx="78">
                  <c:v>0.3782680076798266</c:v>
                </c:pt>
                <c:pt idx="79">
                  <c:v>0.37953122178897847</c:v>
                </c:pt>
                <c:pt idx="80">
                  <c:v>0.38079443589813033</c:v>
                </c:pt>
                <c:pt idx="81">
                  <c:v>0.3820576500072822</c:v>
                </c:pt>
                <c:pt idx="82">
                  <c:v>0.38332086411643407</c:v>
                </c:pt>
                <c:pt idx="83">
                  <c:v>0.38458407822558593</c:v>
                </c:pt>
                <c:pt idx="84">
                  <c:v>0.3858472923347378</c:v>
                </c:pt>
                <c:pt idx="85">
                  <c:v>0.38711050644388967</c:v>
                </c:pt>
                <c:pt idx="86">
                  <c:v>0.38837372055304153</c:v>
                </c:pt>
                <c:pt idx="87">
                  <c:v>0.3896369346621934</c:v>
                </c:pt>
                <c:pt idx="88">
                  <c:v>0.39090014877134527</c:v>
                </c:pt>
                <c:pt idx="89">
                  <c:v>0.39216336288049713</c:v>
                </c:pt>
                <c:pt idx="90">
                  <c:v>0.393426576989649</c:v>
                </c:pt>
                <c:pt idx="91">
                  <c:v>0.39468979109880087</c:v>
                </c:pt>
                <c:pt idx="92">
                  <c:v>0.39595300520795274</c:v>
                </c:pt>
                <c:pt idx="93">
                  <c:v>0.3972162193171046</c:v>
                </c:pt>
                <c:pt idx="94">
                  <c:v>0.39847943342625647</c:v>
                </c:pt>
                <c:pt idx="95">
                  <c:v>0.39974264753540834</c:v>
                </c:pt>
                <c:pt idx="96">
                  <c:v>0.4010058616445602</c:v>
                </c:pt>
                <c:pt idx="97">
                  <c:v>0.40226907575371207</c:v>
                </c:pt>
                <c:pt idx="98">
                  <c:v>0.40353228986286394</c:v>
                </c:pt>
                <c:pt idx="99">
                  <c:v>0.4047955039720158</c:v>
                </c:pt>
                <c:pt idx="100">
                  <c:v>0.40605871808116767</c:v>
                </c:pt>
                <c:pt idx="101">
                  <c:v>0.40732193219031954</c:v>
                </c:pt>
                <c:pt idx="102">
                  <c:v>0.4085851462994714</c:v>
                </c:pt>
                <c:pt idx="103">
                  <c:v>0.40984836040862327</c:v>
                </c:pt>
                <c:pt idx="104">
                  <c:v>0.41111157451777514</c:v>
                </c:pt>
                <c:pt idx="105">
                  <c:v>0.412374788626927</c:v>
                </c:pt>
                <c:pt idx="106">
                  <c:v>0.41363800273607887</c:v>
                </c:pt>
                <c:pt idx="107">
                  <c:v>0.41490121684523074</c:v>
                </c:pt>
                <c:pt idx="108">
                  <c:v>0.4161644309543826</c:v>
                </c:pt>
                <c:pt idx="109">
                  <c:v>0.41742764506353447</c:v>
                </c:pt>
                <c:pt idx="110">
                  <c:v>0.41869085917268634</c:v>
                </c:pt>
                <c:pt idx="111">
                  <c:v>0.4199540732818382</c:v>
                </c:pt>
                <c:pt idx="112">
                  <c:v>0.42121728739099007</c:v>
                </c:pt>
                <c:pt idx="113">
                  <c:v>0.42248050150014194</c:v>
                </c:pt>
                <c:pt idx="114">
                  <c:v>0.4237437156092938</c:v>
                </c:pt>
                <c:pt idx="115">
                  <c:v>0.42500692971844567</c:v>
                </c:pt>
                <c:pt idx="116">
                  <c:v>0.42627014382759754</c:v>
                </c:pt>
                <c:pt idx="117">
                  <c:v>0.4275333579367494</c:v>
                </c:pt>
                <c:pt idx="118">
                  <c:v>0.42879657204590127</c:v>
                </c:pt>
                <c:pt idx="119">
                  <c:v>0.43005978615505314</c:v>
                </c:pt>
                <c:pt idx="120">
                  <c:v>0.431323000264205</c:v>
                </c:pt>
                <c:pt idx="121">
                  <c:v>0.43258621437335687</c:v>
                </c:pt>
                <c:pt idx="122">
                  <c:v>0.43384942848250874</c:v>
                </c:pt>
                <c:pt idx="123">
                  <c:v>0.4351126425916606</c:v>
                </c:pt>
                <c:pt idx="124">
                  <c:v>0.43637585670081247</c:v>
                </c:pt>
                <c:pt idx="125">
                  <c:v>0.43763907080996434</c:v>
                </c:pt>
                <c:pt idx="126">
                  <c:v>0.4389022849191162</c:v>
                </c:pt>
                <c:pt idx="127">
                  <c:v>0.44016549902826807</c:v>
                </c:pt>
                <c:pt idx="128">
                  <c:v>0.44142871313741994</c:v>
                </c:pt>
                <c:pt idx="129">
                  <c:v>0.4426919272465718</c:v>
                </c:pt>
                <c:pt idx="130">
                  <c:v>0.44395514135572367</c:v>
                </c:pt>
                <c:pt idx="131">
                  <c:v>0.44521835546487554</c:v>
                </c:pt>
                <c:pt idx="132">
                  <c:v>0.4464815695740274</c:v>
                </c:pt>
                <c:pt idx="133">
                  <c:v>0.44774478368317927</c:v>
                </c:pt>
                <c:pt idx="134">
                  <c:v>0.44900799779233114</c:v>
                </c:pt>
                <c:pt idx="135">
                  <c:v>0.450271211901483</c:v>
                </c:pt>
                <c:pt idx="136">
                  <c:v>0.45153442601063487</c:v>
                </c:pt>
                <c:pt idx="137">
                  <c:v>0.45279764011978674</c:v>
                </c:pt>
                <c:pt idx="138">
                  <c:v>0.4540608542289386</c:v>
                </c:pt>
                <c:pt idx="139">
                  <c:v>0.45532406833809047</c:v>
                </c:pt>
                <c:pt idx="140">
                  <c:v>0.45658728244724234</c:v>
                </c:pt>
                <c:pt idx="141">
                  <c:v>0.4578504965563942</c:v>
                </c:pt>
                <c:pt idx="142">
                  <c:v>0.45911371066554607</c:v>
                </c:pt>
                <c:pt idx="143">
                  <c:v>0.46037692477469794</c:v>
                </c:pt>
                <c:pt idx="144">
                  <c:v>0.4616401388838498</c:v>
                </c:pt>
                <c:pt idx="145">
                  <c:v>0.46290335299300167</c:v>
                </c:pt>
                <c:pt idx="146">
                  <c:v>0.46416656710215354</c:v>
                </c:pt>
                <c:pt idx="147">
                  <c:v>0.4654297812113054</c:v>
                </c:pt>
                <c:pt idx="148">
                  <c:v>0.46669299532045727</c:v>
                </c:pt>
                <c:pt idx="149">
                  <c:v>0.46795620942960914</c:v>
                </c:pt>
                <c:pt idx="150">
                  <c:v>0.469219423538761</c:v>
                </c:pt>
                <c:pt idx="151">
                  <c:v>0.47048263764791287</c:v>
                </c:pt>
                <c:pt idx="152">
                  <c:v>0.47174585175706474</c:v>
                </c:pt>
                <c:pt idx="153">
                  <c:v>0.4730090658662166</c:v>
                </c:pt>
                <c:pt idx="154">
                  <c:v>0.47427227997536847</c:v>
                </c:pt>
                <c:pt idx="155">
                  <c:v>0.47553549408452034</c:v>
                </c:pt>
                <c:pt idx="156">
                  <c:v>0.4767987081936722</c:v>
                </c:pt>
                <c:pt idx="157">
                  <c:v>0.47806192230282407</c:v>
                </c:pt>
                <c:pt idx="158">
                  <c:v>0.47932513641197594</c:v>
                </c:pt>
                <c:pt idx="159">
                  <c:v>0.48058835052112781</c:v>
                </c:pt>
                <c:pt idx="160">
                  <c:v>0.48185156463027967</c:v>
                </c:pt>
                <c:pt idx="161">
                  <c:v>0.48311477873943154</c:v>
                </c:pt>
                <c:pt idx="162">
                  <c:v>0.48437799284858341</c:v>
                </c:pt>
                <c:pt idx="163">
                  <c:v>0.48564120695773527</c:v>
                </c:pt>
                <c:pt idx="164">
                  <c:v>0.48690442106688714</c:v>
                </c:pt>
                <c:pt idx="165">
                  <c:v>0.48816763517603901</c:v>
                </c:pt>
                <c:pt idx="166">
                  <c:v>0.48943084928519087</c:v>
                </c:pt>
                <c:pt idx="167">
                  <c:v>0.49069406339434274</c:v>
                </c:pt>
                <c:pt idx="168">
                  <c:v>0.49195727750349461</c:v>
                </c:pt>
                <c:pt idx="169">
                  <c:v>0.49322049161264647</c:v>
                </c:pt>
                <c:pt idx="170">
                  <c:v>0.49448370572179834</c:v>
                </c:pt>
                <c:pt idx="171">
                  <c:v>0.49574691983095021</c:v>
                </c:pt>
                <c:pt idx="172">
                  <c:v>0.49701013394010207</c:v>
                </c:pt>
                <c:pt idx="173">
                  <c:v>0.49827334804925394</c:v>
                </c:pt>
                <c:pt idx="174">
                  <c:v>0.49953656215840581</c:v>
                </c:pt>
                <c:pt idx="175">
                  <c:v>0.50079977626755767</c:v>
                </c:pt>
                <c:pt idx="176">
                  <c:v>0.50206299037670954</c:v>
                </c:pt>
                <c:pt idx="177">
                  <c:v>0.50332620448586141</c:v>
                </c:pt>
                <c:pt idx="178">
                  <c:v>0.50458941859501327</c:v>
                </c:pt>
                <c:pt idx="179">
                  <c:v>0.50585263270416514</c:v>
                </c:pt>
                <c:pt idx="180">
                  <c:v>0.50711584681331701</c:v>
                </c:pt>
                <c:pt idx="181">
                  <c:v>0.50837906092246887</c:v>
                </c:pt>
                <c:pt idx="182">
                  <c:v>0.50964227503162074</c:v>
                </c:pt>
                <c:pt idx="183">
                  <c:v>0.51090548914077261</c:v>
                </c:pt>
                <c:pt idx="184">
                  <c:v>0.51216870324992447</c:v>
                </c:pt>
                <c:pt idx="185">
                  <c:v>0.51343191735907634</c:v>
                </c:pt>
                <c:pt idx="186">
                  <c:v>0.51469513146822821</c:v>
                </c:pt>
                <c:pt idx="187">
                  <c:v>0.51595834557738007</c:v>
                </c:pt>
                <c:pt idx="188">
                  <c:v>0.51722155968653194</c:v>
                </c:pt>
                <c:pt idx="189">
                  <c:v>0.51848477379568381</c:v>
                </c:pt>
                <c:pt idx="190">
                  <c:v>0.51974798790483567</c:v>
                </c:pt>
                <c:pt idx="191">
                  <c:v>0.52101120201398754</c:v>
                </c:pt>
                <c:pt idx="192">
                  <c:v>0.52227441612313941</c:v>
                </c:pt>
                <c:pt idx="193">
                  <c:v>0.52353763023229127</c:v>
                </c:pt>
                <c:pt idx="194">
                  <c:v>0.52480084434144314</c:v>
                </c:pt>
                <c:pt idx="195">
                  <c:v>0.52606405845059501</c:v>
                </c:pt>
                <c:pt idx="196">
                  <c:v>0.52732727255974687</c:v>
                </c:pt>
                <c:pt idx="197">
                  <c:v>0.52859048666889874</c:v>
                </c:pt>
                <c:pt idx="198">
                  <c:v>0.52985370077805061</c:v>
                </c:pt>
                <c:pt idx="199">
                  <c:v>0.53111691488720247</c:v>
                </c:pt>
                <c:pt idx="200">
                  <c:v>0.53238012899635434</c:v>
                </c:pt>
              </c:numCache>
            </c:numRef>
          </c:xVal>
          <c:yVal>
            <c:numRef>
              <c:f>'Single r'!$BP$51:$BP$251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56-4D75-917D-6C5C836EB499}"/>
            </c:ext>
          </c:extLst>
        </c:ser>
        <c:ser>
          <c:idx val="34"/>
          <c:order val="1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'Single r'!$BQ$44:$BQ$48</c:f>
              <c:numCache>
                <c:formatCode>General</c:formatCode>
                <c:ptCount val="5"/>
                <c:pt idx="0">
                  <c:v>0.40605871808116673</c:v>
                </c:pt>
                <c:pt idx="1">
                  <c:v>0.279737307165981</c:v>
                </c:pt>
                <c:pt idx="2">
                  <c:v>0.40605871808116673</c:v>
                </c:pt>
                <c:pt idx="3">
                  <c:v>0.53238012899635245</c:v>
                </c:pt>
                <c:pt idx="4">
                  <c:v>0.40605871808116673</c:v>
                </c:pt>
              </c:numCache>
            </c:numRef>
          </c:xVal>
          <c:yVal>
            <c:numRef>
              <c:f>'Single r'!$BR$44:$BR$48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56-4D75-917D-6C5C836EB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69760"/>
        <c:axId val="52957568"/>
      </c:scatterChart>
      <c:valAx>
        <c:axId val="52869760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57568"/>
        <c:crossesAt val="0"/>
        <c:crossBetween val="midCat"/>
        <c:majorUnit val="0.2"/>
        <c:minorUnit val="0.1"/>
      </c:valAx>
      <c:valAx>
        <c:axId val="52957568"/>
        <c:scaling>
          <c:orientation val="maxMin"/>
          <c:max val="32.5"/>
          <c:min val="0"/>
        </c:scaling>
        <c:delete val="0"/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9525">
            <a:noFill/>
          </a:ln>
        </c:spPr>
        <c:crossAx val="52869760"/>
        <c:crossesAt val="0"/>
        <c:crossBetween val="midCat"/>
        <c:majorUnit val="1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Correlation</a:t>
            </a:r>
            <a:r>
              <a:rPr lang="en-AU" sz="14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 r</a:t>
            </a:r>
          </a:p>
        </c:rich>
      </c:tx>
      <c:layout>
        <c:manualLayout>
          <c:xMode val="edge"/>
          <c:yMode val="edge"/>
          <c:x val="0.41472172351885112"/>
          <c:y val="9.727635700043034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4111310592459622E-2"/>
          <c:y val="0.12062268268053367"/>
          <c:w val="0.93357271095152583"/>
          <c:h val="0.85214088732376991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plus"/>
            <c:errValType val="cust"/>
            <c:noEndCap val="1"/>
            <c:plus>
              <c:numRef>
                <c:f>'Single r'!$BX$3</c:f>
                <c:numCache>
                  <c:formatCode>General</c:formatCode>
                  <c:ptCount val="1"/>
                  <c:pt idx="0">
                    <c:v>18.5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'Single r'!$BQ$3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'Single r'!$BR$3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BC-43B4-AAA2-D9C3BABB16F9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r'!$CI$7:$CI$36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r'!$CJ$7:$CJ$36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BC-43B4-AAA2-D9C3BABB16F9}"/>
            </c:ext>
          </c:extLst>
        </c:ser>
        <c:ser>
          <c:idx val="7"/>
          <c:order val="2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r'!$DC$3:$DC$32</c:f>
              <c:numCache>
                <c:formatCode>General</c:formatCode>
                <c:ptCount val="30"/>
                <c:pt idx="0">
                  <c:v>0.67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0.23100000000000001</c:v>
                </c:pt>
                <c:pt idx="10">
                  <c:v>#N/A</c:v>
                </c:pt>
                <c:pt idx="11">
                  <c:v>0.41</c:v>
                </c:pt>
                <c:pt idx="12">
                  <c:v>0.34</c:v>
                </c:pt>
                <c:pt idx="13">
                  <c:v>#N/A</c:v>
                </c:pt>
                <c:pt idx="14">
                  <c:v>#N/A</c:v>
                </c:pt>
                <c:pt idx="15">
                  <c:v>0.58299999999999996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BC-43B4-AAA2-D9C3BABB16F9}"/>
            </c:ext>
          </c:extLst>
        </c:ser>
        <c:ser>
          <c:idx val="8"/>
          <c:order val="3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r'!$DB$3:$DB$32</c:f>
              <c:numCache>
                <c:formatCode>General</c:formatCode>
                <c:ptCount val="30"/>
                <c:pt idx="0">
                  <c:v>#N/A</c:v>
                </c:pt>
                <c:pt idx="1">
                  <c:v>0.51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0.22750000000000001</c:v>
                </c:pt>
                <c:pt idx="6">
                  <c:v>#N/A</c:v>
                </c:pt>
                <c:pt idx="7">
                  <c:v>0.104</c:v>
                </c:pt>
                <c:pt idx="8">
                  <c:v>#N/A</c:v>
                </c:pt>
                <c:pt idx="9">
                  <c:v>#N/A</c:v>
                </c:pt>
                <c:pt idx="10">
                  <c:v>0.67</c:v>
                </c:pt>
                <c:pt idx="11">
                  <c:v>#N/A</c:v>
                </c:pt>
                <c:pt idx="12">
                  <c:v>#N/A</c:v>
                </c:pt>
                <c:pt idx="13">
                  <c:v>0.31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BC-43B4-AAA2-D9C3BABB16F9}"/>
            </c:ext>
          </c:extLst>
        </c:ser>
        <c:ser>
          <c:idx val="9"/>
          <c:order val="4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r'!$DA$3:$DA$32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DBC-43B4-AAA2-D9C3BABB16F9}"/>
            </c:ext>
          </c:extLst>
        </c:ser>
        <c:ser>
          <c:idx val="10"/>
          <c:order val="5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r'!$CZ$3:$CZ$32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0.4</c:v>
                </c:pt>
                <c:pt idx="3">
                  <c:v>#N/A</c:v>
                </c:pt>
                <c:pt idx="4">
                  <c:v>0.47</c:v>
                </c:pt>
                <c:pt idx="5">
                  <c:v>#N/A</c:v>
                </c:pt>
                <c:pt idx="6">
                  <c:v>-0.224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0.54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DBC-43B4-AAA2-D9C3BABB16F9}"/>
            </c:ext>
          </c:extLst>
        </c:ser>
        <c:ser>
          <c:idx val="11"/>
          <c:order val="6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r'!$CY$3:$CY$32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0.32200000000000001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DBC-43B4-AAA2-D9C3BABB16F9}"/>
            </c:ext>
          </c:extLst>
        </c:ser>
        <c:ser>
          <c:idx val="12"/>
          <c:order val="7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r'!$CX$3:$CX$32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DBC-43B4-AAA2-D9C3BABB16F9}"/>
            </c:ext>
          </c:extLst>
        </c:ser>
        <c:ser>
          <c:idx val="13"/>
          <c:order val="8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r'!$CW$3:$CW$32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DBC-43B4-AAA2-D9C3BABB16F9}"/>
            </c:ext>
          </c:extLst>
        </c:ser>
        <c:ser>
          <c:idx val="14"/>
          <c:order val="9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r'!$CV$3:$CV$32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DBC-43B4-AAA2-D9C3BABB16F9}"/>
            </c:ext>
          </c:extLst>
        </c:ser>
        <c:ser>
          <c:idx val="15"/>
          <c:order val="10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9.2060627984538623E-2</c:v>
                  </c:pt>
                  <c:pt idx="1">
                    <c:v>0.17289977291659397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0.24364910982620883</c:v>
                  </c:pt>
                  <c:pt idx="6">
                    <c:v>0.42121744861369731</c:v>
                  </c:pt>
                  <c:pt idx="7">
                    <c:v>0.26249849290764726</c:v>
                  </c:pt>
                  <c:pt idx="8">
                    <c:v>0.38315113859380906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0.14653652310708215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0.10152959942661555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0.46624490721135425</c:v>
                  </c:pt>
                  <c:pt idx="3">
                    <c:v>0.34045831527702586</c:v>
                  </c:pt>
                  <c:pt idx="4">
                    <c:v>0.44992335761550284</c:v>
                  </c:pt>
                  <c:pt idx="5">
                    <c:v>0.27590556989572085</c:v>
                  </c:pt>
                  <c:pt idx="6">
                    <c:v>0.35140281484659974</c:v>
                  </c:pt>
                  <c:pt idx="7">
                    <c:v>0.27783401183230511</c:v>
                  </c:pt>
                  <c:pt idx="8">
                    <c:v>0.52869784353382798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0.17127564114534066</c:v>
                  </c:pt>
                  <c:pt idx="12">
                    <c:v>0.13692937702570371</c:v>
                  </c:pt>
                  <c:pt idx="13">
                    <c:v>0.24051442030233536</c:v>
                  </c:pt>
                  <c:pt idx="14">
                    <c:v>0.42632881125582528</c:v>
                  </c:pt>
                  <c:pt idx="15">
                    <c:v>0.12371682627693553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r'!$CU$3:$CU$32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DBC-43B4-AAA2-D9C3BABB16F9}"/>
            </c:ext>
          </c:extLst>
        </c:ser>
        <c:ser>
          <c:idx val="36"/>
          <c:order val="11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'Single r'!$BQ$51:$BQ$251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3.9551695252271202E-16</c:v>
                  </c:pt>
                  <c:pt idx="11">
                    <c:v>4.0000000000003991E-3</c:v>
                  </c:pt>
                  <c:pt idx="12">
                    <c:v>8.0000000000004443E-3</c:v>
                  </c:pt>
                  <c:pt idx="13">
                    <c:v>1.2000000000000448E-2</c:v>
                  </c:pt>
                  <c:pt idx="14">
                    <c:v>1.6000000000000493E-2</c:v>
                  </c:pt>
                  <c:pt idx="15">
                    <c:v>2.0000000000000545E-2</c:v>
                  </c:pt>
                  <c:pt idx="16">
                    <c:v>2.4000000000000542E-2</c:v>
                  </c:pt>
                  <c:pt idx="17">
                    <c:v>2.8000000000000601E-2</c:v>
                  </c:pt>
                  <c:pt idx="18">
                    <c:v>3.2000000000000604E-2</c:v>
                  </c:pt>
                  <c:pt idx="19">
                    <c:v>3.600000000000065E-2</c:v>
                  </c:pt>
                  <c:pt idx="20">
                    <c:v>4.0000000000000653E-2</c:v>
                  </c:pt>
                  <c:pt idx="21">
                    <c:v>4.4000000000000698E-2</c:v>
                  </c:pt>
                  <c:pt idx="22">
                    <c:v>4.8000000000000743E-2</c:v>
                  </c:pt>
                  <c:pt idx="23">
                    <c:v>5.2000000000000747E-2</c:v>
                  </c:pt>
                  <c:pt idx="24">
                    <c:v>5.6000000000000806E-2</c:v>
                  </c:pt>
                  <c:pt idx="25">
                    <c:v>6.000000000000081E-2</c:v>
                  </c:pt>
                  <c:pt idx="26">
                    <c:v>6.4000000000000862E-2</c:v>
                  </c:pt>
                  <c:pt idx="27">
                    <c:v>6.8000000000000865E-2</c:v>
                  </c:pt>
                  <c:pt idx="28">
                    <c:v>7.2000000000000897E-2</c:v>
                  </c:pt>
                  <c:pt idx="29">
                    <c:v>7.6000000000000956E-2</c:v>
                  </c:pt>
                  <c:pt idx="30">
                    <c:v>8.0000000000000959E-2</c:v>
                  </c:pt>
                  <c:pt idx="31">
                    <c:v>8.4000000000000991E-2</c:v>
                  </c:pt>
                  <c:pt idx="32">
                    <c:v>8.8000000000000994E-2</c:v>
                  </c:pt>
                  <c:pt idx="33">
                    <c:v>9.2000000000001053E-2</c:v>
                  </c:pt>
                  <c:pt idx="34">
                    <c:v>9.6000000000001057E-2</c:v>
                  </c:pt>
                  <c:pt idx="35">
                    <c:v>0.10000000000000109</c:v>
                  </c:pt>
                  <c:pt idx="36">
                    <c:v>0.10400000000000115</c:v>
                  </c:pt>
                  <c:pt idx="37">
                    <c:v>0.10800000000000115</c:v>
                  </c:pt>
                  <c:pt idx="38">
                    <c:v>0.11200000000000121</c:v>
                  </c:pt>
                  <c:pt idx="39">
                    <c:v>0.11600000000000121</c:v>
                  </c:pt>
                  <c:pt idx="40">
                    <c:v>0.12000000000000124</c:v>
                  </c:pt>
                  <c:pt idx="41">
                    <c:v>0.12400000000000125</c:v>
                  </c:pt>
                  <c:pt idx="42">
                    <c:v>0.12800000000000131</c:v>
                  </c:pt>
                  <c:pt idx="43">
                    <c:v>0.13200000000000137</c:v>
                  </c:pt>
                  <c:pt idx="44">
                    <c:v>0.13600000000000137</c:v>
                  </c:pt>
                  <c:pt idx="45">
                    <c:v>0.1400000000000014</c:v>
                  </c:pt>
                  <c:pt idx="46">
                    <c:v>0.1440000000000014</c:v>
                  </c:pt>
                  <c:pt idx="47">
                    <c:v>0.14800000000000146</c:v>
                  </c:pt>
                  <c:pt idx="48">
                    <c:v>0.15200000000000147</c:v>
                  </c:pt>
                  <c:pt idx="49">
                    <c:v>0.1560000000000015</c:v>
                  </c:pt>
                  <c:pt idx="50">
                    <c:v>0.1600000000000015</c:v>
                  </c:pt>
                  <c:pt idx="51">
                    <c:v>0.16400000000000156</c:v>
                  </c:pt>
                  <c:pt idx="52">
                    <c:v>0.16800000000000162</c:v>
                  </c:pt>
                  <c:pt idx="53">
                    <c:v>0.17200000000000162</c:v>
                  </c:pt>
                  <c:pt idx="54">
                    <c:v>0.17600000000000166</c:v>
                  </c:pt>
                  <c:pt idx="55">
                    <c:v>0.18000000000000171</c:v>
                  </c:pt>
                  <c:pt idx="56">
                    <c:v>0.18400000000000172</c:v>
                  </c:pt>
                  <c:pt idx="57">
                    <c:v>0.18800000000000172</c:v>
                  </c:pt>
                  <c:pt idx="58">
                    <c:v>0.19200000000000175</c:v>
                  </c:pt>
                  <c:pt idx="59">
                    <c:v>0.19600000000000181</c:v>
                  </c:pt>
                  <c:pt idx="60">
                    <c:v>0.20000000000000182</c:v>
                  </c:pt>
                  <c:pt idx="61">
                    <c:v>0.20400000000000187</c:v>
                  </c:pt>
                  <c:pt idx="62">
                    <c:v>0.20800000000000191</c:v>
                  </c:pt>
                  <c:pt idx="63">
                    <c:v>0.21200000000000194</c:v>
                  </c:pt>
                  <c:pt idx="64">
                    <c:v>0.21600000000000194</c:v>
                  </c:pt>
                  <c:pt idx="65">
                    <c:v>0.22000000000000194</c:v>
                  </c:pt>
                  <c:pt idx="66">
                    <c:v>0.224000000000002</c:v>
                  </c:pt>
                  <c:pt idx="67">
                    <c:v>0.22800000000000201</c:v>
                  </c:pt>
                  <c:pt idx="68">
                    <c:v>0.23200000000000207</c:v>
                  </c:pt>
                  <c:pt idx="69">
                    <c:v>0.23600000000000212</c:v>
                  </c:pt>
                  <c:pt idx="70">
                    <c:v>0.24000000000000213</c:v>
                  </c:pt>
                  <c:pt idx="71">
                    <c:v>0.24400000000000213</c:v>
                  </c:pt>
                  <c:pt idx="72">
                    <c:v>0.24800000000000219</c:v>
                  </c:pt>
                  <c:pt idx="73">
                    <c:v>0.25200000000000222</c:v>
                  </c:pt>
                  <c:pt idx="74">
                    <c:v>0.25600000000000223</c:v>
                  </c:pt>
                  <c:pt idx="75">
                    <c:v>0.26000000000000228</c:v>
                  </c:pt>
                  <c:pt idx="76">
                    <c:v>0.26400000000000234</c:v>
                  </c:pt>
                  <c:pt idx="77">
                    <c:v>0.26800000000000235</c:v>
                  </c:pt>
                  <c:pt idx="78">
                    <c:v>0.27200000000000241</c:v>
                  </c:pt>
                  <c:pt idx="79">
                    <c:v>0.27600000000000241</c:v>
                  </c:pt>
                  <c:pt idx="80">
                    <c:v>0.28000000000000247</c:v>
                  </c:pt>
                  <c:pt idx="81">
                    <c:v>0.28400000000000247</c:v>
                  </c:pt>
                  <c:pt idx="82">
                    <c:v>0.28800000000000253</c:v>
                  </c:pt>
                  <c:pt idx="83">
                    <c:v>0.29200000000000254</c:v>
                  </c:pt>
                  <c:pt idx="84">
                    <c:v>0.29600000000000254</c:v>
                  </c:pt>
                  <c:pt idx="85">
                    <c:v>0.3000000000000026</c:v>
                  </c:pt>
                  <c:pt idx="86">
                    <c:v>0.3040000000000026</c:v>
                  </c:pt>
                  <c:pt idx="87">
                    <c:v>0.30800000000000266</c:v>
                  </c:pt>
                  <c:pt idx="88">
                    <c:v>0.31200000000000266</c:v>
                  </c:pt>
                  <c:pt idx="89">
                    <c:v>0.31600000000000272</c:v>
                  </c:pt>
                  <c:pt idx="90">
                    <c:v>0.32000000000000278</c:v>
                  </c:pt>
                  <c:pt idx="91">
                    <c:v>0.32400000000000279</c:v>
                  </c:pt>
                  <c:pt idx="92">
                    <c:v>0.32800000000000279</c:v>
                  </c:pt>
                  <c:pt idx="93">
                    <c:v>0.33200000000000279</c:v>
                  </c:pt>
                  <c:pt idx="94">
                    <c:v>0.33600000000000285</c:v>
                  </c:pt>
                  <c:pt idx="95">
                    <c:v>0.34000000000000286</c:v>
                  </c:pt>
                  <c:pt idx="96">
                    <c:v>0.34400000000000291</c:v>
                  </c:pt>
                  <c:pt idx="97">
                    <c:v>0.34800000000000297</c:v>
                  </c:pt>
                  <c:pt idx="98">
                    <c:v>0.35200000000000298</c:v>
                  </c:pt>
                  <c:pt idx="99">
                    <c:v>0.35600000000000304</c:v>
                  </c:pt>
                  <c:pt idx="100">
                    <c:v>0.35999999999999704</c:v>
                  </c:pt>
                  <c:pt idx="101">
                    <c:v>0.35599999999999704</c:v>
                  </c:pt>
                  <c:pt idx="102">
                    <c:v>0.35199999999999704</c:v>
                  </c:pt>
                  <c:pt idx="103">
                    <c:v>0.34799999999999698</c:v>
                  </c:pt>
                  <c:pt idx="104">
                    <c:v>0.34399999999999692</c:v>
                  </c:pt>
                  <c:pt idx="105">
                    <c:v>0.33999999999999692</c:v>
                  </c:pt>
                  <c:pt idx="106">
                    <c:v>0.33599999999999686</c:v>
                  </c:pt>
                  <c:pt idx="107">
                    <c:v>0.33199999999999685</c:v>
                  </c:pt>
                  <c:pt idx="108">
                    <c:v>0.32799999999999679</c:v>
                  </c:pt>
                  <c:pt idx="109">
                    <c:v>0.32399999999999679</c:v>
                  </c:pt>
                  <c:pt idx="110">
                    <c:v>0.31999999999999679</c:v>
                  </c:pt>
                  <c:pt idx="111">
                    <c:v>0.31599999999999673</c:v>
                  </c:pt>
                  <c:pt idx="112">
                    <c:v>0.31199999999999672</c:v>
                  </c:pt>
                  <c:pt idx="113">
                    <c:v>0.30799999999999667</c:v>
                  </c:pt>
                  <c:pt idx="114">
                    <c:v>0.30399999999999666</c:v>
                  </c:pt>
                  <c:pt idx="115">
                    <c:v>0.2999999999999966</c:v>
                  </c:pt>
                  <c:pt idx="116">
                    <c:v>0.2959999999999966</c:v>
                  </c:pt>
                  <c:pt idx="117">
                    <c:v>0.29199999999999654</c:v>
                  </c:pt>
                  <c:pt idx="118">
                    <c:v>0.28799999999999654</c:v>
                  </c:pt>
                  <c:pt idx="119">
                    <c:v>0.28399999999999653</c:v>
                  </c:pt>
                  <c:pt idx="120">
                    <c:v>0.27999999999999647</c:v>
                  </c:pt>
                  <c:pt idx="121">
                    <c:v>0.27599999999999647</c:v>
                  </c:pt>
                  <c:pt idx="122">
                    <c:v>0.27199999999999641</c:v>
                  </c:pt>
                  <c:pt idx="123">
                    <c:v>0.26799999999999641</c:v>
                  </c:pt>
                  <c:pt idx="124">
                    <c:v>0.26399999999999635</c:v>
                  </c:pt>
                  <c:pt idx="125">
                    <c:v>0.25999999999999629</c:v>
                  </c:pt>
                  <c:pt idx="126">
                    <c:v>0.25599999999999629</c:v>
                  </c:pt>
                  <c:pt idx="127">
                    <c:v>0.25199999999999623</c:v>
                  </c:pt>
                  <c:pt idx="128">
                    <c:v>0.2479999999999962</c:v>
                  </c:pt>
                  <c:pt idx="129">
                    <c:v>0.24399999999999619</c:v>
                  </c:pt>
                  <c:pt idx="130">
                    <c:v>0.23999999999999619</c:v>
                  </c:pt>
                  <c:pt idx="131">
                    <c:v>0.23599999999999613</c:v>
                  </c:pt>
                  <c:pt idx="132">
                    <c:v>0.23199999999999607</c:v>
                  </c:pt>
                  <c:pt idx="133">
                    <c:v>0.22799999999999607</c:v>
                  </c:pt>
                  <c:pt idx="134">
                    <c:v>0.22399999999999601</c:v>
                  </c:pt>
                  <c:pt idx="135">
                    <c:v>0.21999999999999595</c:v>
                  </c:pt>
                  <c:pt idx="136">
                    <c:v>0.21599999999999595</c:v>
                  </c:pt>
                  <c:pt idx="137">
                    <c:v>0.21199999999999594</c:v>
                  </c:pt>
                  <c:pt idx="138">
                    <c:v>0.20799999999999591</c:v>
                  </c:pt>
                  <c:pt idx="139">
                    <c:v>0.20399999999999588</c:v>
                  </c:pt>
                  <c:pt idx="140">
                    <c:v>0.19999999999999588</c:v>
                  </c:pt>
                  <c:pt idx="141">
                    <c:v>0.19599999999999582</c:v>
                  </c:pt>
                  <c:pt idx="142">
                    <c:v>0.19199999999999576</c:v>
                  </c:pt>
                  <c:pt idx="143">
                    <c:v>0.18799999999999575</c:v>
                  </c:pt>
                  <c:pt idx="144">
                    <c:v>0.18399999999999575</c:v>
                  </c:pt>
                  <c:pt idx="145">
                    <c:v>0.17999999999999572</c:v>
                  </c:pt>
                  <c:pt idx="146">
                    <c:v>0.17599999999999566</c:v>
                  </c:pt>
                  <c:pt idx="147">
                    <c:v>0.17199999999999566</c:v>
                  </c:pt>
                  <c:pt idx="148">
                    <c:v>0.16799999999999563</c:v>
                  </c:pt>
                  <c:pt idx="149">
                    <c:v>0.16399999999999557</c:v>
                  </c:pt>
                  <c:pt idx="150">
                    <c:v>0.15999999999999556</c:v>
                  </c:pt>
                  <c:pt idx="151">
                    <c:v>0.1559999999999955</c:v>
                  </c:pt>
                  <c:pt idx="152">
                    <c:v>0.1519999999999955</c:v>
                  </c:pt>
                  <c:pt idx="153">
                    <c:v>0.14799999999999547</c:v>
                  </c:pt>
                  <c:pt idx="154">
                    <c:v>0.14399999999999546</c:v>
                  </c:pt>
                  <c:pt idx="155">
                    <c:v>0.13999999999999541</c:v>
                  </c:pt>
                  <c:pt idx="156">
                    <c:v>0.1359999999999954</c:v>
                  </c:pt>
                  <c:pt idx="157">
                    <c:v>0.13199999999999537</c:v>
                  </c:pt>
                  <c:pt idx="158">
                    <c:v>0.12799999999999531</c:v>
                  </c:pt>
                  <c:pt idx="159">
                    <c:v>0.12399999999999531</c:v>
                  </c:pt>
                  <c:pt idx="160">
                    <c:v>0.11999999999999525</c:v>
                  </c:pt>
                  <c:pt idx="161">
                    <c:v>0.11599999999999525</c:v>
                  </c:pt>
                  <c:pt idx="162">
                    <c:v>0.11199999999999521</c:v>
                  </c:pt>
                  <c:pt idx="163">
                    <c:v>0.10799999999999521</c:v>
                  </c:pt>
                  <c:pt idx="164">
                    <c:v>0.10399999999999515</c:v>
                  </c:pt>
                  <c:pt idx="165">
                    <c:v>9.9999999999995093E-2</c:v>
                  </c:pt>
                  <c:pt idx="166">
                    <c:v>9.5999999999995089E-2</c:v>
                  </c:pt>
                  <c:pt idx="167">
                    <c:v>9.1999999999995058E-2</c:v>
                  </c:pt>
                  <c:pt idx="168">
                    <c:v>8.7999999999995054E-2</c:v>
                  </c:pt>
                  <c:pt idx="169">
                    <c:v>8.3999999999994995E-2</c:v>
                  </c:pt>
                  <c:pt idx="170">
                    <c:v>7.9999999999994992E-2</c:v>
                  </c:pt>
                  <c:pt idx="171">
                    <c:v>7.599999999999496E-2</c:v>
                  </c:pt>
                  <c:pt idx="172">
                    <c:v>7.1999999999994901E-2</c:v>
                  </c:pt>
                  <c:pt idx="173">
                    <c:v>6.7999999999994898E-2</c:v>
                  </c:pt>
                  <c:pt idx="174">
                    <c:v>6.3999999999994867E-2</c:v>
                  </c:pt>
                  <c:pt idx="175">
                    <c:v>5.9999999999994856E-2</c:v>
                  </c:pt>
                  <c:pt idx="176">
                    <c:v>5.5999999999994811E-2</c:v>
                  </c:pt>
                  <c:pt idx="177">
                    <c:v>5.1999999999994807E-2</c:v>
                  </c:pt>
                  <c:pt idx="178">
                    <c:v>4.7999999999994748E-2</c:v>
                  </c:pt>
                  <c:pt idx="179">
                    <c:v>4.3999999999994703E-2</c:v>
                  </c:pt>
                  <c:pt idx="180">
                    <c:v>3.99999999999947E-2</c:v>
                  </c:pt>
                  <c:pt idx="181">
                    <c:v>3.5999999999994654E-2</c:v>
                  </c:pt>
                  <c:pt idx="182">
                    <c:v>3.1999999999994651E-2</c:v>
                  </c:pt>
                  <c:pt idx="183">
                    <c:v>2.7999999999994606E-2</c:v>
                  </c:pt>
                  <c:pt idx="184">
                    <c:v>2.3999999999994602E-2</c:v>
                  </c:pt>
                  <c:pt idx="185">
                    <c:v>1.999999999999455E-2</c:v>
                  </c:pt>
                  <c:pt idx="186">
                    <c:v>1.5999999999994498E-2</c:v>
                  </c:pt>
                  <c:pt idx="187">
                    <c:v>1.1999999999994494E-2</c:v>
                  </c:pt>
                  <c:pt idx="188">
                    <c:v>7.9999999999944491E-3</c:v>
                  </c:pt>
                  <c:pt idx="189">
                    <c:v>3.9999999999944455E-3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'Single r'!$BQ$51:$BQ$251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3.9551695252271202E-16</c:v>
                  </c:pt>
                  <c:pt idx="11">
                    <c:v>4.0000000000003991E-3</c:v>
                  </c:pt>
                  <c:pt idx="12">
                    <c:v>8.0000000000004443E-3</c:v>
                  </c:pt>
                  <c:pt idx="13">
                    <c:v>1.2000000000000448E-2</c:v>
                  </c:pt>
                  <c:pt idx="14">
                    <c:v>1.6000000000000493E-2</c:v>
                  </c:pt>
                  <c:pt idx="15">
                    <c:v>2.0000000000000545E-2</c:v>
                  </c:pt>
                  <c:pt idx="16">
                    <c:v>2.4000000000000542E-2</c:v>
                  </c:pt>
                  <c:pt idx="17">
                    <c:v>2.8000000000000601E-2</c:v>
                  </c:pt>
                  <c:pt idx="18">
                    <c:v>3.2000000000000604E-2</c:v>
                  </c:pt>
                  <c:pt idx="19">
                    <c:v>3.600000000000065E-2</c:v>
                  </c:pt>
                  <c:pt idx="20">
                    <c:v>4.0000000000000653E-2</c:v>
                  </c:pt>
                  <c:pt idx="21">
                    <c:v>4.4000000000000698E-2</c:v>
                  </c:pt>
                  <c:pt idx="22">
                    <c:v>4.8000000000000743E-2</c:v>
                  </c:pt>
                  <c:pt idx="23">
                    <c:v>5.2000000000000747E-2</c:v>
                  </c:pt>
                  <c:pt idx="24">
                    <c:v>5.6000000000000806E-2</c:v>
                  </c:pt>
                  <c:pt idx="25">
                    <c:v>6.000000000000081E-2</c:v>
                  </c:pt>
                  <c:pt idx="26">
                    <c:v>6.4000000000000862E-2</c:v>
                  </c:pt>
                  <c:pt idx="27">
                    <c:v>6.8000000000000865E-2</c:v>
                  </c:pt>
                  <c:pt idx="28">
                    <c:v>7.2000000000000897E-2</c:v>
                  </c:pt>
                  <c:pt idx="29">
                    <c:v>7.6000000000000956E-2</c:v>
                  </c:pt>
                  <c:pt idx="30">
                    <c:v>8.0000000000000959E-2</c:v>
                  </c:pt>
                  <c:pt idx="31">
                    <c:v>8.4000000000000991E-2</c:v>
                  </c:pt>
                  <c:pt idx="32">
                    <c:v>8.8000000000000994E-2</c:v>
                  </c:pt>
                  <c:pt idx="33">
                    <c:v>9.2000000000001053E-2</c:v>
                  </c:pt>
                  <c:pt idx="34">
                    <c:v>9.6000000000001057E-2</c:v>
                  </c:pt>
                  <c:pt idx="35">
                    <c:v>0.10000000000000109</c:v>
                  </c:pt>
                  <c:pt idx="36">
                    <c:v>0.10400000000000115</c:v>
                  </c:pt>
                  <c:pt idx="37">
                    <c:v>0.10800000000000115</c:v>
                  </c:pt>
                  <c:pt idx="38">
                    <c:v>0.11200000000000121</c:v>
                  </c:pt>
                  <c:pt idx="39">
                    <c:v>0.11600000000000121</c:v>
                  </c:pt>
                  <c:pt idx="40">
                    <c:v>0.12000000000000124</c:v>
                  </c:pt>
                  <c:pt idx="41">
                    <c:v>0.12400000000000125</c:v>
                  </c:pt>
                  <c:pt idx="42">
                    <c:v>0.12800000000000131</c:v>
                  </c:pt>
                  <c:pt idx="43">
                    <c:v>0.13200000000000137</c:v>
                  </c:pt>
                  <c:pt idx="44">
                    <c:v>0.13600000000000137</c:v>
                  </c:pt>
                  <c:pt idx="45">
                    <c:v>0.1400000000000014</c:v>
                  </c:pt>
                  <c:pt idx="46">
                    <c:v>0.1440000000000014</c:v>
                  </c:pt>
                  <c:pt idx="47">
                    <c:v>0.14800000000000146</c:v>
                  </c:pt>
                  <c:pt idx="48">
                    <c:v>0.15200000000000147</c:v>
                  </c:pt>
                  <c:pt idx="49">
                    <c:v>0.1560000000000015</c:v>
                  </c:pt>
                  <c:pt idx="50">
                    <c:v>0.1600000000000015</c:v>
                  </c:pt>
                  <c:pt idx="51">
                    <c:v>0.16400000000000156</c:v>
                  </c:pt>
                  <c:pt idx="52">
                    <c:v>0.16800000000000162</c:v>
                  </c:pt>
                  <c:pt idx="53">
                    <c:v>0.17200000000000162</c:v>
                  </c:pt>
                  <c:pt idx="54">
                    <c:v>0.17600000000000166</c:v>
                  </c:pt>
                  <c:pt idx="55">
                    <c:v>0.18000000000000171</c:v>
                  </c:pt>
                  <c:pt idx="56">
                    <c:v>0.18400000000000172</c:v>
                  </c:pt>
                  <c:pt idx="57">
                    <c:v>0.18800000000000172</c:v>
                  </c:pt>
                  <c:pt idx="58">
                    <c:v>0.19200000000000175</c:v>
                  </c:pt>
                  <c:pt idx="59">
                    <c:v>0.19600000000000181</c:v>
                  </c:pt>
                  <c:pt idx="60">
                    <c:v>0.20000000000000182</c:v>
                  </c:pt>
                  <c:pt idx="61">
                    <c:v>0.20400000000000187</c:v>
                  </c:pt>
                  <c:pt idx="62">
                    <c:v>0.20800000000000191</c:v>
                  </c:pt>
                  <c:pt idx="63">
                    <c:v>0.21200000000000194</c:v>
                  </c:pt>
                  <c:pt idx="64">
                    <c:v>0.21600000000000194</c:v>
                  </c:pt>
                  <c:pt idx="65">
                    <c:v>0.22000000000000194</c:v>
                  </c:pt>
                  <c:pt idx="66">
                    <c:v>0.224000000000002</c:v>
                  </c:pt>
                  <c:pt idx="67">
                    <c:v>0.22800000000000201</c:v>
                  </c:pt>
                  <c:pt idx="68">
                    <c:v>0.23200000000000207</c:v>
                  </c:pt>
                  <c:pt idx="69">
                    <c:v>0.23600000000000212</c:v>
                  </c:pt>
                  <c:pt idx="70">
                    <c:v>0.24000000000000213</c:v>
                  </c:pt>
                  <c:pt idx="71">
                    <c:v>0.24400000000000213</c:v>
                  </c:pt>
                  <c:pt idx="72">
                    <c:v>0.24800000000000219</c:v>
                  </c:pt>
                  <c:pt idx="73">
                    <c:v>0.25200000000000222</c:v>
                  </c:pt>
                  <c:pt idx="74">
                    <c:v>0.25600000000000223</c:v>
                  </c:pt>
                  <c:pt idx="75">
                    <c:v>0.26000000000000228</c:v>
                  </c:pt>
                  <c:pt idx="76">
                    <c:v>0.26400000000000234</c:v>
                  </c:pt>
                  <c:pt idx="77">
                    <c:v>0.26800000000000235</c:v>
                  </c:pt>
                  <c:pt idx="78">
                    <c:v>0.27200000000000241</c:v>
                  </c:pt>
                  <c:pt idx="79">
                    <c:v>0.27600000000000241</c:v>
                  </c:pt>
                  <c:pt idx="80">
                    <c:v>0.28000000000000247</c:v>
                  </c:pt>
                  <c:pt idx="81">
                    <c:v>0.28400000000000247</c:v>
                  </c:pt>
                  <c:pt idx="82">
                    <c:v>0.28800000000000253</c:v>
                  </c:pt>
                  <c:pt idx="83">
                    <c:v>0.29200000000000254</c:v>
                  </c:pt>
                  <c:pt idx="84">
                    <c:v>0.29600000000000254</c:v>
                  </c:pt>
                  <c:pt idx="85">
                    <c:v>0.3000000000000026</c:v>
                  </c:pt>
                  <c:pt idx="86">
                    <c:v>0.3040000000000026</c:v>
                  </c:pt>
                  <c:pt idx="87">
                    <c:v>0.30800000000000266</c:v>
                  </c:pt>
                  <c:pt idx="88">
                    <c:v>0.31200000000000266</c:v>
                  </c:pt>
                  <c:pt idx="89">
                    <c:v>0.31600000000000272</c:v>
                  </c:pt>
                  <c:pt idx="90">
                    <c:v>0.32000000000000278</c:v>
                  </c:pt>
                  <c:pt idx="91">
                    <c:v>0.32400000000000279</c:v>
                  </c:pt>
                  <c:pt idx="92">
                    <c:v>0.32800000000000279</c:v>
                  </c:pt>
                  <c:pt idx="93">
                    <c:v>0.33200000000000279</c:v>
                  </c:pt>
                  <c:pt idx="94">
                    <c:v>0.33600000000000285</c:v>
                  </c:pt>
                  <c:pt idx="95">
                    <c:v>0.34000000000000286</c:v>
                  </c:pt>
                  <c:pt idx="96">
                    <c:v>0.34400000000000291</c:v>
                  </c:pt>
                  <c:pt idx="97">
                    <c:v>0.34800000000000297</c:v>
                  </c:pt>
                  <c:pt idx="98">
                    <c:v>0.35200000000000298</c:v>
                  </c:pt>
                  <c:pt idx="99">
                    <c:v>0.35600000000000304</c:v>
                  </c:pt>
                  <c:pt idx="100">
                    <c:v>0.35999999999999704</c:v>
                  </c:pt>
                  <c:pt idx="101">
                    <c:v>0.35599999999999704</c:v>
                  </c:pt>
                  <c:pt idx="102">
                    <c:v>0.35199999999999704</c:v>
                  </c:pt>
                  <c:pt idx="103">
                    <c:v>0.34799999999999698</c:v>
                  </c:pt>
                  <c:pt idx="104">
                    <c:v>0.34399999999999692</c:v>
                  </c:pt>
                  <c:pt idx="105">
                    <c:v>0.33999999999999692</c:v>
                  </c:pt>
                  <c:pt idx="106">
                    <c:v>0.33599999999999686</c:v>
                  </c:pt>
                  <c:pt idx="107">
                    <c:v>0.33199999999999685</c:v>
                  </c:pt>
                  <c:pt idx="108">
                    <c:v>0.32799999999999679</c:v>
                  </c:pt>
                  <c:pt idx="109">
                    <c:v>0.32399999999999679</c:v>
                  </c:pt>
                  <c:pt idx="110">
                    <c:v>0.31999999999999679</c:v>
                  </c:pt>
                  <c:pt idx="111">
                    <c:v>0.31599999999999673</c:v>
                  </c:pt>
                  <c:pt idx="112">
                    <c:v>0.31199999999999672</c:v>
                  </c:pt>
                  <c:pt idx="113">
                    <c:v>0.30799999999999667</c:v>
                  </c:pt>
                  <c:pt idx="114">
                    <c:v>0.30399999999999666</c:v>
                  </c:pt>
                  <c:pt idx="115">
                    <c:v>0.2999999999999966</c:v>
                  </c:pt>
                  <c:pt idx="116">
                    <c:v>0.2959999999999966</c:v>
                  </c:pt>
                  <c:pt idx="117">
                    <c:v>0.29199999999999654</c:v>
                  </c:pt>
                  <c:pt idx="118">
                    <c:v>0.28799999999999654</c:v>
                  </c:pt>
                  <c:pt idx="119">
                    <c:v>0.28399999999999653</c:v>
                  </c:pt>
                  <c:pt idx="120">
                    <c:v>0.27999999999999647</c:v>
                  </c:pt>
                  <c:pt idx="121">
                    <c:v>0.27599999999999647</c:v>
                  </c:pt>
                  <c:pt idx="122">
                    <c:v>0.27199999999999641</c:v>
                  </c:pt>
                  <c:pt idx="123">
                    <c:v>0.26799999999999641</c:v>
                  </c:pt>
                  <c:pt idx="124">
                    <c:v>0.26399999999999635</c:v>
                  </c:pt>
                  <c:pt idx="125">
                    <c:v>0.25999999999999629</c:v>
                  </c:pt>
                  <c:pt idx="126">
                    <c:v>0.25599999999999629</c:v>
                  </c:pt>
                  <c:pt idx="127">
                    <c:v>0.25199999999999623</c:v>
                  </c:pt>
                  <c:pt idx="128">
                    <c:v>0.2479999999999962</c:v>
                  </c:pt>
                  <c:pt idx="129">
                    <c:v>0.24399999999999619</c:v>
                  </c:pt>
                  <c:pt idx="130">
                    <c:v>0.23999999999999619</c:v>
                  </c:pt>
                  <c:pt idx="131">
                    <c:v>0.23599999999999613</c:v>
                  </c:pt>
                  <c:pt idx="132">
                    <c:v>0.23199999999999607</c:v>
                  </c:pt>
                  <c:pt idx="133">
                    <c:v>0.22799999999999607</c:v>
                  </c:pt>
                  <c:pt idx="134">
                    <c:v>0.22399999999999601</c:v>
                  </c:pt>
                  <c:pt idx="135">
                    <c:v>0.21999999999999595</c:v>
                  </c:pt>
                  <c:pt idx="136">
                    <c:v>0.21599999999999595</c:v>
                  </c:pt>
                  <c:pt idx="137">
                    <c:v>0.21199999999999594</c:v>
                  </c:pt>
                  <c:pt idx="138">
                    <c:v>0.20799999999999591</c:v>
                  </c:pt>
                  <c:pt idx="139">
                    <c:v>0.20399999999999588</c:v>
                  </c:pt>
                  <c:pt idx="140">
                    <c:v>0.19999999999999588</c:v>
                  </c:pt>
                  <c:pt idx="141">
                    <c:v>0.19599999999999582</c:v>
                  </c:pt>
                  <c:pt idx="142">
                    <c:v>0.19199999999999576</c:v>
                  </c:pt>
                  <c:pt idx="143">
                    <c:v>0.18799999999999575</c:v>
                  </c:pt>
                  <c:pt idx="144">
                    <c:v>0.18399999999999575</c:v>
                  </c:pt>
                  <c:pt idx="145">
                    <c:v>0.17999999999999572</c:v>
                  </c:pt>
                  <c:pt idx="146">
                    <c:v>0.17599999999999566</c:v>
                  </c:pt>
                  <c:pt idx="147">
                    <c:v>0.17199999999999566</c:v>
                  </c:pt>
                  <c:pt idx="148">
                    <c:v>0.16799999999999563</c:v>
                  </c:pt>
                  <c:pt idx="149">
                    <c:v>0.16399999999999557</c:v>
                  </c:pt>
                  <c:pt idx="150">
                    <c:v>0.15999999999999556</c:v>
                  </c:pt>
                  <c:pt idx="151">
                    <c:v>0.1559999999999955</c:v>
                  </c:pt>
                  <c:pt idx="152">
                    <c:v>0.1519999999999955</c:v>
                  </c:pt>
                  <c:pt idx="153">
                    <c:v>0.14799999999999547</c:v>
                  </c:pt>
                  <c:pt idx="154">
                    <c:v>0.14399999999999546</c:v>
                  </c:pt>
                  <c:pt idx="155">
                    <c:v>0.13999999999999541</c:v>
                  </c:pt>
                  <c:pt idx="156">
                    <c:v>0.1359999999999954</c:v>
                  </c:pt>
                  <c:pt idx="157">
                    <c:v>0.13199999999999537</c:v>
                  </c:pt>
                  <c:pt idx="158">
                    <c:v>0.12799999999999531</c:v>
                  </c:pt>
                  <c:pt idx="159">
                    <c:v>0.12399999999999531</c:v>
                  </c:pt>
                  <c:pt idx="160">
                    <c:v>0.11999999999999525</c:v>
                  </c:pt>
                  <c:pt idx="161">
                    <c:v>0.11599999999999525</c:v>
                  </c:pt>
                  <c:pt idx="162">
                    <c:v>0.11199999999999521</c:v>
                  </c:pt>
                  <c:pt idx="163">
                    <c:v>0.10799999999999521</c:v>
                  </c:pt>
                  <c:pt idx="164">
                    <c:v>0.10399999999999515</c:v>
                  </c:pt>
                  <c:pt idx="165">
                    <c:v>9.9999999999995093E-2</c:v>
                  </c:pt>
                  <c:pt idx="166">
                    <c:v>9.5999999999995089E-2</c:v>
                  </c:pt>
                  <c:pt idx="167">
                    <c:v>9.1999999999995058E-2</c:v>
                  </c:pt>
                  <c:pt idx="168">
                    <c:v>8.7999999999995054E-2</c:v>
                  </c:pt>
                  <c:pt idx="169">
                    <c:v>8.3999999999994995E-2</c:v>
                  </c:pt>
                  <c:pt idx="170">
                    <c:v>7.9999999999994992E-2</c:v>
                  </c:pt>
                  <c:pt idx="171">
                    <c:v>7.599999999999496E-2</c:v>
                  </c:pt>
                  <c:pt idx="172">
                    <c:v>7.1999999999994901E-2</c:v>
                  </c:pt>
                  <c:pt idx="173">
                    <c:v>6.7999999999994898E-2</c:v>
                  </c:pt>
                  <c:pt idx="174">
                    <c:v>6.3999999999994867E-2</c:v>
                  </c:pt>
                  <c:pt idx="175">
                    <c:v>5.9999999999994856E-2</c:v>
                  </c:pt>
                  <c:pt idx="176">
                    <c:v>5.5999999999994811E-2</c:v>
                  </c:pt>
                  <c:pt idx="177">
                    <c:v>5.1999999999994807E-2</c:v>
                  </c:pt>
                  <c:pt idx="178">
                    <c:v>4.7999999999994748E-2</c:v>
                  </c:pt>
                  <c:pt idx="179">
                    <c:v>4.3999999999994703E-2</c:v>
                  </c:pt>
                  <c:pt idx="180">
                    <c:v>3.99999999999947E-2</c:v>
                  </c:pt>
                  <c:pt idx="181">
                    <c:v>3.5999999999994654E-2</c:v>
                  </c:pt>
                  <c:pt idx="182">
                    <c:v>3.1999999999994651E-2</c:v>
                  </c:pt>
                  <c:pt idx="183">
                    <c:v>2.7999999999994606E-2</c:v>
                  </c:pt>
                  <c:pt idx="184">
                    <c:v>2.3999999999994602E-2</c:v>
                  </c:pt>
                  <c:pt idx="185">
                    <c:v>1.999999999999455E-2</c:v>
                  </c:pt>
                  <c:pt idx="186">
                    <c:v>1.5999999999994498E-2</c:v>
                  </c:pt>
                  <c:pt idx="187">
                    <c:v>1.1999999999994494E-2</c:v>
                  </c:pt>
                  <c:pt idx="188">
                    <c:v>7.9999999999944491E-3</c:v>
                  </c:pt>
                  <c:pt idx="189">
                    <c:v>3.9999999999944455E-3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'Single r'!$BO$51:$BO$251</c:f>
              <c:numCache>
                <c:formatCode>General</c:formatCode>
                <c:ptCount val="201"/>
                <c:pt idx="0">
                  <c:v>0.279737307165981</c:v>
                </c:pt>
                <c:pt idx="1">
                  <c:v>0.28100052127513286</c:v>
                </c:pt>
                <c:pt idx="2">
                  <c:v>0.28226373538428473</c:v>
                </c:pt>
                <c:pt idx="3">
                  <c:v>0.2835269494934366</c:v>
                </c:pt>
                <c:pt idx="4">
                  <c:v>0.28479016360258846</c:v>
                </c:pt>
                <c:pt idx="5">
                  <c:v>0.28605337771174033</c:v>
                </c:pt>
                <c:pt idx="6">
                  <c:v>0.2873165918208922</c:v>
                </c:pt>
                <c:pt idx="7">
                  <c:v>0.28857980593004406</c:v>
                </c:pt>
                <c:pt idx="8">
                  <c:v>0.28984302003919593</c:v>
                </c:pt>
                <c:pt idx="9">
                  <c:v>0.2911062341483478</c:v>
                </c:pt>
                <c:pt idx="10">
                  <c:v>0.29236944825749966</c:v>
                </c:pt>
                <c:pt idx="11">
                  <c:v>0.29363266236665153</c:v>
                </c:pt>
                <c:pt idx="12">
                  <c:v>0.2948958764758034</c:v>
                </c:pt>
                <c:pt idx="13">
                  <c:v>0.29615909058495526</c:v>
                </c:pt>
                <c:pt idx="14">
                  <c:v>0.29742230469410713</c:v>
                </c:pt>
                <c:pt idx="15">
                  <c:v>0.298685518803259</c:v>
                </c:pt>
                <c:pt idx="16">
                  <c:v>0.29994873291241086</c:v>
                </c:pt>
                <c:pt idx="17">
                  <c:v>0.30121194702156273</c:v>
                </c:pt>
                <c:pt idx="18">
                  <c:v>0.3024751611307146</c:v>
                </c:pt>
                <c:pt idx="19">
                  <c:v>0.30373837523986646</c:v>
                </c:pt>
                <c:pt idx="20">
                  <c:v>0.30500158934901833</c:v>
                </c:pt>
                <c:pt idx="21">
                  <c:v>0.3062648034581702</c:v>
                </c:pt>
                <c:pt idx="22">
                  <c:v>0.30752801756732207</c:v>
                </c:pt>
                <c:pt idx="23">
                  <c:v>0.30879123167647393</c:v>
                </c:pt>
                <c:pt idx="24">
                  <c:v>0.3100544457856258</c:v>
                </c:pt>
                <c:pt idx="25">
                  <c:v>0.31131765989477767</c:v>
                </c:pt>
                <c:pt idx="26">
                  <c:v>0.31258087400392953</c:v>
                </c:pt>
                <c:pt idx="27">
                  <c:v>0.3138440881130814</c:v>
                </c:pt>
                <c:pt idx="28">
                  <c:v>0.31510730222223327</c:v>
                </c:pt>
                <c:pt idx="29">
                  <c:v>0.31637051633138513</c:v>
                </c:pt>
                <c:pt idx="30">
                  <c:v>0.317633730440537</c:v>
                </c:pt>
                <c:pt idx="31">
                  <c:v>0.31889694454968887</c:v>
                </c:pt>
                <c:pt idx="32">
                  <c:v>0.32016015865884073</c:v>
                </c:pt>
                <c:pt idx="33">
                  <c:v>0.3214233727679926</c:v>
                </c:pt>
                <c:pt idx="34">
                  <c:v>0.32268658687714447</c:v>
                </c:pt>
                <c:pt idx="35">
                  <c:v>0.32394980098629633</c:v>
                </c:pt>
                <c:pt idx="36">
                  <c:v>0.3252130150954482</c:v>
                </c:pt>
                <c:pt idx="37">
                  <c:v>0.32647622920460007</c:v>
                </c:pt>
                <c:pt idx="38">
                  <c:v>0.32773944331375193</c:v>
                </c:pt>
                <c:pt idx="39">
                  <c:v>0.3290026574229038</c:v>
                </c:pt>
                <c:pt idx="40">
                  <c:v>0.33026587153205567</c:v>
                </c:pt>
                <c:pt idx="41">
                  <c:v>0.33152908564120753</c:v>
                </c:pt>
                <c:pt idx="42">
                  <c:v>0.3327922997503594</c:v>
                </c:pt>
                <c:pt idx="43">
                  <c:v>0.33405551385951127</c:v>
                </c:pt>
                <c:pt idx="44">
                  <c:v>0.33531872796866313</c:v>
                </c:pt>
                <c:pt idx="45">
                  <c:v>0.336581942077815</c:v>
                </c:pt>
                <c:pt idx="46">
                  <c:v>0.33784515618696687</c:v>
                </c:pt>
                <c:pt idx="47">
                  <c:v>0.33910837029611873</c:v>
                </c:pt>
                <c:pt idx="48">
                  <c:v>0.3403715844052706</c:v>
                </c:pt>
                <c:pt idx="49">
                  <c:v>0.34163479851442247</c:v>
                </c:pt>
                <c:pt idx="50">
                  <c:v>0.34289801262357433</c:v>
                </c:pt>
                <c:pt idx="51">
                  <c:v>0.3441612267327262</c:v>
                </c:pt>
                <c:pt idx="52">
                  <c:v>0.34542444084187807</c:v>
                </c:pt>
                <c:pt idx="53">
                  <c:v>0.34668765495102993</c:v>
                </c:pt>
                <c:pt idx="54">
                  <c:v>0.3479508690601818</c:v>
                </c:pt>
                <c:pt idx="55">
                  <c:v>0.34921408316933367</c:v>
                </c:pt>
                <c:pt idx="56">
                  <c:v>0.35047729727848553</c:v>
                </c:pt>
                <c:pt idx="57">
                  <c:v>0.3517405113876374</c:v>
                </c:pt>
                <c:pt idx="58">
                  <c:v>0.35300372549678927</c:v>
                </c:pt>
                <c:pt idx="59">
                  <c:v>0.35426693960594113</c:v>
                </c:pt>
                <c:pt idx="60">
                  <c:v>0.355530153715093</c:v>
                </c:pt>
                <c:pt idx="61">
                  <c:v>0.35679336782424487</c:v>
                </c:pt>
                <c:pt idx="62">
                  <c:v>0.35805658193339673</c:v>
                </c:pt>
                <c:pt idx="63">
                  <c:v>0.3593197960425486</c:v>
                </c:pt>
                <c:pt idx="64">
                  <c:v>0.36058301015170047</c:v>
                </c:pt>
                <c:pt idx="65">
                  <c:v>0.36184622426085233</c:v>
                </c:pt>
                <c:pt idx="66">
                  <c:v>0.3631094383700042</c:v>
                </c:pt>
                <c:pt idx="67">
                  <c:v>0.36437265247915607</c:v>
                </c:pt>
                <c:pt idx="68">
                  <c:v>0.36563586658830793</c:v>
                </c:pt>
                <c:pt idx="69">
                  <c:v>0.3668990806974598</c:v>
                </c:pt>
                <c:pt idx="70">
                  <c:v>0.36816229480661167</c:v>
                </c:pt>
                <c:pt idx="71">
                  <c:v>0.36942550891576353</c:v>
                </c:pt>
                <c:pt idx="72">
                  <c:v>0.3706887230249154</c:v>
                </c:pt>
                <c:pt idx="73">
                  <c:v>0.37195193713406727</c:v>
                </c:pt>
                <c:pt idx="74">
                  <c:v>0.37321515124321913</c:v>
                </c:pt>
                <c:pt idx="75">
                  <c:v>0.374478365352371</c:v>
                </c:pt>
                <c:pt idx="76">
                  <c:v>0.37574157946152287</c:v>
                </c:pt>
                <c:pt idx="77">
                  <c:v>0.37700479357067473</c:v>
                </c:pt>
                <c:pt idx="78">
                  <c:v>0.3782680076798266</c:v>
                </c:pt>
                <c:pt idx="79">
                  <c:v>0.37953122178897847</c:v>
                </c:pt>
                <c:pt idx="80">
                  <c:v>0.38079443589813033</c:v>
                </c:pt>
                <c:pt idx="81">
                  <c:v>0.3820576500072822</c:v>
                </c:pt>
                <c:pt idx="82">
                  <c:v>0.38332086411643407</c:v>
                </c:pt>
                <c:pt idx="83">
                  <c:v>0.38458407822558593</c:v>
                </c:pt>
                <c:pt idx="84">
                  <c:v>0.3858472923347378</c:v>
                </c:pt>
                <c:pt idx="85">
                  <c:v>0.38711050644388967</c:v>
                </c:pt>
                <c:pt idx="86">
                  <c:v>0.38837372055304153</c:v>
                </c:pt>
                <c:pt idx="87">
                  <c:v>0.3896369346621934</c:v>
                </c:pt>
                <c:pt idx="88">
                  <c:v>0.39090014877134527</c:v>
                </c:pt>
                <c:pt idx="89">
                  <c:v>0.39216336288049713</c:v>
                </c:pt>
                <c:pt idx="90">
                  <c:v>0.393426576989649</c:v>
                </c:pt>
                <c:pt idx="91">
                  <c:v>0.39468979109880087</c:v>
                </c:pt>
                <c:pt idx="92">
                  <c:v>0.39595300520795274</c:v>
                </c:pt>
                <c:pt idx="93">
                  <c:v>0.3972162193171046</c:v>
                </c:pt>
                <c:pt idx="94">
                  <c:v>0.39847943342625647</c:v>
                </c:pt>
                <c:pt idx="95">
                  <c:v>0.39974264753540834</c:v>
                </c:pt>
                <c:pt idx="96">
                  <c:v>0.4010058616445602</c:v>
                </c:pt>
                <c:pt idx="97">
                  <c:v>0.40226907575371207</c:v>
                </c:pt>
                <c:pt idx="98">
                  <c:v>0.40353228986286394</c:v>
                </c:pt>
                <c:pt idx="99">
                  <c:v>0.4047955039720158</c:v>
                </c:pt>
                <c:pt idx="100">
                  <c:v>0.40605871808116767</c:v>
                </c:pt>
                <c:pt idx="101">
                  <c:v>0.40732193219031954</c:v>
                </c:pt>
                <c:pt idx="102">
                  <c:v>0.4085851462994714</c:v>
                </c:pt>
                <c:pt idx="103">
                  <c:v>0.40984836040862327</c:v>
                </c:pt>
                <c:pt idx="104">
                  <c:v>0.41111157451777514</c:v>
                </c:pt>
                <c:pt idx="105">
                  <c:v>0.412374788626927</c:v>
                </c:pt>
                <c:pt idx="106">
                  <c:v>0.41363800273607887</c:v>
                </c:pt>
                <c:pt idx="107">
                  <c:v>0.41490121684523074</c:v>
                </c:pt>
                <c:pt idx="108">
                  <c:v>0.4161644309543826</c:v>
                </c:pt>
                <c:pt idx="109">
                  <c:v>0.41742764506353447</c:v>
                </c:pt>
                <c:pt idx="110">
                  <c:v>0.41869085917268634</c:v>
                </c:pt>
                <c:pt idx="111">
                  <c:v>0.4199540732818382</c:v>
                </c:pt>
                <c:pt idx="112">
                  <c:v>0.42121728739099007</c:v>
                </c:pt>
                <c:pt idx="113">
                  <c:v>0.42248050150014194</c:v>
                </c:pt>
                <c:pt idx="114">
                  <c:v>0.4237437156092938</c:v>
                </c:pt>
                <c:pt idx="115">
                  <c:v>0.42500692971844567</c:v>
                </c:pt>
                <c:pt idx="116">
                  <c:v>0.42627014382759754</c:v>
                </c:pt>
                <c:pt idx="117">
                  <c:v>0.4275333579367494</c:v>
                </c:pt>
                <c:pt idx="118">
                  <c:v>0.42879657204590127</c:v>
                </c:pt>
                <c:pt idx="119">
                  <c:v>0.43005978615505314</c:v>
                </c:pt>
                <c:pt idx="120">
                  <c:v>0.431323000264205</c:v>
                </c:pt>
                <c:pt idx="121">
                  <c:v>0.43258621437335687</c:v>
                </c:pt>
                <c:pt idx="122">
                  <c:v>0.43384942848250874</c:v>
                </c:pt>
                <c:pt idx="123">
                  <c:v>0.4351126425916606</c:v>
                </c:pt>
                <c:pt idx="124">
                  <c:v>0.43637585670081247</c:v>
                </c:pt>
                <c:pt idx="125">
                  <c:v>0.43763907080996434</c:v>
                </c:pt>
                <c:pt idx="126">
                  <c:v>0.4389022849191162</c:v>
                </c:pt>
                <c:pt idx="127">
                  <c:v>0.44016549902826807</c:v>
                </c:pt>
                <c:pt idx="128">
                  <c:v>0.44142871313741994</c:v>
                </c:pt>
                <c:pt idx="129">
                  <c:v>0.4426919272465718</c:v>
                </c:pt>
                <c:pt idx="130">
                  <c:v>0.44395514135572367</c:v>
                </c:pt>
                <c:pt idx="131">
                  <c:v>0.44521835546487554</c:v>
                </c:pt>
                <c:pt idx="132">
                  <c:v>0.4464815695740274</c:v>
                </c:pt>
                <c:pt idx="133">
                  <c:v>0.44774478368317927</c:v>
                </c:pt>
                <c:pt idx="134">
                  <c:v>0.44900799779233114</c:v>
                </c:pt>
                <c:pt idx="135">
                  <c:v>0.450271211901483</c:v>
                </c:pt>
                <c:pt idx="136">
                  <c:v>0.45153442601063487</c:v>
                </c:pt>
                <c:pt idx="137">
                  <c:v>0.45279764011978674</c:v>
                </c:pt>
                <c:pt idx="138">
                  <c:v>0.4540608542289386</c:v>
                </c:pt>
                <c:pt idx="139">
                  <c:v>0.45532406833809047</c:v>
                </c:pt>
                <c:pt idx="140">
                  <c:v>0.45658728244724234</c:v>
                </c:pt>
                <c:pt idx="141">
                  <c:v>0.4578504965563942</c:v>
                </c:pt>
                <c:pt idx="142">
                  <c:v>0.45911371066554607</c:v>
                </c:pt>
                <c:pt idx="143">
                  <c:v>0.46037692477469794</c:v>
                </c:pt>
                <c:pt idx="144">
                  <c:v>0.4616401388838498</c:v>
                </c:pt>
                <c:pt idx="145">
                  <c:v>0.46290335299300167</c:v>
                </c:pt>
                <c:pt idx="146">
                  <c:v>0.46416656710215354</c:v>
                </c:pt>
                <c:pt idx="147">
                  <c:v>0.4654297812113054</c:v>
                </c:pt>
                <c:pt idx="148">
                  <c:v>0.46669299532045727</c:v>
                </c:pt>
                <c:pt idx="149">
                  <c:v>0.46795620942960914</c:v>
                </c:pt>
                <c:pt idx="150">
                  <c:v>0.469219423538761</c:v>
                </c:pt>
                <c:pt idx="151">
                  <c:v>0.47048263764791287</c:v>
                </c:pt>
                <c:pt idx="152">
                  <c:v>0.47174585175706474</c:v>
                </c:pt>
                <c:pt idx="153">
                  <c:v>0.4730090658662166</c:v>
                </c:pt>
                <c:pt idx="154">
                  <c:v>0.47427227997536847</c:v>
                </c:pt>
                <c:pt idx="155">
                  <c:v>0.47553549408452034</c:v>
                </c:pt>
                <c:pt idx="156">
                  <c:v>0.4767987081936722</c:v>
                </c:pt>
                <c:pt idx="157">
                  <c:v>0.47806192230282407</c:v>
                </c:pt>
                <c:pt idx="158">
                  <c:v>0.47932513641197594</c:v>
                </c:pt>
                <c:pt idx="159">
                  <c:v>0.48058835052112781</c:v>
                </c:pt>
                <c:pt idx="160">
                  <c:v>0.48185156463027967</c:v>
                </c:pt>
                <c:pt idx="161">
                  <c:v>0.48311477873943154</c:v>
                </c:pt>
                <c:pt idx="162">
                  <c:v>0.48437799284858341</c:v>
                </c:pt>
                <c:pt idx="163">
                  <c:v>0.48564120695773527</c:v>
                </c:pt>
                <c:pt idx="164">
                  <c:v>0.48690442106688714</c:v>
                </c:pt>
                <c:pt idx="165">
                  <c:v>0.48816763517603901</c:v>
                </c:pt>
                <c:pt idx="166">
                  <c:v>0.48943084928519087</c:v>
                </c:pt>
                <c:pt idx="167">
                  <c:v>0.49069406339434274</c:v>
                </c:pt>
                <c:pt idx="168">
                  <c:v>0.49195727750349461</c:v>
                </c:pt>
                <c:pt idx="169">
                  <c:v>0.49322049161264647</c:v>
                </c:pt>
                <c:pt idx="170">
                  <c:v>0.49448370572179834</c:v>
                </c:pt>
                <c:pt idx="171">
                  <c:v>0.49574691983095021</c:v>
                </c:pt>
                <c:pt idx="172">
                  <c:v>0.49701013394010207</c:v>
                </c:pt>
                <c:pt idx="173">
                  <c:v>0.49827334804925394</c:v>
                </c:pt>
                <c:pt idx="174">
                  <c:v>0.49953656215840581</c:v>
                </c:pt>
                <c:pt idx="175">
                  <c:v>0.50079977626755767</c:v>
                </c:pt>
                <c:pt idx="176">
                  <c:v>0.50206299037670954</c:v>
                </c:pt>
                <c:pt idx="177">
                  <c:v>0.50332620448586141</c:v>
                </c:pt>
                <c:pt idx="178">
                  <c:v>0.50458941859501327</c:v>
                </c:pt>
                <c:pt idx="179">
                  <c:v>0.50585263270416514</c:v>
                </c:pt>
                <c:pt idx="180">
                  <c:v>0.50711584681331701</c:v>
                </c:pt>
                <c:pt idx="181">
                  <c:v>0.50837906092246887</c:v>
                </c:pt>
                <c:pt idx="182">
                  <c:v>0.50964227503162074</c:v>
                </c:pt>
                <c:pt idx="183">
                  <c:v>0.51090548914077261</c:v>
                </c:pt>
                <c:pt idx="184">
                  <c:v>0.51216870324992447</c:v>
                </c:pt>
                <c:pt idx="185">
                  <c:v>0.51343191735907634</c:v>
                </c:pt>
                <c:pt idx="186">
                  <c:v>0.51469513146822821</c:v>
                </c:pt>
                <c:pt idx="187">
                  <c:v>0.51595834557738007</c:v>
                </c:pt>
                <c:pt idx="188">
                  <c:v>0.51722155968653194</c:v>
                </c:pt>
                <c:pt idx="189">
                  <c:v>0.51848477379568381</c:v>
                </c:pt>
                <c:pt idx="190">
                  <c:v>0.51974798790483567</c:v>
                </c:pt>
                <c:pt idx="191">
                  <c:v>0.52101120201398754</c:v>
                </c:pt>
                <c:pt idx="192">
                  <c:v>0.52227441612313941</c:v>
                </c:pt>
                <c:pt idx="193">
                  <c:v>0.52353763023229127</c:v>
                </c:pt>
                <c:pt idx="194">
                  <c:v>0.52480084434144314</c:v>
                </c:pt>
                <c:pt idx="195">
                  <c:v>0.52606405845059501</c:v>
                </c:pt>
                <c:pt idx="196">
                  <c:v>0.52732727255974687</c:v>
                </c:pt>
                <c:pt idx="197">
                  <c:v>0.52859048666889874</c:v>
                </c:pt>
                <c:pt idx="198">
                  <c:v>0.52985370077805061</c:v>
                </c:pt>
                <c:pt idx="199">
                  <c:v>0.53111691488720247</c:v>
                </c:pt>
                <c:pt idx="200">
                  <c:v>0.53238012899635434</c:v>
                </c:pt>
              </c:numCache>
            </c:numRef>
          </c:xVal>
          <c:yVal>
            <c:numRef>
              <c:f>'Single r'!$BR$51:$BR$251</c:f>
              <c:numCache>
                <c:formatCode>General</c:formatCode>
                <c:ptCount val="20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18</c:v>
                </c:pt>
                <c:pt idx="28">
                  <c:v>18</c:v>
                </c:pt>
                <c:pt idx="29">
                  <c:v>18</c:v>
                </c:pt>
                <c:pt idx="30">
                  <c:v>18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18</c:v>
                </c:pt>
                <c:pt idx="40">
                  <c:v>18</c:v>
                </c:pt>
                <c:pt idx="41">
                  <c:v>18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  <c:pt idx="60">
                  <c:v>18</c:v>
                </c:pt>
                <c:pt idx="61">
                  <c:v>18</c:v>
                </c:pt>
                <c:pt idx="62">
                  <c:v>18</c:v>
                </c:pt>
                <c:pt idx="63">
                  <c:v>18</c:v>
                </c:pt>
                <c:pt idx="64">
                  <c:v>18</c:v>
                </c:pt>
                <c:pt idx="65">
                  <c:v>18</c:v>
                </c:pt>
                <c:pt idx="66">
                  <c:v>18</c:v>
                </c:pt>
                <c:pt idx="67">
                  <c:v>18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18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18</c:v>
                </c:pt>
                <c:pt idx="96">
                  <c:v>18</c:v>
                </c:pt>
                <c:pt idx="97">
                  <c:v>18</c:v>
                </c:pt>
                <c:pt idx="98">
                  <c:v>18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18</c:v>
                </c:pt>
                <c:pt idx="110">
                  <c:v>18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18</c:v>
                </c:pt>
                <c:pt idx="116">
                  <c:v>18</c:v>
                </c:pt>
                <c:pt idx="117">
                  <c:v>18</c:v>
                </c:pt>
                <c:pt idx="118">
                  <c:v>18</c:v>
                </c:pt>
                <c:pt idx="119">
                  <c:v>18</c:v>
                </c:pt>
                <c:pt idx="120">
                  <c:v>18</c:v>
                </c:pt>
                <c:pt idx="121">
                  <c:v>18</c:v>
                </c:pt>
                <c:pt idx="122">
                  <c:v>18</c:v>
                </c:pt>
                <c:pt idx="123">
                  <c:v>18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18</c:v>
                </c:pt>
                <c:pt idx="129">
                  <c:v>18</c:v>
                </c:pt>
                <c:pt idx="130">
                  <c:v>18</c:v>
                </c:pt>
                <c:pt idx="131">
                  <c:v>18</c:v>
                </c:pt>
                <c:pt idx="132">
                  <c:v>18</c:v>
                </c:pt>
                <c:pt idx="133">
                  <c:v>18</c:v>
                </c:pt>
                <c:pt idx="134">
                  <c:v>18</c:v>
                </c:pt>
                <c:pt idx="135">
                  <c:v>18</c:v>
                </c:pt>
                <c:pt idx="136">
                  <c:v>18</c:v>
                </c:pt>
                <c:pt idx="137">
                  <c:v>18</c:v>
                </c:pt>
                <c:pt idx="138">
                  <c:v>18</c:v>
                </c:pt>
                <c:pt idx="139">
                  <c:v>18</c:v>
                </c:pt>
                <c:pt idx="140">
                  <c:v>18</c:v>
                </c:pt>
                <c:pt idx="141">
                  <c:v>18</c:v>
                </c:pt>
                <c:pt idx="142">
                  <c:v>18</c:v>
                </c:pt>
                <c:pt idx="143">
                  <c:v>18</c:v>
                </c:pt>
                <c:pt idx="144">
                  <c:v>18</c:v>
                </c:pt>
                <c:pt idx="145">
                  <c:v>18</c:v>
                </c:pt>
                <c:pt idx="146">
                  <c:v>18</c:v>
                </c:pt>
                <c:pt idx="147">
                  <c:v>18</c:v>
                </c:pt>
                <c:pt idx="148">
                  <c:v>18</c:v>
                </c:pt>
                <c:pt idx="149">
                  <c:v>18</c:v>
                </c:pt>
                <c:pt idx="150">
                  <c:v>18</c:v>
                </c:pt>
                <c:pt idx="151">
                  <c:v>18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  <c:pt idx="155">
                  <c:v>18</c:v>
                </c:pt>
                <c:pt idx="156">
                  <c:v>18</c:v>
                </c:pt>
                <c:pt idx="157">
                  <c:v>18</c:v>
                </c:pt>
                <c:pt idx="158">
                  <c:v>18</c:v>
                </c:pt>
                <c:pt idx="159">
                  <c:v>18</c:v>
                </c:pt>
                <c:pt idx="160">
                  <c:v>18</c:v>
                </c:pt>
                <c:pt idx="161">
                  <c:v>18</c:v>
                </c:pt>
                <c:pt idx="162">
                  <c:v>18</c:v>
                </c:pt>
                <c:pt idx="163">
                  <c:v>18</c:v>
                </c:pt>
                <c:pt idx="164">
                  <c:v>18</c:v>
                </c:pt>
                <c:pt idx="165">
                  <c:v>18</c:v>
                </c:pt>
                <c:pt idx="166">
                  <c:v>18</c:v>
                </c:pt>
                <c:pt idx="167">
                  <c:v>18</c:v>
                </c:pt>
                <c:pt idx="168">
                  <c:v>18</c:v>
                </c:pt>
                <c:pt idx="169">
                  <c:v>18</c:v>
                </c:pt>
                <c:pt idx="170">
                  <c:v>18</c:v>
                </c:pt>
                <c:pt idx="171">
                  <c:v>18</c:v>
                </c:pt>
                <c:pt idx="172">
                  <c:v>18</c:v>
                </c:pt>
                <c:pt idx="173">
                  <c:v>18</c:v>
                </c:pt>
                <c:pt idx="174">
                  <c:v>18</c:v>
                </c:pt>
                <c:pt idx="175">
                  <c:v>18</c:v>
                </c:pt>
                <c:pt idx="176">
                  <c:v>18</c:v>
                </c:pt>
                <c:pt idx="177">
                  <c:v>18</c:v>
                </c:pt>
                <c:pt idx="178">
                  <c:v>18</c:v>
                </c:pt>
                <c:pt idx="179">
                  <c:v>18</c:v>
                </c:pt>
                <c:pt idx="180">
                  <c:v>18</c:v>
                </c:pt>
                <c:pt idx="181">
                  <c:v>18</c:v>
                </c:pt>
                <c:pt idx="182">
                  <c:v>18</c:v>
                </c:pt>
                <c:pt idx="183">
                  <c:v>18</c:v>
                </c:pt>
                <c:pt idx="184">
                  <c:v>18</c:v>
                </c:pt>
                <c:pt idx="185">
                  <c:v>18</c:v>
                </c:pt>
                <c:pt idx="186">
                  <c:v>18</c:v>
                </c:pt>
                <c:pt idx="187">
                  <c:v>18</c:v>
                </c:pt>
                <c:pt idx="188">
                  <c:v>18</c:v>
                </c:pt>
                <c:pt idx="189">
                  <c:v>18</c:v>
                </c:pt>
                <c:pt idx="190">
                  <c:v>18</c:v>
                </c:pt>
                <c:pt idx="191">
                  <c:v>18</c:v>
                </c:pt>
                <c:pt idx="192">
                  <c:v>18</c:v>
                </c:pt>
                <c:pt idx="193">
                  <c:v>18</c:v>
                </c:pt>
                <c:pt idx="194">
                  <c:v>18</c:v>
                </c:pt>
                <c:pt idx="195">
                  <c:v>18</c:v>
                </c:pt>
                <c:pt idx="196">
                  <c:v>18</c:v>
                </c:pt>
                <c:pt idx="197">
                  <c:v>18</c:v>
                </c:pt>
                <c:pt idx="198">
                  <c:v>18</c:v>
                </c:pt>
                <c:pt idx="199">
                  <c:v>18</c:v>
                </c:pt>
                <c:pt idx="200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DBC-43B4-AAA2-D9C3BABB16F9}"/>
            </c:ext>
          </c:extLst>
        </c:ser>
        <c:ser>
          <c:idx val="34"/>
          <c:order val="1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'Single r'!$BQ$44:$BQ$48</c:f>
              <c:numCache>
                <c:formatCode>General</c:formatCode>
                <c:ptCount val="5"/>
                <c:pt idx="0">
                  <c:v>0.40605871808116673</c:v>
                </c:pt>
                <c:pt idx="1">
                  <c:v>0.279737307165981</c:v>
                </c:pt>
                <c:pt idx="2">
                  <c:v>0.40605871808116673</c:v>
                </c:pt>
                <c:pt idx="3">
                  <c:v>0.53238012899635245</c:v>
                </c:pt>
                <c:pt idx="4">
                  <c:v>0.40605871808116673</c:v>
                </c:pt>
              </c:numCache>
            </c:numRef>
          </c:xVal>
          <c:yVal>
            <c:numRef>
              <c:f>'Single r'!$BS$44:$BS$48</c:f>
              <c:numCache>
                <c:formatCode>General</c:formatCode>
                <c:ptCount val="5"/>
                <c:pt idx="0">
                  <c:v>18.399999999999999</c:v>
                </c:pt>
                <c:pt idx="1">
                  <c:v>18</c:v>
                </c:pt>
                <c:pt idx="2">
                  <c:v>17.600000000000001</c:v>
                </c:pt>
                <c:pt idx="3">
                  <c:v>18</c:v>
                </c:pt>
                <c:pt idx="4">
                  <c:v>18.399999999999999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DBC-43B4-AAA2-D9C3BABB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80448"/>
        <c:axId val="53081984"/>
      </c:scatterChart>
      <c:valAx>
        <c:axId val="53080448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81984"/>
        <c:crossesAt val="0"/>
        <c:crossBetween val="midCat"/>
        <c:majorUnit val="0.2"/>
        <c:minorUnit val="0.1"/>
      </c:valAx>
      <c:valAx>
        <c:axId val="53081984"/>
        <c:scaling>
          <c:orientation val="maxMin"/>
          <c:min val="0"/>
        </c:scaling>
        <c:delete val="0"/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53080448"/>
        <c:crossesAt val="0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$BQ$7" lockText="1"/>
</file>

<file path=xl/ctrlProps/ctrlProp2.xml><?xml version="1.0" encoding="utf-8"?>
<formControlPr xmlns="http://schemas.microsoft.com/office/spreadsheetml/2009/9/main" objectType="Radio" checked="Checked" firstButton="1" fmlaLink="BY1" lockText="1"/>
</file>

<file path=xl/ctrlProps/ctrlProp3.xml><?xml version="1.0" encoding="utf-8"?>
<formControlPr xmlns="http://schemas.microsoft.com/office/spreadsheetml/2009/9/main" objectType="Spin" dx="15" fmlaLink="$M$2" max="99" min="1" page="10" val="95"/>
</file>

<file path=xl/ctrlProps/ctrlProp4.xml><?xml version="1.0" encoding="utf-8"?>
<formControlPr xmlns="http://schemas.microsoft.com/office/spreadsheetml/2009/9/main" objectType="CheckBox" fmlaLink="$BX$4" lockText="1"/>
</file>

<file path=xl/ctrlProps/ctrlProp5.xml><?xml version="1.0" encoding="utf-8"?>
<formControlPr xmlns="http://schemas.microsoft.com/office/spreadsheetml/2009/9/main" objectType="CheckBox" checked="Checked" fmlaLink="$BV$1" lockText="1"/>
</file>

<file path=xl/ctrlProps/ctrlProp6.xml><?xml version="1.0" encoding="utf-8"?>
<formControlPr xmlns="http://schemas.microsoft.com/office/spreadsheetml/2009/9/main" objectType="CheckBox" checked="Checked" fmlaLink="$CD$2" lockText="1"/>
</file>

<file path=xl/ctrlProps/ctrlProp7.xml><?xml version="1.0" encoding="utf-8"?>
<formControlPr xmlns="http://schemas.microsoft.com/office/spreadsheetml/2009/9/main" objectType="Radio" lockText="1"/>
</file>

<file path=xl/ctrlProps/ctrlProp8.xml><?xml version="1.0" encoding="utf-8"?>
<formControlPr xmlns="http://schemas.microsoft.com/office/spreadsheetml/2009/9/main" objectType="CheckBox" checked="Checked" fmlaLink="$BQ$8" lockText="1"/>
</file>

<file path=xl/ctrlProps/ctrlProp9.xml><?xml version="1.0" encoding="utf-8"?>
<formControlPr xmlns="http://schemas.microsoft.com/office/spreadsheetml/2009/9/main" objectType="CheckBox" checked="Checked" fmlaLink="$BQ$9" lockText="1"/>
</file>

<file path=xl/ctrlProps/ctrlProp10.xml><?xml version="1.0" encoding="utf-8"?>
<formControlPr xmlns="http://schemas.microsoft.com/office/spreadsheetml/2009/9/main" objectType="CheckBox" checked="Checked" fmlaLink="$BQ$10" lockText="1"/>
</file>

<file path=xl/ctrlProps/ctrlProp11.xml><?xml version="1.0" encoding="utf-8"?>
<formControlPr xmlns="http://schemas.microsoft.com/office/spreadsheetml/2009/9/main" objectType="CheckBox" checked="Checked" fmlaLink="$BQ$11" lockText="1"/>
</file>

<file path=xl/ctrlProps/ctrlProp12.xml><?xml version="1.0" encoding="utf-8"?>
<formControlPr xmlns="http://schemas.microsoft.com/office/spreadsheetml/2009/9/main" objectType="CheckBox" checked="Checked" fmlaLink="$BQ$12" lockText="1"/>
</file>

<file path=xl/ctrlProps/ctrlProp13.xml><?xml version="1.0" encoding="utf-8"?>
<formControlPr xmlns="http://schemas.microsoft.com/office/spreadsheetml/2009/9/main" objectType="CheckBox" checked="Checked" fmlaLink="$BQ$13" lockText="1"/>
</file>

<file path=xl/ctrlProps/ctrlProp14.xml><?xml version="1.0" encoding="utf-8"?>
<formControlPr xmlns="http://schemas.microsoft.com/office/spreadsheetml/2009/9/main" objectType="CheckBox" checked="Checked" fmlaLink="$BQ$14" lockText="1"/>
</file>

<file path=xl/ctrlProps/ctrlProp15.xml><?xml version="1.0" encoding="utf-8"?>
<formControlPr xmlns="http://schemas.microsoft.com/office/spreadsheetml/2009/9/main" objectType="CheckBox" checked="Checked" fmlaLink="$BQ$15" lockText="1"/>
</file>

<file path=xl/ctrlProps/ctrlProp16.xml><?xml version="1.0" encoding="utf-8"?>
<formControlPr xmlns="http://schemas.microsoft.com/office/spreadsheetml/2009/9/main" objectType="CheckBox" checked="Checked" fmlaLink="$BQ$16" lockText="1"/>
</file>

<file path=xl/ctrlProps/ctrlProp17.xml><?xml version="1.0" encoding="utf-8"?>
<formControlPr xmlns="http://schemas.microsoft.com/office/spreadsheetml/2009/9/main" objectType="CheckBox" checked="Checked" fmlaLink="$BQ$17" lockText="1"/>
</file>

<file path=xl/ctrlProps/ctrlProp18.xml><?xml version="1.0" encoding="utf-8"?>
<formControlPr xmlns="http://schemas.microsoft.com/office/spreadsheetml/2009/9/main" objectType="CheckBox" checked="Checked" fmlaLink="$BQ$18" lockText="1"/>
</file>

<file path=xl/ctrlProps/ctrlProp19.xml><?xml version="1.0" encoding="utf-8"?>
<formControlPr xmlns="http://schemas.microsoft.com/office/spreadsheetml/2009/9/main" objectType="CheckBox" checked="Checked" fmlaLink="$BQ$19" lockText="1"/>
</file>

<file path=xl/ctrlProps/ctrlProp20.xml><?xml version="1.0" encoding="utf-8"?>
<formControlPr xmlns="http://schemas.microsoft.com/office/spreadsheetml/2009/9/main" objectType="CheckBox" checked="Checked" fmlaLink="$BQ$20" lockText="1"/>
</file>

<file path=xl/ctrlProps/ctrlProp21.xml><?xml version="1.0" encoding="utf-8"?>
<formControlPr xmlns="http://schemas.microsoft.com/office/spreadsheetml/2009/9/main" objectType="CheckBox" checked="Checked" fmlaLink="$BQ$21" lockText="1"/>
</file>

<file path=xl/ctrlProps/ctrlProp22.xml><?xml version="1.0" encoding="utf-8"?>
<formControlPr xmlns="http://schemas.microsoft.com/office/spreadsheetml/2009/9/main" objectType="CheckBox" checked="Checked" fmlaLink="$BQ$22" lockText="1"/>
</file>

<file path=xl/ctrlProps/ctrlProp23.xml><?xml version="1.0" encoding="utf-8"?>
<formControlPr xmlns="http://schemas.microsoft.com/office/spreadsheetml/2009/9/main" objectType="CheckBox" checked="Checked" fmlaLink="$BQ$23" lockText="1"/>
</file>

<file path=xl/ctrlProps/ctrlProp24.xml><?xml version="1.0" encoding="utf-8"?>
<formControlPr xmlns="http://schemas.microsoft.com/office/spreadsheetml/2009/9/main" objectType="CheckBox" checked="Checked" fmlaLink="$BQ$24" lockText="1"/>
</file>

<file path=xl/ctrlProps/ctrlProp25.xml><?xml version="1.0" encoding="utf-8"?>
<formControlPr xmlns="http://schemas.microsoft.com/office/spreadsheetml/2009/9/main" objectType="CheckBox" checked="Checked" fmlaLink="$BQ$25" lockText="1"/>
</file>

<file path=xl/ctrlProps/ctrlProp26.xml><?xml version="1.0" encoding="utf-8"?>
<formControlPr xmlns="http://schemas.microsoft.com/office/spreadsheetml/2009/9/main" objectType="CheckBox" checked="Checked" fmlaLink="$BQ$26" lockText="1"/>
</file>

<file path=xl/ctrlProps/ctrlProp27.xml><?xml version="1.0" encoding="utf-8"?>
<formControlPr xmlns="http://schemas.microsoft.com/office/spreadsheetml/2009/9/main" objectType="CheckBox" checked="Checked" fmlaLink="$BQ$27" lockText="1"/>
</file>

<file path=xl/ctrlProps/ctrlProp28.xml><?xml version="1.0" encoding="utf-8"?>
<formControlPr xmlns="http://schemas.microsoft.com/office/spreadsheetml/2009/9/main" objectType="CheckBox" checked="Checked" fmlaLink="$BQ$28" lockText="1"/>
</file>

<file path=xl/ctrlProps/ctrlProp29.xml><?xml version="1.0" encoding="utf-8"?>
<formControlPr xmlns="http://schemas.microsoft.com/office/spreadsheetml/2009/9/main" objectType="CheckBox" checked="Checked" fmlaLink="$BQ$29" lockText="1"/>
</file>

<file path=xl/ctrlProps/ctrlProp30.xml><?xml version="1.0" encoding="utf-8"?>
<formControlPr xmlns="http://schemas.microsoft.com/office/spreadsheetml/2009/9/main" objectType="CheckBox" checked="Checked" fmlaLink="$BQ$30" lockText="1"/>
</file>

<file path=xl/ctrlProps/ctrlProp31.xml><?xml version="1.0" encoding="utf-8"?>
<formControlPr xmlns="http://schemas.microsoft.com/office/spreadsheetml/2009/9/main" objectType="CheckBox" checked="Checked" fmlaLink="$BQ$31" lockText="1"/>
</file>

<file path=xl/ctrlProps/ctrlProp32.xml><?xml version="1.0" encoding="utf-8"?>
<formControlPr xmlns="http://schemas.microsoft.com/office/spreadsheetml/2009/9/main" objectType="CheckBox" checked="Checked" fmlaLink="$BQ$32" lockText="1"/>
</file>

<file path=xl/ctrlProps/ctrlProp33.xml><?xml version="1.0" encoding="utf-8"?>
<formControlPr xmlns="http://schemas.microsoft.com/office/spreadsheetml/2009/9/main" objectType="CheckBox" checked="Checked" fmlaLink="$BQ$33" lockText="1"/>
</file>

<file path=xl/ctrlProps/ctrlProp34.xml><?xml version="1.0" encoding="utf-8"?>
<formControlPr xmlns="http://schemas.microsoft.com/office/spreadsheetml/2009/9/main" objectType="CheckBox" checked="Checked" fmlaLink="$BQ$34" lockText="1"/>
</file>

<file path=xl/ctrlProps/ctrlProp35.xml><?xml version="1.0" encoding="utf-8"?>
<formControlPr xmlns="http://schemas.microsoft.com/office/spreadsheetml/2009/9/main" objectType="CheckBox" checked="Checked" fmlaLink="$BQ$35" lockText="1"/>
</file>

<file path=xl/ctrlProps/ctrlProp36.xml><?xml version="1.0" encoding="utf-8"?>
<formControlPr xmlns="http://schemas.microsoft.com/office/spreadsheetml/2009/9/main" objectType="CheckBox" checked="Checked" fmlaLink="$BQ$36" lockText="1"/>
</file>

<file path=xl/ctrlProps/ctrlProp37.xml><?xml version="1.0" encoding="utf-8"?>
<formControlPr xmlns="http://schemas.microsoft.com/office/spreadsheetml/2009/9/main" objectType="Radio" firstButton="1" fmlaLink="CB2" lockText="1"/>
</file>

<file path=xl/ctrlProps/ctrlProp38.xml><?xml version="1.0" encoding="utf-8"?>
<formControlPr xmlns="http://schemas.microsoft.com/office/spreadsheetml/2009/9/main" objectType="CheckBox" checked="Checked" fmlaLink="$CG$3" lockText="1"/>
</file>

<file path=xl/ctrlProps/ctrlProp39.xml><?xml version="1.0" encoding="utf-8"?>
<formControlPr xmlns="http://schemas.microsoft.com/office/spreadsheetml/2009/9/main" objectType="Radio" checked="Checked" lockText="1"/>
</file>

<file path=xl/ctrlProps/ctrlProp40.xml><?xml version="1.0" encoding="utf-8"?>
<formControlPr xmlns="http://schemas.microsoft.com/office/spreadsheetml/2009/9/main" objectType="CheckBox" checked="Checked" fmlaLink="$BX$5" lockText="1"/>
</file>

<file path=xl/ctrlProps/ctrlProp41.xml><?xml version="1.0" encoding="utf-8"?>
<formControlPr xmlns="http://schemas.microsoft.com/office/spreadsheetml/2009/9/main" objectType="Spin" dx="15" fmlaLink="M2" max="99" min="1" page="10" val="95"/>
</file>

<file path=xl/ctrlProps/ctrlProp42.xml><?xml version="1.0" encoding="utf-8"?>
<formControlPr xmlns="http://schemas.microsoft.com/office/spreadsheetml/2009/9/main" objectType="CheckBox" checked="Checked" fmlaLink="$BY$2" lockText="1"/>
</file>

<file path=xl/ctrlProps/ctrlProp43.xml><?xml version="1.0" encoding="utf-8"?>
<formControlPr xmlns="http://schemas.microsoft.com/office/spreadsheetml/2009/9/main" objectType="CheckBox" fmlaLink="$CA$5" lockText="1"/>
</file>

<file path=xl/ctrlProps/ctrlProp44.xml><?xml version="1.0" encoding="utf-8"?>
<formControlPr xmlns="http://schemas.microsoft.com/office/spreadsheetml/2009/9/main" objectType="CheckBox" checked="Checked" fmlaLink="$CF$7" lockText="1"/>
</file>

<file path=xl/ctrlProps/ctrlProp45.xml><?xml version="1.0" encoding="utf-8"?>
<formControlPr xmlns="http://schemas.microsoft.com/office/spreadsheetml/2009/9/main" objectType="Radio" firstButton="1" fmlaLink="CO1" lockText="1"/>
</file>

<file path=xl/ctrlProps/ctrlProp46.xml><?xml version="1.0" encoding="utf-8"?>
<formControlPr xmlns="http://schemas.microsoft.com/office/spreadsheetml/2009/9/main" objectType="Spin" dx="15" fmlaLink="$AA$2" max="99" min="1" page="10" val="95"/>
</file>

<file path=xl/ctrlProps/ctrlProp47.xml><?xml version="1.0" encoding="utf-8"?>
<formControlPr xmlns="http://schemas.microsoft.com/office/spreadsheetml/2009/9/main" objectType="CheckBox" fmlaLink="$CN$4" lockText="1"/>
</file>

<file path=xl/ctrlProps/ctrlProp48.xml><?xml version="1.0" encoding="utf-8"?>
<formControlPr xmlns="http://schemas.microsoft.com/office/spreadsheetml/2009/9/main" objectType="CheckBox" checked="Checked" fmlaLink="$CL$1" lockText="1"/>
</file>

<file path=xl/ctrlProps/ctrlProp49.xml><?xml version="1.0" encoding="utf-8"?>
<formControlPr xmlns="http://schemas.microsoft.com/office/spreadsheetml/2009/9/main" objectType="CheckBox" checked="Checked" fmlaLink="$CT$2" lockText="1"/>
</file>

<file path=xl/ctrlProps/ctrlProp50.xml><?xml version="1.0" encoding="utf-8"?>
<formControlPr xmlns="http://schemas.microsoft.com/office/spreadsheetml/2009/9/main" objectType="Radio" checked="Checked" lockText="1"/>
</file>

<file path=xl/ctrlProps/ctrlProp51.xml><?xml version="1.0" encoding="utf-8"?>
<formControlPr xmlns="http://schemas.microsoft.com/office/spreadsheetml/2009/9/main" objectType="CheckBox" checked="Checked" fmlaLink="$CF$8" lockText="1"/>
</file>

<file path=xl/ctrlProps/ctrlProp52.xml><?xml version="1.0" encoding="utf-8"?>
<formControlPr xmlns="http://schemas.microsoft.com/office/spreadsheetml/2009/9/main" objectType="CheckBox" checked="Checked" fmlaLink="$CF$9" lockText="1"/>
</file>

<file path=xl/ctrlProps/ctrlProp53.xml><?xml version="1.0" encoding="utf-8"?>
<formControlPr xmlns="http://schemas.microsoft.com/office/spreadsheetml/2009/9/main" objectType="CheckBox" checked="Checked" fmlaLink="$CF$10" lockText="1"/>
</file>

<file path=xl/ctrlProps/ctrlProp54.xml><?xml version="1.0" encoding="utf-8"?>
<formControlPr xmlns="http://schemas.microsoft.com/office/spreadsheetml/2009/9/main" objectType="CheckBox" checked="Checked" fmlaLink="$CF$11" lockText="1"/>
</file>

<file path=xl/ctrlProps/ctrlProp55.xml><?xml version="1.0" encoding="utf-8"?>
<formControlPr xmlns="http://schemas.microsoft.com/office/spreadsheetml/2009/9/main" objectType="CheckBox" checked="Checked" fmlaLink="$CF$12" lockText="1"/>
</file>

<file path=xl/ctrlProps/ctrlProp56.xml><?xml version="1.0" encoding="utf-8"?>
<formControlPr xmlns="http://schemas.microsoft.com/office/spreadsheetml/2009/9/main" objectType="CheckBox" checked="Checked" fmlaLink="$CF$13" lockText="1"/>
</file>

<file path=xl/ctrlProps/ctrlProp57.xml><?xml version="1.0" encoding="utf-8"?>
<formControlPr xmlns="http://schemas.microsoft.com/office/spreadsheetml/2009/9/main" objectType="CheckBox" checked="Checked" fmlaLink="$CF$14" lockText="1"/>
</file>

<file path=xl/ctrlProps/ctrlProp58.xml><?xml version="1.0" encoding="utf-8"?>
<formControlPr xmlns="http://schemas.microsoft.com/office/spreadsheetml/2009/9/main" objectType="CheckBox" checked="Checked" fmlaLink="$CF$15" lockText="1"/>
</file>

<file path=xl/ctrlProps/ctrlProp59.xml><?xml version="1.0" encoding="utf-8"?>
<formControlPr xmlns="http://schemas.microsoft.com/office/spreadsheetml/2009/9/main" objectType="CheckBox" checked="Checked" fmlaLink="$CF$16" lockText="1"/>
</file>

<file path=xl/ctrlProps/ctrlProp60.xml><?xml version="1.0" encoding="utf-8"?>
<formControlPr xmlns="http://schemas.microsoft.com/office/spreadsheetml/2009/9/main" objectType="CheckBox" checked="Checked" fmlaLink="$CF$17" lockText="1"/>
</file>

<file path=xl/ctrlProps/ctrlProp61.xml><?xml version="1.0" encoding="utf-8"?>
<formControlPr xmlns="http://schemas.microsoft.com/office/spreadsheetml/2009/9/main" objectType="CheckBox" checked="Checked" fmlaLink="$CF$18" lockText="1"/>
</file>

<file path=xl/ctrlProps/ctrlProp62.xml><?xml version="1.0" encoding="utf-8"?>
<formControlPr xmlns="http://schemas.microsoft.com/office/spreadsheetml/2009/9/main" objectType="CheckBox" checked="Checked" fmlaLink="$CF$19" lockText="1"/>
</file>

<file path=xl/ctrlProps/ctrlProp63.xml><?xml version="1.0" encoding="utf-8"?>
<formControlPr xmlns="http://schemas.microsoft.com/office/spreadsheetml/2009/9/main" objectType="CheckBox" checked="Checked" fmlaLink="$CF$20" lockText="1"/>
</file>

<file path=xl/ctrlProps/ctrlProp64.xml><?xml version="1.0" encoding="utf-8"?>
<formControlPr xmlns="http://schemas.microsoft.com/office/spreadsheetml/2009/9/main" objectType="CheckBox" checked="Checked" fmlaLink="$CF$21" lockText="1"/>
</file>

<file path=xl/ctrlProps/ctrlProp65.xml><?xml version="1.0" encoding="utf-8"?>
<formControlPr xmlns="http://schemas.microsoft.com/office/spreadsheetml/2009/9/main" objectType="CheckBox" checked="Checked" fmlaLink="$CF$22" lockText="1"/>
</file>

<file path=xl/ctrlProps/ctrlProp66.xml><?xml version="1.0" encoding="utf-8"?>
<formControlPr xmlns="http://schemas.microsoft.com/office/spreadsheetml/2009/9/main" objectType="CheckBox" checked="Checked" fmlaLink="$CF$23" lockText="1"/>
</file>

<file path=xl/ctrlProps/ctrlProp67.xml><?xml version="1.0" encoding="utf-8"?>
<formControlPr xmlns="http://schemas.microsoft.com/office/spreadsheetml/2009/9/main" objectType="CheckBox" checked="Checked" fmlaLink="$CF$24" lockText="1"/>
</file>

<file path=xl/ctrlProps/ctrlProp68.xml><?xml version="1.0" encoding="utf-8"?>
<formControlPr xmlns="http://schemas.microsoft.com/office/spreadsheetml/2009/9/main" objectType="CheckBox" checked="Checked" fmlaLink="$CF$25" lockText="1"/>
</file>

<file path=xl/ctrlProps/ctrlProp69.xml><?xml version="1.0" encoding="utf-8"?>
<formControlPr xmlns="http://schemas.microsoft.com/office/spreadsheetml/2009/9/main" objectType="CheckBox" checked="Checked" fmlaLink="$CF$26" lockText="1"/>
</file>

<file path=xl/ctrlProps/ctrlProp70.xml><?xml version="1.0" encoding="utf-8"?>
<formControlPr xmlns="http://schemas.microsoft.com/office/spreadsheetml/2009/9/main" objectType="CheckBox" checked="Checked" fmlaLink="$CF$27" lockText="1"/>
</file>

<file path=xl/ctrlProps/ctrlProp71.xml><?xml version="1.0" encoding="utf-8"?>
<formControlPr xmlns="http://schemas.microsoft.com/office/spreadsheetml/2009/9/main" objectType="CheckBox" checked="Checked" fmlaLink="$CF$28" lockText="1"/>
</file>

<file path=xl/ctrlProps/ctrlProp72.xml><?xml version="1.0" encoding="utf-8"?>
<formControlPr xmlns="http://schemas.microsoft.com/office/spreadsheetml/2009/9/main" objectType="CheckBox" checked="Checked" fmlaLink="$CF$29" lockText="1"/>
</file>

<file path=xl/ctrlProps/ctrlProp73.xml><?xml version="1.0" encoding="utf-8"?>
<formControlPr xmlns="http://schemas.microsoft.com/office/spreadsheetml/2009/9/main" objectType="CheckBox" checked="Checked" fmlaLink="$CF$30" lockText="1"/>
</file>

<file path=xl/ctrlProps/ctrlProp74.xml><?xml version="1.0" encoding="utf-8"?>
<formControlPr xmlns="http://schemas.microsoft.com/office/spreadsheetml/2009/9/main" objectType="CheckBox" checked="Checked" fmlaLink="$CF$31" lockText="1"/>
</file>

<file path=xl/ctrlProps/ctrlProp75.xml><?xml version="1.0" encoding="utf-8"?>
<formControlPr xmlns="http://schemas.microsoft.com/office/spreadsheetml/2009/9/main" objectType="CheckBox" checked="Checked" fmlaLink="$CF$32" lockText="1"/>
</file>

<file path=xl/ctrlProps/ctrlProp76.xml><?xml version="1.0" encoding="utf-8"?>
<formControlPr xmlns="http://schemas.microsoft.com/office/spreadsheetml/2009/9/main" objectType="CheckBox" checked="Checked" fmlaLink="$CF$33" lockText="1"/>
</file>

<file path=xl/ctrlProps/ctrlProp77.xml><?xml version="1.0" encoding="utf-8"?>
<formControlPr xmlns="http://schemas.microsoft.com/office/spreadsheetml/2009/9/main" objectType="CheckBox" checked="Checked" fmlaLink="$CF$34" lockText="1"/>
</file>

<file path=xl/ctrlProps/ctrlProp78.xml><?xml version="1.0" encoding="utf-8"?>
<formControlPr xmlns="http://schemas.microsoft.com/office/spreadsheetml/2009/9/main" objectType="CheckBox" checked="Checked" fmlaLink="$CF$35" lockText="1"/>
</file>

<file path=xl/ctrlProps/ctrlProp79.xml><?xml version="1.0" encoding="utf-8"?>
<formControlPr xmlns="http://schemas.microsoft.com/office/spreadsheetml/2009/9/main" objectType="CheckBox" checked="Checked" fmlaLink="$CF$36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Radio" firstButton="1" fmlaLink="$CG$1" lockText="1"/>
</file>

<file path=xl/ctrlProps/ctrlProp82.xml><?xml version="1.0" encoding="utf-8"?>
<formControlPr xmlns="http://schemas.microsoft.com/office/spreadsheetml/2009/9/main" objectType="Radio" checked="Checked" lockText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Radio" firstButton="1" fmlaLink="CT2" lockText="1"/>
</file>

<file path=xl/ctrlProps/ctrlProp85.xml><?xml version="1.0" encoding="utf-8"?>
<formControlPr xmlns="http://schemas.microsoft.com/office/spreadsheetml/2009/9/main" objectType="Spin" dx="15" fmlaLink="$AA$2" max="99" min="1" page="10" val="95"/>
</file>

<file path=xl/ctrlProps/ctrlProp86.xml><?xml version="1.0" encoding="utf-8"?>
<formControlPr xmlns="http://schemas.microsoft.com/office/spreadsheetml/2009/9/main" objectType="CheckBox" fmlaLink="$CS$5" lockText="1"/>
</file>

<file path=xl/ctrlProps/ctrlProp87.xml><?xml version="1.0" encoding="utf-8"?>
<formControlPr xmlns="http://schemas.microsoft.com/office/spreadsheetml/2009/9/main" objectType="CheckBox" checked="Checked" fmlaLink="$CQ$2" lockText="1"/>
</file>

<file path=xl/ctrlProps/ctrlProp88.xml><?xml version="1.0" encoding="utf-8"?>
<formControlPr xmlns="http://schemas.microsoft.com/office/spreadsheetml/2009/9/main" objectType="CheckBox" checked="Checked" fmlaLink="$CY$3" lockText="1"/>
</file>

<file path=xl/ctrlProps/ctrlProp89.xml><?xml version="1.0" encoding="utf-8"?>
<formControlPr xmlns="http://schemas.microsoft.com/office/spreadsheetml/2009/9/main" objectType="Radio" checked="Checked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Radio" firstButton="1" fmlaLink="$CL$2" lockText="1"/>
</file>

<file path=xl/ctrlProps/ctrlProp92.xml><?xml version="1.0" encoding="utf-8"?>
<formControlPr xmlns="http://schemas.microsoft.com/office/spreadsheetml/2009/9/main" objectType="Radio" checked="Checked" lockText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CheckBox" checked="Checked" fmlaLink="$CJ$5" lockText="1"/>
</file>

<file path=xl/ctrlProps/ctrlProp95.xml><?xml version="1.0" encoding="utf-8"?>
<formControlPr xmlns="http://schemas.microsoft.com/office/spreadsheetml/2009/9/main" objectType="CheckBox" checked="Checked" fmlaLink="$BK$7" lockText="1"/>
</file>

<file path=xl/ctrlProps/ctrlProp96.xml><?xml version="1.0" encoding="utf-8"?>
<formControlPr xmlns="http://schemas.microsoft.com/office/spreadsheetml/2009/9/main" objectType="Radio" firstButton="1" fmlaLink="BS1" lockText="1"/>
</file>

<file path=xl/ctrlProps/ctrlProp97.xml><?xml version="1.0" encoding="utf-8"?>
<formControlPr xmlns="http://schemas.microsoft.com/office/spreadsheetml/2009/9/main" objectType="Spin" dx="15" fmlaLink="$I$2" max="99" min="1" page="10" val="95"/>
</file>

<file path=xl/ctrlProps/ctrlProp98.xml><?xml version="1.0" encoding="utf-8"?>
<formControlPr xmlns="http://schemas.microsoft.com/office/spreadsheetml/2009/9/main" objectType="CheckBox" fmlaLink="$BR$4" lockText="1"/>
</file>

<file path=xl/ctrlProps/ctrlProp99.xml><?xml version="1.0" encoding="utf-8"?>
<formControlPr xmlns="http://schemas.microsoft.com/office/spreadsheetml/2009/9/main" objectType="CheckBox" checked="Checked" fmlaLink="$BP$1" lockText="1"/>
</file>

<file path=xl/ctrlProps/ctrlProp100.xml><?xml version="1.0" encoding="utf-8"?>
<formControlPr xmlns="http://schemas.microsoft.com/office/spreadsheetml/2009/9/main" objectType="CheckBox" checked="Checked" fmlaLink="$CB$2" lockText="1"/>
</file>

<file path=xl/ctrlProps/ctrlProp101.xml><?xml version="1.0" encoding="utf-8"?>
<formControlPr xmlns="http://schemas.microsoft.com/office/spreadsheetml/2009/9/main" objectType="Radio" checked="Checked" lockText="1"/>
</file>

<file path=xl/ctrlProps/ctrlProp102.xml><?xml version="1.0" encoding="utf-8"?>
<formControlPr xmlns="http://schemas.microsoft.com/office/spreadsheetml/2009/9/main" objectType="CheckBox" checked="Checked" fmlaLink="$BK$8" lockText="1"/>
</file>

<file path=xl/ctrlProps/ctrlProp103.xml><?xml version="1.0" encoding="utf-8"?>
<formControlPr xmlns="http://schemas.microsoft.com/office/spreadsheetml/2009/9/main" objectType="CheckBox" checked="Checked" fmlaLink="$BK$9" lockText="1"/>
</file>

<file path=xl/ctrlProps/ctrlProp104.xml><?xml version="1.0" encoding="utf-8"?>
<formControlPr xmlns="http://schemas.microsoft.com/office/spreadsheetml/2009/9/main" objectType="CheckBox" checked="Checked" fmlaLink="$BK$10" lockText="1"/>
</file>

<file path=xl/ctrlProps/ctrlProp105.xml><?xml version="1.0" encoding="utf-8"?>
<formControlPr xmlns="http://schemas.microsoft.com/office/spreadsheetml/2009/9/main" objectType="CheckBox" checked="Checked" fmlaLink="$BK$11" lockText="1"/>
</file>

<file path=xl/ctrlProps/ctrlProp106.xml><?xml version="1.0" encoding="utf-8"?>
<formControlPr xmlns="http://schemas.microsoft.com/office/spreadsheetml/2009/9/main" objectType="CheckBox" checked="Checked" fmlaLink="$BK$12" lockText="1"/>
</file>

<file path=xl/ctrlProps/ctrlProp107.xml><?xml version="1.0" encoding="utf-8"?>
<formControlPr xmlns="http://schemas.microsoft.com/office/spreadsheetml/2009/9/main" objectType="CheckBox" checked="Checked" fmlaLink="$BK$13" lockText="1"/>
</file>

<file path=xl/ctrlProps/ctrlProp108.xml><?xml version="1.0" encoding="utf-8"?>
<formControlPr xmlns="http://schemas.microsoft.com/office/spreadsheetml/2009/9/main" objectType="CheckBox" checked="Checked" fmlaLink="$BK$14" lockText="1"/>
</file>

<file path=xl/ctrlProps/ctrlProp109.xml><?xml version="1.0" encoding="utf-8"?>
<formControlPr xmlns="http://schemas.microsoft.com/office/spreadsheetml/2009/9/main" objectType="CheckBox" checked="Checked" fmlaLink="$BK$15" lockText="1"/>
</file>

<file path=xl/ctrlProps/ctrlProp110.xml><?xml version="1.0" encoding="utf-8"?>
<formControlPr xmlns="http://schemas.microsoft.com/office/spreadsheetml/2009/9/main" objectType="CheckBox" checked="Checked" fmlaLink="$BK$16" lockText="1"/>
</file>

<file path=xl/ctrlProps/ctrlProp111.xml><?xml version="1.0" encoding="utf-8"?>
<formControlPr xmlns="http://schemas.microsoft.com/office/spreadsheetml/2009/9/main" objectType="CheckBox" checked="Checked" fmlaLink="$BK$17" lockText="1"/>
</file>

<file path=xl/ctrlProps/ctrlProp112.xml><?xml version="1.0" encoding="utf-8"?>
<formControlPr xmlns="http://schemas.microsoft.com/office/spreadsheetml/2009/9/main" objectType="CheckBox" checked="Checked" fmlaLink="$BK$18" lockText="1"/>
</file>

<file path=xl/ctrlProps/ctrlProp113.xml><?xml version="1.0" encoding="utf-8"?>
<formControlPr xmlns="http://schemas.microsoft.com/office/spreadsheetml/2009/9/main" objectType="CheckBox" checked="Checked" fmlaLink="$BK$19" lockText="1"/>
</file>

<file path=xl/ctrlProps/ctrlProp114.xml><?xml version="1.0" encoding="utf-8"?>
<formControlPr xmlns="http://schemas.microsoft.com/office/spreadsheetml/2009/9/main" objectType="CheckBox" checked="Checked" fmlaLink="$BK$20" lockText="1"/>
</file>

<file path=xl/ctrlProps/ctrlProp115.xml><?xml version="1.0" encoding="utf-8"?>
<formControlPr xmlns="http://schemas.microsoft.com/office/spreadsheetml/2009/9/main" objectType="CheckBox" checked="Checked" fmlaLink="$BK$21" lockText="1"/>
</file>

<file path=xl/ctrlProps/ctrlProp116.xml><?xml version="1.0" encoding="utf-8"?>
<formControlPr xmlns="http://schemas.microsoft.com/office/spreadsheetml/2009/9/main" objectType="CheckBox" checked="Checked" fmlaLink="$BK$22" lockText="1"/>
</file>

<file path=xl/ctrlProps/ctrlProp117.xml><?xml version="1.0" encoding="utf-8"?>
<formControlPr xmlns="http://schemas.microsoft.com/office/spreadsheetml/2009/9/main" objectType="CheckBox" checked="Checked" fmlaLink="$BK$23" lockText="1"/>
</file>

<file path=xl/ctrlProps/ctrlProp118.xml><?xml version="1.0" encoding="utf-8"?>
<formControlPr xmlns="http://schemas.microsoft.com/office/spreadsheetml/2009/9/main" objectType="CheckBox" checked="Checked" fmlaLink="$BK$24" lockText="1"/>
</file>

<file path=xl/ctrlProps/ctrlProp119.xml><?xml version="1.0" encoding="utf-8"?>
<formControlPr xmlns="http://schemas.microsoft.com/office/spreadsheetml/2009/9/main" objectType="CheckBox" checked="Checked" fmlaLink="$BK$25" lockText="1"/>
</file>

<file path=xl/ctrlProps/ctrlProp120.xml><?xml version="1.0" encoding="utf-8"?>
<formControlPr xmlns="http://schemas.microsoft.com/office/spreadsheetml/2009/9/main" objectType="CheckBox" checked="Checked" fmlaLink="$BK$26" lockText="1"/>
</file>

<file path=xl/ctrlProps/ctrlProp121.xml><?xml version="1.0" encoding="utf-8"?>
<formControlPr xmlns="http://schemas.microsoft.com/office/spreadsheetml/2009/9/main" objectType="CheckBox" checked="Checked" fmlaLink="$BK$27" lockText="1"/>
</file>

<file path=xl/ctrlProps/ctrlProp122.xml><?xml version="1.0" encoding="utf-8"?>
<formControlPr xmlns="http://schemas.microsoft.com/office/spreadsheetml/2009/9/main" objectType="CheckBox" checked="Checked" fmlaLink="$BK$28" lockText="1"/>
</file>

<file path=xl/ctrlProps/ctrlProp123.xml><?xml version="1.0" encoding="utf-8"?>
<formControlPr xmlns="http://schemas.microsoft.com/office/spreadsheetml/2009/9/main" objectType="CheckBox" checked="Checked" fmlaLink="$BK$29" lockText="1"/>
</file>

<file path=xl/ctrlProps/ctrlProp124.xml><?xml version="1.0" encoding="utf-8"?>
<formControlPr xmlns="http://schemas.microsoft.com/office/spreadsheetml/2009/9/main" objectType="CheckBox" checked="Checked" fmlaLink="$BK$30" lockText="1"/>
</file>

<file path=xl/ctrlProps/ctrlProp125.xml><?xml version="1.0" encoding="utf-8"?>
<formControlPr xmlns="http://schemas.microsoft.com/office/spreadsheetml/2009/9/main" objectType="CheckBox" checked="Checked" fmlaLink="$BK$31" lockText="1"/>
</file>

<file path=xl/ctrlProps/ctrlProp126.xml><?xml version="1.0" encoding="utf-8"?>
<formControlPr xmlns="http://schemas.microsoft.com/office/spreadsheetml/2009/9/main" objectType="CheckBox" checked="Checked" fmlaLink="$BK$32" lockText="1"/>
</file>

<file path=xl/ctrlProps/ctrlProp127.xml><?xml version="1.0" encoding="utf-8"?>
<formControlPr xmlns="http://schemas.microsoft.com/office/spreadsheetml/2009/9/main" objectType="CheckBox" checked="Checked" fmlaLink="$BK$33" lockText="1"/>
</file>

<file path=xl/ctrlProps/ctrlProp128.xml><?xml version="1.0" encoding="utf-8"?>
<formControlPr xmlns="http://schemas.microsoft.com/office/spreadsheetml/2009/9/main" objectType="CheckBox" checked="Checked" fmlaLink="$BK$34" lockText="1"/>
</file>

<file path=xl/ctrlProps/ctrlProp129.xml><?xml version="1.0" encoding="utf-8"?>
<formControlPr xmlns="http://schemas.microsoft.com/office/spreadsheetml/2009/9/main" objectType="CheckBox" checked="Checked" fmlaLink="$BK$35" lockText="1"/>
</file>

<file path=xl/ctrlProps/ctrlProp130.xml><?xml version="1.0" encoding="utf-8"?>
<formControlPr xmlns="http://schemas.microsoft.com/office/spreadsheetml/2009/9/main" objectType="CheckBox" checked="Checked" fmlaLink="$BK$36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3.emf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3.emf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3.emf"/><Relationship Id="rId1" Type="http://schemas.openxmlformats.org/officeDocument/2006/relationships/chart" Target="../charts/chart8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0</xdr:row>
      <xdr:rowOff>114300</xdr:rowOff>
    </xdr:from>
    <xdr:to>
      <xdr:col>4</xdr:col>
      <xdr:colOff>104775</xdr:colOff>
      <xdr:row>7</xdr:row>
      <xdr:rowOff>114300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66700" y="114300"/>
          <a:ext cx="1152525" cy="1209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31777</xdr:colOff>
      <xdr:row>4</xdr:row>
      <xdr:rowOff>0</xdr:rowOff>
    </xdr:from>
    <xdr:to>
      <xdr:col>9</xdr:col>
      <xdr:colOff>535774</xdr:colOff>
      <xdr:row>12</xdr:row>
      <xdr:rowOff>53500</xdr:rowOff>
    </xdr:to>
    <xdr:pic>
      <xdr:nvPicPr>
        <xdr:cNvPr id="3" name="Picture 2" descr="ITNS the cover small 2 Jun 16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384452" y="752475"/>
          <a:ext cx="884997" cy="1272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9525</xdr:colOff>
      <xdr:row>1</xdr:row>
      <xdr:rowOff>76200</xdr:rowOff>
    </xdr:from>
    <xdr:to>
      <xdr:col>29</xdr:col>
      <xdr:colOff>9525</xdr:colOff>
      <xdr:row>38</xdr:row>
      <xdr:rowOff>142875</xdr:rowOff>
    </xdr:to>
    <xdr:graphicFrame macro="">
      <xdr:nvGraphicFramePr>
        <xdr:cNvPr id="17613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</xdr:col>
      <xdr:colOff>28575</xdr:colOff>
      <xdr:row>0</xdr:row>
      <xdr:rowOff>38100</xdr:rowOff>
    </xdr:from>
    <xdr:to>
      <xdr:col>2</xdr:col>
      <xdr:colOff>95250</xdr:colOff>
      <xdr:row>3</xdr:row>
      <xdr:rowOff>38100</xdr:rowOff>
    </xdr:to>
    <xdr:pic>
      <xdr:nvPicPr>
        <xdr:cNvPr id="176152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8100"/>
          <a:ext cx="428625" cy="457200"/>
        </a:xfrm>
        <a:prstGeom prst="rect">
          <a:avLst/>
        </a:prstGeom>
        <a:noFill/>
      </xdr:spPr>
    </xdr:pic>
    <xdr:clientData/>
  </xdr:twoCellAnchor>
  <xdr:twoCellAnchor editAs="oneCell">
    <xdr:from>
      <xdr:col>86</xdr:col>
      <xdr:colOff>390525</xdr:colOff>
      <xdr:row>50</xdr:row>
      <xdr:rowOff>85725</xdr:rowOff>
    </xdr:from>
    <xdr:to>
      <xdr:col>106</xdr:col>
      <xdr:colOff>57150</xdr:colOff>
      <xdr:row>57</xdr:row>
      <xdr:rowOff>142875</xdr:rowOff>
    </xdr:to>
    <xdr:graphicFrame macro="">
      <xdr:nvGraphicFramePr>
        <xdr:cNvPr id="176193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42</xdr:col>
      <xdr:colOff>28575</xdr:colOff>
      <xdr:row>1</xdr:row>
      <xdr:rowOff>28575</xdr:rowOff>
    </xdr:from>
    <xdr:to>
      <xdr:col>52</xdr:col>
      <xdr:colOff>457201</xdr:colOff>
      <xdr:row>33</xdr:row>
      <xdr:rowOff>38100</xdr:rowOff>
    </xdr:to>
    <xdr:graphicFrame macro="">
      <xdr:nvGraphicFramePr>
        <xdr:cNvPr id="176221" name="Chart 9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5</xdr:row>
          <xdr:rowOff>123825</xdr:rowOff>
        </xdr:from>
        <xdr:to>
          <xdr:col>13</xdr:col>
          <xdr:colOff>19050</xdr:colOff>
          <xdr:row>7</xdr:row>
          <xdr:rowOff>28575</xdr:rowOff>
        </xdr:to>
        <xdr:sp macro="" textlink="">
          <xdr:nvSpPr>
            <xdr:cNvPr id="182789" name="Check Box 1541" hidden="1">
              <a:extLst>
                <a:ext uri="{63B3BB69-23CF-44E3-9099-C40C66FF867C}">
                  <a14:compatExt spid="_x0000_s182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37</xdr:row>
          <xdr:rowOff>123825</xdr:rowOff>
        </xdr:from>
        <xdr:to>
          <xdr:col>7</xdr:col>
          <xdr:colOff>133350</xdr:colOff>
          <xdr:row>39</xdr:row>
          <xdr:rowOff>38100</xdr:rowOff>
        </xdr:to>
        <xdr:sp macro="" textlink="">
          <xdr:nvSpPr>
            <xdr:cNvPr id="176129" name="Option Button 1" hidden="1">
              <a:extLst>
                <a:ext uri="{63B3BB69-23CF-44E3-9099-C40C66FF867C}">
                  <a14:compatExt spid="_x0000_s176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104775</xdr:rowOff>
        </xdr:from>
        <xdr:to>
          <xdr:col>13</xdr:col>
          <xdr:colOff>152400</xdr:colOff>
          <xdr:row>2</xdr:row>
          <xdr:rowOff>47625</xdr:rowOff>
        </xdr:to>
        <xdr:sp macro="" textlink="">
          <xdr:nvSpPr>
            <xdr:cNvPr id="176145" name="Spinner 17" hidden="1">
              <a:extLst>
                <a:ext uri="{63B3BB69-23CF-44E3-9099-C40C66FF867C}">
                  <a14:compatExt spid="_x0000_s17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95250</xdr:rowOff>
        </xdr:from>
        <xdr:to>
          <xdr:col>1</xdr:col>
          <xdr:colOff>285750</xdr:colOff>
          <xdr:row>5</xdr:row>
          <xdr:rowOff>9525</xdr:rowOff>
        </xdr:to>
        <xdr:sp macro="" textlink="">
          <xdr:nvSpPr>
            <xdr:cNvPr id="176146" name="Check Box 18" hidden="1">
              <a:extLst>
                <a:ext uri="{63B3BB69-23CF-44E3-9099-C40C66FF867C}">
                  <a14:compatExt spid="_x0000_s17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114300</xdr:rowOff>
        </xdr:from>
        <xdr:to>
          <xdr:col>17</xdr:col>
          <xdr:colOff>85725</xdr:colOff>
          <xdr:row>2</xdr:row>
          <xdr:rowOff>28575</xdr:rowOff>
        </xdr:to>
        <xdr:sp macro="" textlink="">
          <xdr:nvSpPr>
            <xdr:cNvPr id="176178" name="Check Box 50" hidden="1">
              <a:extLst>
                <a:ext uri="{63B3BB69-23CF-44E3-9099-C40C66FF867C}">
                  <a14:compatExt spid="_x0000_s17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95250</xdr:rowOff>
        </xdr:from>
        <xdr:to>
          <xdr:col>7</xdr:col>
          <xdr:colOff>304800</xdr:colOff>
          <xdr:row>3</xdr:row>
          <xdr:rowOff>9525</xdr:rowOff>
        </xdr:to>
        <xdr:sp macro="" textlink="">
          <xdr:nvSpPr>
            <xdr:cNvPr id="176191" name="Check Box 63" hidden="1">
              <a:extLst>
                <a:ext uri="{63B3BB69-23CF-44E3-9099-C40C66FF867C}">
                  <a14:compatExt spid="_x0000_s176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39</xdr:row>
          <xdr:rowOff>114300</xdr:rowOff>
        </xdr:from>
        <xdr:to>
          <xdr:col>7</xdr:col>
          <xdr:colOff>133350</xdr:colOff>
          <xdr:row>41</xdr:row>
          <xdr:rowOff>28575</xdr:rowOff>
        </xdr:to>
        <xdr:sp macro="" textlink="">
          <xdr:nvSpPr>
            <xdr:cNvPr id="176259" name="Option Button 131" hidden="1">
              <a:extLst>
                <a:ext uri="{63B3BB69-23CF-44E3-9099-C40C66FF867C}">
                  <a14:compatExt spid="_x0000_s176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6</xdr:row>
          <xdr:rowOff>104775</xdr:rowOff>
        </xdr:from>
        <xdr:to>
          <xdr:col>13</xdr:col>
          <xdr:colOff>19050</xdr:colOff>
          <xdr:row>8</xdr:row>
          <xdr:rowOff>19050</xdr:rowOff>
        </xdr:to>
        <xdr:sp macro="" textlink="">
          <xdr:nvSpPr>
            <xdr:cNvPr id="182593" name="Check Box 1345" hidden="1">
              <a:extLst>
                <a:ext uri="{63B3BB69-23CF-44E3-9099-C40C66FF867C}">
                  <a14:compatExt spid="_x0000_s18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7</xdr:row>
          <xdr:rowOff>104775</xdr:rowOff>
        </xdr:from>
        <xdr:to>
          <xdr:col>13</xdr:col>
          <xdr:colOff>19050</xdr:colOff>
          <xdr:row>9</xdr:row>
          <xdr:rowOff>19050</xdr:rowOff>
        </xdr:to>
        <xdr:sp macro="" textlink="">
          <xdr:nvSpPr>
            <xdr:cNvPr id="182594" name="Check Box 1346" hidden="1">
              <a:extLst>
                <a:ext uri="{63B3BB69-23CF-44E3-9099-C40C66FF867C}">
                  <a14:compatExt spid="_x0000_s18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8</xdr:row>
          <xdr:rowOff>104775</xdr:rowOff>
        </xdr:from>
        <xdr:to>
          <xdr:col>13</xdr:col>
          <xdr:colOff>19050</xdr:colOff>
          <xdr:row>10</xdr:row>
          <xdr:rowOff>19050</xdr:rowOff>
        </xdr:to>
        <xdr:sp macro="" textlink="">
          <xdr:nvSpPr>
            <xdr:cNvPr id="182595" name="Check Box 1347" hidden="1">
              <a:extLst>
                <a:ext uri="{63B3BB69-23CF-44E3-9099-C40C66FF867C}">
                  <a14:compatExt spid="_x0000_s18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9</xdr:row>
          <xdr:rowOff>104775</xdr:rowOff>
        </xdr:from>
        <xdr:to>
          <xdr:col>13</xdr:col>
          <xdr:colOff>19050</xdr:colOff>
          <xdr:row>11</xdr:row>
          <xdr:rowOff>19050</xdr:rowOff>
        </xdr:to>
        <xdr:sp macro="" textlink="">
          <xdr:nvSpPr>
            <xdr:cNvPr id="182596" name="Check Box 1348" hidden="1">
              <a:extLst>
                <a:ext uri="{63B3BB69-23CF-44E3-9099-C40C66FF867C}">
                  <a14:compatExt spid="_x0000_s18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10</xdr:row>
          <xdr:rowOff>104775</xdr:rowOff>
        </xdr:from>
        <xdr:to>
          <xdr:col>13</xdr:col>
          <xdr:colOff>19050</xdr:colOff>
          <xdr:row>12</xdr:row>
          <xdr:rowOff>19050</xdr:rowOff>
        </xdr:to>
        <xdr:sp macro="" textlink="">
          <xdr:nvSpPr>
            <xdr:cNvPr id="182597" name="Check Box 1349" hidden="1">
              <a:extLst>
                <a:ext uri="{63B3BB69-23CF-44E3-9099-C40C66FF867C}">
                  <a14:compatExt spid="_x0000_s18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11</xdr:row>
          <xdr:rowOff>104775</xdr:rowOff>
        </xdr:from>
        <xdr:to>
          <xdr:col>13</xdr:col>
          <xdr:colOff>19050</xdr:colOff>
          <xdr:row>13</xdr:row>
          <xdr:rowOff>19050</xdr:rowOff>
        </xdr:to>
        <xdr:sp macro="" textlink="">
          <xdr:nvSpPr>
            <xdr:cNvPr id="182598" name="Check Box 1350" hidden="1">
              <a:extLst>
                <a:ext uri="{63B3BB69-23CF-44E3-9099-C40C66FF867C}">
                  <a14:compatExt spid="_x0000_s18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12</xdr:row>
          <xdr:rowOff>104775</xdr:rowOff>
        </xdr:from>
        <xdr:to>
          <xdr:col>13</xdr:col>
          <xdr:colOff>19050</xdr:colOff>
          <xdr:row>14</xdr:row>
          <xdr:rowOff>19050</xdr:rowOff>
        </xdr:to>
        <xdr:sp macro="" textlink="">
          <xdr:nvSpPr>
            <xdr:cNvPr id="182599" name="Check Box 1351" hidden="1">
              <a:extLst>
                <a:ext uri="{63B3BB69-23CF-44E3-9099-C40C66FF867C}">
                  <a14:compatExt spid="_x0000_s18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13</xdr:row>
          <xdr:rowOff>104775</xdr:rowOff>
        </xdr:from>
        <xdr:to>
          <xdr:col>13</xdr:col>
          <xdr:colOff>19050</xdr:colOff>
          <xdr:row>15</xdr:row>
          <xdr:rowOff>19050</xdr:rowOff>
        </xdr:to>
        <xdr:sp macro="" textlink="">
          <xdr:nvSpPr>
            <xdr:cNvPr id="182600" name="Check Box 1352" hidden="1">
              <a:extLst>
                <a:ext uri="{63B3BB69-23CF-44E3-9099-C40C66FF867C}">
                  <a14:compatExt spid="_x0000_s18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14</xdr:row>
          <xdr:rowOff>104775</xdr:rowOff>
        </xdr:from>
        <xdr:to>
          <xdr:col>13</xdr:col>
          <xdr:colOff>19050</xdr:colOff>
          <xdr:row>16</xdr:row>
          <xdr:rowOff>19050</xdr:rowOff>
        </xdr:to>
        <xdr:sp macro="" textlink="">
          <xdr:nvSpPr>
            <xdr:cNvPr id="182601" name="Check Box 1353" hidden="1">
              <a:extLst>
                <a:ext uri="{63B3BB69-23CF-44E3-9099-C40C66FF867C}">
                  <a14:compatExt spid="_x0000_s18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15</xdr:row>
          <xdr:rowOff>104775</xdr:rowOff>
        </xdr:from>
        <xdr:to>
          <xdr:col>13</xdr:col>
          <xdr:colOff>19050</xdr:colOff>
          <xdr:row>17</xdr:row>
          <xdr:rowOff>19050</xdr:rowOff>
        </xdr:to>
        <xdr:sp macro="" textlink="">
          <xdr:nvSpPr>
            <xdr:cNvPr id="182602" name="Check Box 1354" hidden="1">
              <a:extLst>
                <a:ext uri="{63B3BB69-23CF-44E3-9099-C40C66FF867C}">
                  <a14:compatExt spid="_x0000_s18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16</xdr:row>
          <xdr:rowOff>104775</xdr:rowOff>
        </xdr:from>
        <xdr:to>
          <xdr:col>13</xdr:col>
          <xdr:colOff>19050</xdr:colOff>
          <xdr:row>18</xdr:row>
          <xdr:rowOff>19050</xdr:rowOff>
        </xdr:to>
        <xdr:sp macro="" textlink="">
          <xdr:nvSpPr>
            <xdr:cNvPr id="182603" name="Check Box 1355" hidden="1">
              <a:extLst>
                <a:ext uri="{63B3BB69-23CF-44E3-9099-C40C66FF867C}">
                  <a14:compatExt spid="_x0000_s18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17</xdr:row>
          <xdr:rowOff>104775</xdr:rowOff>
        </xdr:from>
        <xdr:to>
          <xdr:col>13</xdr:col>
          <xdr:colOff>19050</xdr:colOff>
          <xdr:row>19</xdr:row>
          <xdr:rowOff>19050</xdr:rowOff>
        </xdr:to>
        <xdr:sp macro="" textlink="">
          <xdr:nvSpPr>
            <xdr:cNvPr id="182604" name="Check Box 1356" hidden="1">
              <a:extLst>
                <a:ext uri="{63B3BB69-23CF-44E3-9099-C40C66FF867C}">
                  <a14:compatExt spid="_x0000_s18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18</xdr:row>
          <xdr:rowOff>104775</xdr:rowOff>
        </xdr:from>
        <xdr:to>
          <xdr:col>13</xdr:col>
          <xdr:colOff>19050</xdr:colOff>
          <xdr:row>20</xdr:row>
          <xdr:rowOff>19050</xdr:rowOff>
        </xdr:to>
        <xdr:sp macro="" textlink="">
          <xdr:nvSpPr>
            <xdr:cNvPr id="182605" name="Check Box 1357" hidden="1">
              <a:extLst>
                <a:ext uri="{63B3BB69-23CF-44E3-9099-C40C66FF867C}">
                  <a14:compatExt spid="_x0000_s18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19</xdr:row>
          <xdr:rowOff>104775</xdr:rowOff>
        </xdr:from>
        <xdr:to>
          <xdr:col>13</xdr:col>
          <xdr:colOff>19050</xdr:colOff>
          <xdr:row>21</xdr:row>
          <xdr:rowOff>19050</xdr:rowOff>
        </xdr:to>
        <xdr:sp macro="" textlink="">
          <xdr:nvSpPr>
            <xdr:cNvPr id="182606" name="Check Box 1358" hidden="1">
              <a:extLst>
                <a:ext uri="{63B3BB69-23CF-44E3-9099-C40C66FF867C}">
                  <a14:compatExt spid="_x0000_s18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20</xdr:row>
          <xdr:rowOff>104775</xdr:rowOff>
        </xdr:from>
        <xdr:to>
          <xdr:col>13</xdr:col>
          <xdr:colOff>19050</xdr:colOff>
          <xdr:row>22</xdr:row>
          <xdr:rowOff>19050</xdr:rowOff>
        </xdr:to>
        <xdr:sp macro="" textlink="">
          <xdr:nvSpPr>
            <xdr:cNvPr id="182607" name="Check Box 1359" hidden="1">
              <a:extLst>
                <a:ext uri="{63B3BB69-23CF-44E3-9099-C40C66FF867C}">
                  <a14:compatExt spid="_x0000_s18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21</xdr:row>
          <xdr:rowOff>104775</xdr:rowOff>
        </xdr:from>
        <xdr:to>
          <xdr:col>13</xdr:col>
          <xdr:colOff>19050</xdr:colOff>
          <xdr:row>23</xdr:row>
          <xdr:rowOff>19050</xdr:rowOff>
        </xdr:to>
        <xdr:sp macro="" textlink="">
          <xdr:nvSpPr>
            <xdr:cNvPr id="182608" name="Check Box 1360" hidden="1">
              <a:extLst>
                <a:ext uri="{63B3BB69-23CF-44E3-9099-C40C66FF867C}">
                  <a14:compatExt spid="_x0000_s18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22</xdr:row>
          <xdr:rowOff>104775</xdr:rowOff>
        </xdr:from>
        <xdr:to>
          <xdr:col>13</xdr:col>
          <xdr:colOff>19050</xdr:colOff>
          <xdr:row>24</xdr:row>
          <xdr:rowOff>19050</xdr:rowOff>
        </xdr:to>
        <xdr:sp macro="" textlink="">
          <xdr:nvSpPr>
            <xdr:cNvPr id="182609" name="Check Box 1361" hidden="1">
              <a:extLst>
                <a:ext uri="{63B3BB69-23CF-44E3-9099-C40C66FF867C}">
                  <a14:compatExt spid="_x0000_s18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23</xdr:row>
          <xdr:rowOff>104775</xdr:rowOff>
        </xdr:from>
        <xdr:to>
          <xdr:col>13</xdr:col>
          <xdr:colOff>19050</xdr:colOff>
          <xdr:row>25</xdr:row>
          <xdr:rowOff>19050</xdr:rowOff>
        </xdr:to>
        <xdr:sp macro="" textlink="">
          <xdr:nvSpPr>
            <xdr:cNvPr id="182610" name="Check Box 1362" hidden="1">
              <a:extLst>
                <a:ext uri="{63B3BB69-23CF-44E3-9099-C40C66FF867C}">
                  <a14:compatExt spid="_x0000_s18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24</xdr:row>
          <xdr:rowOff>104775</xdr:rowOff>
        </xdr:from>
        <xdr:to>
          <xdr:col>13</xdr:col>
          <xdr:colOff>19050</xdr:colOff>
          <xdr:row>26</xdr:row>
          <xdr:rowOff>19050</xdr:rowOff>
        </xdr:to>
        <xdr:sp macro="" textlink="">
          <xdr:nvSpPr>
            <xdr:cNvPr id="182611" name="Check Box 1363" hidden="1">
              <a:extLst>
                <a:ext uri="{63B3BB69-23CF-44E3-9099-C40C66FF867C}">
                  <a14:compatExt spid="_x0000_s182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25</xdr:row>
          <xdr:rowOff>104775</xdr:rowOff>
        </xdr:from>
        <xdr:to>
          <xdr:col>13</xdr:col>
          <xdr:colOff>19050</xdr:colOff>
          <xdr:row>27</xdr:row>
          <xdr:rowOff>19050</xdr:rowOff>
        </xdr:to>
        <xdr:sp macro="" textlink="">
          <xdr:nvSpPr>
            <xdr:cNvPr id="182612" name="Check Box 1364" hidden="1">
              <a:extLst>
                <a:ext uri="{63B3BB69-23CF-44E3-9099-C40C66FF867C}">
                  <a14:compatExt spid="_x0000_s18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26</xdr:row>
          <xdr:rowOff>104775</xdr:rowOff>
        </xdr:from>
        <xdr:to>
          <xdr:col>13</xdr:col>
          <xdr:colOff>19050</xdr:colOff>
          <xdr:row>28</xdr:row>
          <xdr:rowOff>19050</xdr:rowOff>
        </xdr:to>
        <xdr:sp macro="" textlink="">
          <xdr:nvSpPr>
            <xdr:cNvPr id="182613" name="Check Box 1365" hidden="1">
              <a:extLst>
                <a:ext uri="{63B3BB69-23CF-44E3-9099-C40C66FF867C}">
                  <a14:compatExt spid="_x0000_s18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27</xdr:row>
          <xdr:rowOff>104775</xdr:rowOff>
        </xdr:from>
        <xdr:to>
          <xdr:col>13</xdr:col>
          <xdr:colOff>19050</xdr:colOff>
          <xdr:row>29</xdr:row>
          <xdr:rowOff>19050</xdr:rowOff>
        </xdr:to>
        <xdr:sp macro="" textlink="">
          <xdr:nvSpPr>
            <xdr:cNvPr id="182614" name="Check Box 1366" hidden="1">
              <a:extLst>
                <a:ext uri="{63B3BB69-23CF-44E3-9099-C40C66FF867C}">
                  <a14:compatExt spid="_x0000_s18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28</xdr:row>
          <xdr:rowOff>104775</xdr:rowOff>
        </xdr:from>
        <xdr:to>
          <xdr:col>13</xdr:col>
          <xdr:colOff>19050</xdr:colOff>
          <xdr:row>30</xdr:row>
          <xdr:rowOff>19050</xdr:rowOff>
        </xdr:to>
        <xdr:sp macro="" textlink="">
          <xdr:nvSpPr>
            <xdr:cNvPr id="182615" name="Check Box 1367" hidden="1">
              <a:extLst>
                <a:ext uri="{63B3BB69-23CF-44E3-9099-C40C66FF867C}">
                  <a14:compatExt spid="_x0000_s182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29</xdr:row>
          <xdr:rowOff>104775</xdr:rowOff>
        </xdr:from>
        <xdr:to>
          <xdr:col>13</xdr:col>
          <xdr:colOff>19050</xdr:colOff>
          <xdr:row>31</xdr:row>
          <xdr:rowOff>19050</xdr:rowOff>
        </xdr:to>
        <xdr:sp macro="" textlink="">
          <xdr:nvSpPr>
            <xdr:cNvPr id="182616" name="Check Box 1368" hidden="1">
              <a:extLst>
                <a:ext uri="{63B3BB69-23CF-44E3-9099-C40C66FF867C}">
                  <a14:compatExt spid="_x0000_s182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30</xdr:row>
          <xdr:rowOff>104775</xdr:rowOff>
        </xdr:from>
        <xdr:to>
          <xdr:col>13</xdr:col>
          <xdr:colOff>19050</xdr:colOff>
          <xdr:row>32</xdr:row>
          <xdr:rowOff>19050</xdr:rowOff>
        </xdr:to>
        <xdr:sp macro="" textlink="">
          <xdr:nvSpPr>
            <xdr:cNvPr id="182617" name="Check Box 1369" hidden="1">
              <a:extLst>
                <a:ext uri="{63B3BB69-23CF-44E3-9099-C40C66FF867C}">
                  <a14:compatExt spid="_x0000_s182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31</xdr:row>
          <xdr:rowOff>104775</xdr:rowOff>
        </xdr:from>
        <xdr:to>
          <xdr:col>13</xdr:col>
          <xdr:colOff>19050</xdr:colOff>
          <xdr:row>33</xdr:row>
          <xdr:rowOff>19050</xdr:rowOff>
        </xdr:to>
        <xdr:sp macro="" textlink="">
          <xdr:nvSpPr>
            <xdr:cNvPr id="182618" name="Check Box 1370" hidden="1">
              <a:extLst>
                <a:ext uri="{63B3BB69-23CF-44E3-9099-C40C66FF867C}">
                  <a14:compatExt spid="_x0000_s182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32</xdr:row>
          <xdr:rowOff>104775</xdr:rowOff>
        </xdr:from>
        <xdr:to>
          <xdr:col>13</xdr:col>
          <xdr:colOff>19050</xdr:colOff>
          <xdr:row>34</xdr:row>
          <xdr:rowOff>19050</xdr:rowOff>
        </xdr:to>
        <xdr:sp macro="" textlink="">
          <xdr:nvSpPr>
            <xdr:cNvPr id="182619" name="Check Box 1371" hidden="1">
              <a:extLst>
                <a:ext uri="{63B3BB69-23CF-44E3-9099-C40C66FF867C}">
                  <a14:compatExt spid="_x0000_s18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33</xdr:row>
          <xdr:rowOff>104775</xdr:rowOff>
        </xdr:from>
        <xdr:to>
          <xdr:col>13</xdr:col>
          <xdr:colOff>19050</xdr:colOff>
          <xdr:row>35</xdr:row>
          <xdr:rowOff>19050</xdr:rowOff>
        </xdr:to>
        <xdr:sp macro="" textlink="">
          <xdr:nvSpPr>
            <xdr:cNvPr id="182620" name="Check Box 1372" hidden="1">
              <a:extLst>
                <a:ext uri="{63B3BB69-23CF-44E3-9099-C40C66FF867C}">
                  <a14:compatExt spid="_x0000_s18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34</xdr:row>
          <xdr:rowOff>104775</xdr:rowOff>
        </xdr:from>
        <xdr:to>
          <xdr:col>13</xdr:col>
          <xdr:colOff>19050</xdr:colOff>
          <xdr:row>36</xdr:row>
          <xdr:rowOff>19050</xdr:rowOff>
        </xdr:to>
        <xdr:sp macro="" textlink="">
          <xdr:nvSpPr>
            <xdr:cNvPr id="182621" name="Check Box 1373" hidden="1">
              <a:extLst>
                <a:ext uri="{63B3BB69-23CF-44E3-9099-C40C66FF867C}">
                  <a14:compatExt spid="_x0000_s18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2</xdr:row>
      <xdr:rowOff>57150</xdr:rowOff>
    </xdr:from>
    <xdr:to>
      <xdr:col>32</xdr:col>
      <xdr:colOff>9525</xdr:colOff>
      <xdr:row>49</xdr:row>
      <xdr:rowOff>57150</xdr:rowOff>
    </xdr:to>
    <xdr:graphicFrame macro="">
      <xdr:nvGraphicFramePr>
        <xdr:cNvPr id="1925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</xdr:col>
      <xdr:colOff>28575</xdr:colOff>
      <xdr:row>0</xdr:row>
      <xdr:rowOff>38100</xdr:rowOff>
    </xdr:from>
    <xdr:to>
      <xdr:col>2</xdr:col>
      <xdr:colOff>95250</xdr:colOff>
      <xdr:row>3</xdr:row>
      <xdr:rowOff>38100</xdr:rowOff>
    </xdr:to>
    <xdr:pic>
      <xdr:nvPicPr>
        <xdr:cNvPr id="192536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8100"/>
          <a:ext cx="428625" cy="45720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44</xdr:row>
          <xdr:rowOff>114300</xdr:rowOff>
        </xdr:from>
        <xdr:to>
          <xdr:col>7</xdr:col>
          <xdr:colOff>123825</xdr:colOff>
          <xdr:row>46</xdr:row>
          <xdr:rowOff>28575</xdr:rowOff>
        </xdr:to>
        <xdr:sp macro="" textlink="">
          <xdr:nvSpPr>
            <xdr:cNvPr id="192513" name="Option Button 1" hidden="1">
              <a:extLst>
                <a:ext uri="{63B3BB69-23CF-44E3-9099-C40C66FF867C}">
                  <a14:compatExt spid="_x0000_s192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1</xdr:row>
          <xdr:rowOff>114300</xdr:rowOff>
        </xdr:from>
        <xdr:to>
          <xdr:col>6</xdr:col>
          <xdr:colOff>285750</xdr:colOff>
          <xdr:row>3</xdr:row>
          <xdr:rowOff>28575</xdr:rowOff>
        </xdr:to>
        <xdr:sp macro="" textlink="">
          <xdr:nvSpPr>
            <xdr:cNvPr id="192575" name="Check Box 63" hidden="1">
              <a:extLst>
                <a:ext uri="{63B3BB69-23CF-44E3-9099-C40C66FF867C}">
                  <a14:compatExt spid="_x0000_s19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46</xdr:row>
          <xdr:rowOff>114300</xdr:rowOff>
        </xdr:from>
        <xdr:to>
          <xdr:col>7</xdr:col>
          <xdr:colOff>123825</xdr:colOff>
          <xdr:row>48</xdr:row>
          <xdr:rowOff>28575</xdr:rowOff>
        </xdr:to>
        <xdr:sp macro="" textlink="">
          <xdr:nvSpPr>
            <xdr:cNvPr id="192643" name="Option Button 131" hidden="1">
              <a:extLst>
                <a:ext uri="{63B3BB69-23CF-44E3-9099-C40C66FF867C}">
                  <a14:compatExt spid="_x0000_s19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2</xdr:row>
          <xdr:rowOff>104775</xdr:rowOff>
        </xdr:from>
        <xdr:to>
          <xdr:col>12</xdr:col>
          <xdr:colOff>295275</xdr:colOff>
          <xdr:row>4</xdr:row>
          <xdr:rowOff>19050</xdr:rowOff>
        </xdr:to>
        <xdr:sp macro="" textlink="">
          <xdr:nvSpPr>
            <xdr:cNvPr id="194567" name="Check Box 1031" hidden="1">
              <a:extLst>
                <a:ext uri="{63B3BB69-23CF-44E3-9099-C40C66FF867C}">
                  <a14:compatExt spid="_x0000_s194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104775</xdr:rowOff>
        </xdr:from>
        <xdr:to>
          <xdr:col>13</xdr:col>
          <xdr:colOff>152400</xdr:colOff>
          <xdr:row>2</xdr:row>
          <xdr:rowOff>47625</xdr:rowOff>
        </xdr:to>
        <xdr:sp macro="" textlink="">
          <xdr:nvSpPr>
            <xdr:cNvPr id="196407" name="Spinner 2871" hidden="1">
              <a:extLst>
                <a:ext uri="{63B3BB69-23CF-44E3-9099-C40C66FF867C}">
                  <a14:compatExt spid="_x0000_s196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533400</xdr:colOff>
          <xdr:row>0</xdr:row>
          <xdr:rowOff>114300</xdr:rowOff>
        </xdr:from>
        <xdr:to>
          <xdr:col>17</xdr:col>
          <xdr:colOff>76200</xdr:colOff>
          <xdr:row>2</xdr:row>
          <xdr:rowOff>28575</xdr:rowOff>
        </xdr:to>
        <xdr:sp macro="" textlink="">
          <xdr:nvSpPr>
            <xdr:cNvPr id="196408" name="Check Box 2872" hidden="1">
              <a:extLst>
                <a:ext uri="{63B3BB69-23CF-44E3-9099-C40C66FF867C}">
                  <a14:compatExt spid="_x0000_s196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95250</xdr:rowOff>
        </xdr:from>
        <xdr:to>
          <xdr:col>1</xdr:col>
          <xdr:colOff>285750</xdr:colOff>
          <xdr:row>6</xdr:row>
          <xdr:rowOff>9525</xdr:rowOff>
        </xdr:to>
        <xdr:sp macro="" textlink="">
          <xdr:nvSpPr>
            <xdr:cNvPr id="197668" name="Check Box 3108" hidden="1">
              <a:extLst>
                <a:ext uri="{63B3BB69-23CF-44E3-9099-C40C66FF867C}">
                  <a14:compatExt spid="_x0000_s197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47625</xdr:colOff>
      <xdr:row>2</xdr:row>
      <xdr:rowOff>9525</xdr:rowOff>
    </xdr:from>
    <xdr:to>
      <xdr:col>47</xdr:col>
      <xdr:colOff>476250</xdr:colOff>
      <xdr:row>38</xdr:row>
      <xdr:rowOff>123825</xdr:rowOff>
    </xdr:to>
    <xdr:graphicFrame macro="">
      <xdr:nvGraphicFramePr>
        <xdr:cNvPr id="19046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17</xdr:col>
      <xdr:colOff>28575</xdr:colOff>
      <xdr:row>0</xdr:row>
      <xdr:rowOff>38100</xdr:rowOff>
    </xdr:from>
    <xdr:to>
      <xdr:col>18</xdr:col>
      <xdr:colOff>95250</xdr:colOff>
      <xdr:row>3</xdr:row>
      <xdr:rowOff>9525</xdr:rowOff>
    </xdr:to>
    <xdr:pic>
      <xdr:nvPicPr>
        <xdr:cNvPr id="19047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8100"/>
          <a:ext cx="428625" cy="457200"/>
        </a:xfrm>
        <a:prstGeom prst="rect">
          <a:avLst/>
        </a:prstGeom>
        <a:noFill/>
      </xdr:spPr>
    </xdr:pic>
    <xdr:clientData/>
  </xdr:twoCellAnchor>
  <xdr:twoCellAnchor editAs="oneCell">
    <xdr:from>
      <xdr:col>55</xdr:col>
      <xdr:colOff>28575</xdr:colOff>
      <xdr:row>1</xdr:row>
      <xdr:rowOff>28575</xdr:rowOff>
    </xdr:from>
    <xdr:to>
      <xdr:col>65</xdr:col>
      <xdr:colOff>457200</xdr:colOff>
      <xdr:row>23</xdr:row>
      <xdr:rowOff>133350</xdr:rowOff>
    </xdr:to>
    <xdr:graphicFrame macro="">
      <xdr:nvGraphicFramePr>
        <xdr:cNvPr id="190485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5</xdr:row>
          <xdr:rowOff>152400</xdr:rowOff>
        </xdr:from>
        <xdr:to>
          <xdr:col>29</xdr:col>
          <xdr:colOff>9525</xdr:colOff>
          <xdr:row>7</xdr:row>
          <xdr:rowOff>28575</xdr:rowOff>
        </xdr:to>
        <xdr:sp macro="" textlink="">
          <xdr:nvSpPr>
            <xdr:cNvPr id="190665" name="Check Box 201" hidden="1">
              <a:extLst>
                <a:ext uri="{63B3BB69-23CF-44E3-9099-C40C66FF867C}">
                  <a14:compatExt spid="_x0000_s190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200025</xdr:colOff>
          <xdr:row>38</xdr:row>
          <xdr:rowOff>114300</xdr:rowOff>
        </xdr:from>
        <xdr:to>
          <xdr:col>23</xdr:col>
          <xdr:colOff>123825</xdr:colOff>
          <xdr:row>40</xdr:row>
          <xdr:rowOff>28575</xdr:rowOff>
        </xdr:to>
        <xdr:sp macro="" textlink="">
          <xdr:nvSpPr>
            <xdr:cNvPr id="190465" name="Option Button 1" hidden="1">
              <a:extLst>
                <a:ext uri="{63B3BB69-23CF-44E3-9099-C40C66FF867C}">
                  <a14:compatExt spid="_x0000_s190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0</xdr:row>
          <xdr:rowOff>104775</xdr:rowOff>
        </xdr:from>
        <xdr:to>
          <xdr:col>27</xdr:col>
          <xdr:colOff>152400</xdr:colOff>
          <xdr:row>2</xdr:row>
          <xdr:rowOff>28575</xdr:rowOff>
        </xdr:to>
        <xdr:sp macro="" textlink="">
          <xdr:nvSpPr>
            <xdr:cNvPr id="190467" name="Spinner 3" hidden="1">
              <a:extLst>
                <a:ext uri="{63B3BB69-23CF-44E3-9099-C40C66FF867C}">
                  <a14:compatExt spid="_x0000_s190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133350</xdr:rowOff>
        </xdr:from>
        <xdr:to>
          <xdr:col>17</xdr:col>
          <xdr:colOff>285750</xdr:colOff>
          <xdr:row>5</xdr:row>
          <xdr:rowOff>0</xdr:rowOff>
        </xdr:to>
        <xdr:sp macro="" textlink="">
          <xdr:nvSpPr>
            <xdr:cNvPr id="190468" name="Check Box 4" hidden="1">
              <a:extLst>
                <a:ext uri="{63B3BB69-23CF-44E3-9099-C40C66FF867C}">
                  <a14:compatExt spid="_x0000_s190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419100</xdr:colOff>
          <xdr:row>0</xdr:row>
          <xdr:rowOff>0</xdr:rowOff>
        </xdr:from>
        <xdr:to>
          <xdr:col>36</xdr:col>
          <xdr:colOff>104775</xdr:colOff>
          <xdr:row>1</xdr:row>
          <xdr:rowOff>57150</xdr:rowOff>
        </xdr:to>
        <xdr:sp macro="" textlink="">
          <xdr:nvSpPr>
            <xdr:cNvPr id="190473" name="Check Box 9" hidden="1">
              <a:extLst>
                <a:ext uri="{63B3BB69-23CF-44E3-9099-C40C66FF867C}">
                  <a14:compatExt spid="_x0000_s190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</xdr:row>
          <xdr:rowOff>114300</xdr:rowOff>
        </xdr:from>
        <xdr:to>
          <xdr:col>22</xdr:col>
          <xdr:colOff>304800</xdr:colOff>
          <xdr:row>3</xdr:row>
          <xdr:rowOff>9525</xdr:rowOff>
        </xdr:to>
        <xdr:sp macro="" textlink="">
          <xdr:nvSpPr>
            <xdr:cNvPr id="190479" name="Check Box 15" hidden="1">
              <a:extLst>
                <a:ext uri="{63B3BB69-23CF-44E3-9099-C40C66FF867C}">
                  <a14:compatExt spid="_x0000_s190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200025</xdr:colOff>
          <xdr:row>40</xdr:row>
          <xdr:rowOff>114300</xdr:rowOff>
        </xdr:from>
        <xdr:to>
          <xdr:col>23</xdr:col>
          <xdr:colOff>123825</xdr:colOff>
          <xdr:row>42</xdr:row>
          <xdr:rowOff>28575</xdr:rowOff>
        </xdr:to>
        <xdr:sp macro="" textlink="">
          <xdr:nvSpPr>
            <xdr:cNvPr id="190490" name="Option Button 26" hidden="1">
              <a:extLst>
                <a:ext uri="{63B3BB69-23CF-44E3-9099-C40C66FF867C}">
                  <a14:compatExt spid="_x0000_s19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6</xdr:row>
          <xdr:rowOff>104775</xdr:rowOff>
        </xdr:from>
        <xdr:to>
          <xdr:col>29</xdr:col>
          <xdr:colOff>9525</xdr:colOff>
          <xdr:row>8</xdr:row>
          <xdr:rowOff>19050</xdr:rowOff>
        </xdr:to>
        <xdr:sp macro="" textlink="">
          <xdr:nvSpPr>
            <xdr:cNvPr id="190530" name="Check Box 66" hidden="1">
              <a:extLst>
                <a:ext uri="{63B3BB69-23CF-44E3-9099-C40C66FF867C}">
                  <a14:compatExt spid="_x0000_s190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7</xdr:row>
          <xdr:rowOff>104775</xdr:rowOff>
        </xdr:from>
        <xdr:to>
          <xdr:col>29</xdr:col>
          <xdr:colOff>9525</xdr:colOff>
          <xdr:row>9</xdr:row>
          <xdr:rowOff>19050</xdr:rowOff>
        </xdr:to>
        <xdr:sp macro="" textlink="">
          <xdr:nvSpPr>
            <xdr:cNvPr id="190531" name="Check Box 67" hidden="1">
              <a:extLst>
                <a:ext uri="{63B3BB69-23CF-44E3-9099-C40C66FF867C}">
                  <a14:compatExt spid="_x0000_s190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8</xdr:row>
          <xdr:rowOff>104775</xdr:rowOff>
        </xdr:from>
        <xdr:to>
          <xdr:col>29</xdr:col>
          <xdr:colOff>9525</xdr:colOff>
          <xdr:row>10</xdr:row>
          <xdr:rowOff>19050</xdr:rowOff>
        </xdr:to>
        <xdr:sp macro="" textlink="">
          <xdr:nvSpPr>
            <xdr:cNvPr id="190532" name="Check Box 68" hidden="1">
              <a:extLst>
                <a:ext uri="{63B3BB69-23CF-44E3-9099-C40C66FF867C}">
                  <a14:compatExt spid="_x0000_s190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9</xdr:row>
          <xdr:rowOff>104775</xdr:rowOff>
        </xdr:from>
        <xdr:to>
          <xdr:col>29</xdr:col>
          <xdr:colOff>9525</xdr:colOff>
          <xdr:row>11</xdr:row>
          <xdr:rowOff>19050</xdr:rowOff>
        </xdr:to>
        <xdr:sp macro="" textlink="">
          <xdr:nvSpPr>
            <xdr:cNvPr id="190533" name="Check Box 69" hidden="1">
              <a:extLst>
                <a:ext uri="{63B3BB69-23CF-44E3-9099-C40C66FF867C}">
                  <a14:compatExt spid="_x0000_s190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10</xdr:row>
          <xdr:rowOff>104775</xdr:rowOff>
        </xdr:from>
        <xdr:to>
          <xdr:col>29</xdr:col>
          <xdr:colOff>9525</xdr:colOff>
          <xdr:row>12</xdr:row>
          <xdr:rowOff>19050</xdr:rowOff>
        </xdr:to>
        <xdr:sp macro="" textlink="">
          <xdr:nvSpPr>
            <xdr:cNvPr id="190534" name="Check Box 70" hidden="1">
              <a:extLst>
                <a:ext uri="{63B3BB69-23CF-44E3-9099-C40C66FF867C}">
                  <a14:compatExt spid="_x0000_s190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11</xdr:row>
          <xdr:rowOff>104775</xdr:rowOff>
        </xdr:from>
        <xdr:to>
          <xdr:col>29</xdr:col>
          <xdr:colOff>9525</xdr:colOff>
          <xdr:row>13</xdr:row>
          <xdr:rowOff>19050</xdr:rowOff>
        </xdr:to>
        <xdr:sp macro="" textlink="">
          <xdr:nvSpPr>
            <xdr:cNvPr id="190535" name="Check Box 71" hidden="1">
              <a:extLst>
                <a:ext uri="{63B3BB69-23CF-44E3-9099-C40C66FF867C}">
                  <a14:compatExt spid="_x0000_s190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12</xdr:row>
          <xdr:rowOff>104775</xdr:rowOff>
        </xdr:from>
        <xdr:to>
          <xdr:col>29</xdr:col>
          <xdr:colOff>9525</xdr:colOff>
          <xdr:row>14</xdr:row>
          <xdr:rowOff>19050</xdr:rowOff>
        </xdr:to>
        <xdr:sp macro="" textlink="">
          <xdr:nvSpPr>
            <xdr:cNvPr id="190536" name="Check Box 72" hidden="1">
              <a:extLst>
                <a:ext uri="{63B3BB69-23CF-44E3-9099-C40C66FF867C}">
                  <a14:compatExt spid="_x0000_s190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13</xdr:row>
          <xdr:rowOff>104775</xdr:rowOff>
        </xdr:from>
        <xdr:to>
          <xdr:col>29</xdr:col>
          <xdr:colOff>9525</xdr:colOff>
          <xdr:row>15</xdr:row>
          <xdr:rowOff>19050</xdr:rowOff>
        </xdr:to>
        <xdr:sp macro="" textlink="">
          <xdr:nvSpPr>
            <xdr:cNvPr id="190537" name="Check Box 73" hidden="1">
              <a:extLst>
                <a:ext uri="{63B3BB69-23CF-44E3-9099-C40C66FF867C}">
                  <a14:compatExt spid="_x0000_s190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14</xdr:row>
          <xdr:rowOff>104775</xdr:rowOff>
        </xdr:from>
        <xdr:to>
          <xdr:col>29</xdr:col>
          <xdr:colOff>9525</xdr:colOff>
          <xdr:row>16</xdr:row>
          <xdr:rowOff>19050</xdr:rowOff>
        </xdr:to>
        <xdr:sp macro="" textlink="">
          <xdr:nvSpPr>
            <xdr:cNvPr id="190538" name="Check Box 74" hidden="1">
              <a:extLst>
                <a:ext uri="{63B3BB69-23CF-44E3-9099-C40C66FF867C}">
                  <a14:compatExt spid="_x0000_s190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15</xdr:row>
          <xdr:rowOff>104775</xdr:rowOff>
        </xdr:from>
        <xdr:to>
          <xdr:col>29</xdr:col>
          <xdr:colOff>9525</xdr:colOff>
          <xdr:row>17</xdr:row>
          <xdr:rowOff>19050</xdr:rowOff>
        </xdr:to>
        <xdr:sp macro="" textlink="">
          <xdr:nvSpPr>
            <xdr:cNvPr id="190539" name="Check Box 75" hidden="1">
              <a:extLst>
                <a:ext uri="{63B3BB69-23CF-44E3-9099-C40C66FF867C}">
                  <a14:compatExt spid="_x0000_s190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16</xdr:row>
          <xdr:rowOff>104775</xdr:rowOff>
        </xdr:from>
        <xdr:to>
          <xdr:col>29</xdr:col>
          <xdr:colOff>9525</xdr:colOff>
          <xdr:row>18</xdr:row>
          <xdr:rowOff>19050</xdr:rowOff>
        </xdr:to>
        <xdr:sp macro="" textlink="">
          <xdr:nvSpPr>
            <xdr:cNvPr id="190540" name="Check Box 76" hidden="1">
              <a:extLst>
                <a:ext uri="{63B3BB69-23CF-44E3-9099-C40C66FF867C}">
                  <a14:compatExt spid="_x0000_s190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17</xdr:row>
          <xdr:rowOff>104775</xdr:rowOff>
        </xdr:from>
        <xdr:to>
          <xdr:col>29</xdr:col>
          <xdr:colOff>9525</xdr:colOff>
          <xdr:row>19</xdr:row>
          <xdr:rowOff>19050</xdr:rowOff>
        </xdr:to>
        <xdr:sp macro="" textlink="">
          <xdr:nvSpPr>
            <xdr:cNvPr id="190541" name="Check Box 77" hidden="1">
              <a:extLst>
                <a:ext uri="{63B3BB69-23CF-44E3-9099-C40C66FF867C}">
                  <a14:compatExt spid="_x0000_s190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18</xdr:row>
          <xdr:rowOff>104775</xdr:rowOff>
        </xdr:from>
        <xdr:to>
          <xdr:col>29</xdr:col>
          <xdr:colOff>9525</xdr:colOff>
          <xdr:row>20</xdr:row>
          <xdr:rowOff>19050</xdr:rowOff>
        </xdr:to>
        <xdr:sp macro="" textlink="">
          <xdr:nvSpPr>
            <xdr:cNvPr id="190542" name="Check Box 78" hidden="1">
              <a:extLst>
                <a:ext uri="{63B3BB69-23CF-44E3-9099-C40C66FF867C}">
                  <a14:compatExt spid="_x0000_s190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19</xdr:row>
          <xdr:rowOff>104775</xdr:rowOff>
        </xdr:from>
        <xdr:to>
          <xdr:col>29</xdr:col>
          <xdr:colOff>9525</xdr:colOff>
          <xdr:row>21</xdr:row>
          <xdr:rowOff>19050</xdr:rowOff>
        </xdr:to>
        <xdr:sp macro="" textlink="">
          <xdr:nvSpPr>
            <xdr:cNvPr id="190543" name="Check Box 79" hidden="1">
              <a:extLst>
                <a:ext uri="{63B3BB69-23CF-44E3-9099-C40C66FF867C}">
                  <a14:compatExt spid="_x0000_s190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20</xdr:row>
          <xdr:rowOff>104775</xdr:rowOff>
        </xdr:from>
        <xdr:to>
          <xdr:col>29</xdr:col>
          <xdr:colOff>9525</xdr:colOff>
          <xdr:row>22</xdr:row>
          <xdr:rowOff>19050</xdr:rowOff>
        </xdr:to>
        <xdr:sp macro="" textlink="">
          <xdr:nvSpPr>
            <xdr:cNvPr id="190544" name="Check Box 80" hidden="1">
              <a:extLst>
                <a:ext uri="{63B3BB69-23CF-44E3-9099-C40C66FF867C}">
                  <a14:compatExt spid="_x0000_s190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21</xdr:row>
          <xdr:rowOff>104775</xdr:rowOff>
        </xdr:from>
        <xdr:to>
          <xdr:col>29</xdr:col>
          <xdr:colOff>9525</xdr:colOff>
          <xdr:row>23</xdr:row>
          <xdr:rowOff>19050</xdr:rowOff>
        </xdr:to>
        <xdr:sp macro="" textlink="">
          <xdr:nvSpPr>
            <xdr:cNvPr id="190545" name="Check Box 81" hidden="1">
              <a:extLst>
                <a:ext uri="{63B3BB69-23CF-44E3-9099-C40C66FF867C}">
                  <a14:compatExt spid="_x0000_s190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22</xdr:row>
          <xdr:rowOff>104775</xdr:rowOff>
        </xdr:from>
        <xdr:to>
          <xdr:col>29</xdr:col>
          <xdr:colOff>9525</xdr:colOff>
          <xdr:row>24</xdr:row>
          <xdr:rowOff>19050</xdr:rowOff>
        </xdr:to>
        <xdr:sp macro="" textlink="">
          <xdr:nvSpPr>
            <xdr:cNvPr id="190546" name="Check Box 82" hidden="1">
              <a:extLst>
                <a:ext uri="{63B3BB69-23CF-44E3-9099-C40C66FF867C}">
                  <a14:compatExt spid="_x0000_s190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23</xdr:row>
          <xdr:rowOff>104775</xdr:rowOff>
        </xdr:from>
        <xdr:to>
          <xdr:col>29</xdr:col>
          <xdr:colOff>9525</xdr:colOff>
          <xdr:row>25</xdr:row>
          <xdr:rowOff>19050</xdr:rowOff>
        </xdr:to>
        <xdr:sp macro="" textlink="">
          <xdr:nvSpPr>
            <xdr:cNvPr id="190547" name="Check Box 83" hidden="1">
              <a:extLst>
                <a:ext uri="{63B3BB69-23CF-44E3-9099-C40C66FF867C}">
                  <a14:compatExt spid="_x0000_s190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24</xdr:row>
          <xdr:rowOff>104775</xdr:rowOff>
        </xdr:from>
        <xdr:to>
          <xdr:col>29</xdr:col>
          <xdr:colOff>9525</xdr:colOff>
          <xdr:row>26</xdr:row>
          <xdr:rowOff>19050</xdr:rowOff>
        </xdr:to>
        <xdr:sp macro="" textlink="">
          <xdr:nvSpPr>
            <xdr:cNvPr id="190548" name="Check Box 84" hidden="1">
              <a:extLst>
                <a:ext uri="{63B3BB69-23CF-44E3-9099-C40C66FF867C}">
                  <a14:compatExt spid="_x0000_s190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25</xdr:row>
          <xdr:rowOff>104775</xdr:rowOff>
        </xdr:from>
        <xdr:to>
          <xdr:col>29</xdr:col>
          <xdr:colOff>9525</xdr:colOff>
          <xdr:row>27</xdr:row>
          <xdr:rowOff>19050</xdr:rowOff>
        </xdr:to>
        <xdr:sp macro="" textlink="">
          <xdr:nvSpPr>
            <xdr:cNvPr id="190549" name="Check Box 85" hidden="1">
              <a:extLst>
                <a:ext uri="{63B3BB69-23CF-44E3-9099-C40C66FF867C}">
                  <a14:compatExt spid="_x0000_s190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26</xdr:row>
          <xdr:rowOff>104775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90550" name="Check Box 86" hidden="1">
              <a:extLst>
                <a:ext uri="{63B3BB69-23CF-44E3-9099-C40C66FF867C}">
                  <a14:compatExt spid="_x0000_s190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27</xdr:row>
          <xdr:rowOff>104775</xdr:rowOff>
        </xdr:from>
        <xdr:to>
          <xdr:col>29</xdr:col>
          <xdr:colOff>9525</xdr:colOff>
          <xdr:row>29</xdr:row>
          <xdr:rowOff>19050</xdr:rowOff>
        </xdr:to>
        <xdr:sp macro="" textlink="">
          <xdr:nvSpPr>
            <xdr:cNvPr id="190551" name="Check Box 87" hidden="1">
              <a:extLst>
                <a:ext uri="{63B3BB69-23CF-44E3-9099-C40C66FF867C}">
                  <a14:compatExt spid="_x0000_s190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28</xdr:row>
          <xdr:rowOff>104775</xdr:rowOff>
        </xdr:from>
        <xdr:to>
          <xdr:col>29</xdr:col>
          <xdr:colOff>9525</xdr:colOff>
          <xdr:row>30</xdr:row>
          <xdr:rowOff>19050</xdr:rowOff>
        </xdr:to>
        <xdr:sp macro="" textlink="">
          <xdr:nvSpPr>
            <xdr:cNvPr id="190552" name="Check Box 88" hidden="1">
              <a:extLst>
                <a:ext uri="{63B3BB69-23CF-44E3-9099-C40C66FF867C}">
                  <a14:compatExt spid="_x0000_s190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29</xdr:row>
          <xdr:rowOff>104775</xdr:rowOff>
        </xdr:from>
        <xdr:to>
          <xdr:col>29</xdr:col>
          <xdr:colOff>9525</xdr:colOff>
          <xdr:row>31</xdr:row>
          <xdr:rowOff>19050</xdr:rowOff>
        </xdr:to>
        <xdr:sp macro="" textlink="">
          <xdr:nvSpPr>
            <xdr:cNvPr id="190553" name="Check Box 89" hidden="1">
              <a:extLst>
                <a:ext uri="{63B3BB69-23CF-44E3-9099-C40C66FF867C}">
                  <a14:compatExt spid="_x0000_s190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30</xdr:row>
          <xdr:rowOff>104775</xdr:rowOff>
        </xdr:from>
        <xdr:to>
          <xdr:col>29</xdr:col>
          <xdr:colOff>9525</xdr:colOff>
          <xdr:row>32</xdr:row>
          <xdr:rowOff>19050</xdr:rowOff>
        </xdr:to>
        <xdr:sp macro="" textlink="">
          <xdr:nvSpPr>
            <xdr:cNvPr id="190554" name="Check Box 90" hidden="1">
              <a:extLst>
                <a:ext uri="{63B3BB69-23CF-44E3-9099-C40C66FF867C}">
                  <a14:compatExt spid="_x0000_s190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31</xdr:row>
          <xdr:rowOff>104775</xdr:rowOff>
        </xdr:from>
        <xdr:to>
          <xdr:col>29</xdr:col>
          <xdr:colOff>9525</xdr:colOff>
          <xdr:row>33</xdr:row>
          <xdr:rowOff>19050</xdr:rowOff>
        </xdr:to>
        <xdr:sp macro="" textlink="">
          <xdr:nvSpPr>
            <xdr:cNvPr id="190555" name="Check Box 91" hidden="1">
              <a:extLst>
                <a:ext uri="{63B3BB69-23CF-44E3-9099-C40C66FF867C}">
                  <a14:compatExt spid="_x0000_s190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32</xdr:row>
          <xdr:rowOff>104775</xdr:rowOff>
        </xdr:from>
        <xdr:to>
          <xdr:col>29</xdr:col>
          <xdr:colOff>9525</xdr:colOff>
          <xdr:row>34</xdr:row>
          <xdr:rowOff>19050</xdr:rowOff>
        </xdr:to>
        <xdr:sp macro="" textlink="">
          <xdr:nvSpPr>
            <xdr:cNvPr id="190556" name="Check Box 92" hidden="1">
              <a:extLst>
                <a:ext uri="{63B3BB69-23CF-44E3-9099-C40C66FF867C}">
                  <a14:compatExt spid="_x0000_s190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33</xdr:row>
          <xdr:rowOff>104775</xdr:rowOff>
        </xdr:from>
        <xdr:to>
          <xdr:col>29</xdr:col>
          <xdr:colOff>9525</xdr:colOff>
          <xdr:row>35</xdr:row>
          <xdr:rowOff>19050</xdr:rowOff>
        </xdr:to>
        <xdr:sp macro="" textlink="">
          <xdr:nvSpPr>
            <xdr:cNvPr id="190557" name="Check Box 93" hidden="1">
              <a:extLst>
                <a:ext uri="{63B3BB69-23CF-44E3-9099-C40C66FF867C}">
                  <a14:compatExt spid="_x0000_s190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34</xdr:row>
          <xdr:rowOff>104775</xdr:rowOff>
        </xdr:from>
        <xdr:to>
          <xdr:col>29</xdr:col>
          <xdr:colOff>9525</xdr:colOff>
          <xdr:row>36</xdr:row>
          <xdr:rowOff>19050</xdr:rowOff>
        </xdr:to>
        <xdr:sp macro="" textlink="">
          <xdr:nvSpPr>
            <xdr:cNvPr id="190558" name="Check Box 94" hidden="1">
              <a:extLst>
                <a:ext uri="{63B3BB69-23CF-44E3-9099-C40C66FF867C}">
                  <a14:compatExt spid="_x0000_s190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352425</xdr:colOff>
          <xdr:row>0</xdr:row>
          <xdr:rowOff>66675</xdr:rowOff>
        </xdr:from>
        <xdr:to>
          <xdr:col>32</xdr:col>
          <xdr:colOff>171450</xdr:colOff>
          <xdr:row>2</xdr:row>
          <xdr:rowOff>76200</xdr:rowOff>
        </xdr:to>
        <xdr:sp macro="" textlink="">
          <xdr:nvSpPr>
            <xdr:cNvPr id="190560" name="Button 96" hidden="1">
              <a:extLst>
                <a:ext uri="{63B3BB69-23CF-44E3-9099-C40C66FF867C}">
                  <a14:compatExt spid="_x0000_s190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CIs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17</xdr:col>
          <xdr:colOff>0</xdr:colOff>
          <xdr:row>51</xdr:row>
          <xdr:rowOff>9525</xdr:rowOff>
        </xdr:to>
        <xdr:sp macro="" textlink="">
          <xdr:nvSpPr>
            <xdr:cNvPr id="190561" name="Object 97" hidden="1">
              <a:extLst>
                <a:ext uri="{63B3BB69-23CF-44E3-9099-C40C66FF867C}">
                  <a14:compatExt spid="_x0000_s190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4</xdr:row>
          <xdr:rowOff>9525</xdr:rowOff>
        </xdr:from>
        <xdr:to>
          <xdr:col>23</xdr:col>
          <xdr:colOff>9525</xdr:colOff>
          <xdr:row>5</xdr:row>
          <xdr:rowOff>38100</xdr:rowOff>
        </xdr:to>
        <xdr:sp macro="" textlink="">
          <xdr:nvSpPr>
            <xdr:cNvPr id="190648" name="Option Button 184" hidden="1">
              <a:extLst>
                <a:ext uri="{63B3BB69-23CF-44E3-9099-C40C66FF867C}">
                  <a14:compatExt spid="_x0000_s190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4</xdr:row>
          <xdr:rowOff>9525</xdr:rowOff>
        </xdr:from>
        <xdr:to>
          <xdr:col>23</xdr:col>
          <xdr:colOff>447675</xdr:colOff>
          <xdr:row>5</xdr:row>
          <xdr:rowOff>38100</xdr:rowOff>
        </xdr:to>
        <xdr:sp macro="" textlink="">
          <xdr:nvSpPr>
            <xdr:cNvPr id="190649" name="Option Button 185" hidden="1">
              <a:extLst>
                <a:ext uri="{63B3BB69-23CF-44E3-9099-C40C66FF867C}">
                  <a14:compatExt spid="_x0000_s190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38</xdr:row>
          <xdr:rowOff>0</xdr:rowOff>
        </xdr:from>
        <xdr:to>
          <xdr:col>25</xdr:col>
          <xdr:colOff>161925</xdr:colOff>
          <xdr:row>42</xdr:row>
          <xdr:rowOff>104775</xdr:rowOff>
        </xdr:to>
        <xdr:sp macro="" textlink="">
          <xdr:nvSpPr>
            <xdr:cNvPr id="190663" name="Group Box 199" hidden="1">
              <a:extLst>
                <a:ext uri="{63B3BB69-23CF-44E3-9099-C40C66FF867C}">
                  <a14:compatExt spid="_x0000_s190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0.43113</cdr:x>
      <cdr:y>0.01668</cdr:y>
    </cdr:from>
    <cdr:to>
      <cdr:x>0.66446</cdr:x>
      <cdr:y>0.06339</cdr:y>
    </cdr:to>
    <cdr:sp macro="" textlink="">
      <cdr:nvSpPr>
        <cdr:cNvPr id="19148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97484" y="98649"/>
          <a:ext cx="1133475" cy="2673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0" rIns="0" bIns="22860" anchor="b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AU" sz="1200" b="1" i="1" u="none" strike="noStrike" baseline="0">
              <a:solidFill>
                <a:srgbClr val="800080"/>
              </a:solidFill>
              <a:latin typeface="Arial"/>
              <a:cs typeface="Arial"/>
            </a:rPr>
            <a:t>d</a:t>
          </a:r>
          <a:r>
            <a:rPr lang="en-AU" sz="1400" b="0" i="0" u="none" strike="noStrike" baseline="-25000">
              <a:solidFill>
                <a:srgbClr val="800080"/>
              </a:solidFill>
              <a:latin typeface="Arial"/>
              <a:cs typeface="Arial"/>
            </a:rPr>
            <a:t>unbiased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0.42108</cdr:x>
      <cdr:y>0.00798</cdr:y>
    </cdr:from>
    <cdr:to>
      <cdr:x>0.65344</cdr:x>
      <cdr:y>0.08268</cdr:y>
    </cdr:to>
    <cdr:sp macro="" textlink="">
      <cdr:nvSpPr>
        <cdr:cNvPr id="2119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52664" y="31679"/>
          <a:ext cx="1130970" cy="26683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0" rIns="0" bIns="22860" anchor="b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AU" sz="1200" b="1" i="1" u="none" strike="noStrike" baseline="0">
              <a:solidFill>
                <a:srgbClr val="800080"/>
              </a:solidFill>
              <a:latin typeface="Arial"/>
              <a:cs typeface="Arial"/>
            </a:rPr>
            <a:t>d</a:t>
          </a:r>
          <a:r>
            <a:rPr lang="en-AU" sz="1400" b="0" i="0" u="none" strike="noStrike" baseline="-25000">
              <a:solidFill>
                <a:srgbClr val="800080"/>
              </a:solidFill>
              <a:latin typeface="Arial"/>
              <a:cs typeface="Arial"/>
            </a:rPr>
            <a:t>unbiased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9525</xdr:colOff>
      <xdr:row>2</xdr:row>
      <xdr:rowOff>57150</xdr:rowOff>
    </xdr:from>
    <xdr:to>
      <xdr:col>48</xdr:col>
      <xdr:colOff>0</xdr:colOff>
      <xdr:row>49</xdr:row>
      <xdr:rowOff>57150</xdr:rowOff>
    </xdr:to>
    <xdr:graphicFrame macro="">
      <xdr:nvGraphicFramePr>
        <xdr:cNvPr id="19865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17</xdr:col>
      <xdr:colOff>28575</xdr:colOff>
      <xdr:row>0</xdr:row>
      <xdr:rowOff>38100</xdr:rowOff>
    </xdr:from>
    <xdr:to>
      <xdr:col>18</xdr:col>
      <xdr:colOff>95250</xdr:colOff>
      <xdr:row>3</xdr:row>
      <xdr:rowOff>19050</xdr:rowOff>
    </xdr:to>
    <xdr:pic>
      <xdr:nvPicPr>
        <xdr:cNvPr id="198663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8100"/>
          <a:ext cx="428625" cy="45720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200025</xdr:colOff>
          <xdr:row>45</xdr:row>
          <xdr:rowOff>114300</xdr:rowOff>
        </xdr:from>
        <xdr:to>
          <xdr:col>23</xdr:col>
          <xdr:colOff>123825</xdr:colOff>
          <xdr:row>47</xdr:row>
          <xdr:rowOff>28575</xdr:rowOff>
        </xdr:to>
        <xdr:sp macro="" textlink="">
          <xdr:nvSpPr>
            <xdr:cNvPr id="198658" name="Option 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0</xdr:row>
          <xdr:rowOff>104775</xdr:rowOff>
        </xdr:from>
        <xdr:to>
          <xdr:col>27</xdr:col>
          <xdr:colOff>152400</xdr:colOff>
          <xdr:row>2</xdr:row>
          <xdr:rowOff>38100</xdr:rowOff>
        </xdr:to>
        <xdr:sp macro="" textlink="">
          <xdr:nvSpPr>
            <xdr:cNvPr id="198660" name="Spinner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133350</xdr:rowOff>
        </xdr:from>
        <xdr:to>
          <xdr:col>17</xdr:col>
          <xdr:colOff>285750</xdr:colOff>
          <xdr:row>6</xdr:row>
          <xdr:rowOff>0</xdr:rowOff>
        </xdr:to>
        <xdr:sp macro="" textlink="">
          <xdr:nvSpPr>
            <xdr:cNvPr id="198661" name="Check Box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19050</xdr:colOff>
          <xdr:row>0</xdr:row>
          <xdr:rowOff>123825</xdr:rowOff>
        </xdr:from>
        <xdr:to>
          <xdr:col>36</xdr:col>
          <xdr:colOff>133350</xdr:colOff>
          <xdr:row>2</xdr:row>
          <xdr:rowOff>28575</xdr:rowOff>
        </xdr:to>
        <xdr:sp macro="" textlink="">
          <xdr:nvSpPr>
            <xdr:cNvPr id="198664" name="Check Box 8" hidden="1">
              <a:extLst>
                <a:ext uri="{63B3BB69-23CF-44E3-9099-C40C66FF867C}">
                  <a14:compatExt spid="_x0000_s198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2</xdr:row>
          <xdr:rowOff>114300</xdr:rowOff>
        </xdr:from>
        <xdr:to>
          <xdr:col>22</xdr:col>
          <xdr:colOff>304800</xdr:colOff>
          <xdr:row>4</xdr:row>
          <xdr:rowOff>9525</xdr:rowOff>
        </xdr:to>
        <xdr:sp macro="" textlink="">
          <xdr:nvSpPr>
            <xdr:cNvPr id="198669" name="Check Box 13" hidden="1">
              <a:extLst>
                <a:ext uri="{63B3BB69-23CF-44E3-9099-C40C66FF867C}">
                  <a14:compatExt spid="_x0000_s198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200025</xdr:colOff>
          <xdr:row>47</xdr:row>
          <xdr:rowOff>114300</xdr:rowOff>
        </xdr:from>
        <xdr:to>
          <xdr:col>23</xdr:col>
          <xdr:colOff>123825</xdr:colOff>
          <xdr:row>49</xdr:row>
          <xdr:rowOff>28575</xdr:rowOff>
        </xdr:to>
        <xdr:sp macro="" textlink="">
          <xdr:nvSpPr>
            <xdr:cNvPr id="198676" name="Option Button 20" hidden="1">
              <a:extLst>
                <a:ext uri="{63B3BB69-23CF-44E3-9099-C40C66FF867C}">
                  <a14:compatExt spid="_x0000_s19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485775</xdr:colOff>
          <xdr:row>0</xdr:row>
          <xdr:rowOff>85725</xdr:rowOff>
        </xdr:from>
        <xdr:to>
          <xdr:col>32</xdr:col>
          <xdr:colOff>142875</xdr:colOff>
          <xdr:row>2</xdr:row>
          <xdr:rowOff>104775</xdr:rowOff>
        </xdr:to>
        <xdr:sp macro="" textlink="">
          <xdr:nvSpPr>
            <xdr:cNvPr id="198709" name="Button 53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CIs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17</xdr:col>
          <xdr:colOff>0</xdr:colOff>
          <xdr:row>52</xdr:row>
          <xdr:rowOff>9525</xdr:rowOff>
        </xdr:to>
        <xdr:sp macro="" textlink="">
          <xdr:nvSpPr>
            <xdr:cNvPr id="198710" name="Object 54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5</xdr:row>
          <xdr:rowOff>9525</xdr:rowOff>
        </xdr:from>
        <xdr:to>
          <xdr:col>23</xdr:col>
          <xdr:colOff>9525</xdr:colOff>
          <xdr:row>6</xdr:row>
          <xdr:rowOff>38100</xdr:rowOff>
        </xdr:to>
        <xdr:sp macro="" textlink="">
          <xdr:nvSpPr>
            <xdr:cNvPr id="198716" name="Option Button 60" hidden="1">
              <a:extLst>
                <a:ext uri="{63B3BB69-23CF-44E3-9099-C40C66FF867C}">
                  <a14:compatExt spid="_x0000_s19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5</xdr:row>
          <xdr:rowOff>9525</xdr:rowOff>
        </xdr:from>
        <xdr:to>
          <xdr:col>23</xdr:col>
          <xdr:colOff>447675</xdr:colOff>
          <xdr:row>6</xdr:row>
          <xdr:rowOff>38100</xdr:rowOff>
        </xdr:to>
        <xdr:sp macro="" textlink="">
          <xdr:nvSpPr>
            <xdr:cNvPr id="198717" name="Option Button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45</xdr:row>
          <xdr:rowOff>9525</xdr:rowOff>
        </xdr:from>
        <xdr:to>
          <xdr:col>25</xdr:col>
          <xdr:colOff>57150</xdr:colOff>
          <xdr:row>49</xdr:row>
          <xdr:rowOff>114300</xdr:rowOff>
        </xdr:to>
        <xdr:sp macro="" textlink="">
          <xdr:nvSpPr>
            <xdr:cNvPr id="198727" name="Group Box 71" hidden="1">
              <a:extLst>
                <a:ext uri="{63B3BB69-23CF-44E3-9099-C40C66FF867C}">
                  <a14:compatExt spid="_x0000_s19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400050</xdr:colOff>
          <xdr:row>2</xdr:row>
          <xdr:rowOff>104775</xdr:rowOff>
        </xdr:from>
        <xdr:to>
          <xdr:col>27</xdr:col>
          <xdr:colOff>304800</xdr:colOff>
          <xdr:row>4</xdr:row>
          <xdr:rowOff>0</xdr:rowOff>
        </xdr:to>
        <xdr:sp macro="" textlink="">
          <xdr:nvSpPr>
            <xdr:cNvPr id="198792" name="Check Box 136" hidden="1">
              <a:extLst>
                <a:ext uri="{63B3BB69-23CF-44E3-9099-C40C66FF867C}">
                  <a14:compatExt spid="_x0000_s198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0.4432</cdr:x>
      <cdr:y>0.01837</cdr:y>
    </cdr:from>
    <cdr:to>
      <cdr:x>0.63795</cdr:x>
      <cdr:y>0.05513</cdr:y>
    </cdr:to>
    <cdr:sp macro="" textlink="">
      <cdr:nvSpPr>
        <cdr:cNvPr id="1996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8259" y="137211"/>
          <a:ext cx="1131570" cy="26823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0" rIns="0" bIns="32004" anchor="b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AU" sz="1400" b="1" i="1" u="none" strike="noStrike" baseline="0">
              <a:solidFill>
                <a:srgbClr val="800080"/>
              </a:solidFill>
              <a:latin typeface="Arial"/>
              <a:cs typeface="Arial"/>
            </a:rPr>
            <a:t>d</a:t>
          </a:r>
          <a:r>
            <a:rPr lang="en-AU" sz="1400" b="0" i="0" u="none" strike="noStrike" baseline="-25000">
              <a:solidFill>
                <a:srgbClr val="800080"/>
              </a:solidFill>
              <a:latin typeface="Arial"/>
              <a:cs typeface="Arial"/>
            </a:rPr>
            <a:t>unbiased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9525</xdr:colOff>
      <xdr:row>1</xdr:row>
      <xdr:rowOff>76200</xdr:rowOff>
    </xdr:from>
    <xdr:to>
      <xdr:col>24</xdr:col>
      <xdr:colOff>542925</xdr:colOff>
      <xdr:row>39</xdr:row>
      <xdr:rowOff>57150</xdr:rowOff>
    </xdr:to>
    <xdr:graphicFrame macro="">
      <xdr:nvGraphicFramePr>
        <xdr:cNvPr id="20992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</xdr:col>
      <xdr:colOff>28575</xdr:colOff>
      <xdr:row>0</xdr:row>
      <xdr:rowOff>38100</xdr:rowOff>
    </xdr:from>
    <xdr:to>
      <xdr:col>2</xdr:col>
      <xdr:colOff>95250</xdr:colOff>
      <xdr:row>3</xdr:row>
      <xdr:rowOff>38100</xdr:rowOff>
    </xdr:to>
    <xdr:pic>
      <xdr:nvPicPr>
        <xdr:cNvPr id="209928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8100"/>
          <a:ext cx="428625" cy="457200"/>
        </a:xfrm>
        <a:prstGeom prst="rect">
          <a:avLst/>
        </a:prstGeom>
        <a:noFill/>
      </xdr:spPr>
    </xdr:pic>
    <xdr:clientData/>
  </xdr:twoCellAnchor>
  <xdr:twoCellAnchor editAs="oneCell">
    <xdr:from>
      <xdr:col>32</xdr:col>
      <xdr:colOff>57150</xdr:colOff>
      <xdr:row>1</xdr:row>
      <xdr:rowOff>28575</xdr:rowOff>
    </xdr:from>
    <xdr:to>
      <xdr:col>43</xdr:col>
      <xdr:colOff>457200</xdr:colOff>
      <xdr:row>33</xdr:row>
      <xdr:rowOff>38100</xdr:rowOff>
    </xdr:to>
    <xdr:graphicFrame macro="">
      <xdr:nvGraphicFramePr>
        <xdr:cNvPr id="209939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5</xdr:row>
          <xdr:rowOff>123825</xdr:rowOff>
        </xdr:from>
        <xdr:to>
          <xdr:col>9</xdr:col>
          <xdr:colOff>19050</xdr:colOff>
          <xdr:row>7</xdr:row>
          <xdr:rowOff>28575</xdr:rowOff>
        </xdr:to>
        <xdr:sp macro="" textlink="">
          <xdr:nvSpPr>
            <xdr:cNvPr id="209921" name="Check Box 1" hidden="1">
              <a:extLst>
                <a:ext uri="{63B3BB69-23CF-44E3-9099-C40C66FF867C}">
                  <a14:compatExt spid="_x0000_s209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37</xdr:row>
          <xdr:rowOff>123825</xdr:rowOff>
        </xdr:from>
        <xdr:to>
          <xdr:col>6</xdr:col>
          <xdr:colOff>123825</xdr:colOff>
          <xdr:row>39</xdr:row>
          <xdr:rowOff>38100</xdr:rowOff>
        </xdr:to>
        <xdr:sp macro="" textlink="">
          <xdr:nvSpPr>
            <xdr:cNvPr id="209922" name="Option Button 2" hidden="1">
              <a:extLst>
                <a:ext uri="{63B3BB69-23CF-44E3-9099-C40C66FF867C}">
                  <a14:compatExt spid="_x0000_s209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104775</xdr:rowOff>
        </xdr:from>
        <xdr:to>
          <xdr:col>10</xdr:col>
          <xdr:colOff>66675</xdr:colOff>
          <xdr:row>2</xdr:row>
          <xdr:rowOff>47625</xdr:rowOff>
        </xdr:to>
        <xdr:sp macro="" textlink="">
          <xdr:nvSpPr>
            <xdr:cNvPr id="209924" name="Spinner 4" hidden="1">
              <a:extLst>
                <a:ext uri="{63B3BB69-23CF-44E3-9099-C40C66FF867C}">
                  <a14:compatExt spid="_x0000_s209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95250</xdr:rowOff>
        </xdr:from>
        <xdr:to>
          <xdr:col>1</xdr:col>
          <xdr:colOff>285750</xdr:colOff>
          <xdr:row>5</xdr:row>
          <xdr:rowOff>9525</xdr:rowOff>
        </xdr:to>
        <xdr:sp macro="" textlink="">
          <xdr:nvSpPr>
            <xdr:cNvPr id="209925" name="Check Box 5" hidden="1">
              <a:extLst>
                <a:ext uri="{63B3BB69-23CF-44E3-9099-C40C66FF867C}">
                  <a14:compatExt spid="_x0000_s209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0</xdr:row>
          <xdr:rowOff>114300</xdr:rowOff>
        </xdr:from>
        <xdr:to>
          <xdr:col>12</xdr:col>
          <xdr:colOff>352425</xdr:colOff>
          <xdr:row>2</xdr:row>
          <xdr:rowOff>28575</xdr:rowOff>
        </xdr:to>
        <xdr:sp macro="" textlink="">
          <xdr:nvSpPr>
            <xdr:cNvPr id="209929" name="Check Box 9" hidden="1">
              <a:extLst>
                <a:ext uri="{63B3BB69-23CF-44E3-9099-C40C66FF867C}">
                  <a14:compatExt spid="_x0000_s209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95250</xdr:rowOff>
        </xdr:from>
        <xdr:to>
          <xdr:col>5</xdr:col>
          <xdr:colOff>304800</xdr:colOff>
          <xdr:row>3</xdr:row>
          <xdr:rowOff>9525</xdr:rowOff>
        </xdr:to>
        <xdr:sp macro="" textlink="">
          <xdr:nvSpPr>
            <xdr:cNvPr id="209934" name="Check Box 14" hidden="1">
              <a:extLst>
                <a:ext uri="{63B3BB69-23CF-44E3-9099-C40C66FF867C}">
                  <a14:compatExt spid="_x0000_s209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39</xdr:row>
          <xdr:rowOff>114300</xdr:rowOff>
        </xdr:from>
        <xdr:to>
          <xdr:col>6</xdr:col>
          <xdr:colOff>123825</xdr:colOff>
          <xdr:row>41</xdr:row>
          <xdr:rowOff>28575</xdr:rowOff>
        </xdr:to>
        <xdr:sp macro="" textlink="">
          <xdr:nvSpPr>
            <xdr:cNvPr id="209944" name="Option Button 24" hidden="1">
              <a:extLst>
                <a:ext uri="{63B3BB69-23CF-44E3-9099-C40C66FF867C}">
                  <a14:compatExt spid="_x0000_s209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6</xdr:row>
          <xdr:rowOff>104775</xdr:rowOff>
        </xdr:from>
        <xdr:to>
          <xdr:col>9</xdr:col>
          <xdr:colOff>19050</xdr:colOff>
          <xdr:row>8</xdr:row>
          <xdr:rowOff>19050</xdr:rowOff>
        </xdr:to>
        <xdr:sp macro="" textlink="">
          <xdr:nvSpPr>
            <xdr:cNvPr id="209962" name="Check Box 42" hidden="1">
              <a:extLst>
                <a:ext uri="{63B3BB69-23CF-44E3-9099-C40C66FF867C}">
                  <a14:compatExt spid="_x0000_s209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7</xdr:row>
          <xdr:rowOff>104775</xdr:rowOff>
        </xdr:from>
        <xdr:to>
          <xdr:col>9</xdr:col>
          <xdr:colOff>19050</xdr:colOff>
          <xdr:row>9</xdr:row>
          <xdr:rowOff>19050</xdr:rowOff>
        </xdr:to>
        <xdr:sp macro="" textlink="">
          <xdr:nvSpPr>
            <xdr:cNvPr id="209963" name="Check Box 43" hidden="1">
              <a:extLst>
                <a:ext uri="{63B3BB69-23CF-44E3-9099-C40C66FF867C}">
                  <a14:compatExt spid="_x0000_s209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8</xdr:row>
          <xdr:rowOff>104775</xdr:rowOff>
        </xdr:from>
        <xdr:to>
          <xdr:col>9</xdr:col>
          <xdr:colOff>19050</xdr:colOff>
          <xdr:row>10</xdr:row>
          <xdr:rowOff>19050</xdr:rowOff>
        </xdr:to>
        <xdr:sp macro="" textlink="">
          <xdr:nvSpPr>
            <xdr:cNvPr id="209964" name="Check Box 44" hidden="1">
              <a:extLst>
                <a:ext uri="{63B3BB69-23CF-44E3-9099-C40C66FF867C}">
                  <a14:compatExt spid="_x0000_s209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9</xdr:row>
          <xdr:rowOff>104775</xdr:rowOff>
        </xdr:from>
        <xdr:to>
          <xdr:col>9</xdr:col>
          <xdr:colOff>19050</xdr:colOff>
          <xdr:row>11</xdr:row>
          <xdr:rowOff>19050</xdr:rowOff>
        </xdr:to>
        <xdr:sp macro="" textlink="">
          <xdr:nvSpPr>
            <xdr:cNvPr id="209965" name="Check Box 45" hidden="1">
              <a:extLst>
                <a:ext uri="{63B3BB69-23CF-44E3-9099-C40C66FF867C}">
                  <a14:compatExt spid="_x0000_s209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10</xdr:row>
          <xdr:rowOff>104775</xdr:rowOff>
        </xdr:from>
        <xdr:to>
          <xdr:col>9</xdr:col>
          <xdr:colOff>19050</xdr:colOff>
          <xdr:row>12</xdr:row>
          <xdr:rowOff>19050</xdr:rowOff>
        </xdr:to>
        <xdr:sp macro="" textlink="">
          <xdr:nvSpPr>
            <xdr:cNvPr id="209966" name="Check Box 46" hidden="1">
              <a:extLst>
                <a:ext uri="{63B3BB69-23CF-44E3-9099-C40C66FF867C}">
                  <a14:compatExt spid="_x0000_s209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11</xdr:row>
          <xdr:rowOff>104775</xdr:rowOff>
        </xdr:from>
        <xdr:to>
          <xdr:col>9</xdr:col>
          <xdr:colOff>19050</xdr:colOff>
          <xdr:row>13</xdr:row>
          <xdr:rowOff>19050</xdr:rowOff>
        </xdr:to>
        <xdr:sp macro="" textlink="">
          <xdr:nvSpPr>
            <xdr:cNvPr id="209967" name="Check Box 47" hidden="1">
              <a:extLst>
                <a:ext uri="{63B3BB69-23CF-44E3-9099-C40C66FF867C}">
                  <a14:compatExt spid="_x0000_s209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12</xdr:row>
          <xdr:rowOff>104775</xdr:rowOff>
        </xdr:from>
        <xdr:to>
          <xdr:col>9</xdr:col>
          <xdr:colOff>19050</xdr:colOff>
          <xdr:row>14</xdr:row>
          <xdr:rowOff>19050</xdr:rowOff>
        </xdr:to>
        <xdr:sp macro="" textlink="">
          <xdr:nvSpPr>
            <xdr:cNvPr id="209968" name="Check Box 48" hidden="1">
              <a:extLst>
                <a:ext uri="{63B3BB69-23CF-44E3-9099-C40C66FF867C}">
                  <a14:compatExt spid="_x0000_s209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13</xdr:row>
          <xdr:rowOff>104775</xdr:rowOff>
        </xdr:from>
        <xdr:to>
          <xdr:col>9</xdr:col>
          <xdr:colOff>19050</xdr:colOff>
          <xdr:row>15</xdr:row>
          <xdr:rowOff>19050</xdr:rowOff>
        </xdr:to>
        <xdr:sp macro="" textlink="">
          <xdr:nvSpPr>
            <xdr:cNvPr id="209969" name="Check Box 49" hidden="1">
              <a:extLst>
                <a:ext uri="{63B3BB69-23CF-44E3-9099-C40C66FF867C}">
                  <a14:compatExt spid="_x0000_s209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14</xdr:row>
          <xdr:rowOff>104775</xdr:rowOff>
        </xdr:from>
        <xdr:to>
          <xdr:col>9</xdr:col>
          <xdr:colOff>19050</xdr:colOff>
          <xdr:row>16</xdr:row>
          <xdr:rowOff>19050</xdr:rowOff>
        </xdr:to>
        <xdr:sp macro="" textlink="">
          <xdr:nvSpPr>
            <xdr:cNvPr id="209970" name="Check Box 50" hidden="1">
              <a:extLst>
                <a:ext uri="{63B3BB69-23CF-44E3-9099-C40C66FF867C}">
                  <a14:compatExt spid="_x0000_s209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15</xdr:row>
          <xdr:rowOff>104775</xdr:rowOff>
        </xdr:from>
        <xdr:to>
          <xdr:col>9</xdr:col>
          <xdr:colOff>19050</xdr:colOff>
          <xdr:row>17</xdr:row>
          <xdr:rowOff>19050</xdr:rowOff>
        </xdr:to>
        <xdr:sp macro="" textlink="">
          <xdr:nvSpPr>
            <xdr:cNvPr id="209971" name="Check Box 51" hidden="1">
              <a:extLst>
                <a:ext uri="{63B3BB69-23CF-44E3-9099-C40C66FF867C}">
                  <a14:compatExt spid="_x0000_s209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16</xdr:row>
          <xdr:rowOff>104775</xdr:rowOff>
        </xdr:from>
        <xdr:to>
          <xdr:col>9</xdr:col>
          <xdr:colOff>19050</xdr:colOff>
          <xdr:row>18</xdr:row>
          <xdr:rowOff>19050</xdr:rowOff>
        </xdr:to>
        <xdr:sp macro="" textlink="">
          <xdr:nvSpPr>
            <xdr:cNvPr id="209972" name="Check Box 52" hidden="1">
              <a:extLst>
                <a:ext uri="{63B3BB69-23CF-44E3-9099-C40C66FF867C}">
                  <a14:compatExt spid="_x0000_s209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17</xdr:row>
          <xdr:rowOff>104775</xdr:rowOff>
        </xdr:from>
        <xdr:to>
          <xdr:col>9</xdr:col>
          <xdr:colOff>19050</xdr:colOff>
          <xdr:row>19</xdr:row>
          <xdr:rowOff>19050</xdr:rowOff>
        </xdr:to>
        <xdr:sp macro="" textlink="">
          <xdr:nvSpPr>
            <xdr:cNvPr id="209973" name="Check Box 53" hidden="1">
              <a:extLst>
                <a:ext uri="{63B3BB69-23CF-44E3-9099-C40C66FF867C}">
                  <a14:compatExt spid="_x0000_s209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18</xdr:row>
          <xdr:rowOff>104775</xdr:rowOff>
        </xdr:from>
        <xdr:to>
          <xdr:col>9</xdr:col>
          <xdr:colOff>19050</xdr:colOff>
          <xdr:row>20</xdr:row>
          <xdr:rowOff>19050</xdr:rowOff>
        </xdr:to>
        <xdr:sp macro="" textlink="">
          <xdr:nvSpPr>
            <xdr:cNvPr id="209974" name="Check Box 54" hidden="1">
              <a:extLst>
                <a:ext uri="{63B3BB69-23CF-44E3-9099-C40C66FF867C}">
                  <a14:compatExt spid="_x0000_s209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19</xdr:row>
          <xdr:rowOff>104775</xdr:rowOff>
        </xdr:from>
        <xdr:to>
          <xdr:col>9</xdr:col>
          <xdr:colOff>19050</xdr:colOff>
          <xdr:row>21</xdr:row>
          <xdr:rowOff>19050</xdr:rowOff>
        </xdr:to>
        <xdr:sp macro="" textlink="">
          <xdr:nvSpPr>
            <xdr:cNvPr id="209975" name="Check Box 55" hidden="1">
              <a:extLst>
                <a:ext uri="{63B3BB69-23CF-44E3-9099-C40C66FF867C}">
                  <a14:compatExt spid="_x0000_s209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20</xdr:row>
          <xdr:rowOff>104775</xdr:rowOff>
        </xdr:from>
        <xdr:to>
          <xdr:col>9</xdr:col>
          <xdr:colOff>19050</xdr:colOff>
          <xdr:row>22</xdr:row>
          <xdr:rowOff>19050</xdr:rowOff>
        </xdr:to>
        <xdr:sp macro="" textlink="">
          <xdr:nvSpPr>
            <xdr:cNvPr id="209976" name="Check Box 56" hidden="1">
              <a:extLst>
                <a:ext uri="{63B3BB69-23CF-44E3-9099-C40C66FF867C}">
                  <a14:compatExt spid="_x0000_s209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21</xdr:row>
          <xdr:rowOff>104775</xdr:rowOff>
        </xdr:from>
        <xdr:to>
          <xdr:col>9</xdr:col>
          <xdr:colOff>19050</xdr:colOff>
          <xdr:row>23</xdr:row>
          <xdr:rowOff>19050</xdr:rowOff>
        </xdr:to>
        <xdr:sp macro="" textlink="">
          <xdr:nvSpPr>
            <xdr:cNvPr id="209977" name="Check Box 57" hidden="1">
              <a:extLst>
                <a:ext uri="{63B3BB69-23CF-44E3-9099-C40C66FF867C}">
                  <a14:compatExt spid="_x0000_s209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22</xdr:row>
          <xdr:rowOff>104775</xdr:rowOff>
        </xdr:from>
        <xdr:to>
          <xdr:col>9</xdr:col>
          <xdr:colOff>19050</xdr:colOff>
          <xdr:row>24</xdr:row>
          <xdr:rowOff>19050</xdr:rowOff>
        </xdr:to>
        <xdr:sp macro="" textlink="">
          <xdr:nvSpPr>
            <xdr:cNvPr id="209978" name="Check Box 58" hidden="1">
              <a:extLst>
                <a:ext uri="{63B3BB69-23CF-44E3-9099-C40C66FF867C}">
                  <a14:compatExt spid="_x0000_s209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23</xdr:row>
          <xdr:rowOff>104775</xdr:rowOff>
        </xdr:from>
        <xdr:to>
          <xdr:col>9</xdr:col>
          <xdr:colOff>19050</xdr:colOff>
          <xdr:row>25</xdr:row>
          <xdr:rowOff>19050</xdr:rowOff>
        </xdr:to>
        <xdr:sp macro="" textlink="">
          <xdr:nvSpPr>
            <xdr:cNvPr id="209979" name="Check Box 59" hidden="1">
              <a:extLst>
                <a:ext uri="{63B3BB69-23CF-44E3-9099-C40C66FF867C}">
                  <a14:compatExt spid="_x0000_s209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24</xdr:row>
          <xdr:rowOff>104775</xdr:rowOff>
        </xdr:from>
        <xdr:to>
          <xdr:col>9</xdr:col>
          <xdr:colOff>19050</xdr:colOff>
          <xdr:row>26</xdr:row>
          <xdr:rowOff>19050</xdr:rowOff>
        </xdr:to>
        <xdr:sp macro="" textlink="">
          <xdr:nvSpPr>
            <xdr:cNvPr id="209980" name="Check Box 60" hidden="1">
              <a:extLst>
                <a:ext uri="{63B3BB69-23CF-44E3-9099-C40C66FF867C}">
                  <a14:compatExt spid="_x0000_s209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25</xdr:row>
          <xdr:rowOff>104775</xdr:rowOff>
        </xdr:from>
        <xdr:to>
          <xdr:col>9</xdr:col>
          <xdr:colOff>19050</xdr:colOff>
          <xdr:row>27</xdr:row>
          <xdr:rowOff>19050</xdr:rowOff>
        </xdr:to>
        <xdr:sp macro="" textlink="">
          <xdr:nvSpPr>
            <xdr:cNvPr id="209981" name="Check Box 61" hidden="1">
              <a:extLst>
                <a:ext uri="{63B3BB69-23CF-44E3-9099-C40C66FF867C}">
                  <a14:compatExt spid="_x0000_s209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26</xdr:row>
          <xdr:rowOff>104775</xdr:rowOff>
        </xdr:from>
        <xdr:to>
          <xdr:col>9</xdr:col>
          <xdr:colOff>19050</xdr:colOff>
          <xdr:row>28</xdr:row>
          <xdr:rowOff>19050</xdr:rowOff>
        </xdr:to>
        <xdr:sp macro="" textlink="">
          <xdr:nvSpPr>
            <xdr:cNvPr id="209982" name="Check Box 62" hidden="1">
              <a:extLst>
                <a:ext uri="{63B3BB69-23CF-44E3-9099-C40C66FF867C}">
                  <a14:compatExt spid="_x0000_s209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27</xdr:row>
          <xdr:rowOff>104775</xdr:rowOff>
        </xdr:from>
        <xdr:to>
          <xdr:col>9</xdr:col>
          <xdr:colOff>19050</xdr:colOff>
          <xdr:row>29</xdr:row>
          <xdr:rowOff>19050</xdr:rowOff>
        </xdr:to>
        <xdr:sp macro="" textlink="">
          <xdr:nvSpPr>
            <xdr:cNvPr id="209983" name="Check Box 63" hidden="1">
              <a:extLst>
                <a:ext uri="{63B3BB69-23CF-44E3-9099-C40C66FF867C}">
                  <a14:compatExt spid="_x0000_s209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28</xdr:row>
          <xdr:rowOff>104775</xdr:rowOff>
        </xdr:from>
        <xdr:to>
          <xdr:col>9</xdr:col>
          <xdr:colOff>19050</xdr:colOff>
          <xdr:row>30</xdr:row>
          <xdr:rowOff>19050</xdr:rowOff>
        </xdr:to>
        <xdr:sp macro="" textlink="">
          <xdr:nvSpPr>
            <xdr:cNvPr id="209984" name="Check Box 64" hidden="1">
              <a:extLst>
                <a:ext uri="{63B3BB69-23CF-44E3-9099-C40C66FF867C}">
                  <a14:compatExt spid="_x0000_s209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29</xdr:row>
          <xdr:rowOff>104775</xdr:rowOff>
        </xdr:from>
        <xdr:to>
          <xdr:col>9</xdr:col>
          <xdr:colOff>19050</xdr:colOff>
          <xdr:row>31</xdr:row>
          <xdr:rowOff>19050</xdr:rowOff>
        </xdr:to>
        <xdr:sp macro="" textlink="">
          <xdr:nvSpPr>
            <xdr:cNvPr id="209985" name="Check Box 65" hidden="1">
              <a:extLst>
                <a:ext uri="{63B3BB69-23CF-44E3-9099-C40C66FF867C}">
                  <a14:compatExt spid="_x0000_s209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30</xdr:row>
          <xdr:rowOff>104775</xdr:rowOff>
        </xdr:from>
        <xdr:to>
          <xdr:col>9</xdr:col>
          <xdr:colOff>19050</xdr:colOff>
          <xdr:row>32</xdr:row>
          <xdr:rowOff>19050</xdr:rowOff>
        </xdr:to>
        <xdr:sp macro="" textlink="">
          <xdr:nvSpPr>
            <xdr:cNvPr id="209986" name="Check Box 66" hidden="1">
              <a:extLst>
                <a:ext uri="{63B3BB69-23CF-44E3-9099-C40C66FF867C}">
                  <a14:compatExt spid="_x0000_s209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31</xdr:row>
          <xdr:rowOff>104775</xdr:rowOff>
        </xdr:from>
        <xdr:to>
          <xdr:col>9</xdr:col>
          <xdr:colOff>19050</xdr:colOff>
          <xdr:row>33</xdr:row>
          <xdr:rowOff>19050</xdr:rowOff>
        </xdr:to>
        <xdr:sp macro="" textlink="">
          <xdr:nvSpPr>
            <xdr:cNvPr id="209987" name="Check Box 67" hidden="1">
              <a:extLst>
                <a:ext uri="{63B3BB69-23CF-44E3-9099-C40C66FF867C}">
                  <a14:compatExt spid="_x0000_s20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32</xdr:row>
          <xdr:rowOff>104775</xdr:rowOff>
        </xdr:from>
        <xdr:to>
          <xdr:col>9</xdr:col>
          <xdr:colOff>19050</xdr:colOff>
          <xdr:row>34</xdr:row>
          <xdr:rowOff>19050</xdr:rowOff>
        </xdr:to>
        <xdr:sp macro="" textlink="">
          <xdr:nvSpPr>
            <xdr:cNvPr id="209988" name="Check Box 68" hidden="1">
              <a:extLst>
                <a:ext uri="{63B3BB69-23CF-44E3-9099-C40C66FF867C}">
                  <a14:compatExt spid="_x0000_s209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33</xdr:row>
          <xdr:rowOff>104775</xdr:rowOff>
        </xdr:from>
        <xdr:to>
          <xdr:col>9</xdr:col>
          <xdr:colOff>19050</xdr:colOff>
          <xdr:row>35</xdr:row>
          <xdr:rowOff>19050</xdr:rowOff>
        </xdr:to>
        <xdr:sp macro="" textlink="">
          <xdr:nvSpPr>
            <xdr:cNvPr id="209989" name="Check Box 69" hidden="1">
              <a:extLst>
                <a:ext uri="{63B3BB69-23CF-44E3-9099-C40C66FF867C}">
                  <a14:compatExt spid="_x0000_s209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34</xdr:row>
          <xdr:rowOff>104775</xdr:rowOff>
        </xdr:from>
        <xdr:to>
          <xdr:col>9</xdr:col>
          <xdr:colOff>19050</xdr:colOff>
          <xdr:row>36</xdr:row>
          <xdr:rowOff>19050</xdr:rowOff>
        </xdr:to>
        <xdr:sp macro="" textlink="">
          <xdr:nvSpPr>
            <xdr:cNvPr id="209990" name="Check Box 70" hidden="1">
              <a:extLst>
                <a:ext uri="{63B3BB69-23CF-44E3-9099-C40C66FF867C}">
                  <a14:compatExt spid="_x0000_s209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%20Simulations/ITRIP/ESCI-ITRIP%20extra-11.5.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xcel%20Simulations\ITRIP\ESCI-ITRIP%20extra-11.5.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Overlap/Overlap%205-8-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ITNS%20book/ESCI%20for%20Excel%202003/ESCI%20chapters%2010-13%20Jul%204%20201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ITNS%20cubby/ESCI%20intro/old%20versions/ESCI%20intro%20chapters%206,%208-11%20Apr%2024%202015a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ITNS%20cubby/ESCI%20intro/old%20versions/ESCI%20intro%20chapters%2010-13%20Oct%2023%202014b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Unistuff/Papers/Old%20papers/Teaching%20Statistics/IBI%20levels%20of%20confidence%20Figs%2017%20Nov%2005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ITNS%20cubby/ESCI%20intro/old%20versions/ESCI%20intro%20chapters%203-8%20Jun%206%202016a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SCI%20development\CInext\CInext%2016-12-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Travel%2006/ESCI/Correlation%201024x768%2023%20Apr%2006c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ITNS%20cubby/ESCI%20intro/old%20versions/ESCI%20chapters%2014-15%20Jul%204%20201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IBI/ESCI%20Inference%20by%20eye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ITNS%20book/ESCI%20for%20Excel%202003/Geoff's%20documents/Unistuff/Papers/Old%20papers/Teaching%20Statistics/IBI%20levels%20of%20confidence%20Figs%2017%20Nov%2005a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ITNS%20book/ESCI%20for%20Excel%202003/ESCI%20chapters%201-4%20Jul%204%2020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TNS%20book/TNS%20figures%202%20Dec%2009h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Describe/Describe%2013-4-4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Describe/Describe%2014-4-4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SCI%20development\Describe\Describe%2013-4-4e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ESCI%20live-23.7.1/Individual/CIdeltaIND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Sampling/ESCI%20CIjumping%209%20Jul%2009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Unistuff/Papers/Old%20papers/Killeen/APR%20Simulations%2015%20Apr%2006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SCI%20development\ESs\ESCI-ESs%2028-8-2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live-23.7.1/Source&amp;Master/ESCI/Esci-18.7.1/IBIcoloursimulation-4.12.0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%20Simulations/ITRIP/ESCI-ITRIP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xcel%20Simulations\ITRIP\ESCI-ITRIP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xcel%20Simulations\IBITwo-18.4.1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Helen Lab Data"/>
      <sheetName val="MA Original units"/>
      <sheetName val="MA  Standardised units"/>
      <sheetName val="ESCI-ITRIP extra-11.5.2"/>
    </sheetNames>
    <sheetDataSet>
      <sheetData sheetId="0"/>
      <sheetData sheetId="1"/>
      <sheetData sheetId="2"/>
      <sheetData sheetId="3">
        <row r="2">
          <cell r="K2">
            <v>95</v>
          </cell>
          <cell r="AC2">
            <v>113</v>
          </cell>
          <cell r="AE2">
            <v>1.9599610823206604</v>
          </cell>
        </row>
        <row r="3">
          <cell r="Z3">
            <v>4.6779348061853909E-6</v>
          </cell>
          <cell r="AA3">
            <v>-9.5532981197465894E-4</v>
          </cell>
          <cell r="AC3">
            <v>2.4054232604568586</v>
          </cell>
          <cell r="AE3">
            <v>-1.9599610823206604</v>
          </cell>
        </row>
        <row r="4">
          <cell r="Z4">
            <v>0.41513013764663981</v>
          </cell>
          <cell r="AA4">
            <v>4.3850819595639061</v>
          </cell>
        </row>
        <row r="6">
          <cell r="F6">
            <v>0.73</v>
          </cell>
          <cell r="G6">
            <v>10</v>
          </cell>
          <cell r="J6">
            <v>1.1351177968749451E-2</v>
          </cell>
          <cell r="X6">
            <v>2.3084626919229172</v>
          </cell>
          <cell r="Y6">
            <v>2.3084626919229172</v>
          </cell>
          <cell r="Z6">
            <v>3.5895576507171872E-2</v>
          </cell>
          <cell r="AD6">
            <v>95</v>
          </cell>
          <cell r="AG6">
            <v>7.7156056463527634E-2</v>
          </cell>
          <cell r="AH6">
            <v>4.5397693273823068</v>
          </cell>
        </row>
        <row r="7">
          <cell r="F7">
            <v>0.3</v>
          </cell>
          <cell r="G7">
            <v>25</v>
          </cell>
          <cell r="J7">
            <v>-0.10394770742568882</v>
          </cell>
          <cell r="X7">
            <v>1.5</v>
          </cell>
          <cell r="Y7">
            <v>1.5</v>
          </cell>
          <cell r="Z7">
            <v>-0.51973853712844409</v>
          </cell>
          <cell r="AD7">
            <v>95</v>
          </cell>
          <cell r="AG7">
            <v>-0.50537160974194295</v>
          </cell>
          <cell r="AH7">
            <v>3.505371609741943</v>
          </cell>
        </row>
        <row r="8">
          <cell r="F8">
            <v>-0.27</v>
          </cell>
          <cell r="G8">
            <v>18</v>
          </cell>
          <cell r="J8">
            <v>-0.7368428415108017</v>
          </cell>
          <cell r="X8">
            <v>-1.145512985522207</v>
          </cell>
          <cell r="Y8">
            <v>-1.145512985522207</v>
          </cell>
          <cell r="Z8">
            <v>-3.126159419406314</v>
          </cell>
          <cell r="AD8">
            <v>95</v>
          </cell>
          <cell r="AG8">
            <v>-3.1429375069518581</v>
          </cell>
          <cell r="AH8">
            <v>0.85191153590744384</v>
          </cell>
        </row>
        <row r="9">
          <cell r="F9">
            <v>0.61</v>
          </cell>
          <cell r="G9">
            <v>9</v>
          </cell>
          <cell r="J9">
            <v>-0.12187168281461391</v>
          </cell>
          <cell r="X9">
            <v>1.83</v>
          </cell>
          <cell r="Y9">
            <v>1.83</v>
          </cell>
          <cell r="Z9">
            <v>-0.36561504844384174</v>
          </cell>
          <cell r="AD9">
            <v>95</v>
          </cell>
          <cell r="AG9">
            <v>-0.32533904602769681</v>
          </cell>
          <cell r="AH9">
            <v>3.985339046027697</v>
          </cell>
        </row>
        <row r="10">
          <cell r="F10">
            <v>0.14000000000000001</v>
          </cell>
          <cell r="G10">
            <v>31</v>
          </cell>
          <cell r="J10">
            <v>-0.21493173914990332</v>
          </cell>
          <cell r="X10">
            <v>0.77948701079620308</v>
          </cell>
          <cell r="Y10">
            <v>0.77948701079620308</v>
          </cell>
          <cell r="Z10">
            <v>-1.1966892776799098</v>
          </cell>
          <cell r="AD10">
            <v>95</v>
          </cell>
          <cell r="AG10">
            <v>-1.1903730101181318</v>
          </cell>
          <cell r="AH10">
            <v>2.749347031710538</v>
          </cell>
        </row>
        <row r="11">
          <cell r="J11" t="str">
            <v/>
          </cell>
          <cell r="X11" t="str">
            <v/>
          </cell>
          <cell r="Y11">
            <v>-7.468467044849298</v>
          </cell>
          <cell r="Z11">
            <v>-11.508140984818908</v>
          </cell>
          <cell r="AD11">
            <v>99</v>
          </cell>
          <cell r="AG11">
            <v>-1.9599610823206604</v>
          </cell>
          <cell r="AH11">
            <v>1.9599610823206604</v>
          </cell>
        </row>
        <row r="12">
          <cell r="J12" t="str">
            <v/>
          </cell>
          <cell r="X12" t="str">
            <v/>
          </cell>
          <cell r="Y12">
            <v>0.86023252670426276</v>
          </cell>
          <cell r="Z12">
            <v>-1.7249976466819334</v>
          </cell>
          <cell r="AD12">
            <v>99</v>
          </cell>
          <cell r="AG12">
            <v>-1.9599610823206604</v>
          </cell>
          <cell r="AH12">
            <v>1.9599610823206604</v>
          </cell>
        </row>
        <row r="13">
          <cell r="J13" t="str">
            <v/>
          </cell>
          <cell r="X13" t="str">
            <v/>
          </cell>
          <cell r="Y13">
            <v>-5.5</v>
          </cell>
          <cell r="Z13">
            <v>-8.7663529218515048</v>
          </cell>
          <cell r="AD13">
            <v>99</v>
          </cell>
          <cell r="AG13">
            <v>-1.9599610823206604</v>
          </cell>
          <cell r="AH13">
            <v>1.9599610823206604</v>
          </cell>
        </row>
        <row r="14">
          <cell r="J14" t="str">
            <v/>
          </cell>
          <cell r="X14" t="str">
            <v/>
          </cell>
          <cell r="Y14">
            <v>0.56124860801609122</v>
          </cell>
          <cell r="Z14">
            <v>-2.0400148510238649</v>
          </cell>
          <cell r="AD14">
            <v>99</v>
          </cell>
          <cell r="AG14">
            <v>-1.9599610823206604</v>
          </cell>
          <cell r="AH14">
            <v>1.9599610823206604</v>
          </cell>
        </row>
        <row r="15">
          <cell r="J15" t="str">
            <v/>
          </cell>
          <cell r="X15" t="str">
            <v/>
          </cell>
          <cell r="Y15">
            <v>-8.7988181024498964</v>
          </cell>
          <cell r="Z15">
            <v>-14.305166454732417</v>
          </cell>
          <cell r="AD15">
            <v>99</v>
          </cell>
          <cell r="AG15">
            <v>-1.9599610823206604</v>
          </cell>
          <cell r="AH15">
            <v>1.9599610823206604</v>
          </cell>
        </row>
        <row r="18">
          <cell r="F18">
            <v>0.21258064516129035</v>
          </cell>
          <cell r="G18">
            <v>93</v>
          </cell>
          <cell r="J18">
            <v>6.4758069505082153E-3</v>
          </cell>
          <cell r="X18">
            <v>2.050053500482051</v>
          </cell>
          <cell r="Y18">
            <v>2.050053500482051</v>
          </cell>
          <cell r="Z18">
            <v>6.2450420626312016E-2</v>
          </cell>
          <cell r="AD18">
            <v>95</v>
          </cell>
          <cell r="AG18">
            <v>6.7835189912517135E-2</v>
          </cell>
          <cell r="AH18">
            <v>4.0322718110515847</v>
          </cell>
        </row>
        <row r="21">
          <cell r="F21">
            <v>0.28999999999999998</v>
          </cell>
          <cell r="G21">
            <v>20</v>
          </cell>
          <cell r="J21">
            <v>-0.16134486253742089</v>
          </cell>
          <cell r="X21">
            <v>1.2969194269498781</v>
          </cell>
          <cell r="Y21">
            <v>1.2969194269498781</v>
          </cell>
          <cell r="Z21">
            <v>-0.72155616090806463</v>
          </cell>
          <cell r="AD21">
            <v>95</v>
          </cell>
          <cell r="AG21">
            <v>-0.70594902578960328</v>
          </cell>
          <cell r="AH21">
            <v>3.2997878796893594</v>
          </cell>
        </row>
        <row r="24">
          <cell r="F24">
            <v>0.226283185840708</v>
          </cell>
          <cell r="G24">
            <v>113</v>
          </cell>
          <cell r="J24">
            <v>3.9052158357914923E-2</v>
          </cell>
          <cell r="X24">
            <v>2.4054232604568586</v>
          </cell>
          <cell r="Y24">
            <v>2.4054232604568586</v>
          </cell>
          <cell r="Z24">
            <v>0.41513013764663981</v>
          </cell>
          <cell r="AD24">
            <v>95</v>
          </cell>
          <cell r="AG24">
            <v>0.42031005189371018</v>
          </cell>
          <cell r="AH24">
            <v>4.3905364690200068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Helen Lab Data"/>
      <sheetName val="MA Original units"/>
      <sheetName val="MA  Standardised units"/>
      <sheetName val="ESCI-ITRIP extra-11.5.2"/>
    </sheetNames>
    <sheetDataSet>
      <sheetData sheetId="0"/>
      <sheetData sheetId="1"/>
      <sheetData sheetId="2"/>
      <sheetData sheetId="3">
        <row r="2">
          <cell r="K2">
            <v>95</v>
          </cell>
          <cell r="AC2">
            <v>113</v>
          </cell>
          <cell r="AE2">
            <v>1.9599610823206604</v>
          </cell>
        </row>
        <row r="3">
          <cell r="Z3">
            <v>4.6779348061853909E-6</v>
          </cell>
          <cell r="AA3">
            <v>-9.5532981197465894E-4</v>
          </cell>
          <cell r="AC3">
            <v>2.4054232604568586</v>
          </cell>
          <cell r="AE3">
            <v>-1.9599610823206604</v>
          </cell>
        </row>
        <row r="4">
          <cell r="Z4">
            <v>0.41513013764663981</v>
          </cell>
          <cell r="AA4">
            <v>4.3850819595639061</v>
          </cell>
        </row>
        <row r="6">
          <cell r="F6">
            <v>0.73</v>
          </cell>
          <cell r="G6">
            <v>10</v>
          </cell>
          <cell r="J6">
            <v>1.1351177968749451E-2</v>
          </cell>
          <cell r="X6">
            <v>2.3084626919229172</v>
          </cell>
          <cell r="Y6">
            <v>2.3084626919229172</v>
          </cell>
          <cell r="Z6">
            <v>3.5895576507171872E-2</v>
          </cell>
          <cell r="AD6">
            <v>95</v>
          </cell>
          <cell r="AG6">
            <v>7.7156056463527634E-2</v>
          </cell>
          <cell r="AH6">
            <v>4.5397693273823068</v>
          </cell>
        </row>
        <row r="7">
          <cell r="F7">
            <v>0.3</v>
          </cell>
          <cell r="G7">
            <v>25</v>
          </cell>
          <cell r="J7">
            <v>-0.10394770742568882</v>
          </cell>
          <cell r="X7">
            <v>1.5</v>
          </cell>
          <cell r="Y7">
            <v>1.5</v>
          </cell>
          <cell r="Z7">
            <v>-0.51973853712844409</v>
          </cell>
          <cell r="AD7">
            <v>95</v>
          </cell>
          <cell r="AG7">
            <v>-0.50537160974194295</v>
          </cell>
          <cell r="AH7">
            <v>3.505371609741943</v>
          </cell>
        </row>
        <row r="8">
          <cell r="F8">
            <v>-0.27</v>
          </cell>
          <cell r="G8">
            <v>18</v>
          </cell>
          <cell r="J8">
            <v>-0.7368428415108017</v>
          </cell>
          <cell r="X8">
            <v>-1.145512985522207</v>
          </cell>
          <cell r="Y8">
            <v>-1.145512985522207</v>
          </cell>
          <cell r="Z8">
            <v>-3.126159419406314</v>
          </cell>
          <cell r="AD8">
            <v>95</v>
          </cell>
          <cell r="AG8">
            <v>-3.1429375069518581</v>
          </cell>
          <cell r="AH8">
            <v>0.85191153590744384</v>
          </cell>
        </row>
        <row r="9">
          <cell r="F9">
            <v>0.61</v>
          </cell>
          <cell r="G9">
            <v>9</v>
          </cell>
          <cell r="J9">
            <v>-0.12187168281461391</v>
          </cell>
          <cell r="X9">
            <v>1.83</v>
          </cell>
          <cell r="Y9">
            <v>1.83</v>
          </cell>
          <cell r="Z9">
            <v>-0.36561504844384174</v>
          </cell>
          <cell r="AD9">
            <v>95</v>
          </cell>
          <cell r="AG9">
            <v>-0.32533904602769681</v>
          </cell>
          <cell r="AH9">
            <v>3.985339046027697</v>
          </cell>
        </row>
        <row r="10">
          <cell r="F10">
            <v>0.14000000000000001</v>
          </cell>
          <cell r="G10">
            <v>31</v>
          </cell>
          <cell r="J10">
            <v>-0.21493173914990332</v>
          </cell>
          <cell r="X10">
            <v>0.77948701079620308</v>
          </cell>
          <cell r="Y10">
            <v>0.77948701079620308</v>
          </cell>
          <cell r="Z10">
            <v>-1.1966892776799098</v>
          </cell>
          <cell r="AD10">
            <v>95</v>
          </cell>
          <cell r="AG10">
            <v>-1.1903730101181318</v>
          </cell>
          <cell r="AH10">
            <v>2.749347031710538</v>
          </cell>
        </row>
        <row r="11">
          <cell r="J11" t="str">
            <v/>
          </cell>
          <cell r="X11" t="str">
            <v/>
          </cell>
          <cell r="Y11">
            <v>-7.468467044849298</v>
          </cell>
          <cell r="Z11">
            <v>-11.508140984818908</v>
          </cell>
          <cell r="AD11">
            <v>99</v>
          </cell>
          <cell r="AG11">
            <v>-1.9599610823206604</v>
          </cell>
          <cell r="AH11">
            <v>1.9599610823206604</v>
          </cell>
        </row>
        <row r="12">
          <cell r="J12" t="str">
            <v/>
          </cell>
          <cell r="X12" t="str">
            <v/>
          </cell>
          <cell r="Y12">
            <v>0.86023252670426276</v>
          </cell>
          <cell r="Z12">
            <v>-1.7249976466819334</v>
          </cell>
          <cell r="AD12">
            <v>99</v>
          </cell>
          <cell r="AG12">
            <v>-1.9599610823206604</v>
          </cell>
          <cell r="AH12">
            <v>1.9599610823206604</v>
          </cell>
        </row>
        <row r="13">
          <cell r="J13" t="str">
            <v/>
          </cell>
          <cell r="X13" t="str">
            <v/>
          </cell>
          <cell r="Y13">
            <v>-5.5</v>
          </cell>
          <cell r="Z13">
            <v>-8.7663529218515048</v>
          </cell>
          <cell r="AD13">
            <v>99</v>
          </cell>
          <cell r="AG13">
            <v>-1.9599610823206604</v>
          </cell>
          <cell r="AH13">
            <v>1.9599610823206604</v>
          </cell>
        </row>
        <row r="14">
          <cell r="J14" t="str">
            <v/>
          </cell>
          <cell r="X14" t="str">
            <v/>
          </cell>
          <cell r="Y14">
            <v>0.56124860801609122</v>
          </cell>
          <cell r="Z14">
            <v>-2.0400148510238649</v>
          </cell>
          <cell r="AD14">
            <v>99</v>
          </cell>
          <cell r="AG14">
            <v>-1.9599610823206604</v>
          </cell>
          <cell r="AH14">
            <v>1.9599610823206604</v>
          </cell>
        </row>
        <row r="15">
          <cell r="J15" t="str">
            <v/>
          </cell>
          <cell r="X15" t="str">
            <v/>
          </cell>
          <cell r="Y15">
            <v>-8.7988181024498964</v>
          </cell>
          <cell r="Z15">
            <v>-14.305166454732417</v>
          </cell>
          <cell r="AD15">
            <v>99</v>
          </cell>
          <cell r="AG15">
            <v>-1.9599610823206604</v>
          </cell>
          <cell r="AH15">
            <v>1.9599610823206604</v>
          </cell>
        </row>
        <row r="18">
          <cell r="F18">
            <v>0.21258064516129035</v>
          </cell>
          <cell r="G18">
            <v>93</v>
          </cell>
          <cell r="J18">
            <v>6.4758069505082153E-3</v>
          </cell>
          <cell r="X18">
            <v>2.050053500482051</v>
          </cell>
          <cell r="Y18">
            <v>2.050053500482051</v>
          </cell>
          <cell r="Z18">
            <v>6.2450420626312016E-2</v>
          </cell>
          <cell r="AD18">
            <v>95</v>
          </cell>
          <cell r="AG18">
            <v>6.7835189912517135E-2</v>
          </cell>
          <cell r="AH18">
            <v>4.0322718110515847</v>
          </cell>
        </row>
        <row r="21">
          <cell r="F21">
            <v>0.28999999999999998</v>
          </cell>
          <cell r="G21">
            <v>20</v>
          </cell>
          <cell r="J21">
            <v>-0.16134486253742089</v>
          </cell>
          <cell r="X21">
            <v>1.2969194269498781</v>
          </cell>
          <cell r="Y21">
            <v>1.2969194269498781</v>
          </cell>
          <cell r="Z21">
            <v>-0.72155616090806463</v>
          </cell>
          <cell r="AD21">
            <v>95</v>
          </cell>
          <cell r="AG21">
            <v>-0.70594902578960328</v>
          </cell>
          <cell r="AH21">
            <v>3.2997878796893594</v>
          </cell>
        </row>
        <row r="24">
          <cell r="F24">
            <v>0.226283185840708</v>
          </cell>
          <cell r="G24">
            <v>113</v>
          </cell>
          <cell r="J24">
            <v>3.9052158357914923E-2</v>
          </cell>
          <cell r="X24">
            <v>2.4054232604568586</v>
          </cell>
          <cell r="Y24">
            <v>2.4054232604568586</v>
          </cell>
          <cell r="Z24">
            <v>0.41513013764663981</v>
          </cell>
          <cell r="AD24">
            <v>95</v>
          </cell>
          <cell r="AG24">
            <v>0.42031005189371018</v>
          </cell>
          <cell r="AH24">
            <v>4.3905364690200068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Two proportions"/>
      <sheetName val="Overlap two proportions"/>
      <sheetName val="Two correlations"/>
      <sheetName val="Overlap two correlations (n1)"/>
      <sheetName val="Overlap two correlations (r1)"/>
    </sheetNames>
    <sheetDataSet>
      <sheetData sheetId="0" refreshError="1"/>
      <sheetData sheetId="1">
        <row r="1">
          <cell r="AN1" t="b">
            <v>1</v>
          </cell>
        </row>
        <row r="2">
          <cell r="AN2" t="b">
            <v>0</v>
          </cell>
        </row>
        <row r="3">
          <cell r="AC3">
            <v>-7.9755464954534006E-4</v>
          </cell>
        </row>
        <row r="4">
          <cell r="O4" t="b">
            <v>0</v>
          </cell>
        </row>
        <row r="5">
          <cell r="AD5">
            <v>10</v>
          </cell>
          <cell r="AE5">
            <v>17</v>
          </cell>
          <cell r="AL5">
            <v>142.41180597655304</v>
          </cell>
        </row>
        <row r="6">
          <cell r="AD6">
            <v>28</v>
          </cell>
          <cell r="AE6">
            <v>21</v>
          </cell>
          <cell r="AL6" t="b">
            <v>1</v>
          </cell>
          <cell r="AO6" t="b">
            <v>0</v>
          </cell>
          <cell r="AT6" t="b">
            <v>0</v>
          </cell>
        </row>
        <row r="7">
          <cell r="AD7">
            <v>38</v>
          </cell>
          <cell r="AE7">
            <v>38</v>
          </cell>
        </row>
        <row r="8">
          <cell r="G8">
            <v>7</v>
          </cell>
          <cell r="I8">
            <v>13</v>
          </cell>
        </row>
        <row r="11">
          <cell r="G11">
            <v>1</v>
          </cell>
          <cell r="I11">
            <v>14</v>
          </cell>
        </row>
        <row r="13">
          <cell r="G13">
            <v>8</v>
          </cell>
          <cell r="I13">
            <v>27</v>
          </cell>
        </row>
        <row r="14">
          <cell r="R14" t="b">
            <v>0</v>
          </cell>
        </row>
        <row r="15">
          <cell r="R15">
            <v>1</v>
          </cell>
        </row>
        <row r="16">
          <cell r="R16" t="b">
            <v>0</v>
          </cell>
        </row>
        <row r="21">
          <cell r="P21" t="b">
            <v>1</v>
          </cell>
          <cell r="R21" t="b">
            <v>0</v>
          </cell>
        </row>
        <row r="22">
          <cell r="P22" t="b">
            <v>0</v>
          </cell>
          <cell r="R22" t="b">
            <v>0</v>
          </cell>
        </row>
        <row r="23">
          <cell r="R23" t="b">
            <v>1</v>
          </cell>
        </row>
      </sheetData>
      <sheetData sheetId="2">
        <row r="8">
          <cell r="N8">
            <v>0.21336654191202861</v>
          </cell>
          <cell r="V8">
            <v>0.5</v>
          </cell>
          <cell r="AI8">
            <v>9.6728998366657493E-5</v>
          </cell>
          <cell r="AL8">
            <v>95.838471303131683</v>
          </cell>
          <cell r="BB8">
            <v>-4.8278048225824932E-7</v>
          </cell>
          <cell r="BN8">
            <v>97.237717628478421</v>
          </cell>
          <cell r="CD8">
            <v>-8.6485427930327319E-5</v>
          </cell>
        </row>
        <row r="9">
          <cell r="N9">
            <v>0.3461826368421167</v>
          </cell>
          <cell r="V9">
            <v>0.5</v>
          </cell>
          <cell r="AI9">
            <v>6.1404425988342837E-7</v>
          </cell>
          <cell r="AL9">
            <v>95.493044483024946</v>
          </cell>
          <cell r="BB9">
            <v>-1.2056868392562592E-5</v>
          </cell>
          <cell r="BN9">
            <v>95.932524480790619</v>
          </cell>
          <cell r="CD9">
            <v>4.1422390406609111E-5</v>
          </cell>
        </row>
        <row r="10">
          <cell r="N10">
            <v>0.43767259385143015</v>
          </cell>
          <cell r="V10">
            <v>0.5</v>
          </cell>
          <cell r="AI10">
            <v>1.8311889671274173E-5</v>
          </cell>
          <cell r="AL10">
            <v>95.323143508031094</v>
          </cell>
          <cell r="BB10">
            <v>-1.5394654107048211E-5</v>
          </cell>
          <cell r="BN10">
            <v>96.054752391235837</v>
          </cell>
          <cell r="CD10">
            <v>1.4478324095179573E-6</v>
          </cell>
        </row>
        <row r="11">
          <cell r="N11">
            <v>0.5056919109821546</v>
          </cell>
          <cell r="V11">
            <v>0.55278640450004213</v>
          </cell>
          <cell r="AI11">
            <v>1.6678223269117609E-4</v>
          </cell>
          <cell r="AL11">
            <v>95.226667299117025</v>
          </cell>
          <cell r="BB11">
            <v>-1.3229565942740606E-5</v>
          </cell>
          <cell r="BN11">
            <v>96.573523159062248</v>
          </cell>
          <cell r="CD11">
            <v>-7.6629180778553518E-7</v>
          </cell>
        </row>
        <row r="12">
          <cell r="N12">
            <v>0.36545593191490638</v>
          </cell>
          <cell r="V12">
            <v>0.4250850428694703</v>
          </cell>
          <cell r="AI12">
            <v>5.8495369859024038E-4</v>
          </cell>
          <cell r="AL12">
            <v>95.565232242191385</v>
          </cell>
          <cell r="BB12">
            <v>-1.4448112206633112E-5</v>
          </cell>
          <cell r="BN12">
            <v>96.932028433774462</v>
          </cell>
          <cell r="CD12">
            <v>-2.7576589567424037E-5</v>
          </cell>
        </row>
        <row r="13">
          <cell r="N13">
            <v>0.42465824327395685</v>
          </cell>
          <cell r="V13">
            <v>0.4791783841336299</v>
          </cell>
          <cell r="AI13">
            <v>3.3077516281565522E-6</v>
          </cell>
          <cell r="AL13">
            <v>95.466232248111936</v>
          </cell>
          <cell r="BB13">
            <v>-1.9995326838717631E-5</v>
          </cell>
          <cell r="BN13">
            <v>97.275004122345237</v>
          </cell>
          <cell r="CD13">
            <v>-5.2024321089971792E-4</v>
          </cell>
        </row>
        <row r="14">
          <cell r="N14">
            <v>0.47373758294801233</v>
          </cell>
          <cell r="V14">
            <v>0.52144660940672627</v>
          </cell>
          <cell r="AI14">
            <v>-6.0260245682286495E-5</v>
          </cell>
          <cell r="AL14">
            <v>95.395278776063606</v>
          </cell>
          <cell r="BB14">
            <v>-2.2277946931659187E-5</v>
          </cell>
          <cell r="BN14">
            <v>96.132793160586615</v>
          </cell>
          <cell r="CD14">
            <v>1.2759243495086281E-5</v>
          </cell>
        </row>
        <row r="15">
          <cell r="N15">
            <v>0.51508846707363654</v>
          </cell>
          <cell r="V15">
            <v>0.55555555555555558</v>
          </cell>
          <cell r="AI15">
            <v>3.2287493179072868E-4</v>
          </cell>
          <cell r="AL15">
            <v>95.342452581777636</v>
          </cell>
          <cell r="BB15">
            <v>-2.2516352116142002E-5</v>
          </cell>
          <cell r="BN15">
            <v>96.871778790726808</v>
          </cell>
          <cell r="CD15">
            <v>-2.6591320645419358E-5</v>
          </cell>
        </row>
        <row r="16">
          <cell r="N16">
            <v>0.55040523426545984</v>
          </cell>
          <cell r="V16">
            <v>0.58377223398316214</v>
          </cell>
          <cell r="AI16">
            <v>6.2961783842130359E-4</v>
          </cell>
          <cell r="AL16">
            <v>95.301851588570216</v>
          </cell>
          <cell r="BB16">
            <v>-2.165868639991686E-5</v>
          </cell>
          <cell r="BN16">
            <v>96.165895262851123</v>
          </cell>
          <cell r="CD16">
            <v>2.6078248893668388E-5</v>
          </cell>
        </row>
        <row r="17">
          <cell r="N17">
            <v>0.58092036715804529</v>
          </cell>
          <cell r="V17">
            <v>0.60757956451314543</v>
          </cell>
          <cell r="AI17">
            <v>5.9686151510085494E-4</v>
          </cell>
          <cell r="AL17">
            <v>95.26981129395017</v>
          </cell>
          <cell r="BB17">
            <v>-2.0284741164555697E-5</v>
          </cell>
          <cell r="BN17">
            <v>95.556098455522076</v>
          </cell>
          <cell r="CD17">
            <v>-2.1279273343388638E-5</v>
          </cell>
        </row>
        <row r="18">
          <cell r="N18">
            <v>0.60755187811297529</v>
          </cell>
          <cell r="V18">
            <v>0.62799153207185365</v>
          </cell>
          <cell r="AI18">
            <v>3.6821080906523918E-4</v>
          </cell>
          <cell r="AL18">
            <v>95.243959570791475</v>
          </cell>
          <cell r="BB18">
            <v>-1.8720174577158133E-5</v>
          </cell>
          <cell r="BN18">
            <v>96.506393658871247</v>
          </cell>
          <cell r="CD18">
            <v>-7.4487743750850655E-7</v>
          </cell>
        </row>
        <row r="19">
          <cell r="N19">
            <v>0.63099759037829095</v>
          </cell>
          <cell r="V19">
            <v>0.64572682496430855</v>
          </cell>
          <cell r="AI19">
            <v>1.3690337308247535E-4</v>
          </cell>
          <cell r="AL19">
            <v>95.222706247308395</v>
          </cell>
          <cell r="BB19">
            <v>-1.7138748864553577E-5</v>
          </cell>
          <cell r="BN19">
            <v>96.10185615397252</v>
          </cell>
          <cell r="CD19">
            <v>8.4051239856997029E-6</v>
          </cell>
        </row>
        <row r="20">
          <cell r="N20">
            <v>0.65179743833502279</v>
          </cell>
          <cell r="V20">
            <v>0.66131018665900421</v>
          </cell>
          <cell r="AI20">
            <v>1.5273337372612161E-5</v>
          </cell>
          <cell r="AL20">
            <v>95.204952253641636</v>
          </cell>
          <cell r="BB20">
            <v>-1.5628026261982342E-5</v>
          </cell>
          <cell r="BN20">
            <v>95.744897615074407</v>
          </cell>
          <cell r="CD20">
            <v>-6.851721578993164E-6</v>
          </cell>
        </row>
        <row r="21">
          <cell r="N21">
            <v>0.67037575190999166</v>
          </cell>
          <cell r="V21">
            <v>0.67513444358617225</v>
          </cell>
          <cell r="AI21">
            <v>4.8274705344297786E-6</v>
          </cell>
          <cell r="AL21">
            <v>95.189917440914869</v>
          </cell>
          <cell r="BB21">
            <v>-1.4227890032803003E-5</v>
          </cell>
          <cell r="BN21">
            <v>95.428813295943925</v>
          </cell>
          <cell r="CD21">
            <v>-2.8518632122498389E-5</v>
          </cell>
        </row>
        <row r="22">
          <cell r="N22">
            <v>0.60438058636222736</v>
          </cell>
          <cell r="V22">
            <v>0.625</v>
          </cell>
          <cell r="AI22">
            <v>4.7133197667026394E-4</v>
          </cell>
          <cell r="AL22">
            <v>95.301222836665232</v>
          </cell>
          <cell r="BB22">
            <v>-2.1186658094585198E-5</v>
          </cell>
          <cell r="BN22">
            <v>95.316090134146435</v>
          </cell>
          <cell r="CD22">
            <v>-2.2033440794100301E-5</v>
          </cell>
        </row>
        <row r="23">
          <cell r="N23">
            <v>0.62312423374568993</v>
          </cell>
          <cell r="V23">
            <v>0.63981731614013759</v>
          </cell>
          <cell r="AI23">
            <v>2.7498559695970926E-4</v>
          </cell>
          <cell r="AL23">
            <v>95.284821768375735</v>
          </cell>
          <cell r="BB23">
            <v>-2.0320641891391489E-5</v>
          </cell>
          <cell r="BN23">
            <v>96.277449885776491</v>
          </cell>
          <cell r="CD23">
            <v>1.2338868971006889E-4</v>
          </cell>
        </row>
        <row r="24">
          <cell r="N24">
            <v>0.640179038332647</v>
          </cell>
          <cell r="V24">
            <v>0.65318662849337294</v>
          </cell>
          <cell r="AI24">
            <v>1.1305524316718163E-4</v>
          </cell>
          <cell r="AL24">
            <v>95.270527643298863</v>
          </cell>
          <cell r="BB24">
            <v>-1.9419202135217972E-5</v>
          </cell>
          <cell r="BN24">
            <v>95.996170020338255</v>
          </cell>
          <cell r="CD24">
            <v>3.2754676893009815E-4</v>
          </cell>
        </row>
        <row r="25">
          <cell r="N25">
            <v>0.65576234505675857</v>
          </cell>
          <cell r="V25">
            <v>0.66532110823470147</v>
          </cell>
          <cell r="AI25">
            <v>2.1492314261628565E-5</v>
          </cell>
          <cell r="AL25">
            <v>95.257966192977804</v>
          </cell>
          <cell r="BB25">
            <v>-1.8516186778283483E-5</v>
          </cell>
          <cell r="BN25">
            <v>95.739750817402012</v>
          </cell>
          <cell r="CD25">
            <v>-6.509950800648312E-6</v>
          </cell>
        </row>
        <row r="26">
          <cell r="N26">
            <v>0.67005594629896259</v>
          </cell>
          <cell r="V26">
            <v>0.67639320225002109</v>
          </cell>
          <cell r="AI26">
            <v>3.8397707236015322E-7</v>
          </cell>
          <cell r="AL26">
            <v>95.246845752880361</v>
          </cell>
          <cell r="BB26">
            <v>-1.7632768578579316E-5</v>
          </cell>
          <cell r="BN26">
            <v>95.505433864300429</v>
          </cell>
          <cell r="CD26">
            <v>-2.3293185075212719E-5</v>
          </cell>
        </row>
        <row r="27">
          <cell r="N27">
            <v>0.68321301439733206</v>
          </cell>
          <cell r="V27">
            <v>0.6865440145259124</v>
          </cell>
          <cell r="AI27">
            <v>1.6932824475901498E-5</v>
          </cell>
          <cell r="AL27">
            <v>95.236936122526657</v>
          </cell>
          <cell r="BB27">
            <v>-1.6781708855884148E-5</v>
          </cell>
          <cell r="BN27">
            <v>95.290798352695859</v>
          </cell>
          <cell r="CD27">
            <v>-2.0889489527053939E-5</v>
          </cell>
        </row>
        <row r="28">
          <cell r="N28">
            <v>0.69536348715856944</v>
          </cell>
          <cell r="V28">
            <v>0.69589019273529862</v>
          </cell>
          <cell r="AI28">
            <v>1.0653349313827221E-5</v>
          </cell>
          <cell r="AL28">
            <v>95.22805350613217</v>
          </cell>
          <cell r="BB28">
            <v>-1.5970221006744723E-5</v>
          </cell>
          <cell r="BN28">
            <v>96.238270799548545</v>
          </cell>
          <cell r="CD28">
            <v>7.6982681895820804E-5</v>
          </cell>
        </row>
        <row r="29">
          <cell r="N29">
            <v>0.70661830094833034</v>
          </cell>
          <cell r="V29">
            <v>0.70452906420379469</v>
          </cell>
          <cell r="AI29">
            <v>-3.2206077305030334E-5</v>
          </cell>
          <cell r="AL29">
            <v>95.22004870509933</v>
          </cell>
          <cell r="BB29">
            <v>-1.52017983756636E-5</v>
          </cell>
          <cell r="BN29">
            <v>96.074630532166708</v>
          </cell>
          <cell r="CD29">
            <v>3.9435438525803335E-6</v>
          </cell>
        </row>
        <row r="30">
          <cell r="N30">
            <v>0.7170727362520104</v>
          </cell>
          <cell r="V30">
            <v>0.71254252143473507</v>
          </cell>
          <cell r="AI30">
            <v>-2.2372308394746909E-5</v>
          </cell>
          <cell r="AL30">
            <v>95.212798465055627</v>
          </cell>
          <cell r="BB30">
            <v>-1.4477431198312019E-5</v>
          </cell>
          <cell r="BN30">
            <v>95.922921155706575</v>
          </cell>
          <cell r="CD30">
            <v>9.2194476414286797E-5</v>
          </cell>
        </row>
        <row r="31">
          <cell r="N31">
            <v>0.72680904366290455</v>
          </cell>
          <cell r="V31">
            <v>0.72</v>
          </cell>
          <cell r="AI31">
            <v>-8.826867015088169E-7</v>
          </cell>
          <cell r="AL31">
            <v>95.206202650377804</v>
          </cell>
          <cell r="BB31">
            <v>-1.3796737086124722E-5</v>
          </cell>
          <cell r="BN31">
            <v>95.782008268335417</v>
          </cell>
          <cell r="CD31">
            <v>-3.8033589611075058E-6</v>
          </cell>
        </row>
        <row r="32">
          <cell r="N32">
            <v>0.68454424196854025</v>
          </cell>
          <cell r="V32">
            <v>0.68849924947720054</v>
          </cell>
          <cell r="AI32">
            <v>1.679908379070838E-5</v>
          </cell>
          <cell r="AL32">
            <v>95.271626556121404</v>
          </cell>
          <cell r="BB32">
            <v>-1.7561224752160598E-5</v>
          </cell>
          <cell r="BN32">
            <v>95.712846524790294</v>
          </cell>
          <cell r="CD32">
            <v>-7.6275687432847405E-6</v>
          </cell>
        </row>
        <row r="33">
          <cell r="N33">
            <v>0.69459693030832115</v>
          </cell>
          <cell r="V33">
            <v>0.69643879915901352</v>
          </cell>
          <cell r="AI33">
            <v>2.7838708671623635E-5</v>
          </cell>
          <cell r="AL33">
            <v>95.264590209265066</v>
          </cell>
          <cell r="BB33">
            <v>-1.6990578916020738E-5</v>
          </cell>
          <cell r="BN33">
            <v>95.558060565221467</v>
          </cell>
          <cell r="CD33">
            <v>-1.8229552339876776E-5</v>
          </cell>
        </row>
        <row r="34">
          <cell r="N34">
            <v>0.70403097213211008</v>
          </cell>
          <cell r="V34">
            <v>0.70387490635252936</v>
          </cell>
          <cell r="AI34">
            <v>-5.3229715080149731E-6</v>
          </cell>
          <cell r="AL34">
            <v>95.258124650283193</v>
          </cell>
          <cell r="BB34">
            <v>-1.6437564198668042E-5</v>
          </cell>
          <cell r="BN34">
            <v>95.413142984155215</v>
          </cell>
          <cell r="CD34">
            <v>-2.245733315975329E-5</v>
          </cell>
        </row>
        <row r="35">
          <cell r="N35">
            <v>0.71290153939905387</v>
          </cell>
          <cell r="V35">
            <v>0.71085638596087919</v>
          </cell>
          <cell r="AI35">
            <v>-4.3082776512992638E-5</v>
          </cell>
          <cell r="AL35">
            <v>95.252163526131483</v>
          </cell>
          <cell r="BB35">
            <v>-1.5904023237256482E-5</v>
          </cell>
          <cell r="BN35">
            <v>95.277246975875158</v>
          </cell>
          <cell r="CD35">
            <v>-1.7593507595226043E-5</v>
          </cell>
        </row>
        <row r="36">
          <cell r="N36">
            <v>0.72125746608357033</v>
          </cell>
          <cell r="V36">
            <v>0.71742581416494466</v>
          </cell>
          <cell r="AI36">
            <v>-3.9848968069744473E-5</v>
          </cell>
          <cell r="AL36">
            <v>95.24665007226362</v>
          </cell>
          <cell r="BB36">
            <v>-1.5390942048609801E-5</v>
          </cell>
          <cell r="BN36">
            <v>96.167017019687023</v>
          </cell>
          <cell r="CD36">
            <v>2.3936434861981937E-5</v>
          </cell>
        </row>
        <row r="37">
          <cell r="N37">
            <v>0.7291421184118545</v>
          </cell>
          <cell r="V37">
            <v>0.72362050442483794</v>
          </cell>
          <cell r="AI37">
            <v>-1.7005971297834321E-5</v>
          </cell>
          <cell r="AL37">
            <v>95.241536379907728</v>
          </cell>
          <cell r="BB37">
            <v>-1.4898764832960154E-5</v>
          </cell>
          <cell r="BN37">
            <v>96.058316797618545</v>
          </cell>
          <cell r="CD37">
            <v>2.172082874674075E-6</v>
          </cell>
        </row>
        <row r="38">
          <cell r="N38">
            <v>0.73659414202062556</v>
          </cell>
          <cell r="V38">
            <v>0.72947330470336313</v>
          </cell>
          <cell r="AI38">
            <v>-2.5244900614396215E-7</v>
          </cell>
          <cell r="AL38">
            <v>95.236781204532036</v>
          </cell>
          <cell r="BB38">
            <v>-1.4427507993852728E-5</v>
          </cell>
          <cell r="BN38">
            <v>95.955659967245978</v>
          </cell>
          <cell r="CD38">
            <v>3.6487436683163565E-6</v>
          </cell>
        </row>
        <row r="39">
          <cell r="N39">
            <v>0.74364808432950247</v>
          </cell>
          <cell r="V39">
            <v>0.73501325313521115</v>
          </cell>
          <cell r="AI39">
            <v>-1.8600488482789501E-5</v>
          </cell>
          <cell r="AL39">
            <v>95.232348864603694</v>
          </cell>
          <cell r="BB39">
            <v>-1.3976887647260128E-5</v>
          </cell>
          <cell r="BN39">
            <v>95.858509831949831</v>
          </cell>
          <cell r="CD39">
            <v>7.9693246696210807E-4</v>
          </cell>
        </row>
        <row r="40">
          <cell r="N40">
            <v>0.75033492151200032</v>
          </cell>
          <cell r="V40">
            <v>0.7402661207398441</v>
          </cell>
          <cell r="AI40">
            <v>-1.0351209212000612E-4</v>
          </cell>
          <cell r="AL40">
            <v>95.228208348972657</v>
          </cell>
          <cell r="BB40">
            <v>-1.3546413768494858E-5</v>
          </cell>
          <cell r="BN40">
            <v>95.766686930518077</v>
          </cell>
          <cell r="CD40">
            <v>-4.0483894570009227E-6</v>
          </cell>
        </row>
        <row r="41">
          <cell r="N41">
            <v>0.7566825065911833</v>
          </cell>
          <cell r="V41">
            <v>0.7452548633400109</v>
          </cell>
          <cell r="AI41">
            <v>-2.8816508679252451E-4</v>
          </cell>
          <cell r="AL41">
            <v>95.224332588605151</v>
          </cell>
          <cell r="BB41">
            <v>-1.313545924808146E-5</v>
          </cell>
          <cell r="BN41">
            <v>95.679570217441466</v>
          </cell>
          <cell r="CD41">
            <v>-9.3255590194463167E-6</v>
          </cell>
        </row>
        <row r="42">
          <cell r="N42">
            <v>0.72590733555911169</v>
          </cell>
          <cell r="V42">
            <v>0.72222222222222221</v>
          </cell>
          <cell r="AI42">
            <v>-5.2438687947464757E-5</v>
          </cell>
          <cell r="AL42">
            <v>95.269931959536422</v>
          </cell>
          <cell r="BB42">
            <v>-1.5340326064983145E-5</v>
          </cell>
          <cell r="BN42">
            <v>95.663660099114296</v>
          </cell>
          <cell r="CD42">
            <v>-9.8051818053779272E-6</v>
          </cell>
        </row>
        <row r="43">
          <cell r="N43">
            <v>0.7324924616724543</v>
          </cell>
          <cell r="V43">
            <v>0.72749290458653459</v>
          </cell>
          <cell r="AI43">
            <v>-3.2512486980440514E-5</v>
          </cell>
          <cell r="AL43">
            <v>95.265859195615164</v>
          </cell>
          <cell r="BB43">
            <v>-1.496957793833964E-5</v>
          </cell>
          <cell r="BN43">
            <v>95.569328531545281</v>
          </cell>
          <cell r="CD43">
            <v>-1.5424434451905E-5</v>
          </cell>
        </row>
        <row r="44">
          <cell r="N44">
            <v>0.73876957378649477</v>
          </cell>
          <cell r="V44">
            <v>0.73251542097450062</v>
          </cell>
          <cell r="AI44">
            <v>-9.9106838846729772E-6</v>
          </cell>
          <cell r="AL44">
            <v>95.262026192217775</v>
          </cell>
          <cell r="BB44">
            <v>-1.4610660376002116E-5</v>
          </cell>
          <cell r="BN44">
            <v>95.479515800442712</v>
          </cell>
          <cell r="CD44">
            <v>-1.8896438025439721E-5</v>
          </cell>
        </row>
        <row r="45">
          <cell r="N45">
            <v>0.74475971067018765</v>
          </cell>
          <cell r="V45">
            <v>0.73730774363081031</v>
          </cell>
          <cell r="AI45">
            <v>-7.0209671410026431E-8</v>
          </cell>
          <cell r="AL45">
            <v>95.258412739954466</v>
          </cell>
          <cell r="BB45">
            <v>-1.426358858802601E-5</v>
          </cell>
          <cell r="BN45">
            <v>95.393921319974723</v>
          </cell>
          <cell r="CD45">
            <v>-1.9356925534674829E-5</v>
          </cell>
        </row>
        <row r="46">
          <cell r="N46">
            <v>0.75048204513129047</v>
          </cell>
          <cell r="V46">
            <v>0.74188611699158102</v>
          </cell>
          <cell r="AI46">
            <v>-1.968928997619912E-5</v>
          </cell>
          <cell r="AL46">
            <v>95.255000882461687</v>
          </cell>
          <cell r="BB46">
            <v>-1.3928267039720055E-5</v>
          </cell>
          <cell r="BN46">
            <v>95.312268552678546</v>
          </cell>
          <cell r="CD46">
            <v>-1.6943823372139732E-5</v>
          </cell>
        </row>
        <row r="47">
          <cell r="N47">
            <v>0.75595408545164455</v>
          </cell>
          <cell r="V47">
            <v>0.74626526250163783</v>
          </cell>
          <cell r="AI47">
            <v>-8.642004900583089E-5</v>
          </cell>
          <cell r="AL47">
            <v>95.251774615560208</v>
          </cell>
          <cell r="BB47">
            <v>-1.3604513321441303E-5</v>
          </cell>
          <cell r="BN47">
            <v>96.137642459921651</v>
          </cell>
          <cell r="CD47">
            <v>1.2385305697693028E-5</v>
          </cell>
        </row>
        <row r="48">
          <cell r="N48">
            <v>0.76119185142035506</v>
          </cell>
          <cell r="V48">
            <v>0.75045855479981283</v>
          </cell>
          <cell r="AI48">
            <v>-2.1860209098445438E-4</v>
          </cell>
          <cell r="AL48">
            <v>95.248719632776314</v>
          </cell>
          <cell r="BB48">
            <v>-1.3292084627414269E-5</v>
          </cell>
          <cell r="BN48">
            <v>96.069806477047905</v>
          </cell>
          <cell r="CD48">
            <v>2.6337062253301013E-6</v>
          </cell>
        </row>
        <row r="49">
          <cell r="N49">
            <v>0.76621002860132903</v>
          </cell>
          <cell r="V49">
            <v>0.75447817385344185</v>
          </cell>
          <cell r="AI49">
            <v>-4.3503343166717556E-4</v>
          </cell>
          <cell r="AL49">
            <v>95.245823109171411</v>
          </cell>
          <cell r="BB49">
            <v>-1.299069610216641E-5</v>
          </cell>
          <cell r="BN49">
            <v>96.004793895678276</v>
          </cell>
          <cell r="CD49">
            <v>3.1391342403264133E-4</v>
          </cell>
        </row>
        <row r="50">
          <cell r="N50">
            <v>0.77102210389310466</v>
          </cell>
          <cell r="V50">
            <v>0.7583352368020273</v>
          </cell>
          <cell r="AI50">
            <v>-7.5477504762888614E-4</v>
          </cell>
          <cell r="AL50">
            <v>95.243073516974292</v>
          </cell>
          <cell r="BB50">
            <v>-1.2700027918199908E-5</v>
          </cell>
          <cell r="BN50">
            <v>95.942543502805279</v>
          </cell>
          <cell r="CD50">
            <v>5.1817218849059543E-6</v>
          </cell>
        </row>
        <row r="51">
          <cell r="N51">
            <v>0.77564060513051258</v>
          </cell>
          <cell r="V51">
            <v>0.76203991261112514</v>
          </cell>
          <cell r="AI51">
            <v>-2.4415358623741668E-8</v>
          </cell>
          <cell r="AL51">
            <v>95.240444834145151</v>
          </cell>
          <cell r="BB51">
            <v>-1.2418785361179019E-5</v>
          </cell>
          <cell r="BN51">
            <v>95.882746836800635</v>
          </cell>
          <cell r="CD51">
            <v>3.7605120001282799E-4</v>
          </cell>
        </row>
        <row r="52">
          <cell r="N52">
            <v>0.75157574796483695</v>
          </cell>
          <cell r="V52">
            <v>0.74386239167118973</v>
          </cell>
          <cell r="AI52">
            <v>-1.0867295952010636E-6</v>
          </cell>
          <cell r="AL52">
            <v>95.27499725654539</v>
          </cell>
          <cell r="BB52">
            <v>-1.3822988198519681E-5</v>
          </cell>
          <cell r="BN52">
            <v>95.907291502672237</v>
          </cell>
          <cell r="CD52">
            <v>1.5502662115141064E-4</v>
          </cell>
        </row>
        <row r="53">
          <cell r="N53">
            <v>0.75636724270243139</v>
          </cell>
          <cell r="V53">
            <v>0.74775202977870114</v>
          </cell>
          <cell r="AI53">
            <v>-2.2427580237405209E-5</v>
          </cell>
          <cell r="AL53">
            <v>95.272275644250584</v>
          </cell>
          <cell r="BB53">
            <v>-1.3562267253686144E-5</v>
          </cell>
          <cell r="BN53">
            <v>95.843361477024558</v>
          </cell>
          <cell r="CD53">
            <v>8.5490551260392067E-4</v>
          </cell>
        </row>
        <row r="54">
          <cell r="N54">
            <v>0.76097790401279564</v>
          </cell>
          <cell r="V54">
            <v>0.75149576603592694</v>
          </cell>
          <cell r="AI54">
            <v>-7.9341022030110508E-5</v>
          </cell>
          <cell r="AL54">
            <v>95.269680129694777</v>
          </cell>
          <cell r="BB54">
            <v>-1.3308894680763572E-5</v>
          </cell>
          <cell r="BN54">
            <v>95.782051944385927</v>
          </cell>
          <cell r="CD54">
            <v>-2.6730491708981674E-6</v>
          </cell>
        </row>
        <row r="55">
          <cell r="N55">
            <v>0.76541774657170802</v>
          </cell>
          <cell r="V55">
            <v>0.75510204081632648</v>
          </cell>
          <cell r="AI55">
            <v>-1.8290331760262291E-4</v>
          </cell>
          <cell r="AL55">
            <v>95.267202402076563</v>
          </cell>
          <cell r="BB55">
            <v>-1.3062753462245169E-5</v>
          </cell>
          <cell r="BN55">
            <v>95.722932626142807</v>
          </cell>
          <cell r="CD55">
            <v>-5.2899848945742178E-6</v>
          </cell>
        </row>
        <row r="56">
          <cell r="N56">
            <v>0.7696960614439744</v>
          </cell>
          <cell r="V56">
            <v>0.75857864376269046</v>
          </cell>
          <cell r="AI56">
            <v>-3.4439893698001711E-4</v>
          </cell>
          <cell r="AL56">
            <v>95.264834891209404</v>
          </cell>
          <cell r="BB56">
            <v>-1.2823705097808613E-5</v>
          </cell>
          <cell r="BN56">
            <v>95.665988821298356</v>
          </cell>
          <cell r="CD56">
            <v>-8.2546882662626331E-6</v>
          </cell>
        </row>
        <row r="57">
          <cell r="N57">
            <v>0.78344498426074005</v>
          </cell>
          <cell r="V57">
            <v>0.77090055512641942</v>
          </cell>
          <cell r="AI57">
            <v>-9.9484738264044026E-4</v>
          </cell>
          <cell r="AL57">
            <v>95.274460928409127</v>
          </cell>
          <cell r="BB57">
            <v>-1.1930092344569765E-5</v>
          </cell>
          <cell r="BN57">
            <v>95.291735004976346</v>
          </cell>
          <cell r="CD57">
            <v>-1.2657133716120761E-5</v>
          </cell>
        </row>
        <row r="58">
          <cell r="N58">
            <v>0.80206133771475663</v>
          </cell>
          <cell r="V58">
            <v>0.78819660112501055</v>
          </cell>
          <cell r="AI58">
            <v>-8.547068608422137E-8</v>
          </cell>
          <cell r="AL58">
            <v>95.291634257052749</v>
          </cell>
          <cell r="BB58">
            <v>-1.0537094155549376E-5</v>
          </cell>
          <cell r="BN58">
            <v>95.662193813615644</v>
          </cell>
          <cell r="CD58">
            <v>-6.3264301713994442E-6</v>
          </cell>
        </row>
        <row r="59">
          <cell r="N59">
            <v>0.81427580606728323</v>
          </cell>
          <cell r="V59">
            <v>0.8</v>
          </cell>
          <cell r="AI59">
            <v>-1.7642659555505702E-7</v>
          </cell>
          <cell r="AL59">
            <v>95.306034545509945</v>
          </cell>
          <cell r="BB59">
            <v>-9.4856881377447522E-6</v>
          </cell>
          <cell r="BN59">
            <v>95.504933365607371</v>
          </cell>
          <cell r="CD59">
            <v>-1.016051842661625E-5</v>
          </cell>
        </row>
        <row r="60">
          <cell r="N60">
            <v>0.84274249594503481</v>
          </cell>
          <cell r="V60">
            <v>0.8292893218813453</v>
          </cell>
          <cell r="AI60">
            <v>-3.5162966982582589E-7</v>
          </cell>
          <cell r="AL60">
            <v>95.352194870679782</v>
          </cell>
          <cell r="BB60">
            <v>-6.550271984540057E-6</v>
          </cell>
          <cell r="BN60">
            <v>95.697798191375654</v>
          </cell>
          <cell r="CD60">
            <v>-2.6414479145642211E-6</v>
          </cell>
        </row>
        <row r="61">
          <cell r="N61">
            <v>0.86568979149854175</v>
          </cell>
          <cell r="V61">
            <v>0.85527864045000423</v>
          </cell>
          <cell r="AI61">
            <v>-4.1301850828290299E-8</v>
          </cell>
          <cell r="AL61">
            <v>95.4070785096973</v>
          </cell>
          <cell r="BB61">
            <v>-3.7672357316997918E-6</v>
          </cell>
          <cell r="BN61">
            <v>95.608165358377519</v>
          </cell>
          <cell r="CD61">
            <v>-2.5152851468313031E-6</v>
          </cell>
        </row>
        <row r="62">
          <cell r="N62">
            <v>0.8764126942769026</v>
          </cell>
          <cell r="V62">
            <v>0.86837722339831624</v>
          </cell>
          <cell r="AI62">
            <v>-3.1431188513009189E-4</v>
          </cell>
          <cell r="AL62">
            <v>95.44018616695098</v>
          </cell>
          <cell r="BB62">
            <v>-2.4430618361659384E-6</v>
          </cell>
          <cell r="BN62">
            <v>95.507569810664222</v>
          </cell>
          <cell r="CD62">
            <v>-2.254442261345746E-6</v>
          </cell>
        </row>
        <row r="63">
          <cell r="N63">
            <v>0.88365512437912996</v>
          </cell>
          <cell r="V63">
            <v>0.87763932022500213</v>
          </cell>
          <cell r="AI63">
            <v>2.1965107510624193E-7</v>
          </cell>
          <cell r="AL63">
            <v>95.464884371095607</v>
          </cell>
          <cell r="BB63">
            <v>7.8731407391133268E-4</v>
          </cell>
          <cell r="BN63">
            <v>95.656129564336027</v>
          </cell>
          <cell r="CD63">
            <v>4.5057802987996665E-4</v>
          </cell>
        </row>
        <row r="64">
          <cell r="N64">
            <v>0.8898481992551821</v>
          </cell>
          <cell r="V64">
            <v>0.88585786437626912</v>
          </cell>
          <cell r="AI64">
            <v>1.1774778929662943E-6</v>
          </cell>
          <cell r="AL64">
            <v>95.489365764452998</v>
          </cell>
          <cell r="BB64">
            <v>4.5764384150326354E-4</v>
          </cell>
          <cell r="BN64">
            <v>95.587331318523255</v>
          </cell>
          <cell r="CD64">
            <v>3.5814341251515225E-4</v>
          </cell>
        </row>
        <row r="65">
          <cell r="N65">
            <v>0.89288721965212603</v>
          </cell>
          <cell r="V65">
            <v>0.89</v>
          </cell>
          <cell r="AI65">
            <v>1.9561378072907587E-6</v>
          </cell>
          <cell r="AL65">
            <v>95.502283423525896</v>
          </cell>
          <cell r="BB65">
            <v>3.0872219333125811E-4</v>
          </cell>
          <cell r="BN65">
            <v>95.562576271671702</v>
          </cell>
          <cell r="CD65">
            <v>2.6707916777734403E-4</v>
          </cell>
        </row>
        <row r="66">
          <cell r="N66">
            <v>0.89685796469616708</v>
          </cell>
          <cell r="V66">
            <v>0.8955278640450004</v>
          </cell>
          <cell r="AI66">
            <v>1.1779688335877836E-8</v>
          </cell>
          <cell r="AL66">
            <v>95.520123649589195</v>
          </cell>
          <cell r="BB66">
            <v>1.2898232259464168E-4</v>
          </cell>
          <cell r="BN66">
            <v>95.551285532801472</v>
          </cell>
          <cell r="CD66">
            <v>1.1950670335313454E-4</v>
          </cell>
        </row>
        <row r="67">
          <cell r="N67">
            <v>0.89778472858831571</v>
          </cell>
          <cell r="V67">
            <v>0.89683772233983161</v>
          </cell>
          <cell r="AI67">
            <v>-7.2278300677908192E-5</v>
          </cell>
          <cell r="AL67">
            <v>95.524452019591735</v>
          </cell>
          <cell r="BB67">
            <v>8.9661811452854123E-5</v>
          </cell>
          <cell r="BN67">
            <v>95.537822464132205</v>
          </cell>
          <cell r="CD67">
            <v>8.6854117676161274E-5</v>
          </cell>
        </row>
      </sheetData>
      <sheetData sheetId="3" refreshError="1"/>
      <sheetData sheetId="4">
        <row r="5">
          <cell r="O5">
            <v>2.2464975198956886E-3</v>
          </cell>
          <cell r="P5">
            <v>0.1</v>
          </cell>
          <cell r="T5">
            <v>2.1333351492652072E-6</v>
          </cell>
        </row>
        <row r="6">
          <cell r="O6">
            <v>0.15614771340562014</v>
          </cell>
          <cell r="P6">
            <v>0.1</v>
          </cell>
          <cell r="T6">
            <v>-3.0626747912028031E-9</v>
          </cell>
        </row>
        <row r="7">
          <cell r="O7">
            <v>0.26547702079491642</v>
          </cell>
          <cell r="P7">
            <v>0.1</v>
          </cell>
          <cell r="T7">
            <v>-2.7288276168925297E-8</v>
          </cell>
        </row>
        <row r="8">
          <cell r="O8">
            <v>0.34611598930645104</v>
          </cell>
          <cell r="P8">
            <v>0.1</v>
          </cell>
          <cell r="T8">
            <v>-1.9613527804090779E-4</v>
          </cell>
        </row>
        <row r="9">
          <cell r="O9">
            <v>0.40765166463428731</v>
          </cell>
          <cell r="P9">
            <v>0.1</v>
          </cell>
          <cell r="T9">
            <v>1.8086086925862547E-7</v>
          </cell>
        </row>
        <row r="10">
          <cell r="O10">
            <v>0.45599050022073773</v>
          </cell>
          <cell r="P10">
            <v>0.1</v>
          </cell>
          <cell r="T10">
            <v>2.8170056274984185E-8</v>
          </cell>
        </row>
        <row r="11">
          <cell r="O11">
            <v>0.49489838337610453</v>
          </cell>
          <cell r="P11">
            <v>0.1</v>
          </cell>
          <cell r="T11">
            <v>2.6409663953375197E-6</v>
          </cell>
        </row>
        <row r="12">
          <cell r="O12">
            <v>0.52686273184147492</v>
          </cell>
          <cell r="P12">
            <v>0.1</v>
          </cell>
          <cell r="T12">
            <v>4.0109800469349366E-5</v>
          </cell>
        </row>
        <row r="13">
          <cell r="O13">
            <v>0.55358117444763277</v>
          </cell>
          <cell r="P13">
            <v>0.1</v>
          </cell>
          <cell r="T13">
            <v>2.7746322682274167E-4</v>
          </cell>
        </row>
        <row r="14">
          <cell r="O14">
            <v>0.57624670718419402</v>
          </cell>
          <cell r="P14">
            <v>0.1</v>
          </cell>
          <cell r="T14">
            <v>-1.9580877202761085E-8</v>
          </cell>
        </row>
        <row r="15">
          <cell r="O15">
            <v>0.5957197214723936</v>
          </cell>
          <cell r="P15">
            <v>0.1</v>
          </cell>
          <cell r="T15">
            <v>-1.3600110142006783E-7</v>
          </cell>
        </row>
        <row r="16">
          <cell r="O16">
            <v>0.61263501241997753</v>
          </cell>
          <cell r="P16">
            <v>0.1</v>
          </cell>
          <cell r="T16">
            <v>-6.7737264761200952E-7</v>
          </cell>
        </row>
        <row r="17">
          <cell r="O17">
            <v>0.62747049149721046</v>
          </cell>
          <cell r="P17">
            <v>0.1</v>
          </cell>
          <cell r="T17">
            <v>-2.6403988931948297E-6</v>
          </cell>
        </row>
        <row r="18">
          <cell r="O18">
            <v>0.64059244537263926</v>
          </cell>
          <cell r="P18">
            <v>0.1</v>
          </cell>
          <cell r="T18">
            <v>-8.5321535792569818E-6</v>
          </cell>
        </row>
        <row r="19">
          <cell r="O19">
            <v>0.65228611306817785</v>
          </cell>
          <cell r="P19">
            <v>0.1</v>
          </cell>
          <cell r="T19">
            <v>-2.3787818987975515E-5</v>
          </cell>
        </row>
        <row r="20">
          <cell r="O20">
            <v>0.66277680528503335</v>
          </cell>
          <cell r="P20">
            <v>0.1</v>
          </cell>
          <cell r="T20">
            <v>-5.8893473000918008E-5</v>
          </cell>
        </row>
        <row r="21">
          <cell r="O21">
            <v>0.67224478755895822</v>
          </cell>
          <cell r="P21">
            <v>0.1</v>
          </cell>
          <cell r="T21">
            <v>-1.3228119478413204E-4</v>
          </cell>
        </row>
        <row r="22">
          <cell r="O22">
            <v>0.68083596151008352</v>
          </cell>
          <cell r="P22">
            <v>0.1</v>
          </cell>
          <cell r="T22">
            <v>-2.739911382532705E-4</v>
          </cell>
        </row>
        <row r="23">
          <cell r="O23">
            <v>0.68866966324050227</v>
          </cell>
          <cell r="P23">
            <v>0.1</v>
          </cell>
          <cell r="T23">
            <v>-1.9538729061631077E-4</v>
          </cell>
        </row>
        <row r="24">
          <cell r="O24">
            <v>0.69584442424734838</v>
          </cell>
          <cell r="P24">
            <v>0.1</v>
          </cell>
          <cell r="T24">
            <v>-1.0114103010044206E-4</v>
          </cell>
        </row>
        <row r="25">
          <cell r="O25">
            <v>0.70244231704815341</v>
          </cell>
          <cell r="P25">
            <v>0.1</v>
          </cell>
          <cell r="T25">
            <v>-4.5932133260865803E-5</v>
          </cell>
        </row>
        <row r="26">
          <cell r="O26">
            <v>0.70853225123940455</v>
          </cell>
          <cell r="P26">
            <v>0.1</v>
          </cell>
          <cell r="T26">
            <v>-1.746407673205417E-5</v>
          </cell>
        </row>
        <row r="27">
          <cell r="O27">
            <v>0.71417250981536873</v>
          </cell>
          <cell r="P27">
            <v>0.1</v>
          </cell>
          <cell r="T27">
            <v>-5.1107751718880667E-6</v>
          </cell>
        </row>
        <row r="28">
          <cell r="O28">
            <v>0.71941272255881028</v>
          </cell>
          <cell r="P28">
            <v>0.1</v>
          </cell>
          <cell r="T28">
            <v>-9.6892534214367794E-7</v>
          </cell>
        </row>
        <row r="29">
          <cell r="O29">
            <v>0.72429541611632897</v>
          </cell>
          <cell r="P29">
            <v>0.1</v>
          </cell>
          <cell r="T29">
            <v>-7.6001218892975885E-8</v>
          </cell>
        </row>
        <row r="30">
          <cell r="O30">
            <v>0.7288572443010054</v>
          </cell>
          <cell r="P30">
            <v>0.1</v>
          </cell>
          <cell r="T30">
            <v>1.3316297630082744E-4</v>
          </cell>
        </row>
        <row r="31">
          <cell r="O31">
            <v>0.73312996140313547</v>
          </cell>
          <cell r="P31">
            <v>0.1</v>
          </cell>
          <cell r="T31">
            <v>-1.4619907448708137E-4</v>
          </cell>
        </row>
        <row r="32">
          <cell r="O32">
            <v>0.7371412370581728</v>
          </cell>
          <cell r="P32">
            <v>0.1</v>
          </cell>
          <cell r="T32">
            <v>8.138243364070884E-8</v>
          </cell>
        </row>
        <row r="33">
          <cell r="O33">
            <v>0.74091526793824825</v>
          </cell>
          <cell r="P33">
            <v>0.1</v>
          </cell>
          <cell r="T33">
            <v>1.0388385887394152E-6</v>
          </cell>
        </row>
        <row r="34">
          <cell r="O34">
            <v>0.7444733269145406</v>
          </cell>
          <cell r="P34">
            <v>0.1</v>
          </cell>
          <cell r="T34">
            <v>5.5562450753906147E-6</v>
          </cell>
        </row>
        <row r="35">
          <cell r="O35">
            <v>0.74783418598797446</v>
          </cell>
          <cell r="P35">
            <v>0.1</v>
          </cell>
          <cell r="T35">
            <v>1.9396232657885381E-5</v>
          </cell>
        </row>
        <row r="36">
          <cell r="O36">
            <v>0.75101447595725568</v>
          </cell>
          <cell r="P36">
            <v>0.1</v>
          </cell>
          <cell r="T36">
            <v>5.2484611116384535E-5</v>
          </cell>
        </row>
        <row r="37">
          <cell r="O37">
            <v>0.75402898457838041</v>
          </cell>
          <cell r="P37">
            <v>0.1</v>
          </cell>
          <cell r="T37">
            <v>1.1985649153122992E-4</v>
          </cell>
        </row>
        <row r="38">
          <cell r="O38">
            <v>0.75689090619244825</v>
          </cell>
          <cell r="P38">
            <v>0.1</v>
          </cell>
          <cell r="T38">
            <v>2.4244747633743813E-4</v>
          </cell>
        </row>
        <row r="39">
          <cell r="O39">
            <v>0.75961205179259528</v>
          </cell>
          <cell r="P39">
            <v>0.1</v>
          </cell>
          <cell r="T39">
            <v>4.4772519752546251E-4</v>
          </cell>
        </row>
        <row r="40">
          <cell r="O40">
            <v>0.76220302665615114</v>
          </cell>
          <cell r="P40">
            <v>0.1</v>
          </cell>
          <cell r="T40">
            <v>7.7016401574741427E-4</v>
          </cell>
        </row>
        <row r="41">
          <cell r="O41">
            <v>0.7646733704063835</v>
          </cell>
          <cell r="P41">
            <v>0.1</v>
          </cell>
          <cell r="T41">
            <v>-2.1773481806254664E-8</v>
          </cell>
        </row>
        <row r="42">
          <cell r="O42">
            <v>0.76703172344557957</v>
          </cell>
          <cell r="P42">
            <v>0.1</v>
          </cell>
          <cell r="T42">
            <v>-4.3835048707345803E-8</v>
          </cell>
        </row>
        <row r="43">
          <cell r="O43">
            <v>0.76928588716582003</v>
          </cell>
          <cell r="P43">
            <v>0.1</v>
          </cell>
          <cell r="T43">
            <v>-8.2879775101869042E-8</v>
          </cell>
        </row>
        <row r="44">
          <cell r="O44">
            <v>0.77144294879077879</v>
          </cell>
          <cell r="P44">
            <v>0.1</v>
          </cell>
          <cell r="T44">
            <v>-1.4872977211587723E-7</v>
          </cell>
        </row>
        <row r="45">
          <cell r="O45">
            <v>0.7735093564589518</v>
          </cell>
          <cell r="P45">
            <v>0.1</v>
          </cell>
          <cell r="T45">
            <v>-2.550454306092611E-7</v>
          </cell>
        </row>
        <row r="46">
          <cell r="O46">
            <v>0.77549099016684331</v>
          </cell>
          <cell r="P46">
            <v>0.1</v>
          </cell>
          <cell r="T46">
            <v>-4.2051669925400289E-7</v>
          </cell>
        </row>
        <row r="47">
          <cell r="O47">
            <v>0.77739322343851591</v>
          </cell>
          <cell r="P47">
            <v>0.1</v>
          </cell>
          <cell r="T47">
            <v>-6.6997260226905236E-7</v>
          </cell>
        </row>
        <row r="48">
          <cell r="O48">
            <v>0.77922097710735605</v>
          </cell>
          <cell r="P48">
            <v>0.1</v>
          </cell>
          <cell r="T48">
            <v>-1.0354995489710686E-6</v>
          </cell>
        </row>
        <row r="49">
          <cell r="O49">
            <v>0.78097876636410191</v>
          </cell>
          <cell r="P49">
            <v>0.1</v>
          </cell>
          <cell r="T49">
            <v>-1.5579153654420933E-6</v>
          </cell>
        </row>
        <row r="50">
          <cell r="O50">
            <v>0.78267074203608822</v>
          </cell>
          <cell r="P50">
            <v>0.1</v>
          </cell>
          <cell r="T50">
            <v>-2.2881355828905635E-6</v>
          </cell>
        </row>
        <row r="51">
          <cell r="O51">
            <v>0.78430072690772279</v>
          </cell>
          <cell r="P51">
            <v>0.1</v>
          </cell>
          <cell r="T51">
            <v>-3.2884302514679822E-6</v>
          </cell>
        </row>
        <row r="52">
          <cell r="O52">
            <v>0.79163536754344477</v>
          </cell>
          <cell r="P52">
            <v>0.1</v>
          </cell>
          <cell r="T52">
            <v>-1.5526106484149172E-5</v>
          </cell>
        </row>
        <row r="53">
          <cell r="O53">
            <v>0.79785207171072992</v>
          </cell>
          <cell r="P53">
            <v>0.1</v>
          </cell>
          <cell r="T53">
            <v>-5.3194575798683153E-5</v>
          </cell>
        </row>
        <row r="54">
          <cell r="O54">
            <v>0.81559717333831783</v>
          </cell>
          <cell r="P54">
            <v>0.1</v>
          </cell>
          <cell r="T54">
            <v>-1.6758018532284119E-8</v>
          </cell>
        </row>
        <row r="55">
          <cell r="O55">
            <v>0.82689105435422161</v>
          </cell>
          <cell r="P55">
            <v>0.1</v>
          </cell>
          <cell r="T55">
            <v>-3.4617711753656717E-7</v>
          </cell>
        </row>
        <row r="56">
          <cell r="O56">
            <v>0.85225452825384918</v>
          </cell>
          <cell r="P56">
            <v>0.1</v>
          </cell>
          <cell r="T56">
            <v>2.1738251978977202E-5</v>
          </cell>
        </row>
        <row r="57">
          <cell r="O57">
            <v>0.97149580275269876</v>
          </cell>
          <cell r="P57">
            <v>0.1</v>
          </cell>
          <cell r="T57">
            <v>-59570.943078685741</v>
          </cell>
        </row>
        <row r="58">
          <cell r="O58">
            <v>0.88078326602797985</v>
          </cell>
          <cell r="P58">
            <v>0.1</v>
          </cell>
          <cell r="T58">
            <v>-1.1970723591149677E-7</v>
          </cell>
        </row>
        <row r="59">
          <cell r="O59">
            <v>0.88674437075187518</v>
          </cell>
          <cell r="P59">
            <v>0.1</v>
          </cell>
          <cell r="T59">
            <v>-1.6935227395022663E-7</v>
          </cell>
        </row>
        <row r="60">
          <cell r="O60">
            <v>0.89179816603788431</v>
          </cell>
          <cell r="P60">
            <v>0.1</v>
          </cell>
          <cell r="T60">
            <v>1.5461677762578351E-4</v>
          </cell>
        </row>
        <row r="61">
          <cell r="O61">
            <v>0.89426398292303033</v>
          </cell>
          <cell r="P61">
            <v>0.1</v>
          </cell>
          <cell r="T61">
            <v>-1.1828020761543812E-5</v>
          </cell>
        </row>
        <row r="62">
          <cell r="O62">
            <v>0.89597545581485749</v>
          </cell>
          <cell r="P62">
            <v>0.1</v>
          </cell>
          <cell r="T62">
            <v>-1.3383219906380339E-5</v>
          </cell>
        </row>
        <row r="63">
          <cell r="O63">
            <v>0.90360910432122932</v>
          </cell>
          <cell r="P63">
            <v>0.1</v>
          </cell>
          <cell r="T63">
            <v>-9346.1746031440998</v>
          </cell>
        </row>
        <row r="64">
          <cell r="O64">
            <v>0.90427230149469373</v>
          </cell>
          <cell r="P64">
            <v>0.1</v>
          </cell>
          <cell r="T64">
            <v>-29175.701597439664</v>
          </cell>
        </row>
      </sheetData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Sampling"/>
      <sheetName val="Noncentral t"/>
      <sheetName val="d picture"/>
      <sheetName val="d heap"/>
      <sheetName val="CI for d"/>
      <sheetName val="Power picture"/>
      <sheetName val="Power two"/>
      <sheetName val="Power paired"/>
      <sheetName val="Precision one"/>
      <sheetName val="Precision two"/>
      <sheetName val="Precision paired"/>
    </sheetNames>
    <sheetDataSet>
      <sheetData sheetId="0"/>
      <sheetData sheetId="1">
        <row r="3">
          <cell r="D3">
            <v>0.18207042371964122</v>
          </cell>
          <cell r="E3">
            <v>1.1842495882606923</v>
          </cell>
        </row>
        <row r="4">
          <cell r="D4">
            <v>0.18207042371964122</v>
          </cell>
          <cell r="E4">
            <v>1.1842495882606923</v>
          </cell>
          <cell r="BD4" t="b">
            <v>1</v>
          </cell>
        </row>
        <row r="5">
          <cell r="D5">
            <v>0.36691075258405342</v>
          </cell>
          <cell r="E5">
            <v>0.86569399800064639</v>
          </cell>
        </row>
        <row r="6">
          <cell r="D6">
            <v>0.27740365683729951</v>
          </cell>
          <cell r="E6">
            <v>1.2759383866208682</v>
          </cell>
        </row>
        <row r="7">
          <cell r="D7">
            <v>0.2156857726390311</v>
          </cell>
          <cell r="E7">
            <v>0.87129598883557291</v>
          </cell>
        </row>
        <row r="8">
          <cell r="D8">
            <v>-0.11286583847542975</v>
          </cell>
          <cell r="E8">
            <v>0.41781020657489654</v>
          </cell>
        </row>
        <row r="9">
          <cell r="D9">
            <v>-0.73806511970298283</v>
          </cell>
          <cell r="E9">
            <v>0.8659356140527088</v>
          </cell>
        </row>
        <row r="10">
          <cell r="D10">
            <v>-0.42808079872658594</v>
          </cell>
          <cell r="E10">
            <v>0.34956043454023877</v>
          </cell>
          <cell r="G10">
            <v>15</v>
          </cell>
          <cell r="H10">
            <v>15</v>
          </cell>
        </row>
        <row r="11">
          <cell r="D11">
            <v>-1.217840733648686E-2</v>
          </cell>
          <cell r="E11">
            <v>0.44339872344834647</v>
          </cell>
          <cell r="H11">
            <v>6</v>
          </cell>
        </row>
        <row r="12">
          <cell r="D12">
            <v>0.92605715266764432</v>
          </cell>
          <cell r="E12">
            <v>0.93207847199046512</v>
          </cell>
          <cell r="H12">
            <v>0.13460200879076822</v>
          </cell>
        </row>
        <row r="13">
          <cell r="D13">
            <v>-6.9923141592838897E-2</v>
          </cell>
          <cell r="E13">
            <v>1.4572980639191329</v>
          </cell>
          <cell r="H13">
            <v>65</v>
          </cell>
        </row>
        <row r="14">
          <cell r="D14">
            <v>-0.86506421767719377</v>
          </cell>
          <cell r="E14">
            <v>0.77067032962606397</v>
          </cell>
        </row>
        <row r="15">
          <cell r="D15">
            <v>0.32076939844516095</v>
          </cell>
          <cell r="E15">
            <v>0.83328333326873816</v>
          </cell>
        </row>
        <row r="16">
          <cell r="D16">
            <v>-0.38217223829402225</v>
          </cell>
          <cell r="E16">
            <v>0.86129789846414773</v>
          </cell>
        </row>
        <row r="17">
          <cell r="D17">
            <v>0.22031388668462012</v>
          </cell>
          <cell r="E17">
            <v>0.9854893167286114</v>
          </cell>
          <cell r="T17">
            <v>22</v>
          </cell>
        </row>
        <row r="18">
          <cell r="D18">
            <v>0.34813578880811097</v>
          </cell>
          <cell r="E18">
            <v>0.4392255384130927</v>
          </cell>
        </row>
        <row r="19">
          <cell r="D19">
            <v>-0.74210831929784205</v>
          </cell>
          <cell r="E19">
            <v>1.160173911399913</v>
          </cell>
        </row>
        <row r="20">
          <cell r="D20">
            <v>0.14649406031913559</v>
          </cell>
          <cell r="E20">
            <v>1.0484320705255816</v>
          </cell>
        </row>
        <row r="21">
          <cell r="D21">
            <v>0.62819252743450138</v>
          </cell>
          <cell r="E21">
            <v>1.2577999122789945</v>
          </cell>
        </row>
        <row r="22">
          <cell r="D22">
            <v>-0.21177999055068142</v>
          </cell>
          <cell r="E22">
            <v>0.77693460798460878</v>
          </cell>
        </row>
        <row r="23">
          <cell r="D23">
            <v>0.12228503167440256</v>
          </cell>
          <cell r="E23">
            <v>0.69141044643098226</v>
          </cell>
        </row>
        <row r="24">
          <cell r="D24">
            <v>-0.23343048977745981</v>
          </cell>
          <cell r="E24">
            <v>1.1303356988228144</v>
          </cell>
        </row>
        <row r="25">
          <cell r="D25">
            <v>0.25928298108114251</v>
          </cell>
          <cell r="E25">
            <v>1.5791898303178715</v>
          </cell>
        </row>
      </sheetData>
      <sheetData sheetId="2"/>
      <sheetData sheetId="3"/>
      <sheetData sheetId="4">
        <row r="3">
          <cell r="A3">
            <v>-0.3169006291995648</v>
          </cell>
          <cell r="B3">
            <v>0.94732396651817885</v>
          </cell>
        </row>
        <row r="4">
          <cell r="A4">
            <v>-0.3169006291995648</v>
          </cell>
          <cell r="B4">
            <v>0.94732396651817885</v>
          </cell>
          <cell r="BD4" t="b">
            <v>1</v>
          </cell>
        </row>
        <row r="5">
          <cell r="A5">
            <v>-8.7956469973054785E-2</v>
          </cell>
          <cell r="B5">
            <v>1.1362676683487154</v>
          </cell>
        </row>
        <row r="6">
          <cell r="A6">
            <v>0.1563010368887191</v>
          </cell>
          <cell r="B6">
            <v>1.1966053438191797</v>
          </cell>
        </row>
        <row r="7">
          <cell r="A7">
            <v>1.5892994826436468E-2</v>
          </cell>
          <cell r="B7">
            <v>1.0129372152547882</v>
          </cell>
        </row>
        <row r="8">
          <cell r="A8">
            <v>-0.16552481284308329</v>
          </cell>
          <cell r="B8">
            <v>0.81566336747215429</v>
          </cell>
        </row>
        <row r="9">
          <cell r="A9">
            <v>-0.26629267476213209</v>
          </cell>
          <cell r="B9">
            <v>0.97098989093420418</v>
          </cell>
        </row>
        <row r="10">
          <cell r="A10">
            <v>7.619177521996863E-2</v>
          </cell>
          <cell r="B10">
            <v>0.84054120496348217</v>
          </cell>
          <cell r="D10">
            <v>15</v>
          </cell>
          <cell r="E10">
            <v>15</v>
          </cell>
        </row>
        <row r="11">
          <cell r="A11">
            <v>-0.72079796405842866</v>
          </cell>
          <cell r="B11">
            <v>1.5179460320147899</v>
          </cell>
          <cell r="E11">
            <v>6</v>
          </cell>
        </row>
        <row r="12">
          <cell r="A12">
            <v>0.213917678645831</v>
          </cell>
          <cell r="B12">
            <v>0.90345680487931801</v>
          </cell>
          <cell r="E12">
            <v>1.1080015429488999E-2</v>
          </cell>
        </row>
        <row r="13">
          <cell r="A13">
            <v>-0.80170134537631432</v>
          </cell>
          <cell r="B13">
            <v>0.79644513962423757</v>
          </cell>
          <cell r="E13">
            <v>130</v>
          </cell>
        </row>
        <row r="14">
          <cell r="A14">
            <v>0.37817997018059307</v>
          </cell>
          <cell r="B14">
            <v>0.36148100556345403</v>
          </cell>
        </row>
        <row r="15">
          <cell r="A15">
            <v>-0.16107922762829463</v>
          </cell>
          <cell r="B15">
            <v>1.5911262238682802</v>
          </cell>
        </row>
        <row r="16">
          <cell r="A16">
            <v>0.44422870541852416</v>
          </cell>
          <cell r="B16">
            <v>1.0925954643949072</v>
          </cell>
        </row>
        <row r="17">
          <cell r="A17">
            <v>9.4017598078569353E-2</v>
          </cell>
          <cell r="B17">
            <v>1.1076932892482383</v>
          </cell>
        </row>
        <row r="18">
          <cell r="A18">
            <v>-0.18334818258322572</v>
          </cell>
          <cell r="B18">
            <v>0.75459014833700788</v>
          </cell>
          <cell r="N18">
            <v>137</v>
          </cell>
        </row>
        <row r="19">
          <cell r="A19">
            <v>-4.7110100729597724E-2</v>
          </cell>
          <cell r="B19">
            <v>0.7888494633977593</v>
          </cell>
        </row>
        <row r="20">
          <cell r="A20">
            <v>-0.31260424136696718</v>
          </cell>
          <cell r="B20">
            <v>0.2642112171134362</v>
          </cell>
        </row>
        <row r="21">
          <cell r="A21">
            <v>0.27728842829624706</v>
          </cell>
          <cell r="B21">
            <v>1.168918216952185</v>
          </cell>
        </row>
        <row r="22">
          <cell r="A22">
            <v>-0.20281097678782048</v>
          </cell>
          <cell r="B22">
            <v>0.42044998004928946</v>
          </cell>
        </row>
        <row r="23">
          <cell r="A23">
            <v>-0.24960976257929768</v>
          </cell>
          <cell r="B23">
            <v>1.2285237128948256</v>
          </cell>
        </row>
        <row r="24">
          <cell r="A24">
            <v>-0.17779053504443154</v>
          </cell>
          <cell r="B24">
            <v>0.80420753040075477</v>
          </cell>
        </row>
        <row r="25">
          <cell r="A25">
            <v>0.44157684422546195</v>
          </cell>
          <cell r="B25">
            <v>1.6691119350576493</v>
          </cell>
        </row>
        <row r="26">
          <cell r="A26">
            <v>-0.2050707497683896</v>
          </cell>
          <cell r="B26">
            <v>0.13458877071237646</v>
          </cell>
        </row>
        <row r="27">
          <cell r="A27">
            <v>-0.66837767777151968</v>
          </cell>
          <cell r="B27">
            <v>0.7997726371171513</v>
          </cell>
        </row>
        <row r="28">
          <cell r="A28">
            <v>-0.61172452619449524</v>
          </cell>
          <cell r="B28">
            <v>0.66199551802011025</v>
          </cell>
        </row>
        <row r="29">
          <cell r="A29">
            <v>0.18478756338599656</v>
          </cell>
          <cell r="B29">
            <v>1.0408971080775686</v>
          </cell>
        </row>
        <row r="30">
          <cell r="A30">
            <v>0.46440572269108787</v>
          </cell>
          <cell r="B30">
            <v>0.83613138766717543</v>
          </cell>
        </row>
        <row r="31">
          <cell r="A31">
            <v>0.21929014518009296</v>
          </cell>
          <cell r="B31">
            <v>0.797312576243566</v>
          </cell>
        </row>
        <row r="32">
          <cell r="A32">
            <v>0.29491099762554912</v>
          </cell>
          <cell r="B32">
            <v>0.66599754613261486</v>
          </cell>
        </row>
        <row r="33">
          <cell r="A33">
            <v>-0.19179599513681755</v>
          </cell>
          <cell r="B33">
            <v>0.96851195211078123</v>
          </cell>
        </row>
        <row r="34">
          <cell r="A34">
            <v>0.36078517950272948</v>
          </cell>
          <cell r="B34">
            <v>0.60475617567857931</v>
          </cell>
        </row>
        <row r="35">
          <cell r="A35">
            <v>0.14002666514737103</v>
          </cell>
          <cell r="B35">
            <v>1.1059129109165884</v>
          </cell>
        </row>
        <row r="36">
          <cell r="A36">
            <v>1.273864773482189E-2</v>
          </cell>
          <cell r="B36">
            <v>0.4307273348261606</v>
          </cell>
        </row>
        <row r="37">
          <cell r="A37">
            <v>0.20439523092252454</v>
          </cell>
          <cell r="B37">
            <v>1.2512471051427285</v>
          </cell>
        </row>
        <row r="38">
          <cell r="A38">
            <v>2.4441910755492197E-2</v>
          </cell>
          <cell r="B38">
            <v>1.2919218490128055</v>
          </cell>
        </row>
        <row r="39">
          <cell r="A39">
            <v>-0.49795082599836987</v>
          </cell>
          <cell r="B39">
            <v>0.67419282458118901</v>
          </cell>
        </row>
        <row r="40">
          <cell r="A40">
            <v>0.67988802012665817</v>
          </cell>
          <cell r="B40">
            <v>0.4884308081687681</v>
          </cell>
        </row>
        <row r="41">
          <cell r="A41">
            <v>-0.84657323490621794</v>
          </cell>
          <cell r="B41">
            <v>1.3054493438294792</v>
          </cell>
        </row>
        <row r="42">
          <cell r="A42">
            <v>0.49353944788582554</v>
          </cell>
          <cell r="B42">
            <v>1.6282022193636116</v>
          </cell>
        </row>
        <row r="43">
          <cell r="A43">
            <v>0.15857844676026395</v>
          </cell>
          <cell r="B43">
            <v>0.88697288324896983</v>
          </cell>
        </row>
        <row r="44">
          <cell r="A44">
            <v>-0.28236799902795434</v>
          </cell>
          <cell r="B44">
            <v>0.86451693432613941</v>
          </cell>
        </row>
        <row r="45">
          <cell r="A45">
            <v>-0.44659087736918396</v>
          </cell>
          <cell r="B45">
            <v>0.90577058759824813</v>
          </cell>
        </row>
        <row r="46">
          <cell r="A46">
            <v>9.8670741730626996E-2</v>
          </cell>
          <cell r="B46">
            <v>1.1408241279475466</v>
          </cell>
        </row>
        <row r="47">
          <cell r="A47">
            <v>-0.49946738312472744</v>
          </cell>
          <cell r="B47">
            <v>1.4164261547183412</v>
          </cell>
        </row>
        <row r="48">
          <cell r="A48">
            <v>9.700898818629422E-2</v>
          </cell>
          <cell r="B48">
            <v>0.61615441959859929</v>
          </cell>
        </row>
        <row r="49">
          <cell r="A49">
            <v>9.6151700925271991E-2</v>
          </cell>
          <cell r="B49">
            <v>1.0187627517312328</v>
          </cell>
        </row>
        <row r="50">
          <cell r="A50">
            <v>-0.47788336944764914</v>
          </cell>
          <cell r="B50">
            <v>1.3324787793993116</v>
          </cell>
        </row>
        <row r="51">
          <cell r="A51">
            <v>0.27916756667360493</v>
          </cell>
          <cell r="B51">
            <v>0.96132507882867668</v>
          </cell>
        </row>
        <row r="52">
          <cell r="A52">
            <v>-0.3954381950570276</v>
          </cell>
          <cell r="B52">
            <v>0.73609051432772854</v>
          </cell>
        </row>
        <row r="53">
          <cell r="A53">
            <v>-0.35491763120425962</v>
          </cell>
          <cell r="B53">
            <v>0.75365938048234804</v>
          </cell>
        </row>
        <row r="54">
          <cell r="A54">
            <v>-0.21115562567084281</v>
          </cell>
          <cell r="B54">
            <v>0.53873282095058239</v>
          </cell>
        </row>
        <row r="55">
          <cell r="A55">
            <v>-0.25307760955634373</v>
          </cell>
          <cell r="B55">
            <v>0.98401910667305903</v>
          </cell>
        </row>
        <row r="56">
          <cell r="A56">
            <v>0.25815583097323191</v>
          </cell>
          <cell r="B56">
            <v>0.90979293785908322</v>
          </cell>
        </row>
        <row r="57">
          <cell r="A57">
            <v>-6.4416622820249361E-2</v>
          </cell>
          <cell r="B57">
            <v>0.81923316884387543</v>
          </cell>
        </row>
        <row r="58">
          <cell r="A58">
            <v>7.0603243745282263E-2</v>
          </cell>
          <cell r="B58">
            <v>1.2898287879043699</v>
          </cell>
        </row>
        <row r="59">
          <cell r="A59">
            <v>-0.23112843146955364</v>
          </cell>
          <cell r="B59">
            <v>1.2300051822322018</v>
          </cell>
        </row>
        <row r="60">
          <cell r="A60">
            <v>0.50056421801451145</v>
          </cell>
          <cell r="B60">
            <v>0.72489347115703906</v>
          </cell>
        </row>
        <row r="61">
          <cell r="A61">
            <v>-0.46245152594315925</v>
          </cell>
          <cell r="B61">
            <v>1.0279008830162024</v>
          </cell>
        </row>
        <row r="62">
          <cell r="A62">
            <v>0.50412423929820405</v>
          </cell>
          <cell r="B62">
            <v>0.99710029024462343</v>
          </cell>
        </row>
        <row r="63">
          <cell r="A63">
            <v>-0.16198216355744904</v>
          </cell>
          <cell r="B63">
            <v>0.84280653045720211</v>
          </cell>
        </row>
        <row r="64">
          <cell r="A64">
            <v>0.47611885302000934</v>
          </cell>
          <cell r="B64">
            <v>1.1305753873246671</v>
          </cell>
        </row>
        <row r="65">
          <cell r="A65">
            <v>4.0591789352682449E-2</v>
          </cell>
          <cell r="B65">
            <v>0.52908877538574328</v>
          </cell>
        </row>
        <row r="66">
          <cell r="A66">
            <v>0.35599508058903545</v>
          </cell>
          <cell r="B66">
            <v>1.2284864059966629</v>
          </cell>
        </row>
        <row r="67">
          <cell r="A67">
            <v>-0.62622693162597587</v>
          </cell>
          <cell r="B67">
            <v>0.8691192581479672</v>
          </cell>
        </row>
        <row r="68">
          <cell r="A68">
            <v>6.8908085029389984E-2</v>
          </cell>
          <cell r="B68">
            <v>1.2821251184003304</v>
          </cell>
        </row>
        <row r="69">
          <cell r="A69">
            <v>-0.38517761107472875</v>
          </cell>
          <cell r="B69">
            <v>0.75868940935735552</v>
          </cell>
        </row>
        <row r="70">
          <cell r="A70">
            <v>-0.84950406315782867</v>
          </cell>
          <cell r="B70">
            <v>0.68447555740508859</v>
          </cell>
        </row>
        <row r="71">
          <cell r="A71">
            <v>0.60010219883849902</v>
          </cell>
          <cell r="B71">
            <v>1.3746725792322299</v>
          </cell>
        </row>
        <row r="72">
          <cell r="A72">
            <v>-0.26486287168897721</v>
          </cell>
          <cell r="B72">
            <v>1.039938262021447</v>
          </cell>
        </row>
        <row r="73">
          <cell r="A73">
            <v>0.73040006463101859</v>
          </cell>
          <cell r="B73">
            <v>1.5612448946740207</v>
          </cell>
        </row>
        <row r="74">
          <cell r="A74">
            <v>2.4990341317216835E-2</v>
          </cell>
          <cell r="B74">
            <v>0.51486828070051849</v>
          </cell>
        </row>
        <row r="75">
          <cell r="A75">
            <v>-0.83820083007318313</v>
          </cell>
          <cell r="B75">
            <v>1.006575357745954</v>
          </cell>
        </row>
        <row r="76">
          <cell r="A76">
            <v>-0.20967487948619581</v>
          </cell>
          <cell r="B76">
            <v>1.0948637547049824</v>
          </cell>
        </row>
        <row r="77">
          <cell r="A77">
            <v>4.0405480254379622E-2</v>
          </cell>
          <cell r="B77">
            <v>0.91904059692043083</v>
          </cell>
        </row>
        <row r="78">
          <cell r="A78">
            <v>0.50604546807954864</v>
          </cell>
          <cell r="B78">
            <v>1.2538871545952626</v>
          </cell>
        </row>
        <row r="79">
          <cell r="A79">
            <v>-0.17803492856737901</v>
          </cell>
          <cell r="B79">
            <v>1.0188524238326908</v>
          </cell>
        </row>
        <row r="80">
          <cell r="A80">
            <v>0.55951343115065111</v>
          </cell>
          <cell r="B80">
            <v>1.0203161722890903</v>
          </cell>
        </row>
        <row r="81">
          <cell r="A81">
            <v>-0.29518493629192544</v>
          </cell>
          <cell r="B81">
            <v>1.380205136014093</v>
          </cell>
        </row>
        <row r="82">
          <cell r="A82">
            <v>-0.19865378590798377</v>
          </cell>
          <cell r="B82">
            <v>0.91767317250130009</v>
          </cell>
        </row>
        <row r="83">
          <cell r="A83">
            <v>-0.1521751600886814</v>
          </cell>
          <cell r="B83">
            <v>0.83950026916635223</v>
          </cell>
        </row>
        <row r="84">
          <cell r="A84">
            <v>3.2040959407536297E-2</v>
          </cell>
          <cell r="B84">
            <v>0.94086629208965755</v>
          </cell>
        </row>
        <row r="85">
          <cell r="A85">
            <v>0.56971732619777471</v>
          </cell>
          <cell r="B85">
            <v>0.7382156822370225</v>
          </cell>
        </row>
        <row r="86">
          <cell r="A86">
            <v>0.27188369071406987</v>
          </cell>
          <cell r="B86">
            <v>0.89599240353547682</v>
          </cell>
        </row>
        <row r="87">
          <cell r="A87">
            <v>-7.932414199312908E-2</v>
          </cell>
          <cell r="B87">
            <v>0.46834852016353645</v>
          </cell>
        </row>
        <row r="88">
          <cell r="A88">
            <v>-0.4402936769759655</v>
          </cell>
          <cell r="B88">
            <v>1.1725732590728295</v>
          </cell>
        </row>
        <row r="89">
          <cell r="A89">
            <v>-0.26991975985582289</v>
          </cell>
          <cell r="B89">
            <v>1.0323067955433471</v>
          </cell>
        </row>
        <row r="90">
          <cell r="A90">
            <v>-0.28771871097891105</v>
          </cell>
          <cell r="B90">
            <v>0.7572316388360959</v>
          </cell>
        </row>
        <row r="91">
          <cell r="A91">
            <v>-2.7078160558331333E-2</v>
          </cell>
          <cell r="B91">
            <v>1.0241270500146005</v>
          </cell>
        </row>
        <row r="92">
          <cell r="A92">
            <v>0.3956284157207392</v>
          </cell>
          <cell r="B92">
            <v>1.4176955425376712</v>
          </cell>
        </row>
        <row r="93">
          <cell r="A93">
            <v>3.6764884797701458E-2</v>
          </cell>
          <cell r="B93">
            <v>1.0230255146226765</v>
          </cell>
        </row>
        <row r="94">
          <cell r="A94">
            <v>0.68782881781038363</v>
          </cell>
          <cell r="B94">
            <v>0.9725013019620663</v>
          </cell>
        </row>
        <row r="95">
          <cell r="A95">
            <v>5.7587345273257817E-2</v>
          </cell>
          <cell r="B95">
            <v>1.0875562543727499</v>
          </cell>
        </row>
        <row r="96">
          <cell r="A96">
            <v>-0.17636929723357286</v>
          </cell>
          <cell r="B96">
            <v>1.1114333454816894</v>
          </cell>
        </row>
        <row r="97">
          <cell r="A97">
            <v>-0.22714874768406432</v>
          </cell>
          <cell r="B97">
            <v>1.0624707751723965</v>
          </cell>
        </row>
        <row r="98">
          <cell r="A98">
            <v>0.1523916963004758</v>
          </cell>
          <cell r="B98">
            <v>1.2891885109698051</v>
          </cell>
        </row>
        <row r="99">
          <cell r="A99">
            <v>8.1827199622509436E-2</v>
          </cell>
          <cell r="B99">
            <v>0.82297481913824777</v>
          </cell>
        </row>
        <row r="100">
          <cell r="A100">
            <v>0.54193240168064172</v>
          </cell>
          <cell r="B100">
            <v>1.3977987653848039</v>
          </cell>
        </row>
        <row r="101">
          <cell r="A101">
            <v>-0.26901716243792712</v>
          </cell>
          <cell r="B101">
            <v>1.0125792425547699</v>
          </cell>
        </row>
        <row r="102">
          <cell r="A102">
            <v>0.33227313708113249</v>
          </cell>
          <cell r="B102">
            <v>1.0907250014071901</v>
          </cell>
        </row>
        <row r="103">
          <cell r="A103">
            <v>-0.20719938544712557</v>
          </cell>
          <cell r="B103">
            <v>0.87270305335157594</v>
          </cell>
        </row>
        <row r="104">
          <cell r="A104">
            <v>-0.49387865531028985</v>
          </cell>
          <cell r="B104">
            <v>1.8678180980780201</v>
          </cell>
        </row>
        <row r="105">
          <cell r="A105">
            <v>-0.15742310991421657</v>
          </cell>
          <cell r="B105">
            <v>1.1348082717053753</v>
          </cell>
        </row>
        <row r="106">
          <cell r="A106">
            <v>0.32422526777427729</v>
          </cell>
          <cell r="B106">
            <v>0.76708854082970568</v>
          </cell>
        </row>
        <row r="107">
          <cell r="A107">
            <v>0.17722493661197536</v>
          </cell>
          <cell r="B107">
            <v>1.0759768073137019</v>
          </cell>
        </row>
        <row r="108">
          <cell r="A108">
            <v>-0.59838091188320763</v>
          </cell>
          <cell r="B108">
            <v>0.90153785569996381</v>
          </cell>
        </row>
        <row r="109">
          <cell r="A109">
            <v>0.51858939305723883</v>
          </cell>
          <cell r="B109">
            <v>0.51027538702928432</v>
          </cell>
        </row>
        <row r="110">
          <cell r="A110">
            <v>1.0423982767205517</v>
          </cell>
          <cell r="B110">
            <v>1.2771790212156098</v>
          </cell>
        </row>
        <row r="111">
          <cell r="A111">
            <v>-1.8771922137430213E-2</v>
          </cell>
          <cell r="B111">
            <v>1.310483721902951</v>
          </cell>
        </row>
        <row r="112">
          <cell r="A112">
            <v>4.3574629263574881E-2</v>
          </cell>
          <cell r="B112">
            <v>0.64885995821375453</v>
          </cell>
        </row>
        <row r="113">
          <cell r="A113">
            <v>-0.10565845606025374</v>
          </cell>
          <cell r="B113">
            <v>0.95624180932862224</v>
          </cell>
        </row>
        <row r="114">
          <cell r="A114">
            <v>-3.169035489883467E-2</v>
          </cell>
          <cell r="B114">
            <v>0.55037063899246375</v>
          </cell>
        </row>
        <row r="115">
          <cell r="A115">
            <v>-1.1845950580656301</v>
          </cell>
          <cell r="B115">
            <v>0.71856903046134257</v>
          </cell>
        </row>
        <row r="116">
          <cell r="A116">
            <v>0.28006427151053509</v>
          </cell>
          <cell r="B116">
            <v>1.3511037438748903</v>
          </cell>
        </row>
        <row r="117">
          <cell r="A117">
            <v>-0.70645104429418792</v>
          </cell>
          <cell r="B117">
            <v>0.75315239619274732</v>
          </cell>
        </row>
        <row r="118">
          <cell r="A118">
            <v>0.28656568729027304</v>
          </cell>
          <cell r="B118">
            <v>1.0561573401533255</v>
          </cell>
        </row>
        <row r="119">
          <cell r="A119">
            <v>0.17469301302143311</v>
          </cell>
          <cell r="B119">
            <v>1.0845352971477571</v>
          </cell>
        </row>
        <row r="120">
          <cell r="A120">
            <v>0.14798701197995529</v>
          </cell>
          <cell r="B120">
            <v>1.1403571460613167</v>
          </cell>
        </row>
        <row r="121">
          <cell r="A121">
            <v>0.31020495801478926</v>
          </cell>
          <cell r="B121">
            <v>1.2325867979737701</v>
          </cell>
        </row>
        <row r="122">
          <cell r="A122">
            <v>0.1570607239267601</v>
          </cell>
          <cell r="B122">
            <v>1.0103075722486541</v>
          </cell>
        </row>
        <row r="123">
          <cell r="A123">
            <v>0.27224288435576982</v>
          </cell>
          <cell r="B123">
            <v>1.2688957325490451</v>
          </cell>
        </row>
        <row r="124">
          <cell r="A124">
            <v>-4.8039187361667159E-2</v>
          </cell>
          <cell r="B124">
            <v>1.198868670409118</v>
          </cell>
        </row>
        <row r="125">
          <cell r="A125">
            <v>0.27427819390728447</v>
          </cell>
          <cell r="B125">
            <v>1.1043877348953099</v>
          </cell>
        </row>
        <row r="126">
          <cell r="A126">
            <v>-0.59688420452381097</v>
          </cell>
          <cell r="B126">
            <v>1.6484686575029761</v>
          </cell>
        </row>
        <row r="127">
          <cell r="A127">
            <v>-0.27661681039936309</v>
          </cell>
          <cell r="B127">
            <v>1.1929561015176708</v>
          </cell>
        </row>
        <row r="128">
          <cell r="A128">
            <v>-0.47129061211108092</v>
          </cell>
          <cell r="B128">
            <v>0.92198146517717083</v>
          </cell>
        </row>
        <row r="129">
          <cell r="A129">
            <v>-6.4777681911414087E-2</v>
          </cell>
          <cell r="B129">
            <v>1.134598946593333</v>
          </cell>
        </row>
        <row r="130">
          <cell r="A130">
            <v>0.44981473576359465</v>
          </cell>
          <cell r="B130">
            <v>0.64757136949647653</v>
          </cell>
        </row>
        <row r="131">
          <cell r="A131">
            <v>-1.3614895047964426E-2</v>
          </cell>
          <cell r="B131">
            <v>1.3372018675141353</v>
          </cell>
        </row>
        <row r="132">
          <cell r="A132">
            <v>-0.81203448736100958</v>
          </cell>
          <cell r="B132">
            <v>1.3535785234061621</v>
          </cell>
        </row>
        <row r="133">
          <cell r="A133">
            <v>-0.25011208056829548</v>
          </cell>
          <cell r="B133">
            <v>0.75491620329569908</v>
          </cell>
        </row>
        <row r="134">
          <cell r="A134">
            <v>-2.975018293251926E-2</v>
          </cell>
          <cell r="B134">
            <v>0.7365189575343174</v>
          </cell>
        </row>
        <row r="135">
          <cell r="A135">
            <v>-7.3012893263014647E-2</v>
          </cell>
          <cell r="B135">
            <v>0.53162515023608725</v>
          </cell>
        </row>
        <row r="136">
          <cell r="A136">
            <v>6.7262537456437718E-2</v>
          </cell>
          <cell r="B136">
            <v>0.57821441984028676</v>
          </cell>
        </row>
        <row r="137">
          <cell r="A137">
            <v>-0.70480674645720143</v>
          </cell>
          <cell r="B137">
            <v>0.98918914610394926</v>
          </cell>
        </row>
        <row r="138">
          <cell r="A138">
            <v>0.36002701199169646</v>
          </cell>
          <cell r="B138">
            <v>1.057659479661228</v>
          </cell>
        </row>
        <row r="139">
          <cell r="A139">
            <v>-0.58129519896127213</v>
          </cell>
          <cell r="B139">
            <v>1.1126814965488945</v>
          </cell>
        </row>
        <row r="140">
          <cell r="A140">
            <v>0.3233666039396958</v>
          </cell>
          <cell r="B140">
            <v>0.73590579987230087</v>
          </cell>
        </row>
      </sheetData>
      <sheetData sheetId="5">
        <row r="5">
          <cell r="AS5">
            <v>-2.805108159642522E-4</v>
          </cell>
        </row>
        <row r="6">
          <cell r="AS6">
            <v>-1.6331539245961757E-4</v>
          </cell>
        </row>
        <row r="8">
          <cell r="AS8">
            <v>10137.606659358957</v>
          </cell>
        </row>
        <row r="9">
          <cell r="AS9">
            <v>12282.393340641043</v>
          </cell>
        </row>
        <row r="32">
          <cell r="Q32">
            <v>10116.344021470748</v>
          </cell>
          <cell r="U32">
            <v>12268.087385820705</v>
          </cell>
        </row>
      </sheetData>
      <sheetData sheetId="6"/>
      <sheetData sheetId="7"/>
      <sheetData sheetId="8"/>
      <sheetData sheetId="9">
        <row r="1">
          <cell r="Z1">
            <v>95</v>
          </cell>
          <cell r="AA1">
            <v>95</v>
          </cell>
          <cell r="AD1">
            <v>95</v>
          </cell>
          <cell r="AE1">
            <v>95</v>
          </cell>
          <cell r="AH1">
            <v>99</v>
          </cell>
          <cell r="AI1">
            <v>99</v>
          </cell>
        </row>
        <row r="2">
          <cell r="Z2">
            <v>0.5</v>
          </cell>
          <cell r="AA2">
            <v>0.5</v>
          </cell>
          <cell r="AD2">
            <v>0.5</v>
          </cell>
          <cell r="AE2">
            <v>0.5</v>
          </cell>
        </row>
        <row r="3">
          <cell r="Z3">
            <v>0.3</v>
          </cell>
          <cell r="AA3">
            <v>0.3</v>
          </cell>
          <cell r="AD3">
            <v>0.3</v>
          </cell>
          <cell r="AE3">
            <v>0.3</v>
          </cell>
        </row>
        <row r="4">
          <cell r="Z4">
            <v>1</v>
          </cell>
          <cell r="AA4">
            <v>1</v>
          </cell>
          <cell r="AD4">
            <v>1</v>
          </cell>
          <cell r="AE4">
            <v>1</v>
          </cell>
        </row>
        <row r="7">
          <cell r="U7" t="str">
            <v>topleftg</v>
          </cell>
        </row>
        <row r="135">
          <cell r="AP135">
            <v>1.0000000000000009E-2</v>
          </cell>
        </row>
        <row r="140">
          <cell r="AP140">
            <v>5.0000000000000044E-2</v>
          </cell>
        </row>
      </sheetData>
      <sheetData sheetId="10"/>
      <sheetData sheetId="11">
        <row r="140">
          <cell r="V140">
            <v>95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Data two"/>
      <sheetName val="Data paired"/>
      <sheetName val="Summary two"/>
      <sheetName val="Summary paired"/>
      <sheetName val="d picture"/>
      <sheetName val="See r"/>
      <sheetName val="Scatterplots"/>
      <sheetName val="One correlation"/>
      <sheetName val="Two correlations"/>
      <sheetName val="One proportion"/>
      <sheetName val="Two proportions"/>
      <sheetName val="ESCI intro chapters 6, 8-11 Apr"/>
    </sheetNames>
    <sheetDataSet>
      <sheetData sheetId="0" refreshError="1"/>
      <sheetData sheetId="1">
        <row r="5">
          <cell r="H5" t="str">
            <v>PenLaptop 1</v>
          </cell>
        </row>
      </sheetData>
      <sheetData sheetId="2">
        <row r="3">
          <cell r="C3" t="b">
            <v>0</v>
          </cell>
        </row>
        <row r="4">
          <cell r="BI4" t="str">
            <v>Thomason 1</v>
          </cell>
          <cell r="BN4" t="str">
            <v>Thomason 2</v>
          </cell>
          <cell r="BS4" t="str">
            <v>Thomason 3</v>
          </cell>
        </row>
        <row r="5">
          <cell r="B5">
            <v>124</v>
          </cell>
          <cell r="C5">
            <v>139</v>
          </cell>
          <cell r="G5" t="str">
            <v>Thomason 1</v>
          </cell>
          <cell r="BI5" t="str">
            <v>LSAT score</v>
          </cell>
          <cell r="BN5" t="str">
            <v>LSAT score</v>
          </cell>
          <cell r="BS5" t="str">
            <v>HCTA score</v>
          </cell>
        </row>
        <row r="6">
          <cell r="B6">
            <v>143</v>
          </cell>
          <cell r="C6">
            <v>159</v>
          </cell>
          <cell r="G6" t="str">
            <v>LSAT score</v>
          </cell>
        </row>
        <row r="7">
          <cell r="B7">
            <v>1506</v>
          </cell>
          <cell r="C7">
            <v>1731</v>
          </cell>
          <cell r="BH7" t="str">
            <v>Pretest</v>
          </cell>
          <cell r="BI7" t="str">
            <v>Posttest</v>
          </cell>
          <cell r="BM7" t="str">
            <v>Pretest</v>
          </cell>
          <cell r="BN7" t="str">
            <v>Posttest</v>
          </cell>
          <cell r="BR7" t="str">
            <v>Pretest</v>
          </cell>
          <cell r="BS7" t="str">
            <v>Posttest</v>
          </cell>
        </row>
        <row r="8">
          <cell r="B8">
            <v>1943</v>
          </cell>
          <cell r="C8">
            <v>2199</v>
          </cell>
          <cell r="F8" t="str">
            <v>Pretest</v>
          </cell>
          <cell r="G8" t="str">
            <v>Posttest</v>
          </cell>
          <cell r="BH8">
            <v>13</v>
          </cell>
          <cell r="BI8">
            <v>14</v>
          </cell>
          <cell r="BM8">
            <v>10</v>
          </cell>
          <cell r="BN8">
            <v>12</v>
          </cell>
          <cell r="BR8">
            <v>41</v>
          </cell>
          <cell r="BS8">
            <v>52</v>
          </cell>
        </row>
        <row r="9">
          <cell r="B9">
            <v>95</v>
          </cell>
          <cell r="C9">
            <v>95</v>
          </cell>
          <cell r="F9">
            <v>13</v>
          </cell>
          <cell r="BH9">
            <v>12</v>
          </cell>
          <cell r="BI9">
            <v>13</v>
          </cell>
          <cell r="BM9">
            <v>14</v>
          </cell>
          <cell r="BN9">
            <v>19</v>
          </cell>
          <cell r="BR9">
            <v>50</v>
          </cell>
          <cell r="BS9">
            <v>63</v>
          </cell>
        </row>
        <row r="10">
          <cell r="B10">
            <v>11</v>
          </cell>
          <cell r="C10">
            <v>12</v>
          </cell>
          <cell r="BH10">
            <v>12</v>
          </cell>
          <cell r="BI10">
            <v>16</v>
          </cell>
          <cell r="BM10">
            <v>7</v>
          </cell>
          <cell r="BN10">
            <v>6</v>
          </cell>
          <cell r="BR10">
            <v>71</v>
          </cell>
          <cell r="BS10">
            <v>69</v>
          </cell>
        </row>
        <row r="11">
          <cell r="C11" t="b">
            <v>0</v>
          </cell>
          <cell r="BH11">
            <v>9</v>
          </cell>
          <cell r="BI11">
            <v>12</v>
          </cell>
          <cell r="BM11">
            <v>12</v>
          </cell>
          <cell r="BN11">
            <v>9</v>
          </cell>
          <cell r="BR11">
            <v>70</v>
          </cell>
          <cell r="BS11">
            <v>71</v>
          </cell>
        </row>
        <row r="12">
          <cell r="BH12">
            <v>14</v>
          </cell>
          <cell r="BI12">
            <v>15</v>
          </cell>
          <cell r="BM12">
            <v>11</v>
          </cell>
          <cell r="BN12">
            <v>15</v>
          </cell>
          <cell r="BR12">
            <v>74</v>
          </cell>
          <cell r="BS12">
            <v>80</v>
          </cell>
        </row>
        <row r="13">
          <cell r="BH13">
            <v>17</v>
          </cell>
          <cell r="BI13">
            <v>18</v>
          </cell>
          <cell r="BM13">
            <v>11</v>
          </cell>
          <cell r="BN13">
            <v>13</v>
          </cell>
          <cell r="BR13">
            <v>75</v>
          </cell>
          <cell r="BS13">
            <v>80</v>
          </cell>
        </row>
        <row r="14">
          <cell r="BH14">
            <v>14</v>
          </cell>
          <cell r="BI14">
            <v>13</v>
          </cell>
          <cell r="BM14">
            <v>15</v>
          </cell>
          <cell r="BN14">
            <v>17</v>
          </cell>
          <cell r="BR14">
            <v>64</v>
          </cell>
          <cell r="BS14">
            <v>69</v>
          </cell>
        </row>
        <row r="15">
          <cell r="B15">
            <v>-718.49574406883664</v>
          </cell>
          <cell r="C15">
            <v>-861.66694783176774</v>
          </cell>
          <cell r="BH15">
            <v>9</v>
          </cell>
          <cell r="BI15">
            <v>10</v>
          </cell>
          <cell r="BM15">
            <v>14</v>
          </cell>
          <cell r="BN15">
            <v>14</v>
          </cell>
          <cell r="BR15">
            <v>72</v>
          </cell>
          <cell r="BS15">
            <v>76</v>
          </cell>
        </row>
        <row r="16">
          <cell r="BH16">
            <v>6</v>
          </cell>
          <cell r="BI16">
            <v>10</v>
          </cell>
          <cell r="BM16">
            <v>9</v>
          </cell>
          <cell r="BN16">
            <v>10</v>
          </cell>
          <cell r="BR16">
            <v>77</v>
          </cell>
          <cell r="BS16">
            <v>78</v>
          </cell>
        </row>
        <row r="17">
          <cell r="B17">
            <v>1.1044290997998583</v>
          </cell>
          <cell r="C17">
            <v>6.1550013881132868</v>
          </cell>
          <cell r="BH17">
            <v>7</v>
          </cell>
          <cell r="BI17">
            <v>8</v>
          </cell>
          <cell r="BM17">
            <v>16</v>
          </cell>
          <cell r="BN17">
            <v>17</v>
          </cell>
          <cell r="BR17">
            <v>53</v>
          </cell>
          <cell r="BS17">
            <v>77</v>
          </cell>
        </row>
        <row r="18">
          <cell r="BH18">
            <v>11</v>
          </cell>
          <cell r="BI18">
            <v>14</v>
          </cell>
          <cell r="BM18">
            <v>10</v>
          </cell>
          <cell r="BN18">
            <v>9</v>
          </cell>
          <cell r="BR18">
            <v>60</v>
          </cell>
          <cell r="BS18">
            <v>67</v>
          </cell>
        </row>
        <row r="19">
          <cell r="BH19">
            <v>15</v>
          </cell>
          <cell r="BI19">
            <v>16</v>
          </cell>
          <cell r="BM19">
            <v>11</v>
          </cell>
          <cell r="BN19">
            <v>14</v>
          </cell>
          <cell r="BR19">
            <v>73</v>
          </cell>
          <cell r="BS19">
            <v>76</v>
          </cell>
        </row>
        <row r="20">
          <cell r="BM20">
            <v>13</v>
          </cell>
          <cell r="BN20">
            <v>15</v>
          </cell>
          <cell r="BR20">
            <v>72</v>
          </cell>
          <cell r="BS20">
            <v>69</v>
          </cell>
        </row>
        <row r="21">
          <cell r="B21">
            <v>1.6545128460584575</v>
          </cell>
          <cell r="C21">
            <v>6.0564831635021399</v>
          </cell>
          <cell r="BM21">
            <v>19</v>
          </cell>
          <cell r="BN21">
            <v>22</v>
          </cell>
          <cell r="BR21">
            <v>62</v>
          </cell>
          <cell r="BS21">
            <v>73</v>
          </cell>
        </row>
        <row r="22">
          <cell r="BM22">
            <v>19</v>
          </cell>
          <cell r="BN22">
            <v>18</v>
          </cell>
          <cell r="BR22">
            <v>68</v>
          </cell>
          <cell r="BS22">
            <v>73</v>
          </cell>
        </row>
        <row r="23">
          <cell r="BM23">
            <v>15</v>
          </cell>
          <cell r="BN23">
            <v>18</v>
          </cell>
          <cell r="BR23">
            <v>63</v>
          </cell>
          <cell r="BS23">
            <v>68</v>
          </cell>
        </row>
        <row r="24">
          <cell r="BR24">
            <v>69</v>
          </cell>
          <cell r="BS24">
            <v>70</v>
          </cell>
        </row>
        <row r="25">
          <cell r="BR25">
            <v>71</v>
          </cell>
          <cell r="BS25">
            <v>81</v>
          </cell>
        </row>
        <row r="26">
          <cell r="BR26">
            <v>70</v>
          </cell>
          <cell r="BS26">
            <v>70</v>
          </cell>
        </row>
        <row r="27">
          <cell r="BR27">
            <v>70</v>
          </cell>
          <cell r="BS27">
            <v>76</v>
          </cell>
        </row>
        <row r="28">
          <cell r="BR28">
            <v>75</v>
          </cell>
          <cell r="BS28">
            <v>77</v>
          </cell>
        </row>
        <row r="29">
          <cell r="BR29">
            <v>71</v>
          </cell>
          <cell r="BS29">
            <v>75</v>
          </cell>
        </row>
        <row r="30">
          <cell r="BR30">
            <v>76</v>
          </cell>
          <cell r="BS30">
            <v>69</v>
          </cell>
        </row>
        <row r="31">
          <cell r="BR31">
            <v>64</v>
          </cell>
          <cell r="BS31">
            <v>77</v>
          </cell>
        </row>
        <row r="32">
          <cell r="BR32">
            <v>70</v>
          </cell>
          <cell r="BS32">
            <v>70</v>
          </cell>
        </row>
        <row r="33">
          <cell r="BR33">
            <v>65</v>
          </cell>
          <cell r="BS33">
            <v>76</v>
          </cell>
        </row>
        <row r="34">
          <cell r="BR34">
            <v>75</v>
          </cell>
          <cell r="BS34">
            <v>65</v>
          </cell>
        </row>
        <row r="35">
          <cell r="BR35">
            <v>66</v>
          </cell>
          <cell r="BS35">
            <v>64</v>
          </cell>
        </row>
        <row r="36">
          <cell r="BR36">
            <v>70</v>
          </cell>
          <cell r="BS36">
            <v>72</v>
          </cell>
        </row>
        <row r="37">
          <cell r="BR37">
            <v>70</v>
          </cell>
          <cell r="BS37">
            <v>71</v>
          </cell>
        </row>
        <row r="38">
          <cell r="BR38">
            <v>64</v>
          </cell>
          <cell r="BS38">
            <v>63</v>
          </cell>
        </row>
        <row r="39">
          <cell r="BR39">
            <v>72</v>
          </cell>
          <cell r="BS39">
            <v>78</v>
          </cell>
        </row>
        <row r="40">
          <cell r="BR40">
            <v>63</v>
          </cell>
          <cell r="BS40">
            <v>71</v>
          </cell>
        </row>
        <row r="41">
          <cell r="BR41">
            <v>68</v>
          </cell>
          <cell r="BS41">
            <v>77</v>
          </cell>
        </row>
        <row r="42">
          <cell r="BR42">
            <v>64</v>
          </cell>
          <cell r="BS42">
            <v>67</v>
          </cell>
        </row>
        <row r="43">
          <cell r="BR43">
            <v>61</v>
          </cell>
          <cell r="BS43">
            <v>66</v>
          </cell>
        </row>
        <row r="44">
          <cell r="BR44">
            <v>63</v>
          </cell>
          <cell r="BS44">
            <v>73</v>
          </cell>
        </row>
        <row r="45">
          <cell r="BR45">
            <v>76</v>
          </cell>
          <cell r="BS45">
            <v>75</v>
          </cell>
        </row>
        <row r="46">
          <cell r="BR46">
            <v>71</v>
          </cell>
          <cell r="BS46">
            <v>75</v>
          </cell>
        </row>
      </sheetData>
      <sheetData sheetId="3" refreshError="1"/>
      <sheetData sheetId="4" refreshError="1"/>
      <sheetData sheetId="5" refreshError="1"/>
      <sheetData sheetId="6">
        <row r="7">
          <cell r="A7">
            <v>25</v>
          </cell>
          <cell r="B7">
            <v>25</v>
          </cell>
        </row>
        <row r="8">
          <cell r="A8">
            <v>0.3</v>
          </cell>
          <cell r="B8">
            <v>0.3</v>
          </cell>
        </row>
        <row r="9">
          <cell r="AY9">
            <v>2</v>
          </cell>
        </row>
      </sheetData>
      <sheetData sheetId="7">
        <row r="1">
          <cell r="DH1" t="b">
            <v>1</v>
          </cell>
          <cell r="DK1" t="b">
            <v>0</v>
          </cell>
          <cell r="DM1" t="b">
            <v>0</v>
          </cell>
          <cell r="DO1" t="b">
            <v>0</v>
          </cell>
          <cell r="DS1" t="b">
            <v>0</v>
          </cell>
          <cell r="DU1" t="b">
            <v>0</v>
          </cell>
          <cell r="DW1" t="b">
            <v>0</v>
          </cell>
        </row>
        <row r="2">
          <cell r="DS2" t="b">
            <v>0</v>
          </cell>
          <cell r="DW2" t="b">
            <v>0</v>
          </cell>
        </row>
        <row r="3">
          <cell r="DS3" t="b">
            <v>0</v>
          </cell>
        </row>
        <row r="4">
          <cell r="BC4" t="str">
            <v>Thomason 1</v>
          </cell>
          <cell r="BH4" t="str">
            <v>Sevincer</v>
          </cell>
          <cell r="BM4" t="str">
            <v>Thomason 2</v>
          </cell>
          <cell r="BR4" t="str">
            <v>MDheights20</v>
          </cell>
          <cell r="BW4" t="str">
            <v>MDheights200</v>
          </cell>
          <cell r="CB4" t="str">
            <v>MGheights200</v>
          </cell>
        </row>
        <row r="6">
          <cell r="C6" t="str">
            <v>Thomason 2</v>
          </cell>
          <cell r="BB6" t="str">
            <v>HCTA pretest</v>
          </cell>
          <cell r="BC6" t="str">
            <v>HCTA posttest</v>
          </cell>
          <cell r="BG6" t="str">
            <v>Positivity</v>
          </cell>
          <cell r="BH6" t="str">
            <v>GDP change</v>
          </cell>
          <cell r="BL6" t="str">
            <v>LSAT Pretest</v>
          </cell>
          <cell r="BM6" t="str">
            <v>LSAT Posttest</v>
          </cell>
          <cell r="BQ6" t="str">
            <v>Mother</v>
          </cell>
          <cell r="BR6" t="str">
            <v>Daughter</v>
          </cell>
          <cell r="BV6" t="str">
            <v>Mother</v>
          </cell>
          <cell r="BW6" t="str">
            <v>Daughter</v>
          </cell>
          <cell r="CA6" t="str">
            <v>Mother</v>
          </cell>
          <cell r="CB6" t="str">
            <v>Granddaughter</v>
          </cell>
        </row>
        <row r="7">
          <cell r="BB7">
            <v>41</v>
          </cell>
          <cell r="BC7">
            <v>52</v>
          </cell>
          <cell r="BG7">
            <v>2.7</v>
          </cell>
          <cell r="BH7">
            <v>43.6</v>
          </cell>
          <cell r="BL7">
            <v>13</v>
          </cell>
          <cell r="BM7">
            <v>14</v>
          </cell>
          <cell r="BQ7">
            <v>148.62518497603989</v>
          </cell>
          <cell r="BR7">
            <v>152.5351506567354</v>
          </cell>
          <cell r="BV7">
            <v>161.41875075517024</v>
          </cell>
          <cell r="BW7">
            <v>162.67338595803906</v>
          </cell>
          <cell r="CA7">
            <v>156.59760952983902</v>
          </cell>
          <cell r="CB7">
            <v>166.27087196456179</v>
          </cell>
        </row>
        <row r="8">
          <cell r="BB8">
            <v>50</v>
          </cell>
          <cell r="BC8">
            <v>63</v>
          </cell>
          <cell r="BG8">
            <v>1.1399999999999999</v>
          </cell>
          <cell r="BH8">
            <v>32.9</v>
          </cell>
          <cell r="BL8">
            <v>12</v>
          </cell>
          <cell r="BM8">
            <v>13</v>
          </cell>
          <cell r="BQ8">
            <v>156.86060234102371</v>
          </cell>
          <cell r="BR8">
            <v>157.49473339918995</v>
          </cell>
          <cell r="BV8">
            <v>154.77357400621315</v>
          </cell>
          <cell r="BW8">
            <v>162.12701972049362</v>
          </cell>
          <cell r="CA8">
            <v>160.80973119513763</v>
          </cell>
          <cell r="CB8">
            <v>171.57646415694887</v>
          </cell>
        </row>
        <row r="9">
          <cell r="BB9">
            <v>71</v>
          </cell>
          <cell r="BC9">
            <v>69</v>
          </cell>
          <cell r="BG9">
            <v>4.9999999999999656E-2</v>
          </cell>
          <cell r="BH9">
            <v>47.3</v>
          </cell>
          <cell r="BL9">
            <v>12</v>
          </cell>
          <cell r="BM9">
            <v>16</v>
          </cell>
          <cell r="BQ9">
            <v>148.88901648748012</v>
          </cell>
          <cell r="BR9">
            <v>157.32094992326202</v>
          </cell>
          <cell r="BV9">
            <v>149.61500721881458</v>
          </cell>
          <cell r="BW9">
            <v>150.96399925458883</v>
          </cell>
          <cell r="CA9">
            <v>149.33171677718892</v>
          </cell>
          <cell r="CB9">
            <v>166.7043847622071</v>
          </cell>
        </row>
        <row r="10">
          <cell r="BB10">
            <v>70</v>
          </cell>
          <cell r="BC10">
            <v>71</v>
          </cell>
          <cell r="BG10">
            <v>6.47</v>
          </cell>
          <cell r="BH10">
            <v>-8.3000000000000007</v>
          </cell>
          <cell r="BL10">
            <v>9</v>
          </cell>
          <cell r="BM10">
            <v>12</v>
          </cell>
          <cell r="BQ10">
            <v>159.76273079979759</v>
          </cell>
          <cell r="BR10">
            <v>171.36118894931829</v>
          </cell>
          <cell r="BV10">
            <v>157.26387916437395</v>
          </cell>
          <cell r="BW10">
            <v>160.84536785169897</v>
          </cell>
          <cell r="CA10">
            <v>165.6468504808291</v>
          </cell>
          <cell r="CB10">
            <v>161.84638015722629</v>
          </cell>
        </row>
        <row r="11">
          <cell r="BB11">
            <v>74</v>
          </cell>
          <cell r="BC11">
            <v>80</v>
          </cell>
          <cell r="BG11">
            <v>6.04</v>
          </cell>
          <cell r="BH11">
            <v>27.2</v>
          </cell>
          <cell r="BL11">
            <v>14</v>
          </cell>
          <cell r="BM11">
            <v>15</v>
          </cell>
          <cell r="BQ11">
            <v>163.25194939817925</v>
          </cell>
          <cell r="BR11">
            <v>166.10365720169108</v>
          </cell>
          <cell r="BV11">
            <v>159.79857410658843</v>
          </cell>
          <cell r="BW11">
            <v>163.74145524454536</v>
          </cell>
          <cell r="CA11">
            <v>157.79851426533949</v>
          </cell>
          <cell r="CB11">
            <v>168.6132997808476</v>
          </cell>
        </row>
        <row r="12">
          <cell r="B12" t="str">
            <v>LSAT Pretest</v>
          </cell>
          <cell r="C12" t="str">
            <v>LSAT Posttest</v>
          </cell>
          <cell r="BB12">
            <v>75</v>
          </cell>
          <cell r="BC12">
            <v>80</v>
          </cell>
          <cell r="BG12">
            <v>5.72</v>
          </cell>
          <cell r="BH12">
            <v>10.8</v>
          </cell>
          <cell r="BL12">
            <v>17</v>
          </cell>
          <cell r="BM12">
            <v>18</v>
          </cell>
          <cell r="BQ12">
            <v>155.79214196235108</v>
          </cell>
          <cell r="BR12">
            <v>160.64739314222453</v>
          </cell>
          <cell r="BV12">
            <v>158.49011389702039</v>
          </cell>
          <cell r="BW12">
            <v>162.12709241369856</v>
          </cell>
          <cell r="CA12">
            <v>161.04613253506699</v>
          </cell>
          <cell r="CB12">
            <v>171.33727879909347</v>
          </cell>
        </row>
        <row r="13">
          <cell r="B13">
            <v>13</v>
          </cell>
          <cell r="BB13">
            <v>64</v>
          </cell>
          <cell r="BC13">
            <v>69</v>
          </cell>
          <cell r="BG13">
            <v>6.21</v>
          </cell>
          <cell r="BH13">
            <v>11.4</v>
          </cell>
          <cell r="BL13">
            <v>14</v>
          </cell>
          <cell r="BM13">
            <v>13</v>
          </cell>
          <cell r="BQ13">
            <v>149.37834702587941</v>
          </cell>
          <cell r="BR13">
            <v>159.52677929941731</v>
          </cell>
          <cell r="BV13">
            <v>157.22340302687209</v>
          </cell>
          <cell r="BW13">
            <v>159.06378556034247</v>
          </cell>
          <cell r="CA13">
            <v>155.11448070411683</v>
          </cell>
          <cell r="CB13">
            <v>165.82308085087595</v>
          </cell>
        </row>
        <row r="14">
          <cell r="BB14">
            <v>72</v>
          </cell>
          <cell r="BC14">
            <v>76</v>
          </cell>
          <cell r="BG14">
            <v>3.15</v>
          </cell>
          <cell r="BH14">
            <v>24.6</v>
          </cell>
          <cell r="BL14">
            <v>9</v>
          </cell>
          <cell r="BM14">
            <v>10</v>
          </cell>
          <cell r="BQ14">
            <v>159.17163802319391</v>
          </cell>
          <cell r="BR14">
            <v>159.51665508883141</v>
          </cell>
          <cell r="BV14">
            <v>163.22289031215985</v>
          </cell>
          <cell r="BW14">
            <v>157.95990320125622</v>
          </cell>
          <cell r="CA14">
            <v>159.88413385260611</v>
          </cell>
          <cell r="CB14">
            <v>161.79905369435446</v>
          </cell>
        </row>
        <row r="15">
          <cell r="BB15">
            <v>77</v>
          </cell>
          <cell r="BC15">
            <v>78</v>
          </cell>
          <cell r="BG15">
            <v>0.67</v>
          </cell>
          <cell r="BH15">
            <v>18</v>
          </cell>
          <cell r="BL15">
            <v>6</v>
          </cell>
          <cell r="BM15">
            <v>10</v>
          </cell>
          <cell r="BQ15">
            <v>158.26200549536756</v>
          </cell>
          <cell r="BR15">
            <v>148.38322416607224</v>
          </cell>
          <cell r="BV15">
            <v>153.55602913248188</v>
          </cell>
          <cell r="BW15">
            <v>154.42650158593571</v>
          </cell>
          <cell r="CA15">
            <v>155.91669533896442</v>
          </cell>
          <cell r="CB15">
            <v>159.36912416378917</v>
          </cell>
        </row>
        <row r="16">
          <cell r="BB16">
            <v>53</v>
          </cell>
          <cell r="BC16">
            <v>77</v>
          </cell>
          <cell r="BG16">
            <v>2.3199999999999998</v>
          </cell>
          <cell r="BH16">
            <v>15.4</v>
          </cell>
          <cell r="BL16">
            <v>7</v>
          </cell>
          <cell r="BM16">
            <v>8</v>
          </cell>
          <cell r="BQ16">
            <v>161.65311764830727</v>
          </cell>
          <cell r="BR16">
            <v>161.37809097060514</v>
          </cell>
          <cell r="BV16">
            <v>152.14352443741254</v>
          </cell>
          <cell r="BW16">
            <v>154.44951568674387</v>
          </cell>
          <cell r="CA16">
            <v>156.11066575864447</v>
          </cell>
          <cell r="CB16">
            <v>160.2156450554474</v>
          </cell>
        </row>
        <row r="17">
          <cell r="BB17">
            <v>60</v>
          </cell>
          <cell r="BC17">
            <v>67</v>
          </cell>
          <cell r="BG17">
            <v>4.3099999999999996</v>
          </cell>
          <cell r="BH17">
            <v>-0.5</v>
          </cell>
          <cell r="BL17">
            <v>11</v>
          </cell>
          <cell r="BM17">
            <v>14</v>
          </cell>
          <cell r="BQ17">
            <v>157.42623717848647</v>
          </cell>
          <cell r="BR17">
            <v>166.05868801531699</v>
          </cell>
          <cell r="BV17">
            <v>152.32344733564915</v>
          </cell>
          <cell r="BW17">
            <v>159.7777281714562</v>
          </cell>
          <cell r="CA17">
            <v>149.80509198286683</v>
          </cell>
          <cell r="CB17">
            <v>160.23468738311138</v>
          </cell>
        </row>
        <row r="18">
          <cell r="BB18">
            <v>73</v>
          </cell>
          <cell r="BC18">
            <v>76</v>
          </cell>
          <cell r="BG18">
            <v>3.75</v>
          </cell>
          <cell r="BH18">
            <v>10</v>
          </cell>
          <cell r="BL18">
            <v>15</v>
          </cell>
          <cell r="BM18">
            <v>16</v>
          </cell>
          <cell r="BQ18">
            <v>155.80427769125021</v>
          </cell>
          <cell r="BR18">
            <v>165.33200517310877</v>
          </cell>
          <cell r="BV18">
            <v>156.78457075486631</v>
          </cell>
          <cell r="BW18">
            <v>166.70122194348403</v>
          </cell>
          <cell r="CA18">
            <v>147.52319043538651</v>
          </cell>
          <cell r="CB18">
            <v>168.87951833235402</v>
          </cell>
        </row>
        <row r="19">
          <cell r="BB19">
            <v>72</v>
          </cell>
          <cell r="BC19">
            <v>69</v>
          </cell>
          <cell r="BG19">
            <v>3.24</v>
          </cell>
          <cell r="BH19">
            <v>11.3</v>
          </cell>
          <cell r="BQ19">
            <v>154.8215851255118</v>
          </cell>
          <cell r="BR19">
            <v>156.84575159532289</v>
          </cell>
          <cell r="BV19">
            <v>161.69226194643079</v>
          </cell>
          <cell r="BW19">
            <v>168.05958977238703</v>
          </cell>
          <cell r="CA19">
            <v>167.11550721023852</v>
          </cell>
          <cell r="CB19">
            <v>162.96783132331444</v>
          </cell>
        </row>
        <row r="20">
          <cell r="BB20">
            <v>62</v>
          </cell>
          <cell r="BC20">
            <v>73</v>
          </cell>
          <cell r="BG20">
            <v>6.04</v>
          </cell>
          <cell r="BH20">
            <v>14.4</v>
          </cell>
          <cell r="BQ20">
            <v>162.68715013878884</v>
          </cell>
          <cell r="BR20">
            <v>162.92235203955858</v>
          </cell>
          <cell r="BV20">
            <v>162.97114078482187</v>
          </cell>
          <cell r="BW20">
            <v>155.92049592786191</v>
          </cell>
          <cell r="CA20">
            <v>154.31049365770497</v>
          </cell>
          <cell r="CB20">
            <v>163.90934613894598</v>
          </cell>
        </row>
        <row r="21">
          <cell r="BB21">
            <v>68</v>
          </cell>
          <cell r="BC21">
            <v>73</v>
          </cell>
          <cell r="BG21">
            <v>1.41</v>
          </cell>
          <cell r="BH21">
            <v>15.1</v>
          </cell>
          <cell r="BQ21">
            <v>153.91530117638575</v>
          </cell>
          <cell r="BR21">
            <v>160.29540315970348</v>
          </cell>
          <cell r="BV21">
            <v>150.27616641113724</v>
          </cell>
          <cell r="BW21">
            <v>161.87528319986666</v>
          </cell>
          <cell r="CA21">
            <v>165.70458534918822</v>
          </cell>
          <cell r="CB21">
            <v>169.75323099786996</v>
          </cell>
        </row>
        <row r="22">
          <cell r="BB22">
            <v>63</v>
          </cell>
          <cell r="BC22">
            <v>68</v>
          </cell>
          <cell r="BG22">
            <v>3.96</v>
          </cell>
          <cell r="BH22">
            <v>-15.4</v>
          </cell>
          <cell r="BQ22">
            <v>151.40767970109425</v>
          </cell>
          <cell r="BR22">
            <v>157.35187800500381</v>
          </cell>
          <cell r="BV22">
            <v>157.78638781551916</v>
          </cell>
          <cell r="BW22">
            <v>153.28598292164716</v>
          </cell>
          <cell r="CA22">
            <v>156.72301466387032</v>
          </cell>
          <cell r="CB22">
            <v>175.24620992942877</v>
          </cell>
        </row>
        <row r="23">
          <cell r="BB23">
            <v>69</v>
          </cell>
          <cell r="BC23">
            <v>70</v>
          </cell>
          <cell r="BG23">
            <v>1.66</v>
          </cell>
          <cell r="BH23">
            <v>47.7</v>
          </cell>
          <cell r="BQ23">
            <v>151.51831926355445</v>
          </cell>
          <cell r="BR23">
            <v>154.05425649854214</v>
          </cell>
          <cell r="BV23">
            <v>162.60065028882892</v>
          </cell>
          <cell r="BW23">
            <v>167.25691405818429</v>
          </cell>
          <cell r="CA23">
            <v>161.94684359188102</v>
          </cell>
          <cell r="CB23">
            <v>167.29239306006869</v>
          </cell>
        </row>
        <row r="24">
          <cell r="BB24">
            <v>71</v>
          </cell>
          <cell r="BC24">
            <v>81</v>
          </cell>
          <cell r="BG24">
            <v>2.66</v>
          </cell>
          <cell r="BH24">
            <v>15.2</v>
          </cell>
          <cell r="BQ24">
            <v>155.95711041668849</v>
          </cell>
          <cell r="BR24">
            <v>156.58880163001987</v>
          </cell>
          <cell r="BV24">
            <v>154.31558697632411</v>
          </cell>
          <cell r="BW24">
            <v>160.76735288767244</v>
          </cell>
          <cell r="CA24">
            <v>160.10521367356517</v>
          </cell>
          <cell r="CB24">
            <v>170.50962147502403</v>
          </cell>
        </row>
        <row r="25">
          <cell r="BB25">
            <v>70</v>
          </cell>
          <cell r="BC25">
            <v>70</v>
          </cell>
          <cell r="BG25">
            <v>4.21</v>
          </cell>
          <cell r="BH25">
            <v>11.3</v>
          </cell>
          <cell r="BQ25">
            <v>155.26873262251564</v>
          </cell>
          <cell r="BR25">
            <v>156.76091299572209</v>
          </cell>
          <cell r="BV25">
            <v>153.5236044233873</v>
          </cell>
          <cell r="BW25">
            <v>158.45114310585924</v>
          </cell>
          <cell r="CA25">
            <v>157.27270026382811</v>
          </cell>
          <cell r="CB25">
            <v>166.93373561899438</v>
          </cell>
        </row>
        <row r="26">
          <cell r="BB26">
            <v>70</v>
          </cell>
          <cell r="BC26">
            <v>76</v>
          </cell>
          <cell r="BG26">
            <v>4.54</v>
          </cell>
          <cell r="BH26">
            <v>1.1000000000000001</v>
          </cell>
          <cell r="BQ26">
            <v>151.85060404739568</v>
          </cell>
          <cell r="BR26">
            <v>152.57096367623771</v>
          </cell>
          <cell r="BV26">
            <v>155.28933297557299</v>
          </cell>
          <cell r="BW26">
            <v>157.51543791953856</v>
          </cell>
          <cell r="CA26">
            <v>155.30796496291106</v>
          </cell>
          <cell r="CB26">
            <v>163.1045232171343</v>
          </cell>
        </row>
        <row r="27">
          <cell r="BB27">
            <v>75</v>
          </cell>
          <cell r="BC27">
            <v>77</v>
          </cell>
          <cell r="BG27">
            <v>1.24</v>
          </cell>
          <cell r="BH27">
            <v>6.6</v>
          </cell>
          <cell r="BV27">
            <v>152.95329275088571</v>
          </cell>
          <cell r="BW27">
            <v>156.48495090007398</v>
          </cell>
          <cell r="CA27">
            <v>159.54377135721171</v>
          </cell>
          <cell r="CB27">
            <v>162.9509845019777</v>
          </cell>
        </row>
        <row r="28">
          <cell r="BB28">
            <v>71</v>
          </cell>
          <cell r="BC28">
            <v>75</v>
          </cell>
          <cell r="BV28">
            <v>160.36567043883062</v>
          </cell>
          <cell r="BW28">
            <v>164.06661116455996</v>
          </cell>
          <cell r="CA28">
            <v>159.38780197708985</v>
          </cell>
          <cell r="CB28">
            <v>157.36950118198479</v>
          </cell>
        </row>
        <row r="29">
          <cell r="BB29">
            <v>76</v>
          </cell>
          <cell r="BC29">
            <v>69</v>
          </cell>
          <cell r="BV29">
            <v>158.88146566083344</v>
          </cell>
          <cell r="BW29">
            <v>155.62816655911877</v>
          </cell>
          <cell r="CA29">
            <v>167.08921406268092</v>
          </cell>
          <cell r="CB29">
            <v>168.11944130648874</v>
          </cell>
        </row>
        <row r="30">
          <cell r="BB30">
            <v>64</v>
          </cell>
          <cell r="BC30">
            <v>77</v>
          </cell>
          <cell r="BV30">
            <v>154.94590871295784</v>
          </cell>
          <cell r="BW30">
            <v>167.52571783494687</v>
          </cell>
          <cell r="CA30">
            <v>156.30124080416019</v>
          </cell>
          <cell r="CB30">
            <v>168.71163484327661</v>
          </cell>
        </row>
        <row r="31">
          <cell r="BB31">
            <v>70</v>
          </cell>
          <cell r="BC31">
            <v>70</v>
          </cell>
          <cell r="BV31">
            <v>152.28703565469414</v>
          </cell>
          <cell r="BW31">
            <v>154.94326798606735</v>
          </cell>
          <cell r="CA31">
            <v>160.70699081656591</v>
          </cell>
          <cell r="CB31">
            <v>167.01277305279092</v>
          </cell>
        </row>
        <row r="32">
          <cell r="BB32">
            <v>65</v>
          </cell>
          <cell r="BC32">
            <v>76</v>
          </cell>
          <cell r="BV32">
            <v>150.50055769064764</v>
          </cell>
          <cell r="BW32">
            <v>161.11219987870561</v>
          </cell>
          <cell r="CA32">
            <v>160.38201139894173</v>
          </cell>
          <cell r="CB32">
            <v>164.55772610089593</v>
          </cell>
        </row>
        <row r="33">
          <cell r="BB33">
            <v>75</v>
          </cell>
          <cell r="BC33">
            <v>65</v>
          </cell>
          <cell r="BV33">
            <v>151.60578036527619</v>
          </cell>
          <cell r="BW33">
            <v>159.0327116027201</v>
          </cell>
          <cell r="CA33">
            <v>162.53408064375247</v>
          </cell>
          <cell r="CB33">
            <v>169.1301056929467</v>
          </cell>
        </row>
        <row r="34">
          <cell r="BB34">
            <v>66</v>
          </cell>
          <cell r="BC34">
            <v>64</v>
          </cell>
          <cell r="BV34">
            <v>150.97134488578573</v>
          </cell>
          <cell r="BW34">
            <v>160.24596547208969</v>
          </cell>
          <cell r="CA34">
            <v>157.14627355266882</v>
          </cell>
          <cell r="CB34">
            <v>159.90222763734084</v>
          </cell>
        </row>
        <row r="35">
          <cell r="BB35">
            <v>70</v>
          </cell>
          <cell r="BC35">
            <v>72</v>
          </cell>
          <cell r="BV35">
            <v>155.35519957833671</v>
          </cell>
          <cell r="BW35">
            <v>158.5013975383732</v>
          </cell>
          <cell r="CA35">
            <v>160.29189582950693</v>
          </cell>
          <cell r="CB35">
            <v>174.23032813324068</v>
          </cell>
        </row>
        <row r="36">
          <cell r="BB36">
            <v>70</v>
          </cell>
          <cell r="BC36">
            <v>71</v>
          </cell>
          <cell r="BV36">
            <v>162.43109243604661</v>
          </cell>
          <cell r="BW36">
            <v>164.64866472156083</v>
          </cell>
          <cell r="CA36">
            <v>152.92365722575636</v>
          </cell>
          <cell r="CB36">
            <v>164.67577212055011</v>
          </cell>
        </row>
        <row r="37">
          <cell r="BB37">
            <v>64</v>
          </cell>
          <cell r="BC37">
            <v>63</v>
          </cell>
          <cell r="BV37">
            <v>155.66293326544397</v>
          </cell>
          <cell r="BW37">
            <v>157.17898495925263</v>
          </cell>
          <cell r="CA37">
            <v>154.05182298973625</v>
          </cell>
          <cell r="CB37">
            <v>159.87165000484524</v>
          </cell>
        </row>
        <row r="38">
          <cell r="BB38">
            <v>72</v>
          </cell>
          <cell r="BC38">
            <v>78</v>
          </cell>
          <cell r="BV38">
            <v>154.99876819759632</v>
          </cell>
          <cell r="BW38">
            <v>149.05266142401052</v>
          </cell>
          <cell r="CA38">
            <v>157.5526198731321</v>
          </cell>
          <cell r="CB38">
            <v>163.93933066411506</v>
          </cell>
        </row>
        <row r="39">
          <cell r="BB39">
            <v>63</v>
          </cell>
          <cell r="BC39">
            <v>71</v>
          </cell>
          <cell r="BV39">
            <v>143.39043258800581</v>
          </cell>
          <cell r="BW39">
            <v>146.84501372987538</v>
          </cell>
          <cell r="CA39">
            <v>158.97777500477397</v>
          </cell>
          <cell r="CB39">
            <v>163.67536413307258</v>
          </cell>
        </row>
        <row r="40">
          <cell r="BB40">
            <v>68</v>
          </cell>
          <cell r="BC40">
            <v>77</v>
          </cell>
          <cell r="BV40">
            <v>153.55034693151464</v>
          </cell>
          <cell r="BW40">
            <v>148.0463891574488</v>
          </cell>
          <cell r="CA40">
            <v>166.30938866952863</v>
          </cell>
          <cell r="CB40">
            <v>171.53681271556286</v>
          </cell>
        </row>
        <row r="41">
          <cell r="BB41">
            <v>64</v>
          </cell>
          <cell r="BC41">
            <v>67</v>
          </cell>
          <cell r="BV41">
            <v>152.16030795799344</v>
          </cell>
          <cell r="BW41">
            <v>159.69427902673328</v>
          </cell>
          <cell r="CA41">
            <v>155.0693396213575</v>
          </cell>
          <cell r="CB41">
            <v>168.76204655151992</v>
          </cell>
        </row>
        <row r="42">
          <cell r="BB42">
            <v>61</v>
          </cell>
          <cell r="BC42">
            <v>66</v>
          </cell>
          <cell r="BV42">
            <v>150.06874918987893</v>
          </cell>
          <cell r="BW42">
            <v>156.93740492141993</v>
          </cell>
          <cell r="CA42">
            <v>159.18051795929935</v>
          </cell>
          <cell r="CB42">
            <v>164.69767862382727</v>
          </cell>
        </row>
        <row r="43">
          <cell r="BB43">
            <v>63</v>
          </cell>
          <cell r="BC43">
            <v>73</v>
          </cell>
          <cell r="BV43">
            <v>154.49534201947844</v>
          </cell>
          <cell r="BW43">
            <v>161.36540161420299</v>
          </cell>
          <cell r="CA43">
            <v>163.37161623614762</v>
          </cell>
          <cell r="CB43">
            <v>169.77213053658468</v>
          </cell>
        </row>
        <row r="44">
          <cell r="BB44">
            <v>76</v>
          </cell>
          <cell r="BC44">
            <v>75</v>
          </cell>
          <cell r="BV44">
            <v>152.36761014547272</v>
          </cell>
          <cell r="BW44">
            <v>155.86815924628232</v>
          </cell>
          <cell r="CA44">
            <v>160.01249006649118</v>
          </cell>
          <cell r="CB44">
            <v>156.83367022942809</v>
          </cell>
        </row>
        <row r="45">
          <cell r="BB45">
            <v>71</v>
          </cell>
          <cell r="BC45">
            <v>75</v>
          </cell>
          <cell r="BV45">
            <v>168.48002691348671</v>
          </cell>
          <cell r="BW45">
            <v>165.61467859298267</v>
          </cell>
          <cell r="CA45">
            <v>149.13638726280243</v>
          </cell>
          <cell r="CB45">
            <v>158.8560404399723</v>
          </cell>
        </row>
        <row r="46">
          <cell r="BV46">
            <v>153.60555385313427</v>
          </cell>
          <cell r="BW46">
            <v>161.10224148733187</v>
          </cell>
          <cell r="CA46">
            <v>151.73934311463694</v>
          </cell>
          <cell r="CB46">
            <v>159.92161652101845</v>
          </cell>
        </row>
        <row r="47">
          <cell r="BV47">
            <v>155.54922663507045</v>
          </cell>
          <cell r="BW47">
            <v>155.06544498858972</v>
          </cell>
          <cell r="CA47">
            <v>156.42691541227524</v>
          </cell>
          <cell r="CB47">
            <v>165.98197790539894</v>
          </cell>
        </row>
        <row r="48">
          <cell r="BV48">
            <v>151.54321080848769</v>
          </cell>
          <cell r="BW48">
            <v>161.20821534004563</v>
          </cell>
          <cell r="CA48">
            <v>158.10122882553657</v>
          </cell>
          <cell r="CB48">
            <v>167.26249776516559</v>
          </cell>
        </row>
        <row r="49">
          <cell r="BV49">
            <v>152.72635094331145</v>
          </cell>
          <cell r="BW49">
            <v>159.72679676677575</v>
          </cell>
          <cell r="CA49">
            <v>157.08211394874897</v>
          </cell>
          <cell r="CB49">
            <v>168.2612852570297</v>
          </cell>
        </row>
        <row r="50">
          <cell r="BV50">
            <v>152.45266941836866</v>
          </cell>
          <cell r="BW50">
            <v>158.78760357891596</v>
          </cell>
          <cell r="CA50">
            <v>157.27741402694335</v>
          </cell>
          <cell r="CB50">
            <v>168.87416164822579</v>
          </cell>
        </row>
        <row r="51">
          <cell r="BV51">
            <v>156.58825248097779</v>
          </cell>
          <cell r="BW51">
            <v>159.12741137623308</v>
          </cell>
          <cell r="CA51">
            <v>156.65300871064778</v>
          </cell>
          <cell r="CB51">
            <v>165.10052708103322</v>
          </cell>
        </row>
        <row r="52">
          <cell r="BV52">
            <v>154.02791292662309</v>
          </cell>
          <cell r="BW52">
            <v>164.55885780705995</v>
          </cell>
          <cell r="CA52">
            <v>156.76487594969083</v>
          </cell>
          <cell r="CB52">
            <v>164.44978812481446</v>
          </cell>
        </row>
        <row r="53">
          <cell r="BV53">
            <v>154.48749253141744</v>
          </cell>
          <cell r="BW53">
            <v>160.41270598248653</v>
          </cell>
          <cell r="CA53">
            <v>155.18649671792693</v>
          </cell>
          <cell r="CB53">
            <v>166.43485445790984</v>
          </cell>
        </row>
        <row r="54">
          <cell r="BV54">
            <v>152.88544234025653</v>
          </cell>
          <cell r="BW54">
            <v>156.53757824803088</v>
          </cell>
          <cell r="CA54">
            <v>153.85958581833626</v>
          </cell>
          <cell r="CB54">
            <v>158.87871049116936</v>
          </cell>
        </row>
        <row r="55">
          <cell r="BV55">
            <v>153.802716109936</v>
          </cell>
          <cell r="BW55">
            <v>165.95897282089675</v>
          </cell>
          <cell r="CA55">
            <v>159.00259229881775</v>
          </cell>
          <cell r="CB55">
            <v>165.19493989294466</v>
          </cell>
        </row>
        <row r="56">
          <cell r="BV56">
            <v>156.59780075402205</v>
          </cell>
          <cell r="BW56">
            <v>161.68349400396974</v>
          </cell>
          <cell r="CA56">
            <v>164.16477042565413</v>
          </cell>
          <cell r="CB56">
            <v>172.12479221983858</v>
          </cell>
        </row>
        <row r="57">
          <cell r="BV57">
            <v>157.87920406900807</v>
          </cell>
          <cell r="BW57">
            <v>156.87622880225993</v>
          </cell>
          <cell r="CA57">
            <v>156.2630350640089</v>
          </cell>
          <cell r="CB57">
            <v>169.47850575063435</v>
          </cell>
        </row>
        <row r="58">
          <cell r="BV58">
            <v>163.57455831388677</v>
          </cell>
          <cell r="BW58">
            <v>161.55638179065943</v>
          </cell>
          <cell r="CA58">
            <v>152.68610460535393</v>
          </cell>
          <cell r="CB58">
            <v>162.67020543865777</v>
          </cell>
        </row>
        <row r="59">
          <cell r="BV59">
            <v>163.04357406149583</v>
          </cell>
          <cell r="BW59">
            <v>160.90080288395222</v>
          </cell>
          <cell r="CA59">
            <v>146.10377174416448</v>
          </cell>
          <cell r="CB59">
            <v>165.06780767941729</v>
          </cell>
        </row>
        <row r="60">
          <cell r="BV60">
            <v>153.06303223790394</v>
          </cell>
          <cell r="BW60">
            <v>160.55152484925509</v>
          </cell>
          <cell r="CA60">
            <v>153.46798466373957</v>
          </cell>
          <cell r="CB60">
            <v>170.32425039350116</v>
          </cell>
        </row>
        <row r="61">
          <cell r="BV61">
            <v>152.41899493414078</v>
          </cell>
          <cell r="BW61">
            <v>164.42339841621089</v>
          </cell>
          <cell r="CA61">
            <v>155.55582035823841</v>
          </cell>
          <cell r="CB61">
            <v>156.84620455185762</v>
          </cell>
        </row>
        <row r="62">
          <cell r="BV62">
            <v>163.63800946338213</v>
          </cell>
          <cell r="BW62">
            <v>164.52598418705321</v>
          </cell>
          <cell r="CA62">
            <v>153.30891968566033</v>
          </cell>
          <cell r="CB62">
            <v>165.18089886860608</v>
          </cell>
        </row>
        <row r="63">
          <cell r="BV63">
            <v>160.78364270958389</v>
          </cell>
          <cell r="BW63">
            <v>160.66671288847138</v>
          </cell>
          <cell r="CA63">
            <v>153.08678883270568</v>
          </cell>
          <cell r="CB63">
            <v>166.78827633899664</v>
          </cell>
        </row>
        <row r="64">
          <cell r="BV64">
            <v>158.40583049991361</v>
          </cell>
          <cell r="BW64">
            <v>157.9829036565321</v>
          </cell>
          <cell r="CA64">
            <v>152.60234388997011</v>
          </cell>
          <cell r="CB64">
            <v>174.63681573000639</v>
          </cell>
        </row>
        <row r="65">
          <cell r="BV65">
            <v>152.52150908098434</v>
          </cell>
          <cell r="BW65">
            <v>154.97319583165236</v>
          </cell>
          <cell r="CA65">
            <v>160.49886188765242</v>
          </cell>
          <cell r="CB65">
            <v>171.84064132325744</v>
          </cell>
        </row>
        <row r="66">
          <cell r="BV66">
            <v>150.12704491734854</v>
          </cell>
          <cell r="BW66">
            <v>155.74321067322862</v>
          </cell>
          <cell r="CA66">
            <v>156.22869252796372</v>
          </cell>
          <cell r="CB66">
            <v>169.60712650038346</v>
          </cell>
        </row>
        <row r="67">
          <cell r="BV67">
            <v>166.21092893671829</v>
          </cell>
          <cell r="BW67">
            <v>164.34403258063872</v>
          </cell>
          <cell r="CA67">
            <v>165.37192098005701</v>
          </cell>
          <cell r="CB67">
            <v>164.11676215721778</v>
          </cell>
        </row>
        <row r="68">
          <cell r="BV68">
            <v>156.86068649928151</v>
          </cell>
          <cell r="BW68">
            <v>165.5855201393297</v>
          </cell>
          <cell r="CA68">
            <v>155.16201047224874</v>
          </cell>
          <cell r="CB68">
            <v>161.08580390641748</v>
          </cell>
        </row>
        <row r="69">
          <cell r="BV69">
            <v>158.09892350844098</v>
          </cell>
          <cell r="BW69">
            <v>160.55664543550529</v>
          </cell>
          <cell r="CA69">
            <v>167.17037236610722</v>
          </cell>
          <cell r="CB69">
            <v>168.90931472910557</v>
          </cell>
        </row>
        <row r="70">
          <cell r="BV70">
            <v>155.87641202450504</v>
          </cell>
          <cell r="BW70">
            <v>157.80018280731409</v>
          </cell>
          <cell r="CA70">
            <v>165.38224092229694</v>
          </cell>
          <cell r="CB70">
            <v>165.35687192853587</v>
          </cell>
        </row>
        <row r="71">
          <cell r="BV71">
            <v>158.50894933646148</v>
          </cell>
          <cell r="BW71">
            <v>166.65042974150816</v>
          </cell>
          <cell r="CA71">
            <v>159.31048637216693</v>
          </cell>
          <cell r="CB71">
            <v>165.59563857610945</v>
          </cell>
        </row>
        <row r="72">
          <cell r="BV72">
            <v>154.5653220365887</v>
          </cell>
          <cell r="BW72">
            <v>163.11497427450786</v>
          </cell>
          <cell r="CA72">
            <v>162.10285487981173</v>
          </cell>
          <cell r="CB72">
            <v>158.73103292804166</v>
          </cell>
        </row>
        <row r="73">
          <cell r="BV73">
            <v>154.71206748926923</v>
          </cell>
          <cell r="BW73">
            <v>159.10626124156585</v>
          </cell>
          <cell r="CA73">
            <v>158.13083430431109</v>
          </cell>
          <cell r="CB73">
            <v>162.52158643427384</v>
          </cell>
        </row>
        <row r="74">
          <cell r="BV74">
            <v>151.93327023896703</v>
          </cell>
          <cell r="BW74">
            <v>157.61963472827961</v>
          </cell>
          <cell r="CA74">
            <v>154.77555713784858</v>
          </cell>
          <cell r="CB74">
            <v>162.15764817119532</v>
          </cell>
        </row>
        <row r="75">
          <cell r="BV75">
            <v>158.62300659114894</v>
          </cell>
          <cell r="BW75">
            <v>161.54511898471094</v>
          </cell>
          <cell r="CA75">
            <v>163.97060503637587</v>
          </cell>
          <cell r="CB75">
            <v>169.18257164237752</v>
          </cell>
        </row>
        <row r="76">
          <cell r="BV76">
            <v>152.71041021526321</v>
          </cell>
          <cell r="BW76">
            <v>162.26463022789525</v>
          </cell>
          <cell r="CA76">
            <v>157.99856158709247</v>
          </cell>
          <cell r="CB76">
            <v>167.53150816240705</v>
          </cell>
        </row>
        <row r="77">
          <cell r="BV77">
            <v>152.78223130877586</v>
          </cell>
          <cell r="BW77">
            <v>154.05398448348123</v>
          </cell>
          <cell r="CA77">
            <v>159.27943131913861</v>
          </cell>
          <cell r="CB77">
            <v>169.39201234200496</v>
          </cell>
        </row>
        <row r="78">
          <cell r="BV78">
            <v>157.15150782702068</v>
          </cell>
          <cell r="BW78">
            <v>159.34014630431662</v>
          </cell>
          <cell r="CA78">
            <v>164.02604779436862</v>
          </cell>
          <cell r="CB78">
            <v>172.60887229552964</v>
          </cell>
        </row>
        <row r="79">
          <cell r="BV79">
            <v>150.62218154427708</v>
          </cell>
          <cell r="BW79">
            <v>155.79423892362271</v>
          </cell>
          <cell r="CA79">
            <v>163.81240523849655</v>
          </cell>
          <cell r="CB79">
            <v>167.01123209761514</v>
          </cell>
        </row>
        <row r="80">
          <cell r="BV80">
            <v>163.92368017440899</v>
          </cell>
          <cell r="BW80">
            <v>160.2486137629042</v>
          </cell>
          <cell r="CA80">
            <v>164.1835750914143</v>
          </cell>
          <cell r="CB80">
            <v>167.89290563614452</v>
          </cell>
        </row>
        <row r="81">
          <cell r="BV81">
            <v>164.94590442514257</v>
          </cell>
          <cell r="BW81">
            <v>157.76200489858695</v>
          </cell>
          <cell r="CA81">
            <v>157.02730872444263</v>
          </cell>
          <cell r="CB81">
            <v>168.70315984679371</v>
          </cell>
        </row>
        <row r="82">
          <cell r="BV82">
            <v>149.94524649607143</v>
          </cell>
          <cell r="BW82">
            <v>154.85286150983683</v>
          </cell>
          <cell r="CA82">
            <v>158.02241294582686</v>
          </cell>
          <cell r="CB82">
            <v>164.25342684842437</v>
          </cell>
        </row>
        <row r="83">
          <cell r="BV83">
            <v>156.74232182771087</v>
          </cell>
          <cell r="BW83">
            <v>166.36154143873478</v>
          </cell>
          <cell r="CA83">
            <v>151.51041316434802</v>
          </cell>
          <cell r="CB83">
            <v>169.29933864782984</v>
          </cell>
        </row>
        <row r="84">
          <cell r="BV84">
            <v>161.8354471635904</v>
          </cell>
          <cell r="BW84">
            <v>164.35768151653446</v>
          </cell>
          <cell r="CA84">
            <v>152.01408004772048</v>
          </cell>
          <cell r="CB84">
            <v>171.68793389516867</v>
          </cell>
        </row>
        <row r="85">
          <cell r="BV85">
            <v>150.37412676377215</v>
          </cell>
          <cell r="BW85">
            <v>154.66477266466637</v>
          </cell>
          <cell r="CA85">
            <v>150.50542520645527</v>
          </cell>
          <cell r="CB85">
            <v>165.88264653901393</v>
          </cell>
        </row>
        <row r="86">
          <cell r="BV86">
            <v>154.77915925515211</v>
          </cell>
          <cell r="BW86">
            <v>165.34296425592436</v>
          </cell>
          <cell r="CA86">
            <v>166.51313196479006</v>
          </cell>
          <cell r="CB86">
            <v>159.59428913827028</v>
          </cell>
        </row>
        <row r="87">
          <cell r="BV87">
            <v>162.52686358315725</v>
          </cell>
          <cell r="BW87">
            <v>163.36506522448423</v>
          </cell>
          <cell r="CA87">
            <v>157.52004385586895</v>
          </cell>
          <cell r="CB87">
            <v>173.48786132863003</v>
          </cell>
        </row>
        <row r="88">
          <cell r="BV88">
            <v>150.66711260237125</v>
          </cell>
          <cell r="BW88">
            <v>156.78540431612876</v>
          </cell>
          <cell r="CA88">
            <v>167.61696696005731</v>
          </cell>
          <cell r="CB88">
            <v>167.82333110692795</v>
          </cell>
        </row>
        <row r="89">
          <cell r="BV89">
            <v>153.22436394674892</v>
          </cell>
          <cell r="BW89">
            <v>155.85610150119211</v>
          </cell>
          <cell r="CA89">
            <v>158.37965317092775</v>
          </cell>
          <cell r="CB89">
            <v>168.09753062361807</v>
          </cell>
        </row>
        <row r="90">
          <cell r="BV90">
            <v>152.61154050873753</v>
          </cell>
          <cell r="BW90">
            <v>156.54694132625414</v>
          </cell>
          <cell r="CA90">
            <v>154.66677923262256</v>
          </cell>
          <cell r="CB90">
            <v>161.52278424722201</v>
          </cell>
        </row>
        <row r="91">
          <cell r="BV91">
            <v>156.4118284760174</v>
          </cell>
          <cell r="BW91">
            <v>155.54957010769851</v>
          </cell>
          <cell r="CA91">
            <v>155.3274297255457</v>
          </cell>
          <cell r="CB91">
            <v>162.227205548537</v>
          </cell>
        </row>
        <row r="92">
          <cell r="BV92">
            <v>155.70843989244881</v>
          </cell>
          <cell r="BW92">
            <v>162.46269248465728</v>
          </cell>
          <cell r="CA92">
            <v>165.07320446835891</v>
          </cell>
          <cell r="CB92">
            <v>165.88705319927163</v>
          </cell>
        </row>
        <row r="93">
          <cell r="BV93">
            <v>161.75700611813886</v>
          </cell>
          <cell r="BW93">
            <v>166.7310222101554</v>
          </cell>
          <cell r="CA93">
            <v>160.85710077510271</v>
          </cell>
          <cell r="CB93">
            <v>170.92998173397328</v>
          </cell>
        </row>
        <row r="94">
          <cell r="BV94">
            <v>157.15882421701178</v>
          </cell>
          <cell r="BW94">
            <v>159.30789245028882</v>
          </cell>
          <cell r="CA94">
            <v>158.67099384693188</v>
          </cell>
          <cell r="CB94">
            <v>162.79777457470087</v>
          </cell>
        </row>
        <row r="95">
          <cell r="BV95">
            <v>151.92999577491796</v>
          </cell>
          <cell r="BW95">
            <v>149.313910538241</v>
          </cell>
          <cell r="CA95">
            <v>155.83889999793806</v>
          </cell>
          <cell r="CB95">
            <v>166.04578722774326</v>
          </cell>
        </row>
        <row r="96">
          <cell r="BV96">
            <v>153.01010258364335</v>
          </cell>
          <cell r="BW96">
            <v>159.77962370947114</v>
          </cell>
          <cell r="CA96">
            <v>150.82910217624834</v>
          </cell>
          <cell r="CB96">
            <v>162.33459049413619</v>
          </cell>
        </row>
        <row r="97">
          <cell r="BV97">
            <v>152.28127757369856</v>
          </cell>
          <cell r="BW97">
            <v>157.16120504339247</v>
          </cell>
          <cell r="CA97">
            <v>157.1710013856891</v>
          </cell>
          <cell r="CB97">
            <v>170.94030508753488</v>
          </cell>
        </row>
        <row r="98">
          <cell r="BV98">
            <v>156.37825369878124</v>
          </cell>
          <cell r="BW98">
            <v>159.34916747832591</v>
          </cell>
          <cell r="CA98">
            <v>153.34054678706059</v>
          </cell>
          <cell r="CB98">
            <v>164.72521309305</v>
          </cell>
        </row>
        <row r="99">
          <cell r="BV99">
            <v>149.53665848986338</v>
          </cell>
          <cell r="BW99">
            <v>155.71293970467138</v>
          </cell>
          <cell r="CA99">
            <v>160.7428902898462</v>
          </cell>
          <cell r="CB99">
            <v>171.53789816829985</v>
          </cell>
        </row>
        <row r="100">
          <cell r="BV100">
            <v>157.12961629164141</v>
          </cell>
          <cell r="BW100">
            <v>156.94778636046001</v>
          </cell>
          <cell r="CA100">
            <v>153.90397515039069</v>
          </cell>
          <cell r="CB100">
            <v>167.24495120164838</v>
          </cell>
        </row>
        <row r="101">
          <cell r="BV101">
            <v>157.21983177557456</v>
          </cell>
          <cell r="BW101">
            <v>164.83522550545516</v>
          </cell>
          <cell r="CA101">
            <v>156.73491219533003</v>
          </cell>
          <cell r="CB101">
            <v>163.83956983356393</v>
          </cell>
        </row>
        <row r="102">
          <cell r="BV102">
            <v>153.65314014911129</v>
          </cell>
          <cell r="BW102">
            <v>153.258971622704</v>
          </cell>
          <cell r="CA102">
            <v>159.17750703307379</v>
          </cell>
          <cell r="CB102">
            <v>164.38922958458815</v>
          </cell>
        </row>
        <row r="103">
          <cell r="BV103">
            <v>159.83971310975636</v>
          </cell>
          <cell r="BW103">
            <v>160.35124932067305</v>
          </cell>
          <cell r="CA103">
            <v>167.20051346853822</v>
          </cell>
          <cell r="CB103">
            <v>167.85260101719135</v>
          </cell>
        </row>
        <row r="104">
          <cell r="BV104">
            <v>150.32256737341464</v>
          </cell>
          <cell r="BW104">
            <v>161.03722919733409</v>
          </cell>
          <cell r="CA104">
            <v>161.21508684909216</v>
          </cell>
          <cell r="CB104">
            <v>161.98820213336421</v>
          </cell>
        </row>
        <row r="105">
          <cell r="BV105">
            <v>150.41751634263852</v>
          </cell>
          <cell r="BW105">
            <v>151.11854219822328</v>
          </cell>
          <cell r="CA105">
            <v>154.40585259955867</v>
          </cell>
          <cell r="CB105">
            <v>166.78903921862766</v>
          </cell>
        </row>
        <row r="106">
          <cell r="BV106">
            <v>154.34766552980867</v>
          </cell>
          <cell r="BW106">
            <v>168.8774801195627</v>
          </cell>
          <cell r="CA106">
            <v>157.18731079937223</v>
          </cell>
          <cell r="CB106">
            <v>162.94679791878062</v>
          </cell>
        </row>
        <row r="107">
          <cell r="BV107">
            <v>152.32708794658396</v>
          </cell>
          <cell r="BW107">
            <v>158.89366251576362</v>
          </cell>
          <cell r="CA107">
            <v>150.19656892813441</v>
          </cell>
          <cell r="CB107">
            <v>156.03153040773111</v>
          </cell>
        </row>
        <row r="108">
          <cell r="BV108">
            <v>152.71100381889696</v>
          </cell>
          <cell r="BW108">
            <v>157.98118892067356</v>
          </cell>
          <cell r="CA108">
            <v>161.5225897563881</v>
          </cell>
          <cell r="CB108">
            <v>161.43452651305728</v>
          </cell>
        </row>
        <row r="109">
          <cell r="BV109">
            <v>162.27568589238624</v>
          </cell>
          <cell r="BW109">
            <v>160.8251239909597</v>
          </cell>
          <cell r="CA109">
            <v>157.62949006383835</v>
          </cell>
          <cell r="CB109">
            <v>170.29861264500536</v>
          </cell>
        </row>
        <row r="110">
          <cell r="BV110">
            <v>152.64169023309461</v>
          </cell>
          <cell r="BW110">
            <v>158.72393840872365</v>
          </cell>
          <cell r="CA110">
            <v>157.86064117314626</v>
          </cell>
          <cell r="CB110">
            <v>169.06092786331817</v>
          </cell>
        </row>
        <row r="111">
          <cell r="BV111">
            <v>161.0432951484805</v>
          </cell>
          <cell r="BW111">
            <v>163.23613916769995</v>
          </cell>
          <cell r="CA111">
            <v>155.95574138752912</v>
          </cell>
          <cell r="CB111">
            <v>164.72410129446425</v>
          </cell>
        </row>
        <row r="112">
          <cell r="BV112">
            <v>167.9598052518254</v>
          </cell>
          <cell r="BW112">
            <v>170.52727513696158</v>
          </cell>
          <cell r="CA112">
            <v>144.84087664919537</v>
          </cell>
          <cell r="CB112">
            <v>162.29468589604289</v>
          </cell>
        </row>
        <row r="113">
          <cell r="BV113">
            <v>161.21949786203183</v>
          </cell>
          <cell r="BW113">
            <v>159.37886189323112</v>
          </cell>
          <cell r="CA113">
            <v>158.47348813024988</v>
          </cell>
          <cell r="CB113">
            <v>170.32835881804914</v>
          </cell>
        </row>
        <row r="114">
          <cell r="BV114">
            <v>158.39685006704212</v>
          </cell>
          <cell r="BW114">
            <v>163.80559948737826</v>
          </cell>
          <cell r="CA114">
            <v>160.56173857762212</v>
          </cell>
          <cell r="CB114">
            <v>163.08487046052957</v>
          </cell>
        </row>
        <row r="115">
          <cell r="BV115">
            <v>154.85052415060031</v>
          </cell>
          <cell r="BW115">
            <v>162.01936490600383</v>
          </cell>
          <cell r="CA115">
            <v>158.95701089141932</v>
          </cell>
          <cell r="CB115">
            <v>170.41904035723644</v>
          </cell>
        </row>
        <row r="116">
          <cell r="BV116">
            <v>144.97184534599381</v>
          </cell>
          <cell r="BW116">
            <v>155.57918607550255</v>
          </cell>
          <cell r="CA116">
            <v>163.62737179988511</v>
          </cell>
          <cell r="CB116">
            <v>167.20754500592699</v>
          </cell>
        </row>
        <row r="117">
          <cell r="BV117">
            <v>161.71596489675957</v>
          </cell>
          <cell r="BW117">
            <v>162.63811084417122</v>
          </cell>
          <cell r="CA117">
            <v>161.83933590702847</v>
          </cell>
          <cell r="CB117">
            <v>164.12669653904914</v>
          </cell>
        </row>
        <row r="118">
          <cell r="BV118">
            <v>156.63076874718925</v>
          </cell>
          <cell r="BW118">
            <v>153.37589246115854</v>
          </cell>
          <cell r="CA118">
            <v>152.92002372038249</v>
          </cell>
          <cell r="CB118">
            <v>162.23805784298247</v>
          </cell>
        </row>
        <row r="119">
          <cell r="BV119">
            <v>150.33147996592484</v>
          </cell>
          <cell r="BW119">
            <v>149.82858085288694</v>
          </cell>
          <cell r="CA119">
            <v>165.45258119078355</v>
          </cell>
          <cell r="CB119">
            <v>169.08785691205182</v>
          </cell>
        </row>
        <row r="120">
          <cell r="BV120">
            <v>157.98876806905037</v>
          </cell>
          <cell r="BW120">
            <v>164.95092049812615</v>
          </cell>
          <cell r="CA120">
            <v>156.83500909245922</v>
          </cell>
          <cell r="CB120">
            <v>161.57656487522289</v>
          </cell>
        </row>
        <row r="121">
          <cell r="BV121">
            <v>159.20080294044396</v>
          </cell>
          <cell r="BW121">
            <v>160.66543217705822</v>
          </cell>
          <cell r="CA121">
            <v>157.25172352074301</v>
          </cell>
          <cell r="CB121">
            <v>168.46617769875076</v>
          </cell>
        </row>
        <row r="122">
          <cell r="BV122">
            <v>162.00514638500644</v>
          </cell>
          <cell r="BW122">
            <v>159.79938086061563</v>
          </cell>
          <cell r="CA122">
            <v>152.14561247546834</v>
          </cell>
          <cell r="CB122">
            <v>164.50844862224164</v>
          </cell>
        </row>
        <row r="123">
          <cell r="BV123">
            <v>157.37047857995441</v>
          </cell>
          <cell r="BW123">
            <v>160.96143499463381</v>
          </cell>
          <cell r="CA123">
            <v>168.81150358146547</v>
          </cell>
          <cell r="CB123">
            <v>169.39504602080962</v>
          </cell>
        </row>
        <row r="124">
          <cell r="BV124">
            <v>162.5101228140721</v>
          </cell>
          <cell r="BW124">
            <v>160.45453006910068</v>
          </cell>
          <cell r="CA124">
            <v>155.75173783906214</v>
          </cell>
          <cell r="CB124">
            <v>154.13285324037099</v>
          </cell>
        </row>
        <row r="125">
          <cell r="BV125">
            <v>150.43000471360406</v>
          </cell>
          <cell r="BW125">
            <v>153.2143586287664</v>
          </cell>
          <cell r="CA125">
            <v>160.2889289245239</v>
          </cell>
          <cell r="CB125">
            <v>164.27076956590389</v>
          </cell>
        </row>
        <row r="126">
          <cell r="BV126">
            <v>161.90882867271634</v>
          </cell>
          <cell r="BW126">
            <v>156.52600284701199</v>
          </cell>
          <cell r="CA126">
            <v>145.10471901476748</v>
          </cell>
          <cell r="CB126">
            <v>161.85845204334314</v>
          </cell>
        </row>
        <row r="127">
          <cell r="BV127">
            <v>161.41030382446547</v>
          </cell>
          <cell r="BW127">
            <v>165.39208284948711</v>
          </cell>
          <cell r="CA127">
            <v>160.84880911710255</v>
          </cell>
          <cell r="CB127">
            <v>169.23686145305481</v>
          </cell>
        </row>
        <row r="128">
          <cell r="BV128">
            <v>154.81164932044763</v>
          </cell>
          <cell r="BW128">
            <v>160.38592530947389</v>
          </cell>
          <cell r="CA128">
            <v>169.60584922662636</v>
          </cell>
          <cell r="CB128">
            <v>175.48346665869778</v>
          </cell>
        </row>
        <row r="129">
          <cell r="BV129">
            <v>157.86415337560788</v>
          </cell>
          <cell r="BW129">
            <v>164.56212224019973</v>
          </cell>
          <cell r="CA129">
            <v>158.57872741019523</v>
          </cell>
          <cell r="CB129">
            <v>161.07962853095938</v>
          </cell>
        </row>
        <row r="130">
          <cell r="BV130">
            <v>162.06642253432616</v>
          </cell>
          <cell r="BW130">
            <v>160.54600255681055</v>
          </cell>
          <cell r="CA130">
            <v>156.40135923452408</v>
          </cell>
          <cell r="CB130">
            <v>167.79857632278706</v>
          </cell>
        </row>
        <row r="131">
          <cell r="BV131">
            <v>153.44367826449695</v>
          </cell>
          <cell r="BW131">
            <v>155.05365056601514</v>
          </cell>
          <cell r="CA131">
            <v>158.15398979958326</v>
          </cell>
          <cell r="CB131">
            <v>163.35207981655412</v>
          </cell>
        </row>
        <row r="132">
          <cell r="BV132">
            <v>155.54717739086021</v>
          </cell>
          <cell r="BW132">
            <v>155.20129722579847</v>
          </cell>
          <cell r="CA132">
            <v>156.9717363170239</v>
          </cell>
          <cell r="CB132">
            <v>165.06821195168479</v>
          </cell>
        </row>
        <row r="133">
          <cell r="BV133">
            <v>159.76383647384935</v>
          </cell>
          <cell r="BW133">
            <v>166.90312972060516</v>
          </cell>
          <cell r="CA133">
            <v>147.1779877500839</v>
          </cell>
          <cell r="CB133">
            <v>176.49692655968391</v>
          </cell>
        </row>
        <row r="134">
          <cell r="BV134">
            <v>154.84206361033711</v>
          </cell>
          <cell r="BW134">
            <v>161.84858814353007</v>
          </cell>
          <cell r="CA134">
            <v>166.39160863082907</v>
          </cell>
          <cell r="CB134">
            <v>175.81849296927851</v>
          </cell>
        </row>
        <row r="135">
          <cell r="BV135">
            <v>159.62504950216254</v>
          </cell>
          <cell r="BW135">
            <v>156.01701968821402</v>
          </cell>
          <cell r="CA135">
            <v>153.20462907520667</v>
          </cell>
          <cell r="CB135">
            <v>171.24008682775215</v>
          </cell>
        </row>
        <row r="136">
          <cell r="BV136">
            <v>146.94731855933983</v>
          </cell>
          <cell r="BW136">
            <v>154.46504401251258</v>
          </cell>
          <cell r="CA136">
            <v>155.22208735289237</v>
          </cell>
          <cell r="CB136">
            <v>166.92335360748166</v>
          </cell>
        </row>
        <row r="137">
          <cell r="BV137">
            <v>163.11001016099578</v>
          </cell>
          <cell r="BW137">
            <v>169.97311930065442</v>
          </cell>
          <cell r="CA137">
            <v>166.52746492460017</v>
          </cell>
          <cell r="CB137">
            <v>167.38589082337978</v>
          </cell>
        </row>
        <row r="138">
          <cell r="BV138">
            <v>149.74049471206951</v>
          </cell>
          <cell r="BW138">
            <v>153.53455378064652</v>
          </cell>
          <cell r="CA138">
            <v>159.54248959745431</v>
          </cell>
          <cell r="CB138">
            <v>173.14917440341264</v>
          </cell>
        </row>
        <row r="139">
          <cell r="BV139">
            <v>155.69167320592373</v>
          </cell>
          <cell r="BW139">
            <v>159.20867790817488</v>
          </cell>
          <cell r="CA139">
            <v>164.00704609049259</v>
          </cell>
          <cell r="CB139">
            <v>166.1858769608599</v>
          </cell>
        </row>
        <row r="140">
          <cell r="BV140">
            <v>159.1230632832584</v>
          </cell>
          <cell r="BW140">
            <v>146.33690618307958</v>
          </cell>
          <cell r="CA140">
            <v>165.57130290441762</v>
          </cell>
          <cell r="CB140">
            <v>159.80943932557605</v>
          </cell>
        </row>
        <row r="141">
          <cell r="BV141">
            <v>154.73040710235077</v>
          </cell>
          <cell r="BW141">
            <v>155.10074016133728</v>
          </cell>
          <cell r="CA141">
            <v>152.7441267049019</v>
          </cell>
          <cell r="CB141">
            <v>170.53179179416483</v>
          </cell>
        </row>
        <row r="142">
          <cell r="BV142">
            <v>160.12815494899093</v>
          </cell>
          <cell r="BW142">
            <v>165.60594882932591</v>
          </cell>
          <cell r="CA142">
            <v>156.91483430035262</v>
          </cell>
          <cell r="CB142">
            <v>163.31121415495008</v>
          </cell>
        </row>
        <row r="143">
          <cell r="BV143">
            <v>148.6651174033841</v>
          </cell>
          <cell r="BW143">
            <v>148.43641422495298</v>
          </cell>
          <cell r="CA143">
            <v>154.90653277104124</v>
          </cell>
          <cell r="CB143">
            <v>171.87593955161284</v>
          </cell>
        </row>
        <row r="144">
          <cell r="BV144">
            <v>160.78606585440235</v>
          </cell>
          <cell r="BW144">
            <v>159.16950182371471</v>
          </cell>
          <cell r="CA144">
            <v>156.00714739773801</v>
          </cell>
          <cell r="CB144">
            <v>170.04786729001481</v>
          </cell>
        </row>
        <row r="145">
          <cell r="BV145">
            <v>155.01484466890395</v>
          </cell>
          <cell r="BW145">
            <v>162.59442168725607</v>
          </cell>
          <cell r="CA145">
            <v>154.96172864473337</v>
          </cell>
          <cell r="CB145">
            <v>164.54090656174577</v>
          </cell>
        </row>
        <row r="146">
          <cell r="BV146">
            <v>155.40494162448604</v>
          </cell>
          <cell r="BW146">
            <v>154.86278525221118</v>
          </cell>
          <cell r="CA146">
            <v>158.30812995061558</v>
          </cell>
          <cell r="CB146">
            <v>171.34342135476487</v>
          </cell>
        </row>
        <row r="147">
          <cell r="BV147">
            <v>157.22861940721373</v>
          </cell>
          <cell r="BW147">
            <v>160.29256584140973</v>
          </cell>
          <cell r="CA147">
            <v>155.80074130160426</v>
          </cell>
          <cell r="CB147">
            <v>170.61036120480836</v>
          </cell>
        </row>
        <row r="148">
          <cell r="BV148">
            <v>152.66698074017432</v>
          </cell>
          <cell r="BW148">
            <v>159.11505018575298</v>
          </cell>
          <cell r="CA148">
            <v>153.1296345409306</v>
          </cell>
          <cell r="CB148">
            <v>165.97001697220301</v>
          </cell>
        </row>
        <row r="149">
          <cell r="BV149">
            <v>149.89187225890996</v>
          </cell>
          <cell r="BW149">
            <v>156.2934734710328</v>
          </cell>
          <cell r="CA149">
            <v>165.09761427047439</v>
          </cell>
          <cell r="CB149">
            <v>159.62725311913306</v>
          </cell>
        </row>
        <row r="150">
          <cell r="BV150">
            <v>151.90871289231231</v>
          </cell>
          <cell r="BW150">
            <v>154.89223543971497</v>
          </cell>
          <cell r="CA150">
            <v>155.39547210668567</v>
          </cell>
          <cell r="CB150">
            <v>163.73682253282641</v>
          </cell>
        </row>
        <row r="151">
          <cell r="BV151">
            <v>156.04001041746369</v>
          </cell>
          <cell r="BW151">
            <v>152.8868842723839</v>
          </cell>
          <cell r="CA151">
            <v>157.87513569751877</v>
          </cell>
          <cell r="CB151">
            <v>172.85908111948368</v>
          </cell>
        </row>
        <row r="152">
          <cell r="BV152">
            <v>157.03663140863682</v>
          </cell>
          <cell r="BW152">
            <v>152.81509439333894</v>
          </cell>
          <cell r="CA152">
            <v>160.5717132298052</v>
          </cell>
          <cell r="CB152">
            <v>166.83382540840051</v>
          </cell>
        </row>
        <row r="153">
          <cell r="BV153">
            <v>155.93944585674507</v>
          </cell>
          <cell r="BW153">
            <v>153.10000475241131</v>
          </cell>
          <cell r="CA153">
            <v>159.20102520362286</v>
          </cell>
          <cell r="CB153">
            <v>165.38978610213064</v>
          </cell>
        </row>
        <row r="154">
          <cell r="BV154">
            <v>153.98592615896217</v>
          </cell>
          <cell r="BW154">
            <v>155.13607574677062</v>
          </cell>
          <cell r="CA154">
            <v>154.61044265720611</v>
          </cell>
          <cell r="CB154">
            <v>166.85312380838639</v>
          </cell>
        </row>
        <row r="155">
          <cell r="BV155">
            <v>157.87349075638647</v>
          </cell>
          <cell r="BW155">
            <v>152.09396072721395</v>
          </cell>
          <cell r="CA155">
            <v>158.92394403635157</v>
          </cell>
          <cell r="CB155">
            <v>159.84446195611227</v>
          </cell>
        </row>
        <row r="156">
          <cell r="BV156">
            <v>148.17781931848384</v>
          </cell>
          <cell r="BW156">
            <v>157.52101117377546</v>
          </cell>
          <cell r="CA156">
            <v>164.33895234115022</v>
          </cell>
          <cell r="CB156">
            <v>165.18069583204189</v>
          </cell>
        </row>
        <row r="157">
          <cell r="BV157">
            <v>156.11536302971271</v>
          </cell>
          <cell r="BW157">
            <v>162.14949382476058</v>
          </cell>
          <cell r="CA157">
            <v>160.527436765505</v>
          </cell>
          <cell r="CB157">
            <v>159.29535025298458</v>
          </cell>
        </row>
        <row r="158">
          <cell r="BV158">
            <v>153.4614346394838</v>
          </cell>
          <cell r="BW158">
            <v>164.99122513929041</v>
          </cell>
          <cell r="CA158">
            <v>148.50600020646735</v>
          </cell>
          <cell r="CB158">
            <v>163.88157596027929</v>
          </cell>
        </row>
        <row r="159">
          <cell r="BV159">
            <v>153.2088382020205</v>
          </cell>
          <cell r="BW159">
            <v>151.30811150536826</v>
          </cell>
          <cell r="CA159">
            <v>162.41275624601448</v>
          </cell>
          <cell r="CB159">
            <v>168.60552682588775</v>
          </cell>
        </row>
        <row r="160">
          <cell r="BV160">
            <v>156.98678308380329</v>
          </cell>
          <cell r="BW160">
            <v>161.62550929580652</v>
          </cell>
          <cell r="CA160">
            <v>156.50509711207184</v>
          </cell>
          <cell r="CB160">
            <v>161.93444450392593</v>
          </cell>
        </row>
        <row r="161">
          <cell r="BV161">
            <v>168.5172705578731</v>
          </cell>
          <cell r="BW161">
            <v>169.63245965739355</v>
          </cell>
          <cell r="CA161">
            <v>158.34027512438144</v>
          </cell>
          <cell r="CB161">
            <v>162.65721731557966</v>
          </cell>
        </row>
        <row r="162">
          <cell r="BV162">
            <v>158.50895950357517</v>
          </cell>
          <cell r="BW162">
            <v>159.90713298945769</v>
          </cell>
          <cell r="CA162">
            <v>157.47570087480682</v>
          </cell>
          <cell r="CB162">
            <v>171.19533806283005</v>
          </cell>
        </row>
        <row r="163">
          <cell r="BV163">
            <v>149.56346604723512</v>
          </cell>
          <cell r="BW163">
            <v>151.10596893378408</v>
          </cell>
          <cell r="CA163">
            <v>163.00543202011357</v>
          </cell>
          <cell r="CB163">
            <v>159.82884278342217</v>
          </cell>
        </row>
        <row r="164">
          <cell r="BV164">
            <v>158.50742099833778</v>
          </cell>
          <cell r="BW164">
            <v>157.46023163732255</v>
          </cell>
          <cell r="CA164">
            <v>157.01281853122049</v>
          </cell>
          <cell r="CB164">
            <v>178.09334184435164</v>
          </cell>
        </row>
        <row r="165">
          <cell r="BV165">
            <v>158.56721553106962</v>
          </cell>
          <cell r="BW165">
            <v>155.06624905652296</v>
          </cell>
          <cell r="CA165">
            <v>155.54830164317357</v>
          </cell>
          <cell r="CB165">
            <v>152.69664999871176</v>
          </cell>
        </row>
        <row r="166">
          <cell r="BV166">
            <v>152.74033696775936</v>
          </cell>
          <cell r="BW166">
            <v>160.82259834574302</v>
          </cell>
          <cell r="CA166">
            <v>158.13651677734671</v>
          </cell>
          <cell r="CB166">
            <v>167.4101207834365</v>
          </cell>
        </row>
        <row r="167">
          <cell r="BV167">
            <v>150.88608661874062</v>
          </cell>
          <cell r="BW167">
            <v>156.29956363357181</v>
          </cell>
          <cell r="CA167">
            <v>160.74195948103483</v>
          </cell>
          <cell r="CB167">
            <v>162.98817428376805</v>
          </cell>
        </row>
        <row r="168">
          <cell r="BV168">
            <v>157.37240534393376</v>
          </cell>
          <cell r="BW168">
            <v>158.72002397336979</v>
          </cell>
          <cell r="CA168">
            <v>165.86403819670923</v>
          </cell>
          <cell r="CB168">
            <v>175.20440739599562</v>
          </cell>
        </row>
        <row r="169">
          <cell r="BV169">
            <v>152.92852464825421</v>
          </cell>
          <cell r="BW169">
            <v>156.98873920876457</v>
          </cell>
          <cell r="CA169">
            <v>153.22749615018284</v>
          </cell>
          <cell r="CB169">
            <v>160.75474484407687</v>
          </cell>
        </row>
        <row r="170">
          <cell r="BV170">
            <v>162.77678072633373</v>
          </cell>
          <cell r="BW170">
            <v>157.84833996697219</v>
          </cell>
          <cell r="CA170">
            <v>155.61415617691006</v>
          </cell>
          <cell r="CB170">
            <v>167.83959470757603</v>
          </cell>
        </row>
        <row r="171">
          <cell r="BV171">
            <v>163.47041456872054</v>
          </cell>
          <cell r="BW171">
            <v>165.11663129987795</v>
          </cell>
          <cell r="CA171">
            <v>163.43539882451418</v>
          </cell>
          <cell r="CB171">
            <v>163.4000133896985</v>
          </cell>
        </row>
        <row r="172">
          <cell r="BV172">
            <v>151.62811963368219</v>
          </cell>
          <cell r="BW172">
            <v>158.0023121373269</v>
          </cell>
          <cell r="CA172">
            <v>158.33376714209385</v>
          </cell>
          <cell r="CB172">
            <v>171.66727960103526</v>
          </cell>
        </row>
        <row r="173">
          <cell r="BV173">
            <v>152.98739311107678</v>
          </cell>
          <cell r="BW173">
            <v>156.45926153353028</v>
          </cell>
          <cell r="CA173">
            <v>152.35275859082441</v>
          </cell>
          <cell r="CB173">
            <v>163.88599546026342</v>
          </cell>
        </row>
        <row r="174">
          <cell r="BV174">
            <v>158.98659382742471</v>
          </cell>
          <cell r="BW174">
            <v>160.94831118240771</v>
          </cell>
          <cell r="CA174">
            <v>153.05978775501819</v>
          </cell>
          <cell r="CB174">
            <v>157.54517217640935</v>
          </cell>
        </row>
        <row r="175">
          <cell r="BV175">
            <v>153.72204643641825</v>
          </cell>
          <cell r="BW175">
            <v>156.10031779663407</v>
          </cell>
          <cell r="CA175">
            <v>152.97990470577506</v>
          </cell>
          <cell r="CB175">
            <v>163.73815492777067</v>
          </cell>
        </row>
        <row r="176">
          <cell r="BV176">
            <v>164.80821983889857</v>
          </cell>
          <cell r="BW176">
            <v>172.59528222133116</v>
          </cell>
          <cell r="CA176">
            <v>156.91980825857402</v>
          </cell>
          <cell r="CB176">
            <v>161.19343849451622</v>
          </cell>
        </row>
        <row r="177">
          <cell r="BV177">
            <v>151.30196865993855</v>
          </cell>
          <cell r="BW177">
            <v>153.42584891451659</v>
          </cell>
          <cell r="CA177">
            <v>152.24424172006252</v>
          </cell>
          <cell r="CB177">
            <v>158.89380480240209</v>
          </cell>
        </row>
        <row r="178">
          <cell r="BV178">
            <v>162.97093544772213</v>
          </cell>
          <cell r="BW178">
            <v>158.77410460591523</v>
          </cell>
          <cell r="CA178">
            <v>157.85094363318828</v>
          </cell>
          <cell r="CB178">
            <v>169.1017420421399</v>
          </cell>
        </row>
        <row r="179">
          <cell r="BV179">
            <v>157.56563650545974</v>
          </cell>
          <cell r="BW179">
            <v>162.13003066595346</v>
          </cell>
          <cell r="CA179">
            <v>163.39128306184202</v>
          </cell>
          <cell r="CB179">
            <v>167.03769147765135</v>
          </cell>
        </row>
        <row r="180">
          <cell r="BV180">
            <v>149.44224706180538</v>
          </cell>
          <cell r="BW180">
            <v>162.52157747829654</v>
          </cell>
          <cell r="CA180">
            <v>158.01541468592478</v>
          </cell>
          <cell r="CB180">
            <v>168.82884146050614</v>
          </cell>
        </row>
        <row r="181">
          <cell r="BV181">
            <v>153.97133132310225</v>
          </cell>
          <cell r="BW181">
            <v>150.72620806146773</v>
          </cell>
          <cell r="CA181">
            <v>171.8383293271099</v>
          </cell>
          <cell r="CB181">
            <v>168.28582490573132</v>
          </cell>
        </row>
        <row r="182">
          <cell r="BV182">
            <v>161.69817854142298</v>
          </cell>
          <cell r="BW182">
            <v>159.17293428317311</v>
          </cell>
          <cell r="CA182">
            <v>164.2645934721165</v>
          </cell>
          <cell r="CB182">
            <v>170.70692684817689</v>
          </cell>
        </row>
        <row r="183">
          <cell r="BV183">
            <v>156.35518607576856</v>
          </cell>
          <cell r="BW183">
            <v>150.64205403172681</v>
          </cell>
          <cell r="CA183">
            <v>159.73908928669826</v>
          </cell>
          <cell r="CB183">
            <v>164.88392737043128</v>
          </cell>
        </row>
        <row r="184">
          <cell r="BV184">
            <v>155.06291033050846</v>
          </cell>
          <cell r="BW184">
            <v>160.2323911503116</v>
          </cell>
          <cell r="CA184">
            <v>155.91886244725563</v>
          </cell>
          <cell r="CB184">
            <v>173.02911639849788</v>
          </cell>
        </row>
        <row r="185">
          <cell r="BV185">
            <v>148.14157965276374</v>
          </cell>
          <cell r="BW185">
            <v>156.45247917388093</v>
          </cell>
          <cell r="CA185">
            <v>157.91791713459614</v>
          </cell>
          <cell r="CB185">
            <v>163.73152213855494</v>
          </cell>
        </row>
        <row r="186">
          <cell r="BV186">
            <v>150.22926719213652</v>
          </cell>
          <cell r="BW186">
            <v>163.07216283339002</v>
          </cell>
          <cell r="CA186">
            <v>152.52525394095079</v>
          </cell>
          <cell r="CB186">
            <v>159.77831578607294</v>
          </cell>
        </row>
        <row r="187">
          <cell r="BV187">
            <v>150.753307813612</v>
          </cell>
          <cell r="BW187">
            <v>164.54123505976361</v>
          </cell>
          <cell r="CA187">
            <v>158.78393245500371</v>
          </cell>
          <cell r="CB187">
            <v>163.9194272029483</v>
          </cell>
        </row>
        <row r="188">
          <cell r="BV188">
            <v>155.27917133202897</v>
          </cell>
          <cell r="BW188">
            <v>160.82844287765124</v>
          </cell>
          <cell r="CA188">
            <v>152.47690368546313</v>
          </cell>
          <cell r="CB188">
            <v>168.54994091006731</v>
          </cell>
        </row>
        <row r="189">
          <cell r="BV189">
            <v>156.06152012946725</v>
          </cell>
          <cell r="BW189">
            <v>162.58463003219427</v>
          </cell>
          <cell r="CA189">
            <v>154.89009560830175</v>
          </cell>
          <cell r="CB189">
            <v>165.86520414397941</v>
          </cell>
        </row>
        <row r="190">
          <cell r="BV190">
            <v>154.27529732884238</v>
          </cell>
          <cell r="BW190">
            <v>158.88564154135582</v>
          </cell>
          <cell r="CA190">
            <v>152.24589335865852</v>
          </cell>
          <cell r="CB190">
            <v>156.55477187862587</v>
          </cell>
        </row>
        <row r="191">
          <cell r="BV191">
            <v>167.97484522677615</v>
          </cell>
          <cell r="BW191">
            <v>165.62571519019201</v>
          </cell>
          <cell r="CA191">
            <v>152.12085162146536</v>
          </cell>
          <cell r="CB191">
            <v>169.09583403147559</v>
          </cell>
        </row>
        <row r="192">
          <cell r="BV192">
            <v>153.25348368529458</v>
          </cell>
          <cell r="BW192">
            <v>153.95635040445376</v>
          </cell>
          <cell r="CA192">
            <v>161.42945900304045</v>
          </cell>
          <cell r="CB192">
            <v>169.95492772884273</v>
          </cell>
        </row>
        <row r="193">
          <cell r="BV193">
            <v>159.76007694129069</v>
          </cell>
          <cell r="BW193">
            <v>165.18900280743813</v>
          </cell>
          <cell r="CA193">
            <v>163.80861308682157</v>
          </cell>
          <cell r="CB193">
            <v>168.95462093520402</v>
          </cell>
        </row>
        <row r="194">
          <cell r="BV194">
            <v>155.29534525487384</v>
          </cell>
          <cell r="BW194">
            <v>157.37429893013095</v>
          </cell>
          <cell r="CA194">
            <v>165.25698957871498</v>
          </cell>
          <cell r="CB194">
            <v>168.37255761575241</v>
          </cell>
        </row>
        <row r="195">
          <cell r="BV195">
            <v>166.40630836642401</v>
          </cell>
          <cell r="BW195">
            <v>167.27461046157268</v>
          </cell>
          <cell r="CA195">
            <v>153.72581907015129</v>
          </cell>
          <cell r="CB195">
            <v>167.14654474214746</v>
          </cell>
        </row>
        <row r="196">
          <cell r="BV196">
            <v>159.75320978243062</v>
          </cell>
          <cell r="BW196">
            <v>166.20989292280842</v>
          </cell>
          <cell r="CA196">
            <v>160.85456462175054</v>
          </cell>
          <cell r="CB196">
            <v>171.26576980875672</v>
          </cell>
        </row>
        <row r="197">
          <cell r="BV197">
            <v>161.4534219160837</v>
          </cell>
          <cell r="BW197">
            <v>170.84520696975346</v>
          </cell>
          <cell r="CA197">
            <v>162.03761604970663</v>
          </cell>
          <cell r="CB197">
            <v>172.46751233886451</v>
          </cell>
        </row>
        <row r="198">
          <cell r="BV198">
            <v>154.2847574005437</v>
          </cell>
          <cell r="BW198">
            <v>160.20578890996464</v>
          </cell>
          <cell r="CA198">
            <v>161.62363113267705</v>
          </cell>
          <cell r="CB198">
            <v>171.66247895577385</v>
          </cell>
        </row>
        <row r="199">
          <cell r="BV199">
            <v>155.25813513289214</v>
          </cell>
          <cell r="BW199">
            <v>153.81650864844909</v>
          </cell>
          <cell r="CA199">
            <v>151.16163087265323</v>
          </cell>
          <cell r="CB199">
            <v>171.89447918869649</v>
          </cell>
        </row>
        <row r="200">
          <cell r="BV200">
            <v>154.03546849534314</v>
          </cell>
          <cell r="BW200">
            <v>163.26211973017129</v>
          </cell>
          <cell r="CA200">
            <v>153.76511767989138</v>
          </cell>
          <cell r="CB200">
            <v>166.14287807321458</v>
          </cell>
        </row>
        <row r="201">
          <cell r="BV201">
            <v>158.24347030167024</v>
          </cell>
          <cell r="BW201">
            <v>157.41876399465889</v>
          </cell>
          <cell r="CA201">
            <v>156.44660201206014</v>
          </cell>
          <cell r="CB201">
            <v>163.96277050479412</v>
          </cell>
        </row>
        <row r="202">
          <cell r="BV202">
            <v>153.25727035092316</v>
          </cell>
          <cell r="BW202">
            <v>161.7389341995422</v>
          </cell>
          <cell r="CA202">
            <v>147.91610761699283</v>
          </cell>
          <cell r="CB202">
            <v>157.05351291922202</v>
          </cell>
        </row>
        <row r="203">
          <cell r="BV203">
            <v>149.6578442632017</v>
          </cell>
          <cell r="BW203">
            <v>155.83894824182903</v>
          </cell>
          <cell r="CA203">
            <v>157.85190324770221</v>
          </cell>
          <cell r="CB203">
            <v>175.79445472111206</v>
          </cell>
        </row>
        <row r="204">
          <cell r="BV204">
            <v>150.28554111499963</v>
          </cell>
          <cell r="BW204">
            <v>169.80797297821763</v>
          </cell>
          <cell r="CA204">
            <v>148.8893417792722</v>
          </cell>
          <cell r="CB204">
            <v>157.94209920612752</v>
          </cell>
        </row>
        <row r="205">
          <cell r="BV205">
            <v>145.30137912975121</v>
          </cell>
          <cell r="BW205">
            <v>151.91831256826376</v>
          </cell>
          <cell r="CA205">
            <v>164.98390264128759</v>
          </cell>
          <cell r="CB205">
            <v>176.82647947653271</v>
          </cell>
        </row>
        <row r="206">
          <cell r="BV206">
            <v>156.48929374647381</v>
          </cell>
          <cell r="BW206">
            <v>155.73941487741502</v>
          </cell>
          <cell r="CA206">
            <v>154.32724057481849</v>
          </cell>
          <cell r="CB206">
            <v>165.3094400361999</v>
          </cell>
        </row>
      </sheetData>
      <sheetData sheetId="8" refreshError="1"/>
      <sheetData sheetId="9" refreshError="1"/>
      <sheetData sheetId="10">
        <row r="4">
          <cell r="B4" t="b">
            <v>1</v>
          </cell>
        </row>
        <row r="7">
          <cell r="B7" t="b">
            <v>0</v>
          </cell>
        </row>
        <row r="8">
          <cell r="F8">
            <v>8</v>
          </cell>
        </row>
        <row r="11">
          <cell r="B11" t="e">
            <v>#VALUE!</v>
          </cell>
        </row>
        <row r="13">
          <cell r="B13">
            <v>1.2792043052104252</v>
          </cell>
        </row>
        <row r="14">
          <cell r="B14" t="e">
            <v>#VALUE!</v>
          </cell>
        </row>
        <row r="20">
          <cell r="A20">
            <v>8</v>
          </cell>
          <cell r="B20">
            <v>8</v>
          </cell>
        </row>
        <row r="21">
          <cell r="B21">
            <v>22</v>
          </cell>
        </row>
      </sheetData>
      <sheetData sheetId="11">
        <row r="3">
          <cell r="BM3" t="b">
            <v>0</v>
          </cell>
        </row>
        <row r="9">
          <cell r="O9">
            <v>78</v>
          </cell>
          <cell r="V9">
            <v>10</v>
          </cell>
        </row>
        <row r="11">
          <cell r="O11">
            <v>252</v>
          </cell>
          <cell r="V11">
            <v>20</v>
          </cell>
        </row>
        <row r="18">
          <cell r="B18">
            <v>78</v>
          </cell>
          <cell r="C18">
            <v>78</v>
          </cell>
        </row>
        <row r="19">
          <cell r="C19">
            <v>252</v>
          </cell>
        </row>
        <row r="20">
          <cell r="C20">
            <v>10</v>
          </cell>
        </row>
        <row r="21">
          <cell r="C21">
            <v>20</v>
          </cell>
        </row>
      </sheetData>
      <sheetData sheetId="1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Binomial"/>
      <sheetName val="One proportion"/>
      <sheetName val="Two proportions"/>
      <sheetName val="Power picture"/>
      <sheetName val="Power two"/>
      <sheetName val="Power paired"/>
      <sheetName val="Precision one"/>
      <sheetName val="Precision two"/>
      <sheetName val="Precision paired"/>
      <sheetName val="ESCI intro chapters 10-13 Oct 2"/>
    </sheetNames>
    <sheetDataSet>
      <sheetData sheetId="0" refreshError="1"/>
      <sheetData sheetId="1" refreshError="1"/>
      <sheetData sheetId="2"/>
      <sheetData sheetId="3">
        <row r="3">
          <cell r="B3">
            <v>50</v>
          </cell>
          <cell r="C3">
            <v>20</v>
          </cell>
        </row>
        <row r="4">
          <cell r="B4">
            <v>50</v>
          </cell>
          <cell r="C4">
            <v>20</v>
          </cell>
        </row>
        <row r="7">
          <cell r="C7" t="b">
            <v>1</v>
          </cell>
        </row>
        <row r="9">
          <cell r="C9" t="b">
            <v>1</v>
          </cell>
        </row>
        <row r="12">
          <cell r="C12">
            <v>1.8035389042604244</v>
          </cell>
        </row>
        <row r="14">
          <cell r="C14">
            <v>1.7917491094601725</v>
          </cell>
        </row>
        <row r="15">
          <cell r="C15">
            <v>7.3164529990066285E-7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Fig 1"/>
      <sheetName val="p value function"/>
      <sheetName val="Fig 5"/>
      <sheetName val="Fig 10"/>
    </sheetNames>
    <sheetDataSet>
      <sheetData sheetId="0" refreshError="1"/>
      <sheetData sheetId="1">
        <row r="8">
          <cell r="M8">
            <v>0.27893615066330035</v>
          </cell>
          <cell r="N8">
            <v>30</v>
          </cell>
          <cell r="O8">
            <v>60</v>
          </cell>
          <cell r="P8">
            <v>95</v>
          </cell>
          <cell r="Q8">
            <v>2</v>
          </cell>
          <cell r="R8" t="b">
            <v>0</v>
          </cell>
        </row>
        <row r="9">
          <cell r="M9">
            <v>0.85041200471476586</v>
          </cell>
        </row>
        <row r="11">
          <cell r="M11" t="b">
            <v>1</v>
          </cell>
        </row>
        <row r="12">
          <cell r="M12" t="b">
            <v>0</v>
          </cell>
        </row>
        <row r="19">
          <cell r="N19">
            <v>124</v>
          </cell>
          <cell r="O19">
            <v>115</v>
          </cell>
        </row>
        <row r="20">
          <cell r="N20">
            <v>144</v>
          </cell>
          <cell r="O20">
            <v>134</v>
          </cell>
        </row>
        <row r="21">
          <cell r="N21">
            <v>12</v>
          </cell>
          <cell r="O21">
            <v>11</v>
          </cell>
        </row>
        <row r="22">
          <cell r="N22">
            <v>280</v>
          </cell>
          <cell r="O22">
            <v>260</v>
          </cell>
        </row>
      </sheetData>
      <sheetData sheetId="2">
        <row r="3">
          <cell r="M3" t="b">
            <v>1</v>
          </cell>
        </row>
        <row r="4">
          <cell r="M4" t="b">
            <v>0</v>
          </cell>
          <cell r="O4" t="b">
            <v>0</v>
          </cell>
        </row>
        <row r="5">
          <cell r="M5" t="b">
            <v>0</v>
          </cell>
          <cell r="O5" t="b">
            <v>0</v>
          </cell>
        </row>
      </sheetData>
      <sheetData sheetId="3">
        <row r="2">
          <cell r="O2" t="b">
            <v>0</v>
          </cell>
        </row>
      </sheetData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Describe"/>
      <sheetName val="Normal"/>
      <sheetName val="Normal and t"/>
      <sheetName val="CIjumping"/>
      <sheetName val="CI and p"/>
      <sheetName val="Data two"/>
      <sheetName val="Summary two"/>
      <sheetName val="d picture"/>
      <sheetName val="Data paired"/>
      <sheetName val="Summary paired"/>
    </sheetNames>
    <sheetDataSet>
      <sheetData sheetId="0"/>
      <sheetData sheetId="1">
        <row r="2">
          <cell r="F2">
            <v>13.7</v>
          </cell>
          <cell r="AG2">
            <v>1</v>
          </cell>
          <cell r="AH2">
            <v>0</v>
          </cell>
        </row>
        <row r="3">
          <cell r="F3">
            <v>21.1</v>
          </cell>
        </row>
        <row r="4">
          <cell r="F4">
            <v>15.2</v>
          </cell>
        </row>
        <row r="5">
          <cell r="F5">
            <v>30.4</v>
          </cell>
          <cell r="Z5">
            <v>0.69699999999999995</v>
          </cell>
        </row>
        <row r="6">
          <cell r="F6">
            <v>12.8</v>
          </cell>
          <cell r="V6">
            <v>-5</v>
          </cell>
          <cell r="W6">
            <v>45</v>
          </cell>
          <cell r="Z6">
            <v>1.1180000000000001</v>
          </cell>
        </row>
        <row r="7">
          <cell r="F7">
            <v>9.6</v>
          </cell>
        </row>
        <row r="8">
          <cell r="F8">
            <v>9.3000000000000007</v>
          </cell>
        </row>
        <row r="9">
          <cell r="F9">
            <v>17.7</v>
          </cell>
        </row>
        <row r="10">
          <cell r="F10">
            <v>15.4</v>
          </cell>
        </row>
        <row r="11">
          <cell r="F11">
            <v>8.6999999999999993</v>
          </cell>
          <cell r="X11" t="str">
            <v>10</v>
          </cell>
        </row>
        <row r="12">
          <cell r="F12">
            <v>12.8</v>
          </cell>
        </row>
        <row r="13">
          <cell r="F13">
            <v>10.6</v>
          </cell>
          <cell r="V13">
            <v>5</v>
          </cell>
        </row>
        <row r="14">
          <cell r="F14">
            <v>5.0999999999999996</v>
          </cell>
          <cell r="Y14" t="b">
            <v>1</v>
          </cell>
        </row>
        <row r="15">
          <cell r="F15">
            <v>16.7</v>
          </cell>
        </row>
        <row r="16">
          <cell r="F16">
            <v>17.7</v>
          </cell>
        </row>
        <row r="17">
          <cell r="F17">
            <v>8.6999999999999993</v>
          </cell>
          <cell r="Y17">
            <v>1</v>
          </cell>
        </row>
        <row r="18">
          <cell r="F18">
            <v>26.4</v>
          </cell>
        </row>
        <row r="19">
          <cell r="F19">
            <v>18</v>
          </cell>
          <cell r="Y19">
            <v>8</v>
          </cell>
        </row>
        <row r="20">
          <cell r="F20">
            <v>19</v>
          </cell>
        </row>
        <row r="21">
          <cell r="F21">
            <v>16.899999999999999</v>
          </cell>
        </row>
        <row r="22">
          <cell r="F22">
            <v>18.8</v>
          </cell>
        </row>
        <row r="23">
          <cell r="F23">
            <v>8.5</v>
          </cell>
        </row>
        <row r="24">
          <cell r="F24">
            <v>1.2</v>
          </cell>
          <cell r="Y24" t="b">
            <v>0</v>
          </cell>
        </row>
        <row r="25">
          <cell r="F25">
            <v>11.5</v>
          </cell>
          <cell r="Y25" t="b">
            <v>0</v>
          </cell>
        </row>
        <row r="26">
          <cell r="F26">
            <v>21.4</v>
          </cell>
        </row>
        <row r="27">
          <cell r="F27">
            <v>10.3</v>
          </cell>
        </row>
        <row r="28">
          <cell r="F28">
            <v>9</v>
          </cell>
        </row>
        <row r="29">
          <cell r="F29">
            <v>12.8</v>
          </cell>
        </row>
        <row r="30">
          <cell r="F30">
            <v>12</v>
          </cell>
        </row>
        <row r="31">
          <cell r="F31">
            <v>34.700000000000003</v>
          </cell>
        </row>
        <row r="32">
          <cell r="F32">
            <v>4.0999999999999996</v>
          </cell>
        </row>
        <row r="34">
          <cell r="X34" t="b">
            <v>0</v>
          </cell>
        </row>
        <row r="35">
          <cell r="V35" t="b">
            <v>0</v>
          </cell>
          <cell r="X35" t="b">
            <v>0</v>
          </cell>
        </row>
        <row r="37">
          <cell r="X37">
            <v>12</v>
          </cell>
          <cell r="CR37">
            <v>-5</v>
          </cell>
          <cell r="CS37">
            <v>45</v>
          </cell>
        </row>
        <row r="38">
          <cell r="CR38">
            <v>0</v>
          </cell>
          <cell r="CS38">
            <v>20</v>
          </cell>
        </row>
      </sheetData>
      <sheetData sheetId="2"/>
      <sheetData sheetId="3"/>
      <sheetData sheetId="4"/>
      <sheetData sheetId="5"/>
      <sheetData sheetId="6">
        <row r="5">
          <cell r="H5" t="str">
            <v>PenLaptop 1</v>
          </cell>
          <cell r="BL5" t="str">
            <v>PenLaptop 1</v>
          </cell>
        </row>
        <row r="6">
          <cell r="G6" t="str">
            <v>Transcription %</v>
          </cell>
          <cell r="BK6" t="str">
            <v>Transcription %</v>
          </cell>
        </row>
        <row r="8">
          <cell r="F8" t="str">
            <v>Pen</v>
          </cell>
          <cell r="I8" t="str">
            <v>Laptop</v>
          </cell>
          <cell r="BJ8" t="str">
            <v>Pen</v>
          </cell>
          <cell r="BM8" t="str">
            <v>Laptop</v>
          </cell>
        </row>
        <row r="9">
          <cell r="BJ9">
            <v>12.1</v>
          </cell>
          <cell r="BM9">
            <v>13.7</v>
          </cell>
        </row>
        <row r="10">
          <cell r="BJ10">
            <v>6.5</v>
          </cell>
          <cell r="BM10">
            <v>21.1</v>
          </cell>
        </row>
        <row r="11">
          <cell r="BJ11">
            <v>8.1</v>
          </cell>
          <cell r="BM11">
            <v>15.2</v>
          </cell>
        </row>
        <row r="12">
          <cell r="BJ12">
            <v>7.6</v>
          </cell>
          <cell r="BM12">
            <v>30.4</v>
          </cell>
        </row>
        <row r="13">
          <cell r="BJ13">
            <v>12.2</v>
          </cell>
          <cell r="BM13">
            <v>12.8</v>
          </cell>
        </row>
        <row r="14">
          <cell r="BJ14">
            <v>10.8</v>
          </cell>
          <cell r="BM14">
            <v>9.6</v>
          </cell>
        </row>
        <row r="15">
          <cell r="BJ15">
            <v>1</v>
          </cell>
          <cell r="BM15">
            <v>9.3000000000000007</v>
          </cell>
        </row>
        <row r="16">
          <cell r="B16">
            <v>1.4346349340784648</v>
          </cell>
          <cell r="C16">
            <v>5.5369729543755062</v>
          </cell>
          <cell r="BJ16">
            <v>2.9</v>
          </cell>
          <cell r="BM16">
            <v>17.7</v>
          </cell>
        </row>
        <row r="17">
          <cell r="BJ17">
            <v>14.4</v>
          </cell>
          <cell r="BM17">
            <v>15.4</v>
          </cell>
        </row>
        <row r="18">
          <cell r="BJ18">
            <v>8.4</v>
          </cell>
          <cell r="BM18">
            <v>8.6999999999999993</v>
          </cell>
        </row>
        <row r="19">
          <cell r="BJ19">
            <v>17.7</v>
          </cell>
          <cell r="BM19">
            <v>12.8</v>
          </cell>
        </row>
        <row r="20">
          <cell r="BJ20">
            <v>20.100000000000001</v>
          </cell>
          <cell r="BM20">
            <v>10.6</v>
          </cell>
        </row>
        <row r="21">
          <cell r="BJ21">
            <v>2.1</v>
          </cell>
          <cell r="BM21">
            <v>5.0999999999999996</v>
          </cell>
        </row>
        <row r="22">
          <cell r="BJ22">
            <v>11.1</v>
          </cell>
          <cell r="BM22">
            <v>16.7</v>
          </cell>
        </row>
        <row r="23">
          <cell r="BJ23">
            <v>11.2</v>
          </cell>
          <cell r="BM23">
            <v>17.7</v>
          </cell>
        </row>
        <row r="24">
          <cell r="BJ24">
            <v>10.7</v>
          </cell>
          <cell r="BM24">
            <v>8.6999999999999993</v>
          </cell>
        </row>
        <row r="25">
          <cell r="BJ25">
            <v>1.9</v>
          </cell>
          <cell r="BM25">
            <v>26.4</v>
          </cell>
        </row>
        <row r="26">
          <cell r="BJ26">
            <v>5.2</v>
          </cell>
          <cell r="BM26">
            <v>18</v>
          </cell>
        </row>
        <row r="27">
          <cell r="BJ27">
            <v>9.6999999999999993</v>
          </cell>
          <cell r="BM27">
            <v>19</v>
          </cell>
        </row>
        <row r="28">
          <cell r="BJ28">
            <v>5.2</v>
          </cell>
          <cell r="BM28">
            <v>16.899999999999999</v>
          </cell>
        </row>
        <row r="29">
          <cell r="BJ29">
            <v>2.4</v>
          </cell>
          <cell r="BM29">
            <v>18.8</v>
          </cell>
        </row>
        <row r="30">
          <cell r="BJ30">
            <v>7.1</v>
          </cell>
          <cell r="BM30">
            <v>8.5</v>
          </cell>
        </row>
        <row r="31">
          <cell r="BJ31">
            <v>8.6999999999999993</v>
          </cell>
          <cell r="BM31">
            <v>1.2</v>
          </cell>
        </row>
        <row r="32">
          <cell r="BJ32">
            <v>8</v>
          </cell>
          <cell r="BM32">
            <v>11.5</v>
          </cell>
        </row>
        <row r="33">
          <cell r="BJ33">
            <v>11.3</v>
          </cell>
          <cell r="BM33">
            <v>21.4</v>
          </cell>
        </row>
        <row r="34">
          <cell r="BJ34">
            <v>8.5</v>
          </cell>
          <cell r="BM34">
            <v>10.3</v>
          </cell>
        </row>
        <row r="35">
          <cell r="BJ35">
            <v>9.1</v>
          </cell>
          <cell r="BM35">
            <v>9</v>
          </cell>
        </row>
        <row r="36">
          <cell r="BJ36">
            <v>4.5</v>
          </cell>
          <cell r="BM36">
            <v>12.8</v>
          </cell>
        </row>
        <row r="37">
          <cell r="BJ37">
            <v>9.1999999999999993</v>
          </cell>
          <cell r="BM37">
            <v>12</v>
          </cell>
        </row>
        <row r="38">
          <cell r="BJ38">
            <v>13.3</v>
          </cell>
          <cell r="BM38">
            <v>34.700000000000003</v>
          </cell>
        </row>
        <row r="39">
          <cell r="BJ39">
            <v>18.3</v>
          </cell>
          <cell r="BM39">
            <v>4.0999999999999996</v>
          </cell>
        </row>
        <row r="40">
          <cell r="BJ40">
            <v>2.8</v>
          </cell>
        </row>
        <row r="41">
          <cell r="BJ41">
            <v>5.0999999999999996</v>
          </cell>
        </row>
        <row r="42">
          <cell r="BJ42">
            <v>12.4</v>
          </cell>
        </row>
        <row r="77">
          <cell r="X77" t="b">
            <v>0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Replication capture"/>
      <sheetName val="Capture probabilities"/>
    </sheetNames>
    <sheetDataSet>
      <sheetData sheetId="0" refreshError="1"/>
      <sheetData sheetId="1" refreshError="1"/>
      <sheetData sheetId="2" refreshError="1">
        <row r="21">
          <cell r="R21">
            <v>70.703807039155691</v>
          </cell>
          <cell r="S21">
            <v>18.427521168791106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alculate r"/>
      <sheetName val="See r"/>
      <sheetName val="Two correlations"/>
      <sheetName val="Sample r"/>
    </sheetNames>
    <sheetDataSet>
      <sheetData sheetId="0" refreshError="1"/>
      <sheetData sheetId="1">
        <row r="1">
          <cell r="AG1" t="str">
            <v>.50</v>
          </cell>
        </row>
        <row r="2">
          <cell r="AB2">
            <v>0</v>
          </cell>
          <cell r="AD2">
            <v>0.76424047127797401</v>
          </cell>
          <cell r="AE2">
            <v>0.53390434154352051</v>
          </cell>
          <cell r="AG2" t="str">
            <v>40</v>
          </cell>
        </row>
        <row r="3">
          <cell r="AD3" t="str">
            <v>100</v>
          </cell>
          <cell r="AG3" t="str">
            <v>100</v>
          </cell>
          <cell r="AX3" t="b">
            <v>0</v>
          </cell>
        </row>
        <row r="4">
          <cell r="AD4" t="str">
            <v>30</v>
          </cell>
          <cell r="AG4" t="str">
            <v>30</v>
          </cell>
          <cell r="AX4" t="b">
            <v>0</v>
          </cell>
        </row>
        <row r="5">
          <cell r="AD5" t="str">
            <v>2</v>
          </cell>
          <cell r="AX5" t="b">
            <v>0</v>
          </cell>
        </row>
        <row r="6">
          <cell r="B6" t="str">
            <v>Student ability</v>
          </cell>
        </row>
        <row r="8">
          <cell r="B8">
            <v>60.7</v>
          </cell>
          <cell r="C8">
            <v>90.55</v>
          </cell>
          <cell r="AH8">
            <v>60.7</v>
          </cell>
          <cell r="AI8">
            <v>90.55</v>
          </cell>
        </row>
        <row r="9">
          <cell r="B9">
            <v>168.47</v>
          </cell>
          <cell r="C9">
            <v>125.15</v>
          </cell>
          <cell r="AH9">
            <v>168.47</v>
          </cell>
          <cell r="AI9">
            <v>125.15</v>
          </cell>
        </row>
        <row r="10">
          <cell r="B10">
            <v>101.75</v>
          </cell>
          <cell r="C10">
            <v>85.86</v>
          </cell>
          <cell r="AH10">
            <v>101.75</v>
          </cell>
          <cell r="AI10">
            <v>85.86</v>
          </cell>
        </row>
        <row r="11">
          <cell r="B11">
            <v>107.02</v>
          </cell>
          <cell r="C11">
            <v>116.47</v>
          </cell>
          <cell r="AB11">
            <v>0</v>
          </cell>
          <cell r="AH11">
            <v>107.02</v>
          </cell>
          <cell r="AI11">
            <v>116.47</v>
          </cell>
        </row>
        <row r="12">
          <cell r="B12">
            <v>167.69</v>
          </cell>
          <cell r="C12">
            <v>153.51</v>
          </cell>
          <cell r="AB12">
            <v>100</v>
          </cell>
          <cell r="AH12">
            <v>167.69</v>
          </cell>
          <cell r="AI12">
            <v>153.51</v>
          </cell>
        </row>
        <row r="13">
          <cell r="B13">
            <v>80.25</v>
          </cell>
          <cell r="C13">
            <v>61.42</v>
          </cell>
          <cell r="AB13">
            <v>0</v>
          </cell>
          <cell r="AH13">
            <v>80.25</v>
          </cell>
          <cell r="AI13">
            <v>61.42</v>
          </cell>
        </row>
        <row r="14">
          <cell r="B14">
            <v>81.25</v>
          </cell>
          <cell r="C14">
            <v>96.66</v>
          </cell>
          <cell r="AB14">
            <v>100</v>
          </cell>
          <cell r="AH14">
            <v>81.25</v>
          </cell>
          <cell r="AI14">
            <v>96.66</v>
          </cell>
        </row>
        <row r="15">
          <cell r="B15">
            <v>107.5</v>
          </cell>
          <cell r="C15">
            <v>104.69</v>
          </cell>
          <cell r="AH15">
            <v>107.5</v>
          </cell>
          <cell r="AI15">
            <v>104.69</v>
          </cell>
        </row>
        <row r="16">
          <cell r="B16">
            <v>105.35</v>
          </cell>
          <cell r="C16">
            <v>110.16</v>
          </cell>
          <cell r="AH16">
            <v>105.35</v>
          </cell>
          <cell r="AI16">
            <v>110.16</v>
          </cell>
        </row>
        <row r="17">
          <cell r="B17">
            <v>101.32</v>
          </cell>
          <cell r="C17">
            <v>141.75</v>
          </cell>
          <cell r="AH17">
            <v>101.32</v>
          </cell>
          <cell r="AI17">
            <v>141.75</v>
          </cell>
        </row>
        <row r="18">
          <cell r="B18">
            <v>112.49</v>
          </cell>
          <cell r="C18">
            <v>110.77</v>
          </cell>
          <cell r="AH18">
            <v>112.49</v>
          </cell>
          <cell r="AI18">
            <v>110.77</v>
          </cell>
        </row>
        <row r="19">
          <cell r="B19">
            <v>112.63</v>
          </cell>
          <cell r="C19">
            <v>76.040000000000006</v>
          </cell>
          <cell r="AH19">
            <v>112.63</v>
          </cell>
          <cell r="AI19">
            <v>76.040000000000006</v>
          </cell>
        </row>
        <row r="20">
          <cell r="B20">
            <v>115.94</v>
          </cell>
          <cell r="C20">
            <v>86.74</v>
          </cell>
          <cell r="AH20">
            <v>115.94</v>
          </cell>
          <cell r="AI20">
            <v>86.74</v>
          </cell>
        </row>
        <row r="21">
          <cell r="B21">
            <v>113.85</v>
          </cell>
          <cell r="C21">
            <v>99.54</v>
          </cell>
          <cell r="AH21">
            <v>113.85</v>
          </cell>
          <cell r="AI21">
            <v>99.54</v>
          </cell>
        </row>
        <row r="22">
          <cell r="B22">
            <v>134.19999999999999</v>
          </cell>
          <cell r="C22">
            <v>96.59</v>
          </cell>
          <cell r="AH22">
            <v>134.19999999999999</v>
          </cell>
          <cell r="AI22">
            <v>96.59</v>
          </cell>
        </row>
        <row r="23">
          <cell r="B23">
            <v>72.510000000000005</v>
          </cell>
          <cell r="C23">
            <v>86.98</v>
          </cell>
          <cell r="AB23">
            <v>0</v>
          </cell>
          <cell r="AH23">
            <v>72.510000000000005</v>
          </cell>
          <cell r="AI23">
            <v>86.98</v>
          </cell>
        </row>
        <row r="24">
          <cell r="B24">
            <v>118.03</v>
          </cell>
          <cell r="C24">
            <v>141.38</v>
          </cell>
          <cell r="AB24">
            <v>180</v>
          </cell>
          <cell r="AH24">
            <v>118.03</v>
          </cell>
          <cell r="AI24">
            <v>141.38</v>
          </cell>
        </row>
        <row r="25">
          <cell r="B25">
            <v>99.78</v>
          </cell>
          <cell r="C25">
            <v>81.569999999999993</v>
          </cell>
          <cell r="AB25">
            <v>20</v>
          </cell>
          <cell r="AH25">
            <v>99.78</v>
          </cell>
          <cell r="AI25">
            <v>81.569999999999993</v>
          </cell>
        </row>
        <row r="26">
          <cell r="B26">
            <v>84.14</v>
          </cell>
          <cell r="C26">
            <v>97.15</v>
          </cell>
          <cell r="AB26">
            <v>0</v>
          </cell>
          <cell r="AH26">
            <v>84.14</v>
          </cell>
          <cell r="AI26">
            <v>97.15</v>
          </cell>
        </row>
        <row r="27">
          <cell r="B27">
            <v>69.180000000000007</v>
          </cell>
          <cell r="C27">
            <v>91.27</v>
          </cell>
          <cell r="AB27">
            <v>200</v>
          </cell>
          <cell r="AH27">
            <v>69.180000000000007</v>
          </cell>
          <cell r="AI27">
            <v>91.27</v>
          </cell>
        </row>
        <row r="28">
          <cell r="B28">
            <v>156.18</v>
          </cell>
          <cell r="C28">
            <v>150.66999999999999</v>
          </cell>
          <cell r="AB28">
            <v>20</v>
          </cell>
          <cell r="AH28">
            <v>156.18</v>
          </cell>
          <cell r="AI28">
            <v>150.66999999999999</v>
          </cell>
        </row>
        <row r="29">
          <cell r="B29">
            <v>60.86</v>
          </cell>
          <cell r="C29">
            <v>121.5</v>
          </cell>
          <cell r="AH29">
            <v>60.86</v>
          </cell>
          <cell r="AI29">
            <v>121.5</v>
          </cell>
        </row>
        <row r="30">
          <cell r="B30">
            <v>55.83</v>
          </cell>
          <cell r="C30">
            <v>60.58</v>
          </cell>
          <cell r="AH30">
            <v>55.83</v>
          </cell>
          <cell r="AI30">
            <v>60.58</v>
          </cell>
        </row>
        <row r="31">
          <cell r="B31">
            <v>115.12</v>
          </cell>
          <cell r="C31">
            <v>123.81</v>
          </cell>
          <cell r="AH31">
            <v>115.12</v>
          </cell>
          <cell r="AI31">
            <v>123.81</v>
          </cell>
        </row>
        <row r="32">
          <cell r="B32">
            <v>79.25</v>
          </cell>
          <cell r="C32">
            <v>81.69</v>
          </cell>
          <cell r="AH32">
            <v>79.25</v>
          </cell>
          <cell r="AI32">
            <v>81.69</v>
          </cell>
        </row>
        <row r="33">
          <cell r="B33">
            <v>96.57</v>
          </cell>
          <cell r="C33">
            <v>66.510000000000005</v>
          </cell>
          <cell r="AH33">
            <v>96.57</v>
          </cell>
          <cell r="AI33">
            <v>66.510000000000005</v>
          </cell>
        </row>
        <row r="34">
          <cell r="B34">
            <v>104.2</v>
          </cell>
          <cell r="C34">
            <v>132.76</v>
          </cell>
          <cell r="AH34">
            <v>104.2</v>
          </cell>
          <cell r="AI34">
            <v>132.76</v>
          </cell>
        </row>
        <row r="35">
          <cell r="B35">
            <v>101.83</v>
          </cell>
          <cell r="C35">
            <v>76.37</v>
          </cell>
          <cell r="AH35">
            <v>101.83</v>
          </cell>
          <cell r="AI35">
            <v>76.37</v>
          </cell>
        </row>
        <row r="36">
          <cell r="B36">
            <v>88.26</v>
          </cell>
          <cell r="C36">
            <v>119.86</v>
          </cell>
          <cell r="AH36">
            <v>88.26</v>
          </cell>
          <cell r="AI36">
            <v>119.86</v>
          </cell>
        </row>
        <row r="37">
          <cell r="B37">
            <v>140.6</v>
          </cell>
          <cell r="C37">
            <v>71.400000000000006</v>
          </cell>
          <cell r="AH37">
            <v>140.6</v>
          </cell>
          <cell r="AI37">
            <v>71.400000000000006</v>
          </cell>
        </row>
        <row r="38">
          <cell r="B38">
            <v>131.72999999999999</v>
          </cell>
          <cell r="C38">
            <v>126.09</v>
          </cell>
          <cell r="AH38">
            <v>131.72999999999999</v>
          </cell>
          <cell r="AI38">
            <v>126.09</v>
          </cell>
        </row>
        <row r="39">
          <cell r="B39">
            <v>98.34</v>
          </cell>
          <cell r="C39">
            <v>105.84</v>
          </cell>
          <cell r="AH39">
            <v>98.34</v>
          </cell>
          <cell r="AI39">
            <v>105.84</v>
          </cell>
        </row>
        <row r="40">
          <cell r="B40">
            <v>104.52</v>
          </cell>
          <cell r="C40">
            <v>116.6</v>
          </cell>
          <cell r="AH40">
            <v>104.52</v>
          </cell>
          <cell r="AI40">
            <v>116.6</v>
          </cell>
        </row>
        <row r="41">
          <cell r="B41">
            <v>112.97</v>
          </cell>
          <cell r="C41">
            <v>80.569999999999993</v>
          </cell>
          <cell r="AH41">
            <v>112.97</v>
          </cell>
          <cell r="AI41">
            <v>80.569999999999993</v>
          </cell>
        </row>
        <row r="42">
          <cell r="B42">
            <v>84.6</v>
          </cell>
          <cell r="C42">
            <v>114.53</v>
          </cell>
          <cell r="AH42">
            <v>84.6</v>
          </cell>
          <cell r="AI42">
            <v>114.53</v>
          </cell>
        </row>
        <row r="43">
          <cell r="B43">
            <v>176.51</v>
          </cell>
          <cell r="C43">
            <v>146.72999999999999</v>
          </cell>
          <cell r="AH43">
            <v>176.51</v>
          </cell>
          <cell r="AI43">
            <v>146.72999999999999</v>
          </cell>
        </row>
        <row r="44">
          <cell r="B44">
            <v>68.39</v>
          </cell>
          <cell r="C44">
            <v>71.540000000000006</v>
          </cell>
          <cell r="AH44">
            <v>68.39</v>
          </cell>
          <cell r="AI44">
            <v>71.540000000000006</v>
          </cell>
        </row>
        <row r="45">
          <cell r="B45">
            <v>82.36</v>
          </cell>
          <cell r="C45">
            <v>99.75</v>
          </cell>
          <cell r="AH45">
            <v>82.36</v>
          </cell>
          <cell r="AI45">
            <v>99.75</v>
          </cell>
        </row>
        <row r="46">
          <cell r="B46">
            <v>157.49</v>
          </cell>
          <cell r="C46">
            <v>97.75</v>
          </cell>
          <cell r="AH46">
            <v>157.49</v>
          </cell>
          <cell r="AI46">
            <v>97.75</v>
          </cell>
        </row>
        <row r="47">
          <cell r="B47">
            <v>109.54</v>
          </cell>
          <cell r="C47">
            <v>89.68</v>
          </cell>
          <cell r="AH47">
            <v>109.54</v>
          </cell>
          <cell r="AI47">
            <v>89.68</v>
          </cell>
        </row>
        <row r="48">
          <cell r="B48" t="str">
            <v/>
          </cell>
          <cell r="C48" t="str">
            <v/>
          </cell>
          <cell r="AH48" t="str">
            <v/>
          </cell>
          <cell r="AI48" t="str">
            <v/>
          </cell>
        </row>
        <row r="49">
          <cell r="B49" t="str">
            <v/>
          </cell>
          <cell r="C49" t="str">
            <v/>
          </cell>
          <cell r="AH49" t="str">
            <v/>
          </cell>
          <cell r="AI49" t="str">
            <v/>
          </cell>
        </row>
        <row r="50">
          <cell r="B50" t="str">
            <v/>
          </cell>
          <cell r="C50" t="str">
            <v/>
          </cell>
          <cell r="AH50" t="str">
            <v/>
          </cell>
          <cell r="AI50" t="str">
            <v/>
          </cell>
        </row>
        <row r="51">
          <cell r="B51" t="str">
            <v/>
          </cell>
          <cell r="C51" t="str">
            <v/>
          </cell>
          <cell r="AH51" t="str">
            <v/>
          </cell>
          <cell r="AI51" t="str">
            <v/>
          </cell>
        </row>
        <row r="52">
          <cell r="B52" t="str">
            <v/>
          </cell>
          <cell r="C52" t="str">
            <v/>
          </cell>
          <cell r="AH52" t="str">
            <v/>
          </cell>
          <cell r="AI52" t="str">
            <v/>
          </cell>
        </row>
        <row r="53">
          <cell r="B53" t="str">
            <v/>
          </cell>
          <cell r="C53" t="str">
            <v/>
          </cell>
          <cell r="AH53" t="str">
            <v/>
          </cell>
          <cell r="AI53" t="str">
            <v/>
          </cell>
        </row>
        <row r="54">
          <cell r="B54" t="str">
            <v/>
          </cell>
          <cell r="C54" t="str">
            <v/>
          </cell>
          <cell r="AH54" t="str">
            <v/>
          </cell>
          <cell r="AI54" t="str">
            <v/>
          </cell>
        </row>
        <row r="55">
          <cell r="B55" t="str">
            <v/>
          </cell>
          <cell r="C55" t="str">
            <v/>
          </cell>
          <cell r="AH55" t="str">
            <v/>
          </cell>
          <cell r="AI55" t="str">
            <v/>
          </cell>
        </row>
        <row r="56">
          <cell r="B56" t="str">
            <v/>
          </cell>
          <cell r="C56" t="str">
            <v/>
          </cell>
          <cell r="AH56" t="str">
            <v/>
          </cell>
          <cell r="AI56" t="str">
            <v/>
          </cell>
        </row>
        <row r="57">
          <cell r="B57" t="str">
            <v/>
          </cell>
          <cell r="C57" t="str">
            <v/>
          </cell>
          <cell r="AH57" t="str">
            <v/>
          </cell>
          <cell r="AI57" t="str">
            <v/>
          </cell>
        </row>
        <row r="58">
          <cell r="B58" t="str">
            <v/>
          </cell>
          <cell r="C58" t="str">
            <v/>
          </cell>
          <cell r="AH58" t="str">
            <v/>
          </cell>
          <cell r="AI58" t="str">
            <v/>
          </cell>
        </row>
        <row r="59">
          <cell r="B59" t="str">
            <v/>
          </cell>
          <cell r="C59" t="str">
            <v/>
          </cell>
          <cell r="AH59" t="str">
            <v/>
          </cell>
          <cell r="AI59" t="str">
            <v/>
          </cell>
        </row>
        <row r="60">
          <cell r="B60" t="str">
            <v/>
          </cell>
          <cell r="C60" t="str">
            <v/>
          </cell>
          <cell r="AH60" t="str">
            <v/>
          </cell>
          <cell r="AI60" t="str">
            <v/>
          </cell>
        </row>
        <row r="61">
          <cell r="B61" t="str">
            <v/>
          </cell>
          <cell r="C61" t="str">
            <v/>
          </cell>
          <cell r="AH61" t="str">
            <v/>
          </cell>
          <cell r="AI61" t="str">
            <v/>
          </cell>
        </row>
        <row r="62">
          <cell r="B62" t="str">
            <v/>
          </cell>
          <cell r="C62" t="str">
            <v/>
          </cell>
          <cell r="AH62" t="str">
            <v/>
          </cell>
          <cell r="AI62" t="str">
            <v/>
          </cell>
        </row>
        <row r="63">
          <cell r="B63" t="str">
            <v/>
          </cell>
          <cell r="C63" t="str">
            <v/>
          </cell>
          <cell r="AH63" t="str">
            <v/>
          </cell>
          <cell r="AI63" t="str">
            <v/>
          </cell>
        </row>
        <row r="64">
          <cell r="B64" t="str">
            <v/>
          </cell>
          <cell r="C64" t="str">
            <v/>
          </cell>
          <cell r="AH64" t="str">
            <v/>
          </cell>
          <cell r="AI64" t="str">
            <v/>
          </cell>
        </row>
        <row r="65">
          <cell r="B65" t="str">
            <v/>
          </cell>
          <cell r="C65" t="str">
            <v/>
          </cell>
          <cell r="AH65" t="str">
            <v/>
          </cell>
          <cell r="AI65" t="str">
            <v/>
          </cell>
        </row>
        <row r="66">
          <cell r="B66" t="str">
            <v/>
          </cell>
          <cell r="C66" t="str">
            <v/>
          </cell>
          <cell r="AH66" t="str">
            <v/>
          </cell>
          <cell r="AI66" t="str">
            <v/>
          </cell>
        </row>
        <row r="67">
          <cell r="B67" t="str">
            <v/>
          </cell>
          <cell r="C67" t="str">
            <v/>
          </cell>
          <cell r="AH67" t="str">
            <v/>
          </cell>
          <cell r="AI67" t="str">
            <v/>
          </cell>
        </row>
        <row r="68">
          <cell r="B68" t="str">
            <v/>
          </cell>
          <cell r="C68" t="str">
            <v/>
          </cell>
          <cell r="AH68" t="str">
            <v/>
          </cell>
          <cell r="AI68" t="str">
            <v/>
          </cell>
        </row>
        <row r="69">
          <cell r="B69" t="str">
            <v/>
          </cell>
          <cell r="C69" t="str">
            <v/>
          </cell>
          <cell r="AH69" t="str">
            <v/>
          </cell>
          <cell r="AI69" t="str">
            <v/>
          </cell>
        </row>
        <row r="70">
          <cell r="B70" t="str">
            <v/>
          </cell>
          <cell r="C70" t="str">
            <v/>
          </cell>
          <cell r="AH70" t="str">
            <v/>
          </cell>
          <cell r="AI70" t="str">
            <v/>
          </cell>
        </row>
        <row r="71">
          <cell r="B71" t="str">
            <v/>
          </cell>
          <cell r="C71" t="str">
            <v/>
          </cell>
          <cell r="AH71" t="str">
            <v/>
          </cell>
          <cell r="AI71" t="str">
            <v/>
          </cell>
        </row>
        <row r="72">
          <cell r="B72" t="str">
            <v/>
          </cell>
          <cell r="C72" t="str">
            <v/>
          </cell>
          <cell r="AH72" t="str">
            <v/>
          </cell>
          <cell r="AI72" t="str">
            <v/>
          </cell>
        </row>
        <row r="73">
          <cell r="B73" t="str">
            <v/>
          </cell>
          <cell r="C73" t="str">
            <v/>
          </cell>
          <cell r="AH73" t="str">
            <v/>
          </cell>
          <cell r="AI73" t="str">
            <v/>
          </cell>
        </row>
        <row r="74">
          <cell r="B74" t="str">
            <v/>
          </cell>
          <cell r="C74" t="str">
            <v/>
          </cell>
          <cell r="AH74" t="str">
            <v/>
          </cell>
          <cell r="AI74" t="str">
            <v/>
          </cell>
        </row>
        <row r="75">
          <cell r="B75" t="str">
            <v/>
          </cell>
          <cell r="C75" t="str">
            <v/>
          </cell>
          <cell r="AH75" t="str">
            <v/>
          </cell>
          <cell r="AI75" t="str">
            <v/>
          </cell>
        </row>
        <row r="76">
          <cell r="B76" t="str">
            <v/>
          </cell>
          <cell r="C76" t="str">
            <v/>
          </cell>
          <cell r="AH76" t="str">
            <v/>
          </cell>
          <cell r="AI76" t="str">
            <v/>
          </cell>
        </row>
        <row r="77">
          <cell r="B77" t="str">
            <v/>
          </cell>
          <cell r="C77" t="str">
            <v/>
          </cell>
          <cell r="AH77" t="str">
            <v/>
          </cell>
          <cell r="AI77" t="str">
            <v/>
          </cell>
        </row>
        <row r="78">
          <cell r="B78" t="str">
            <v/>
          </cell>
          <cell r="C78" t="str">
            <v/>
          </cell>
          <cell r="AH78" t="str">
            <v/>
          </cell>
          <cell r="AI78" t="str">
            <v/>
          </cell>
        </row>
        <row r="79">
          <cell r="B79" t="str">
            <v/>
          </cell>
          <cell r="C79" t="str">
            <v/>
          </cell>
          <cell r="AH79" t="str">
            <v/>
          </cell>
          <cell r="AI79" t="str">
            <v/>
          </cell>
        </row>
        <row r="80">
          <cell r="B80" t="str">
            <v/>
          </cell>
          <cell r="C80" t="str">
            <v/>
          </cell>
          <cell r="AH80" t="str">
            <v/>
          </cell>
          <cell r="AI80" t="str">
            <v/>
          </cell>
        </row>
        <row r="81">
          <cell r="B81" t="str">
            <v/>
          </cell>
          <cell r="C81" t="str">
            <v/>
          </cell>
          <cell r="AH81" t="str">
            <v/>
          </cell>
          <cell r="AI81" t="str">
            <v/>
          </cell>
        </row>
        <row r="82">
          <cell r="B82" t="str">
            <v/>
          </cell>
          <cell r="C82" t="str">
            <v/>
          </cell>
          <cell r="AH82" t="str">
            <v/>
          </cell>
          <cell r="AI82" t="str">
            <v/>
          </cell>
        </row>
        <row r="83">
          <cell r="B83" t="str">
            <v/>
          </cell>
          <cell r="C83" t="str">
            <v/>
          </cell>
          <cell r="AH83" t="str">
            <v/>
          </cell>
          <cell r="AI83" t="str">
            <v/>
          </cell>
        </row>
        <row r="84">
          <cell r="B84" t="str">
            <v/>
          </cell>
          <cell r="C84" t="str">
            <v/>
          </cell>
          <cell r="AH84" t="str">
            <v/>
          </cell>
          <cell r="AI84" t="str">
            <v/>
          </cell>
        </row>
        <row r="85">
          <cell r="B85" t="str">
            <v/>
          </cell>
          <cell r="C85" t="str">
            <v/>
          </cell>
          <cell r="AH85" t="str">
            <v/>
          </cell>
          <cell r="AI85" t="str">
            <v/>
          </cell>
        </row>
        <row r="86">
          <cell r="B86" t="str">
            <v/>
          </cell>
          <cell r="C86" t="str">
            <v/>
          </cell>
          <cell r="AH86" t="str">
            <v/>
          </cell>
          <cell r="AI86" t="str">
            <v/>
          </cell>
        </row>
        <row r="87">
          <cell r="B87" t="str">
            <v/>
          </cell>
          <cell r="C87" t="str">
            <v/>
          </cell>
          <cell r="AH87" t="str">
            <v/>
          </cell>
          <cell r="AI87" t="str">
            <v/>
          </cell>
        </row>
        <row r="88">
          <cell r="B88" t="str">
            <v/>
          </cell>
          <cell r="C88" t="str">
            <v/>
          </cell>
          <cell r="AH88" t="str">
            <v/>
          </cell>
          <cell r="AI88" t="str">
            <v/>
          </cell>
        </row>
        <row r="89">
          <cell r="B89" t="str">
            <v/>
          </cell>
          <cell r="C89" t="str">
            <v/>
          </cell>
          <cell r="AH89" t="str">
            <v/>
          </cell>
          <cell r="AI89" t="str">
            <v/>
          </cell>
        </row>
        <row r="90">
          <cell r="B90" t="str">
            <v/>
          </cell>
          <cell r="C90" t="str">
            <v/>
          </cell>
          <cell r="AH90" t="str">
            <v/>
          </cell>
          <cell r="AI90" t="str">
            <v/>
          </cell>
        </row>
        <row r="91">
          <cell r="B91" t="str">
            <v/>
          </cell>
          <cell r="C91" t="str">
            <v/>
          </cell>
          <cell r="AH91" t="str">
            <v/>
          </cell>
          <cell r="AI91" t="str">
            <v/>
          </cell>
        </row>
        <row r="92">
          <cell r="B92" t="str">
            <v/>
          </cell>
          <cell r="C92" t="str">
            <v/>
          </cell>
          <cell r="AH92" t="str">
            <v/>
          </cell>
          <cell r="AI92" t="str">
            <v/>
          </cell>
        </row>
        <row r="93">
          <cell r="B93" t="str">
            <v/>
          </cell>
          <cell r="C93" t="str">
            <v/>
          </cell>
          <cell r="AH93" t="str">
            <v/>
          </cell>
          <cell r="AI93" t="str">
            <v/>
          </cell>
        </row>
        <row r="94">
          <cell r="B94" t="str">
            <v/>
          </cell>
          <cell r="C94" t="str">
            <v/>
          </cell>
          <cell r="AH94" t="str">
            <v/>
          </cell>
          <cell r="AI94" t="str">
            <v/>
          </cell>
        </row>
        <row r="95">
          <cell r="B95" t="str">
            <v/>
          </cell>
          <cell r="C95" t="str">
            <v/>
          </cell>
          <cell r="AH95" t="str">
            <v/>
          </cell>
          <cell r="AI95" t="str">
            <v/>
          </cell>
        </row>
        <row r="96">
          <cell r="B96" t="str">
            <v/>
          </cell>
          <cell r="C96" t="str">
            <v/>
          </cell>
          <cell r="AH96" t="str">
            <v/>
          </cell>
          <cell r="AI96" t="str">
            <v/>
          </cell>
        </row>
        <row r="97">
          <cell r="B97" t="str">
            <v/>
          </cell>
          <cell r="C97" t="str">
            <v/>
          </cell>
          <cell r="AH97" t="str">
            <v/>
          </cell>
          <cell r="AI97" t="str">
            <v/>
          </cell>
        </row>
        <row r="98">
          <cell r="B98" t="str">
            <v/>
          </cell>
          <cell r="C98" t="str">
            <v/>
          </cell>
          <cell r="AH98" t="str">
            <v/>
          </cell>
          <cell r="AI98" t="str">
            <v/>
          </cell>
        </row>
        <row r="99">
          <cell r="B99" t="str">
            <v/>
          </cell>
          <cell r="C99" t="str">
            <v/>
          </cell>
          <cell r="AH99" t="str">
            <v/>
          </cell>
          <cell r="AI99" t="str">
            <v/>
          </cell>
        </row>
        <row r="100">
          <cell r="B100" t="str">
            <v/>
          </cell>
          <cell r="C100" t="str">
            <v/>
          </cell>
          <cell r="AH100" t="str">
            <v/>
          </cell>
          <cell r="AI100" t="str">
            <v/>
          </cell>
        </row>
        <row r="101">
          <cell r="B101" t="str">
            <v/>
          </cell>
          <cell r="C101" t="str">
            <v/>
          </cell>
          <cell r="AH101" t="str">
            <v/>
          </cell>
          <cell r="AI101" t="str">
            <v/>
          </cell>
        </row>
        <row r="102">
          <cell r="B102" t="str">
            <v/>
          </cell>
          <cell r="C102" t="str">
            <v/>
          </cell>
          <cell r="AH102" t="str">
            <v/>
          </cell>
          <cell r="AI102" t="str">
            <v/>
          </cell>
        </row>
        <row r="103">
          <cell r="B103" t="str">
            <v/>
          </cell>
          <cell r="C103" t="str">
            <v/>
          </cell>
          <cell r="AH103" t="str">
            <v/>
          </cell>
          <cell r="AI103" t="str">
            <v/>
          </cell>
        </row>
        <row r="104">
          <cell r="B104" t="str">
            <v/>
          </cell>
          <cell r="C104" t="str">
            <v/>
          </cell>
          <cell r="AH104" t="str">
            <v/>
          </cell>
          <cell r="AI104" t="str">
            <v/>
          </cell>
        </row>
        <row r="105">
          <cell r="B105" t="str">
            <v/>
          </cell>
          <cell r="C105" t="str">
            <v/>
          </cell>
          <cell r="AH105" t="str">
            <v/>
          </cell>
          <cell r="AI105" t="str">
            <v/>
          </cell>
        </row>
        <row r="106">
          <cell r="B106" t="str">
            <v/>
          </cell>
          <cell r="C106" t="str">
            <v/>
          </cell>
          <cell r="AH106" t="str">
            <v/>
          </cell>
          <cell r="AI106" t="str">
            <v/>
          </cell>
        </row>
        <row r="107">
          <cell r="B107" t="str">
            <v/>
          </cell>
          <cell r="C107" t="str">
            <v/>
          </cell>
          <cell r="AH107" t="str">
            <v/>
          </cell>
          <cell r="AI107" t="str">
            <v/>
          </cell>
        </row>
        <row r="108">
          <cell r="B108" t="str">
            <v/>
          </cell>
          <cell r="C108" t="str">
            <v/>
          </cell>
          <cell r="AH108" t="str">
            <v/>
          </cell>
          <cell r="AI108" t="str">
            <v/>
          </cell>
        </row>
        <row r="109">
          <cell r="B109" t="str">
            <v/>
          </cell>
          <cell r="C109" t="str">
            <v/>
          </cell>
          <cell r="AH109" t="str">
            <v/>
          </cell>
          <cell r="AI109" t="str">
            <v/>
          </cell>
        </row>
        <row r="110">
          <cell r="B110" t="str">
            <v/>
          </cell>
          <cell r="C110" t="str">
            <v/>
          </cell>
          <cell r="AH110" t="str">
            <v/>
          </cell>
          <cell r="AI110" t="str">
            <v/>
          </cell>
        </row>
        <row r="111">
          <cell r="B111" t="str">
            <v/>
          </cell>
          <cell r="C111" t="str">
            <v/>
          </cell>
          <cell r="AH111" t="str">
            <v/>
          </cell>
          <cell r="AI111" t="str">
            <v/>
          </cell>
        </row>
        <row r="112">
          <cell r="B112" t="str">
            <v/>
          </cell>
          <cell r="C112" t="str">
            <v/>
          </cell>
          <cell r="AH112" t="str">
            <v/>
          </cell>
          <cell r="AI112" t="str">
            <v/>
          </cell>
        </row>
        <row r="113">
          <cell r="B113" t="str">
            <v/>
          </cell>
          <cell r="C113" t="str">
            <v/>
          </cell>
          <cell r="AH113" t="str">
            <v/>
          </cell>
          <cell r="AI113" t="str">
            <v/>
          </cell>
        </row>
        <row r="114">
          <cell r="B114" t="str">
            <v/>
          </cell>
          <cell r="C114" t="str">
            <v/>
          </cell>
          <cell r="AH114" t="str">
            <v/>
          </cell>
          <cell r="AI114" t="str">
            <v/>
          </cell>
        </row>
        <row r="115">
          <cell r="B115" t="str">
            <v/>
          </cell>
          <cell r="C115" t="str">
            <v/>
          </cell>
          <cell r="AH115" t="str">
            <v/>
          </cell>
          <cell r="AI115" t="str">
            <v/>
          </cell>
        </row>
        <row r="116">
          <cell r="B116" t="str">
            <v/>
          </cell>
          <cell r="C116" t="str">
            <v/>
          </cell>
          <cell r="AH116" t="str">
            <v/>
          </cell>
          <cell r="AI116" t="str">
            <v/>
          </cell>
        </row>
        <row r="117">
          <cell r="B117" t="str">
            <v/>
          </cell>
          <cell r="C117" t="str">
            <v/>
          </cell>
          <cell r="AH117" t="str">
            <v/>
          </cell>
          <cell r="AI117" t="str">
            <v/>
          </cell>
        </row>
        <row r="118">
          <cell r="B118" t="str">
            <v/>
          </cell>
          <cell r="C118" t="str">
            <v/>
          </cell>
          <cell r="AH118" t="str">
            <v/>
          </cell>
          <cell r="AI118" t="str">
            <v/>
          </cell>
        </row>
        <row r="119">
          <cell r="B119" t="str">
            <v/>
          </cell>
          <cell r="C119" t="str">
            <v/>
          </cell>
          <cell r="AH119" t="str">
            <v/>
          </cell>
          <cell r="AI119" t="str">
            <v/>
          </cell>
        </row>
        <row r="120">
          <cell r="B120" t="str">
            <v/>
          </cell>
          <cell r="C120" t="str">
            <v/>
          </cell>
          <cell r="AH120" t="str">
            <v/>
          </cell>
          <cell r="AI120" t="str">
            <v/>
          </cell>
        </row>
        <row r="121">
          <cell r="B121" t="str">
            <v/>
          </cell>
          <cell r="C121" t="str">
            <v/>
          </cell>
          <cell r="AH121" t="str">
            <v/>
          </cell>
          <cell r="AI121" t="str">
            <v/>
          </cell>
        </row>
        <row r="122">
          <cell r="B122" t="str">
            <v/>
          </cell>
          <cell r="C122" t="str">
            <v/>
          </cell>
          <cell r="AH122" t="str">
            <v/>
          </cell>
          <cell r="AI122" t="str">
            <v/>
          </cell>
        </row>
        <row r="123">
          <cell r="B123" t="str">
            <v/>
          </cell>
          <cell r="C123" t="str">
            <v/>
          </cell>
          <cell r="AH123" t="str">
            <v/>
          </cell>
          <cell r="AI123" t="str">
            <v/>
          </cell>
        </row>
        <row r="124">
          <cell r="B124" t="str">
            <v/>
          </cell>
          <cell r="C124" t="str">
            <v/>
          </cell>
          <cell r="AH124" t="str">
            <v/>
          </cell>
          <cell r="AI124" t="str">
            <v/>
          </cell>
        </row>
        <row r="125">
          <cell r="B125" t="str">
            <v/>
          </cell>
          <cell r="C125" t="str">
            <v/>
          </cell>
          <cell r="AH125" t="str">
            <v/>
          </cell>
          <cell r="AI125" t="str">
            <v/>
          </cell>
        </row>
        <row r="126">
          <cell r="B126" t="str">
            <v/>
          </cell>
          <cell r="C126" t="str">
            <v/>
          </cell>
          <cell r="AH126" t="str">
            <v/>
          </cell>
          <cell r="AI126" t="str">
            <v/>
          </cell>
        </row>
        <row r="127">
          <cell r="B127" t="str">
            <v/>
          </cell>
          <cell r="C127" t="str">
            <v/>
          </cell>
          <cell r="AH127" t="str">
            <v/>
          </cell>
          <cell r="AI127" t="str">
            <v/>
          </cell>
        </row>
        <row r="128">
          <cell r="B128" t="str">
            <v/>
          </cell>
          <cell r="C128" t="str">
            <v/>
          </cell>
          <cell r="AH128" t="str">
            <v/>
          </cell>
          <cell r="AI128" t="str">
            <v/>
          </cell>
        </row>
        <row r="129">
          <cell r="B129" t="str">
            <v/>
          </cell>
          <cell r="C129" t="str">
            <v/>
          </cell>
          <cell r="AH129" t="str">
            <v/>
          </cell>
          <cell r="AI129" t="str">
            <v/>
          </cell>
        </row>
        <row r="130">
          <cell r="B130" t="str">
            <v/>
          </cell>
          <cell r="C130" t="str">
            <v/>
          </cell>
          <cell r="AH130" t="str">
            <v/>
          </cell>
          <cell r="AI130" t="str">
            <v/>
          </cell>
        </row>
        <row r="131">
          <cell r="B131" t="str">
            <v/>
          </cell>
          <cell r="C131" t="str">
            <v/>
          </cell>
          <cell r="AH131" t="str">
            <v/>
          </cell>
          <cell r="AI131" t="str">
            <v/>
          </cell>
        </row>
        <row r="132">
          <cell r="B132" t="str">
            <v/>
          </cell>
          <cell r="C132" t="str">
            <v/>
          </cell>
          <cell r="AH132" t="str">
            <v/>
          </cell>
          <cell r="AI132" t="str">
            <v/>
          </cell>
        </row>
        <row r="133">
          <cell r="B133" t="str">
            <v/>
          </cell>
          <cell r="C133" t="str">
            <v/>
          </cell>
          <cell r="AH133" t="str">
            <v/>
          </cell>
          <cell r="AI133" t="str">
            <v/>
          </cell>
        </row>
        <row r="134">
          <cell r="B134" t="str">
            <v/>
          </cell>
          <cell r="C134" t="str">
            <v/>
          </cell>
          <cell r="AH134" t="str">
            <v/>
          </cell>
          <cell r="AI134" t="str">
            <v/>
          </cell>
        </row>
        <row r="135">
          <cell r="B135" t="str">
            <v/>
          </cell>
          <cell r="C135" t="str">
            <v/>
          </cell>
          <cell r="AH135" t="str">
            <v/>
          </cell>
          <cell r="AI135" t="str">
            <v/>
          </cell>
        </row>
        <row r="136">
          <cell r="B136" t="str">
            <v/>
          </cell>
          <cell r="C136" t="str">
            <v/>
          </cell>
          <cell r="AH136" t="str">
            <v/>
          </cell>
          <cell r="AI136" t="str">
            <v/>
          </cell>
        </row>
        <row r="137">
          <cell r="B137" t="str">
            <v/>
          </cell>
          <cell r="C137" t="str">
            <v/>
          </cell>
          <cell r="AH137" t="str">
            <v/>
          </cell>
          <cell r="AI137" t="str">
            <v/>
          </cell>
        </row>
        <row r="138">
          <cell r="B138" t="str">
            <v/>
          </cell>
          <cell r="C138" t="str">
            <v/>
          </cell>
          <cell r="AH138" t="str">
            <v/>
          </cell>
          <cell r="AI138" t="str">
            <v/>
          </cell>
        </row>
        <row r="139">
          <cell r="B139" t="str">
            <v/>
          </cell>
          <cell r="C139" t="str">
            <v/>
          </cell>
          <cell r="AH139" t="str">
            <v/>
          </cell>
          <cell r="AI139" t="str">
            <v/>
          </cell>
        </row>
        <row r="140">
          <cell r="B140" t="str">
            <v/>
          </cell>
          <cell r="C140" t="str">
            <v/>
          </cell>
          <cell r="AH140" t="str">
            <v/>
          </cell>
          <cell r="AI140" t="str">
            <v/>
          </cell>
        </row>
        <row r="141">
          <cell r="B141" t="str">
            <v/>
          </cell>
          <cell r="C141" t="str">
            <v/>
          </cell>
          <cell r="AH141" t="str">
            <v/>
          </cell>
          <cell r="AI141" t="str">
            <v/>
          </cell>
        </row>
        <row r="142">
          <cell r="B142" t="str">
            <v/>
          </cell>
          <cell r="C142" t="str">
            <v/>
          </cell>
          <cell r="AH142" t="str">
            <v/>
          </cell>
          <cell r="AI142" t="str">
            <v/>
          </cell>
        </row>
        <row r="143">
          <cell r="B143" t="str">
            <v/>
          </cell>
          <cell r="C143" t="str">
            <v/>
          </cell>
          <cell r="AH143" t="str">
            <v/>
          </cell>
          <cell r="AI143" t="str">
            <v/>
          </cell>
        </row>
        <row r="144">
          <cell r="B144" t="str">
            <v/>
          </cell>
          <cell r="C144" t="str">
            <v/>
          </cell>
          <cell r="AH144" t="str">
            <v/>
          </cell>
          <cell r="AI144" t="str">
            <v/>
          </cell>
        </row>
        <row r="145">
          <cell r="B145" t="str">
            <v/>
          </cell>
          <cell r="C145" t="str">
            <v/>
          </cell>
          <cell r="AH145" t="str">
            <v/>
          </cell>
          <cell r="AI145" t="str">
            <v/>
          </cell>
        </row>
        <row r="146">
          <cell r="B146" t="str">
            <v/>
          </cell>
          <cell r="C146" t="str">
            <v/>
          </cell>
          <cell r="AH146" t="str">
            <v/>
          </cell>
          <cell r="AI146" t="str">
            <v/>
          </cell>
        </row>
        <row r="147">
          <cell r="B147" t="str">
            <v/>
          </cell>
          <cell r="C147" t="str">
            <v/>
          </cell>
          <cell r="AH147" t="str">
            <v/>
          </cell>
          <cell r="AI147" t="str">
            <v/>
          </cell>
        </row>
        <row r="148">
          <cell r="B148" t="str">
            <v/>
          </cell>
          <cell r="C148" t="str">
            <v/>
          </cell>
          <cell r="AH148" t="str">
            <v/>
          </cell>
          <cell r="AI148" t="str">
            <v/>
          </cell>
        </row>
        <row r="149">
          <cell r="B149" t="str">
            <v/>
          </cell>
          <cell r="C149" t="str">
            <v/>
          </cell>
          <cell r="AH149" t="str">
            <v/>
          </cell>
          <cell r="AI149" t="str">
            <v/>
          </cell>
        </row>
        <row r="150">
          <cell r="B150" t="str">
            <v/>
          </cell>
          <cell r="C150" t="str">
            <v/>
          </cell>
          <cell r="AH150" t="str">
            <v/>
          </cell>
          <cell r="AI150" t="str">
            <v/>
          </cell>
        </row>
        <row r="151">
          <cell r="B151" t="str">
            <v/>
          </cell>
          <cell r="C151" t="str">
            <v/>
          </cell>
          <cell r="AH151" t="str">
            <v/>
          </cell>
          <cell r="AI151" t="str">
            <v/>
          </cell>
        </row>
        <row r="152">
          <cell r="B152" t="str">
            <v/>
          </cell>
          <cell r="C152" t="str">
            <v/>
          </cell>
          <cell r="AH152" t="str">
            <v/>
          </cell>
          <cell r="AI152" t="str">
            <v/>
          </cell>
        </row>
        <row r="153">
          <cell r="B153" t="str">
            <v/>
          </cell>
          <cell r="C153" t="str">
            <v/>
          </cell>
          <cell r="AH153" t="str">
            <v/>
          </cell>
          <cell r="AI153" t="str">
            <v/>
          </cell>
        </row>
        <row r="154">
          <cell r="B154" t="str">
            <v/>
          </cell>
          <cell r="C154" t="str">
            <v/>
          </cell>
          <cell r="AH154" t="str">
            <v/>
          </cell>
          <cell r="AI154" t="str">
            <v/>
          </cell>
        </row>
        <row r="155">
          <cell r="B155" t="str">
            <v/>
          </cell>
          <cell r="C155" t="str">
            <v/>
          </cell>
          <cell r="AH155" t="str">
            <v/>
          </cell>
          <cell r="AI155" t="str">
            <v/>
          </cell>
        </row>
        <row r="156">
          <cell r="B156" t="str">
            <v/>
          </cell>
          <cell r="C156" t="str">
            <v/>
          </cell>
          <cell r="AH156" t="str">
            <v/>
          </cell>
          <cell r="AI156" t="str">
            <v/>
          </cell>
        </row>
        <row r="157">
          <cell r="B157" t="str">
            <v/>
          </cell>
          <cell r="C157" t="str">
            <v/>
          </cell>
          <cell r="AH157" t="str">
            <v/>
          </cell>
          <cell r="AI157" t="str">
            <v/>
          </cell>
        </row>
        <row r="158">
          <cell r="B158" t="str">
            <v/>
          </cell>
          <cell r="C158" t="str">
            <v/>
          </cell>
          <cell r="AH158" t="str">
            <v/>
          </cell>
          <cell r="AI158" t="str">
            <v/>
          </cell>
        </row>
        <row r="159">
          <cell r="B159" t="str">
            <v/>
          </cell>
          <cell r="C159" t="str">
            <v/>
          </cell>
          <cell r="AH159" t="str">
            <v/>
          </cell>
          <cell r="AI159" t="str">
            <v/>
          </cell>
        </row>
        <row r="160">
          <cell r="B160" t="str">
            <v/>
          </cell>
          <cell r="C160" t="str">
            <v/>
          </cell>
          <cell r="AH160" t="str">
            <v/>
          </cell>
          <cell r="AI160" t="str">
            <v/>
          </cell>
        </row>
        <row r="161">
          <cell r="B161" t="str">
            <v/>
          </cell>
          <cell r="C161" t="str">
            <v/>
          </cell>
          <cell r="AH161" t="str">
            <v/>
          </cell>
          <cell r="AI161" t="str">
            <v/>
          </cell>
        </row>
        <row r="162">
          <cell r="B162" t="str">
            <v/>
          </cell>
          <cell r="C162" t="str">
            <v/>
          </cell>
          <cell r="AH162" t="str">
            <v/>
          </cell>
          <cell r="AI162" t="str">
            <v/>
          </cell>
        </row>
        <row r="163">
          <cell r="B163" t="str">
            <v/>
          </cell>
          <cell r="C163" t="str">
            <v/>
          </cell>
          <cell r="AH163" t="str">
            <v/>
          </cell>
          <cell r="AI163" t="str">
            <v/>
          </cell>
        </row>
        <row r="164">
          <cell r="B164" t="str">
            <v/>
          </cell>
          <cell r="C164" t="str">
            <v/>
          </cell>
          <cell r="AH164" t="str">
            <v/>
          </cell>
          <cell r="AI164" t="str">
            <v/>
          </cell>
        </row>
        <row r="165">
          <cell r="B165" t="str">
            <v/>
          </cell>
          <cell r="C165" t="str">
            <v/>
          </cell>
          <cell r="AH165" t="str">
            <v/>
          </cell>
          <cell r="AI165" t="str">
            <v/>
          </cell>
        </row>
        <row r="166">
          <cell r="B166" t="str">
            <v/>
          </cell>
          <cell r="C166" t="str">
            <v/>
          </cell>
          <cell r="AH166" t="str">
            <v/>
          </cell>
          <cell r="AI166" t="str">
            <v/>
          </cell>
        </row>
        <row r="167">
          <cell r="B167" t="str">
            <v/>
          </cell>
          <cell r="C167" t="str">
            <v/>
          </cell>
          <cell r="AH167" t="str">
            <v/>
          </cell>
          <cell r="AI167" t="str">
            <v/>
          </cell>
        </row>
        <row r="168">
          <cell r="B168" t="str">
            <v/>
          </cell>
          <cell r="C168" t="str">
            <v/>
          </cell>
          <cell r="AH168" t="str">
            <v/>
          </cell>
          <cell r="AI168" t="str">
            <v/>
          </cell>
        </row>
        <row r="169">
          <cell r="B169" t="str">
            <v/>
          </cell>
          <cell r="C169" t="str">
            <v/>
          </cell>
          <cell r="AH169" t="str">
            <v/>
          </cell>
          <cell r="AI169" t="str">
            <v/>
          </cell>
        </row>
        <row r="170">
          <cell r="B170" t="str">
            <v/>
          </cell>
          <cell r="C170" t="str">
            <v/>
          </cell>
          <cell r="AH170" t="str">
            <v/>
          </cell>
          <cell r="AI170" t="str">
            <v/>
          </cell>
        </row>
        <row r="171">
          <cell r="B171" t="str">
            <v/>
          </cell>
          <cell r="C171" t="str">
            <v/>
          </cell>
          <cell r="AH171" t="str">
            <v/>
          </cell>
          <cell r="AI171" t="str">
            <v/>
          </cell>
        </row>
        <row r="172">
          <cell r="B172" t="str">
            <v/>
          </cell>
          <cell r="C172" t="str">
            <v/>
          </cell>
          <cell r="AH172" t="str">
            <v/>
          </cell>
          <cell r="AI172" t="str">
            <v/>
          </cell>
        </row>
        <row r="173">
          <cell r="B173" t="str">
            <v/>
          </cell>
          <cell r="C173" t="str">
            <v/>
          </cell>
          <cell r="AH173" t="str">
            <v/>
          </cell>
          <cell r="AI173" t="str">
            <v/>
          </cell>
        </row>
        <row r="174">
          <cell r="B174" t="str">
            <v/>
          </cell>
          <cell r="C174" t="str">
            <v/>
          </cell>
          <cell r="AH174" t="str">
            <v/>
          </cell>
          <cell r="AI174" t="str">
            <v/>
          </cell>
        </row>
        <row r="175">
          <cell r="B175" t="str">
            <v/>
          </cell>
          <cell r="C175" t="str">
            <v/>
          </cell>
          <cell r="AH175" t="str">
            <v/>
          </cell>
          <cell r="AI175" t="str">
            <v/>
          </cell>
        </row>
        <row r="176">
          <cell r="B176" t="str">
            <v/>
          </cell>
          <cell r="C176" t="str">
            <v/>
          </cell>
          <cell r="AH176" t="str">
            <v/>
          </cell>
          <cell r="AI176" t="str">
            <v/>
          </cell>
        </row>
        <row r="177">
          <cell r="B177" t="str">
            <v/>
          </cell>
          <cell r="C177" t="str">
            <v/>
          </cell>
          <cell r="AH177" t="str">
            <v/>
          </cell>
          <cell r="AI177" t="str">
            <v/>
          </cell>
        </row>
        <row r="178">
          <cell r="B178" t="str">
            <v/>
          </cell>
          <cell r="C178" t="str">
            <v/>
          </cell>
          <cell r="AH178" t="str">
            <v/>
          </cell>
          <cell r="AI178" t="str">
            <v/>
          </cell>
        </row>
        <row r="179">
          <cell r="B179" t="str">
            <v/>
          </cell>
          <cell r="C179" t="str">
            <v/>
          </cell>
          <cell r="AH179" t="str">
            <v/>
          </cell>
          <cell r="AI179" t="str">
            <v/>
          </cell>
        </row>
        <row r="180">
          <cell r="B180" t="str">
            <v/>
          </cell>
          <cell r="C180" t="str">
            <v/>
          </cell>
          <cell r="AH180" t="str">
            <v/>
          </cell>
          <cell r="AI180" t="str">
            <v/>
          </cell>
        </row>
        <row r="181">
          <cell r="B181" t="str">
            <v/>
          </cell>
          <cell r="C181" t="str">
            <v/>
          </cell>
          <cell r="AH181" t="str">
            <v/>
          </cell>
          <cell r="AI181" t="str">
            <v/>
          </cell>
        </row>
        <row r="182">
          <cell r="B182" t="str">
            <v/>
          </cell>
          <cell r="C182" t="str">
            <v/>
          </cell>
          <cell r="AH182" t="str">
            <v/>
          </cell>
          <cell r="AI182" t="str">
            <v/>
          </cell>
        </row>
        <row r="183">
          <cell r="B183" t="str">
            <v/>
          </cell>
          <cell r="C183" t="str">
            <v/>
          </cell>
          <cell r="AH183" t="str">
            <v/>
          </cell>
          <cell r="AI183" t="str">
            <v/>
          </cell>
        </row>
        <row r="184">
          <cell r="B184" t="str">
            <v/>
          </cell>
          <cell r="C184" t="str">
            <v/>
          </cell>
          <cell r="AH184" t="str">
            <v/>
          </cell>
          <cell r="AI184" t="str">
            <v/>
          </cell>
        </row>
        <row r="185">
          <cell r="B185" t="str">
            <v/>
          </cell>
          <cell r="C185" t="str">
            <v/>
          </cell>
          <cell r="AH185" t="str">
            <v/>
          </cell>
          <cell r="AI185" t="str">
            <v/>
          </cell>
        </row>
        <row r="186">
          <cell r="B186" t="str">
            <v/>
          </cell>
          <cell r="C186" t="str">
            <v/>
          </cell>
          <cell r="AH186" t="str">
            <v/>
          </cell>
          <cell r="AI186" t="str">
            <v/>
          </cell>
        </row>
        <row r="187">
          <cell r="B187" t="str">
            <v/>
          </cell>
          <cell r="C187" t="str">
            <v/>
          </cell>
          <cell r="AH187" t="str">
            <v/>
          </cell>
          <cell r="AI187" t="str">
            <v/>
          </cell>
        </row>
        <row r="188">
          <cell r="B188" t="str">
            <v/>
          </cell>
          <cell r="C188" t="str">
            <v/>
          </cell>
          <cell r="AH188" t="str">
            <v/>
          </cell>
          <cell r="AI188" t="str">
            <v/>
          </cell>
        </row>
        <row r="189">
          <cell r="B189" t="str">
            <v/>
          </cell>
          <cell r="C189" t="str">
            <v/>
          </cell>
          <cell r="AH189" t="str">
            <v/>
          </cell>
          <cell r="AI189" t="str">
            <v/>
          </cell>
        </row>
        <row r="190">
          <cell r="B190" t="str">
            <v/>
          </cell>
          <cell r="C190" t="str">
            <v/>
          </cell>
          <cell r="AH190" t="str">
            <v/>
          </cell>
          <cell r="AI190" t="str">
            <v/>
          </cell>
        </row>
        <row r="191">
          <cell r="B191" t="str">
            <v/>
          </cell>
          <cell r="C191" t="str">
            <v/>
          </cell>
          <cell r="AH191" t="str">
            <v/>
          </cell>
          <cell r="AI191" t="str">
            <v/>
          </cell>
        </row>
        <row r="192">
          <cell r="B192" t="str">
            <v/>
          </cell>
          <cell r="C192" t="str">
            <v/>
          </cell>
          <cell r="AH192" t="str">
            <v/>
          </cell>
          <cell r="AI192" t="str">
            <v/>
          </cell>
        </row>
        <row r="193">
          <cell r="B193" t="str">
            <v/>
          </cell>
          <cell r="C193" t="str">
            <v/>
          </cell>
          <cell r="AH193" t="str">
            <v/>
          </cell>
          <cell r="AI193" t="str">
            <v/>
          </cell>
        </row>
        <row r="194">
          <cell r="B194" t="str">
            <v/>
          </cell>
          <cell r="C194" t="str">
            <v/>
          </cell>
          <cell r="AH194" t="str">
            <v/>
          </cell>
          <cell r="AI194" t="str">
            <v/>
          </cell>
        </row>
        <row r="195">
          <cell r="B195" t="str">
            <v/>
          </cell>
          <cell r="C195" t="str">
            <v/>
          </cell>
          <cell r="AH195" t="str">
            <v/>
          </cell>
          <cell r="AI195" t="str">
            <v/>
          </cell>
        </row>
        <row r="196">
          <cell r="B196" t="str">
            <v/>
          </cell>
          <cell r="C196" t="str">
            <v/>
          </cell>
          <cell r="AH196" t="str">
            <v/>
          </cell>
          <cell r="AI196" t="str">
            <v/>
          </cell>
        </row>
        <row r="197">
          <cell r="B197" t="str">
            <v/>
          </cell>
          <cell r="C197" t="str">
            <v/>
          </cell>
          <cell r="AH197" t="str">
            <v/>
          </cell>
          <cell r="AI197" t="str">
            <v/>
          </cell>
        </row>
        <row r="198">
          <cell r="B198" t="str">
            <v/>
          </cell>
          <cell r="C198" t="str">
            <v/>
          </cell>
          <cell r="AH198" t="str">
            <v/>
          </cell>
          <cell r="AI198" t="str">
            <v/>
          </cell>
        </row>
        <row r="199">
          <cell r="B199" t="str">
            <v/>
          </cell>
          <cell r="C199" t="str">
            <v/>
          </cell>
          <cell r="AH199" t="str">
            <v/>
          </cell>
          <cell r="AI199" t="str">
            <v/>
          </cell>
        </row>
        <row r="200">
          <cell r="B200" t="str">
            <v/>
          </cell>
          <cell r="C200" t="str">
            <v/>
          </cell>
          <cell r="AH200" t="str">
            <v/>
          </cell>
          <cell r="AI200" t="str">
            <v/>
          </cell>
        </row>
        <row r="201">
          <cell r="B201" t="str">
            <v/>
          </cell>
          <cell r="C201" t="str">
            <v/>
          </cell>
          <cell r="AH201" t="str">
            <v/>
          </cell>
          <cell r="AI201" t="str">
            <v/>
          </cell>
        </row>
        <row r="202">
          <cell r="B202" t="str">
            <v/>
          </cell>
          <cell r="C202" t="str">
            <v/>
          </cell>
          <cell r="AH202" t="str">
            <v/>
          </cell>
          <cell r="AI202" t="str">
            <v/>
          </cell>
        </row>
        <row r="203">
          <cell r="B203" t="str">
            <v/>
          </cell>
          <cell r="C203" t="str">
            <v/>
          </cell>
          <cell r="AH203" t="str">
            <v/>
          </cell>
          <cell r="AI203" t="str">
            <v/>
          </cell>
        </row>
        <row r="204">
          <cell r="B204" t="str">
            <v/>
          </cell>
          <cell r="C204" t="str">
            <v/>
          </cell>
          <cell r="AH204" t="str">
            <v/>
          </cell>
          <cell r="AI204" t="str">
            <v/>
          </cell>
        </row>
        <row r="205">
          <cell r="B205" t="str">
            <v/>
          </cell>
          <cell r="C205" t="str">
            <v/>
          </cell>
          <cell r="AH205" t="str">
            <v/>
          </cell>
          <cell r="AI205" t="str">
            <v/>
          </cell>
        </row>
        <row r="206">
          <cell r="B206" t="str">
            <v/>
          </cell>
          <cell r="C206" t="str">
            <v/>
          </cell>
          <cell r="AH206" t="str">
            <v/>
          </cell>
          <cell r="AI206" t="str">
            <v/>
          </cell>
        </row>
        <row r="207">
          <cell r="B207" t="str">
            <v/>
          </cell>
          <cell r="C207" t="str">
            <v/>
          </cell>
          <cell r="AH207" t="str">
            <v/>
          </cell>
          <cell r="AI207" t="str">
            <v/>
          </cell>
        </row>
        <row r="208">
          <cell r="B208" t="str">
            <v/>
          </cell>
          <cell r="C208" t="str">
            <v/>
          </cell>
          <cell r="AH208" t="str">
            <v/>
          </cell>
          <cell r="AI208" t="str">
            <v/>
          </cell>
        </row>
        <row r="209">
          <cell r="B209" t="str">
            <v/>
          </cell>
          <cell r="C209" t="str">
            <v/>
          </cell>
          <cell r="AH209" t="str">
            <v/>
          </cell>
          <cell r="AI209" t="str">
            <v/>
          </cell>
        </row>
        <row r="210">
          <cell r="B210" t="str">
            <v/>
          </cell>
          <cell r="C210" t="str">
            <v/>
          </cell>
          <cell r="AH210" t="str">
            <v/>
          </cell>
          <cell r="AI210" t="str">
            <v/>
          </cell>
        </row>
        <row r="211">
          <cell r="B211" t="str">
            <v/>
          </cell>
          <cell r="C211" t="str">
            <v/>
          </cell>
          <cell r="AH211" t="str">
            <v/>
          </cell>
          <cell r="AI211" t="str">
            <v/>
          </cell>
        </row>
        <row r="212">
          <cell r="B212" t="str">
            <v/>
          </cell>
          <cell r="C212" t="str">
            <v/>
          </cell>
          <cell r="AH212" t="str">
            <v/>
          </cell>
          <cell r="AI212" t="str">
            <v/>
          </cell>
        </row>
        <row r="213">
          <cell r="B213" t="str">
            <v/>
          </cell>
          <cell r="C213" t="str">
            <v/>
          </cell>
          <cell r="AH213" t="str">
            <v/>
          </cell>
          <cell r="AI213" t="str">
            <v/>
          </cell>
        </row>
        <row r="214">
          <cell r="B214" t="str">
            <v/>
          </cell>
          <cell r="C214" t="str">
            <v/>
          </cell>
          <cell r="AH214" t="str">
            <v/>
          </cell>
          <cell r="AI214" t="str">
            <v/>
          </cell>
        </row>
        <row r="215">
          <cell r="B215" t="str">
            <v/>
          </cell>
          <cell r="C215" t="str">
            <v/>
          </cell>
          <cell r="AH215" t="str">
            <v/>
          </cell>
          <cell r="AI215" t="str">
            <v/>
          </cell>
        </row>
        <row r="216">
          <cell r="B216" t="str">
            <v/>
          </cell>
          <cell r="C216" t="str">
            <v/>
          </cell>
          <cell r="AH216" t="str">
            <v/>
          </cell>
          <cell r="AI216" t="str">
            <v/>
          </cell>
        </row>
        <row r="217">
          <cell r="B217" t="str">
            <v/>
          </cell>
          <cell r="C217" t="str">
            <v/>
          </cell>
          <cell r="AH217" t="str">
            <v/>
          </cell>
          <cell r="AI217" t="str">
            <v/>
          </cell>
        </row>
        <row r="218">
          <cell r="B218" t="str">
            <v/>
          </cell>
          <cell r="C218" t="str">
            <v/>
          </cell>
          <cell r="AH218" t="str">
            <v/>
          </cell>
          <cell r="AI218" t="str">
            <v/>
          </cell>
        </row>
        <row r="219">
          <cell r="B219" t="str">
            <v/>
          </cell>
          <cell r="C219" t="str">
            <v/>
          </cell>
          <cell r="AH219" t="str">
            <v/>
          </cell>
          <cell r="AI219" t="str">
            <v/>
          </cell>
        </row>
        <row r="220">
          <cell r="B220" t="str">
            <v/>
          </cell>
          <cell r="C220" t="str">
            <v/>
          </cell>
          <cell r="AH220" t="str">
            <v/>
          </cell>
          <cell r="AI220" t="str">
            <v/>
          </cell>
        </row>
        <row r="221">
          <cell r="B221" t="str">
            <v/>
          </cell>
          <cell r="C221" t="str">
            <v/>
          </cell>
          <cell r="AH221" t="str">
            <v/>
          </cell>
          <cell r="AI221" t="str">
            <v/>
          </cell>
        </row>
        <row r="222">
          <cell r="B222" t="str">
            <v/>
          </cell>
          <cell r="C222" t="str">
            <v/>
          </cell>
          <cell r="AH222" t="str">
            <v/>
          </cell>
          <cell r="AI222" t="str">
            <v/>
          </cell>
        </row>
        <row r="223">
          <cell r="B223" t="str">
            <v/>
          </cell>
          <cell r="C223" t="str">
            <v/>
          </cell>
          <cell r="AH223" t="str">
            <v/>
          </cell>
          <cell r="AI223" t="str">
            <v/>
          </cell>
        </row>
        <row r="224">
          <cell r="B224" t="str">
            <v/>
          </cell>
          <cell r="C224" t="str">
            <v/>
          </cell>
          <cell r="AH224" t="str">
            <v/>
          </cell>
          <cell r="AI224" t="str">
            <v/>
          </cell>
        </row>
        <row r="225">
          <cell r="B225" t="str">
            <v/>
          </cell>
          <cell r="C225" t="str">
            <v/>
          </cell>
          <cell r="AH225" t="str">
            <v/>
          </cell>
          <cell r="AI225" t="str">
            <v/>
          </cell>
        </row>
        <row r="226">
          <cell r="B226" t="str">
            <v/>
          </cell>
          <cell r="C226" t="str">
            <v/>
          </cell>
          <cell r="AH226" t="str">
            <v/>
          </cell>
          <cell r="AI226" t="str">
            <v/>
          </cell>
        </row>
        <row r="227">
          <cell r="B227" t="str">
            <v/>
          </cell>
          <cell r="C227" t="str">
            <v/>
          </cell>
          <cell r="AH227" t="str">
            <v/>
          </cell>
          <cell r="AI227" t="str">
            <v/>
          </cell>
        </row>
        <row r="228">
          <cell r="B228" t="str">
            <v/>
          </cell>
          <cell r="C228" t="str">
            <v/>
          </cell>
          <cell r="AH228" t="str">
            <v/>
          </cell>
          <cell r="AI228" t="str">
            <v/>
          </cell>
        </row>
        <row r="229">
          <cell r="B229" t="str">
            <v/>
          </cell>
          <cell r="C229" t="str">
            <v/>
          </cell>
          <cell r="AH229" t="str">
            <v/>
          </cell>
          <cell r="AI229" t="str">
            <v/>
          </cell>
        </row>
        <row r="230">
          <cell r="B230" t="str">
            <v/>
          </cell>
          <cell r="C230" t="str">
            <v/>
          </cell>
          <cell r="AH230" t="str">
            <v/>
          </cell>
          <cell r="AI230" t="str">
            <v/>
          </cell>
        </row>
        <row r="231">
          <cell r="B231" t="str">
            <v/>
          </cell>
          <cell r="C231" t="str">
            <v/>
          </cell>
          <cell r="AH231" t="str">
            <v/>
          </cell>
          <cell r="AI231" t="str">
            <v/>
          </cell>
        </row>
        <row r="232">
          <cell r="B232" t="str">
            <v/>
          </cell>
          <cell r="C232" t="str">
            <v/>
          </cell>
          <cell r="AH232" t="str">
            <v/>
          </cell>
          <cell r="AI232" t="str">
            <v/>
          </cell>
        </row>
        <row r="233">
          <cell r="B233" t="str">
            <v/>
          </cell>
          <cell r="C233" t="str">
            <v/>
          </cell>
          <cell r="AH233" t="str">
            <v/>
          </cell>
          <cell r="AI233" t="str">
            <v/>
          </cell>
        </row>
        <row r="234">
          <cell r="B234" t="str">
            <v/>
          </cell>
          <cell r="C234" t="str">
            <v/>
          </cell>
          <cell r="AH234" t="str">
            <v/>
          </cell>
          <cell r="AI234" t="str">
            <v/>
          </cell>
        </row>
        <row r="235">
          <cell r="B235" t="str">
            <v/>
          </cell>
          <cell r="C235" t="str">
            <v/>
          </cell>
          <cell r="AH235" t="str">
            <v/>
          </cell>
          <cell r="AI235" t="str">
            <v/>
          </cell>
        </row>
        <row r="236">
          <cell r="B236" t="str">
            <v/>
          </cell>
          <cell r="C236" t="str">
            <v/>
          </cell>
          <cell r="AH236" t="str">
            <v/>
          </cell>
          <cell r="AI236" t="str">
            <v/>
          </cell>
        </row>
        <row r="237">
          <cell r="B237" t="str">
            <v/>
          </cell>
          <cell r="C237" t="str">
            <v/>
          </cell>
          <cell r="AH237" t="str">
            <v/>
          </cell>
          <cell r="AI237" t="str">
            <v/>
          </cell>
        </row>
        <row r="238">
          <cell r="B238" t="str">
            <v/>
          </cell>
          <cell r="C238" t="str">
            <v/>
          </cell>
          <cell r="AH238" t="str">
            <v/>
          </cell>
          <cell r="AI238" t="str">
            <v/>
          </cell>
        </row>
        <row r="239">
          <cell r="B239" t="str">
            <v/>
          </cell>
          <cell r="C239" t="str">
            <v/>
          </cell>
          <cell r="AH239" t="str">
            <v/>
          </cell>
          <cell r="AI239" t="str">
            <v/>
          </cell>
        </row>
        <row r="240">
          <cell r="B240" t="str">
            <v/>
          </cell>
          <cell r="C240" t="str">
            <v/>
          </cell>
          <cell r="AH240" t="str">
            <v/>
          </cell>
          <cell r="AI240" t="str">
            <v/>
          </cell>
        </row>
        <row r="241">
          <cell r="B241" t="str">
            <v/>
          </cell>
          <cell r="C241" t="str">
            <v/>
          </cell>
          <cell r="AH241" t="str">
            <v/>
          </cell>
          <cell r="AI241" t="str">
            <v/>
          </cell>
        </row>
        <row r="242">
          <cell r="B242" t="str">
            <v/>
          </cell>
          <cell r="C242" t="str">
            <v/>
          </cell>
          <cell r="AH242" t="str">
            <v/>
          </cell>
          <cell r="AI242" t="str">
            <v/>
          </cell>
        </row>
        <row r="243">
          <cell r="B243" t="str">
            <v/>
          </cell>
          <cell r="C243" t="str">
            <v/>
          </cell>
          <cell r="AH243" t="str">
            <v/>
          </cell>
          <cell r="AI243" t="str">
            <v/>
          </cell>
        </row>
        <row r="244">
          <cell r="B244" t="str">
            <v/>
          </cell>
          <cell r="C244" t="str">
            <v/>
          </cell>
          <cell r="AH244" t="str">
            <v/>
          </cell>
          <cell r="AI244" t="str">
            <v/>
          </cell>
        </row>
        <row r="245">
          <cell r="B245" t="str">
            <v/>
          </cell>
          <cell r="C245" t="str">
            <v/>
          </cell>
          <cell r="AH245" t="str">
            <v/>
          </cell>
          <cell r="AI245" t="str">
            <v/>
          </cell>
        </row>
        <row r="246">
          <cell r="B246" t="str">
            <v/>
          </cell>
          <cell r="C246" t="str">
            <v/>
          </cell>
          <cell r="AH246" t="str">
            <v/>
          </cell>
          <cell r="AI246" t="str">
            <v/>
          </cell>
        </row>
        <row r="247">
          <cell r="B247" t="str">
            <v/>
          </cell>
          <cell r="C247" t="str">
            <v/>
          </cell>
          <cell r="AH247" t="str">
            <v/>
          </cell>
          <cell r="AI247" t="str">
            <v/>
          </cell>
        </row>
        <row r="248">
          <cell r="B248" t="str">
            <v/>
          </cell>
          <cell r="C248" t="str">
            <v/>
          </cell>
          <cell r="AH248" t="str">
            <v/>
          </cell>
          <cell r="AI248" t="str">
            <v/>
          </cell>
        </row>
        <row r="249">
          <cell r="B249" t="str">
            <v/>
          </cell>
          <cell r="C249" t="str">
            <v/>
          </cell>
          <cell r="AH249" t="str">
            <v/>
          </cell>
          <cell r="AI249" t="str">
            <v/>
          </cell>
        </row>
        <row r="250">
          <cell r="B250" t="str">
            <v/>
          </cell>
          <cell r="C250" t="str">
            <v/>
          </cell>
          <cell r="AH250" t="str">
            <v/>
          </cell>
          <cell r="AI250" t="str">
            <v/>
          </cell>
        </row>
        <row r="251">
          <cell r="B251" t="str">
            <v/>
          </cell>
          <cell r="C251" t="str">
            <v/>
          </cell>
          <cell r="AH251" t="str">
            <v/>
          </cell>
          <cell r="AI251" t="str">
            <v/>
          </cell>
        </row>
        <row r="252">
          <cell r="B252" t="str">
            <v/>
          </cell>
          <cell r="C252" t="str">
            <v/>
          </cell>
          <cell r="AH252" t="str">
            <v/>
          </cell>
          <cell r="AI252" t="str">
            <v/>
          </cell>
        </row>
        <row r="253">
          <cell r="B253" t="str">
            <v/>
          </cell>
          <cell r="C253" t="str">
            <v/>
          </cell>
          <cell r="AH253" t="str">
            <v/>
          </cell>
          <cell r="AI253" t="str">
            <v/>
          </cell>
        </row>
        <row r="254">
          <cell r="B254" t="str">
            <v/>
          </cell>
          <cell r="C254" t="str">
            <v/>
          </cell>
          <cell r="AH254" t="str">
            <v/>
          </cell>
          <cell r="AI254" t="str">
            <v/>
          </cell>
        </row>
        <row r="255">
          <cell r="B255" t="str">
            <v/>
          </cell>
          <cell r="C255" t="str">
            <v/>
          </cell>
          <cell r="AH255" t="str">
            <v/>
          </cell>
          <cell r="AI255" t="str">
            <v/>
          </cell>
        </row>
        <row r="256">
          <cell r="B256" t="str">
            <v/>
          </cell>
          <cell r="C256" t="str">
            <v/>
          </cell>
          <cell r="AH256" t="str">
            <v/>
          </cell>
          <cell r="AI256" t="str">
            <v/>
          </cell>
        </row>
        <row r="257">
          <cell r="B257" t="str">
            <v/>
          </cell>
          <cell r="C257" t="str">
            <v/>
          </cell>
          <cell r="AH257" t="str">
            <v/>
          </cell>
          <cell r="AI257" t="str">
            <v/>
          </cell>
        </row>
        <row r="258">
          <cell r="B258" t="str">
            <v/>
          </cell>
          <cell r="C258" t="str">
            <v/>
          </cell>
          <cell r="AH258" t="str">
            <v/>
          </cell>
          <cell r="AI258" t="str">
            <v/>
          </cell>
        </row>
        <row r="259">
          <cell r="B259" t="str">
            <v/>
          </cell>
          <cell r="C259" t="str">
            <v/>
          </cell>
          <cell r="AH259" t="str">
            <v/>
          </cell>
          <cell r="AI259" t="str">
            <v/>
          </cell>
        </row>
        <row r="260">
          <cell r="B260" t="str">
            <v/>
          </cell>
          <cell r="C260" t="str">
            <v/>
          </cell>
          <cell r="AH260" t="str">
            <v/>
          </cell>
          <cell r="AI260" t="str">
            <v/>
          </cell>
        </row>
        <row r="261">
          <cell r="B261" t="str">
            <v/>
          </cell>
          <cell r="C261" t="str">
            <v/>
          </cell>
          <cell r="AH261" t="str">
            <v/>
          </cell>
          <cell r="AI261" t="str">
            <v/>
          </cell>
        </row>
        <row r="262">
          <cell r="B262" t="str">
            <v/>
          </cell>
          <cell r="C262" t="str">
            <v/>
          </cell>
          <cell r="AH262" t="str">
            <v/>
          </cell>
          <cell r="AI262" t="str">
            <v/>
          </cell>
        </row>
        <row r="263">
          <cell r="B263" t="str">
            <v/>
          </cell>
          <cell r="C263" t="str">
            <v/>
          </cell>
          <cell r="AH263" t="str">
            <v/>
          </cell>
          <cell r="AI263" t="str">
            <v/>
          </cell>
        </row>
        <row r="264">
          <cell r="B264" t="str">
            <v/>
          </cell>
          <cell r="C264" t="str">
            <v/>
          </cell>
          <cell r="AH264" t="str">
            <v/>
          </cell>
          <cell r="AI264" t="str">
            <v/>
          </cell>
        </row>
        <row r="265">
          <cell r="B265" t="str">
            <v/>
          </cell>
          <cell r="C265" t="str">
            <v/>
          </cell>
          <cell r="AH265" t="str">
            <v/>
          </cell>
          <cell r="AI265" t="str">
            <v/>
          </cell>
        </row>
        <row r="266">
          <cell r="B266" t="str">
            <v/>
          </cell>
          <cell r="C266" t="str">
            <v/>
          </cell>
          <cell r="AH266" t="str">
            <v/>
          </cell>
          <cell r="AI266" t="str">
            <v/>
          </cell>
        </row>
        <row r="267">
          <cell r="B267" t="str">
            <v/>
          </cell>
          <cell r="C267" t="str">
            <v/>
          </cell>
          <cell r="AH267" t="str">
            <v/>
          </cell>
          <cell r="AI267" t="str">
            <v/>
          </cell>
        </row>
        <row r="268">
          <cell r="B268" t="str">
            <v/>
          </cell>
          <cell r="C268" t="str">
            <v/>
          </cell>
          <cell r="AH268" t="str">
            <v/>
          </cell>
          <cell r="AI268" t="str">
            <v/>
          </cell>
        </row>
        <row r="269">
          <cell r="B269" t="str">
            <v/>
          </cell>
          <cell r="C269" t="str">
            <v/>
          </cell>
          <cell r="AH269" t="str">
            <v/>
          </cell>
          <cell r="AI269" t="str">
            <v/>
          </cell>
        </row>
        <row r="270">
          <cell r="B270" t="str">
            <v/>
          </cell>
          <cell r="C270" t="str">
            <v/>
          </cell>
          <cell r="AH270" t="str">
            <v/>
          </cell>
          <cell r="AI270" t="str">
            <v/>
          </cell>
        </row>
        <row r="271">
          <cell r="B271" t="str">
            <v/>
          </cell>
          <cell r="C271" t="str">
            <v/>
          </cell>
          <cell r="AH271" t="str">
            <v/>
          </cell>
          <cell r="AI271" t="str">
            <v/>
          </cell>
        </row>
        <row r="272">
          <cell r="B272" t="str">
            <v/>
          </cell>
          <cell r="C272" t="str">
            <v/>
          </cell>
          <cell r="AH272" t="str">
            <v/>
          </cell>
          <cell r="AI272" t="str">
            <v/>
          </cell>
        </row>
        <row r="273">
          <cell r="B273" t="str">
            <v/>
          </cell>
          <cell r="C273" t="str">
            <v/>
          </cell>
          <cell r="AH273" t="str">
            <v/>
          </cell>
          <cell r="AI273" t="str">
            <v/>
          </cell>
        </row>
        <row r="274">
          <cell r="B274" t="str">
            <v/>
          </cell>
          <cell r="C274" t="str">
            <v/>
          </cell>
          <cell r="AH274" t="str">
            <v/>
          </cell>
          <cell r="AI274" t="str">
            <v/>
          </cell>
        </row>
        <row r="275">
          <cell r="B275" t="str">
            <v/>
          </cell>
          <cell r="C275" t="str">
            <v/>
          </cell>
          <cell r="AH275" t="str">
            <v/>
          </cell>
          <cell r="AI275" t="str">
            <v/>
          </cell>
        </row>
        <row r="276">
          <cell r="B276" t="str">
            <v/>
          </cell>
          <cell r="C276" t="str">
            <v/>
          </cell>
          <cell r="AH276" t="str">
            <v/>
          </cell>
          <cell r="AI276" t="str">
            <v/>
          </cell>
        </row>
        <row r="277">
          <cell r="B277" t="str">
            <v/>
          </cell>
          <cell r="C277" t="str">
            <v/>
          </cell>
          <cell r="AH277" t="str">
            <v/>
          </cell>
          <cell r="AI277" t="str">
            <v/>
          </cell>
        </row>
        <row r="278">
          <cell r="B278" t="str">
            <v/>
          </cell>
          <cell r="C278" t="str">
            <v/>
          </cell>
          <cell r="AH278" t="str">
            <v/>
          </cell>
          <cell r="AI278" t="str">
            <v/>
          </cell>
        </row>
        <row r="279">
          <cell r="B279" t="str">
            <v/>
          </cell>
          <cell r="C279" t="str">
            <v/>
          </cell>
          <cell r="AH279" t="str">
            <v/>
          </cell>
          <cell r="AI279" t="str">
            <v/>
          </cell>
        </row>
        <row r="280">
          <cell r="B280" t="str">
            <v/>
          </cell>
          <cell r="C280" t="str">
            <v/>
          </cell>
          <cell r="AH280" t="str">
            <v/>
          </cell>
          <cell r="AI280" t="str">
            <v/>
          </cell>
        </row>
        <row r="281">
          <cell r="B281" t="str">
            <v/>
          </cell>
          <cell r="C281" t="str">
            <v/>
          </cell>
          <cell r="AH281" t="str">
            <v/>
          </cell>
          <cell r="AI281" t="str">
            <v/>
          </cell>
        </row>
        <row r="282">
          <cell r="B282" t="str">
            <v/>
          </cell>
          <cell r="C282" t="str">
            <v/>
          </cell>
          <cell r="AH282" t="str">
            <v/>
          </cell>
          <cell r="AI282" t="str">
            <v/>
          </cell>
        </row>
        <row r="283">
          <cell r="B283" t="str">
            <v/>
          </cell>
          <cell r="C283" t="str">
            <v/>
          </cell>
          <cell r="AH283" t="str">
            <v/>
          </cell>
          <cell r="AI283" t="str">
            <v/>
          </cell>
        </row>
        <row r="284">
          <cell r="B284" t="str">
            <v/>
          </cell>
          <cell r="C284" t="str">
            <v/>
          </cell>
          <cell r="AH284" t="str">
            <v/>
          </cell>
          <cell r="AI284" t="str">
            <v/>
          </cell>
        </row>
        <row r="285">
          <cell r="B285" t="str">
            <v/>
          </cell>
          <cell r="C285" t="str">
            <v/>
          </cell>
          <cell r="AH285" t="str">
            <v/>
          </cell>
          <cell r="AI285" t="str">
            <v/>
          </cell>
        </row>
        <row r="286">
          <cell r="B286" t="str">
            <v/>
          </cell>
          <cell r="C286" t="str">
            <v/>
          </cell>
          <cell r="AH286" t="str">
            <v/>
          </cell>
          <cell r="AI286" t="str">
            <v/>
          </cell>
        </row>
        <row r="287">
          <cell r="B287" t="str">
            <v/>
          </cell>
          <cell r="C287" t="str">
            <v/>
          </cell>
          <cell r="AH287" t="str">
            <v/>
          </cell>
          <cell r="AI287" t="str">
            <v/>
          </cell>
        </row>
        <row r="288">
          <cell r="B288" t="str">
            <v/>
          </cell>
          <cell r="C288" t="str">
            <v/>
          </cell>
          <cell r="AH288" t="str">
            <v/>
          </cell>
          <cell r="AI288" t="str">
            <v/>
          </cell>
        </row>
        <row r="289">
          <cell r="B289" t="str">
            <v/>
          </cell>
          <cell r="C289" t="str">
            <v/>
          </cell>
          <cell r="AH289" t="str">
            <v/>
          </cell>
          <cell r="AI289" t="str">
            <v/>
          </cell>
        </row>
        <row r="290">
          <cell r="B290" t="str">
            <v/>
          </cell>
          <cell r="C290" t="str">
            <v/>
          </cell>
          <cell r="AH290" t="str">
            <v/>
          </cell>
          <cell r="AI290" t="str">
            <v/>
          </cell>
        </row>
        <row r="291">
          <cell r="B291" t="str">
            <v/>
          </cell>
          <cell r="C291" t="str">
            <v/>
          </cell>
          <cell r="AH291" t="str">
            <v/>
          </cell>
          <cell r="AI291" t="str">
            <v/>
          </cell>
        </row>
        <row r="292">
          <cell r="B292" t="str">
            <v/>
          </cell>
          <cell r="C292" t="str">
            <v/>
          </cell>
          <cell r="AH292" t="str">
            <v/>
          </cell>
          <cell r="AI292" t="str">
            <v/>
          </cell>
        </row>
        <row r="293">
          <cell r="B293" t="str">
            <v/>
          </cell>
          <cell r="C293" t="str">
            <v/>
          </cell>
          <cell r="AH293" t="str">
            <v/>
          </cell>
          <cell r="AI293" t="str">
            <v/>
          </cell>
        </row>
        <row r="294">
          <cell r="B294" t="str">
            <v/>
          </cell>
          <cell r="C294" t="str">
            <v/>
          </cell>
          <cell r="AH294" t="str">
            <v/>
          </cell>
          <cell r="AI294" t="str">
            <v/>
          </cell>
        </row>
        <row r="295">
          <cell r="B295" t="str">
            <v/>
          </cell>
          <cell r="C295" t="str">
            <v/>
          </cell>
          <cell r="AH295" t="str">
            <v/>
          </cell>
          <cell r="AI295" t="str">
            <v/>
          </cell>
        </row>
        <row r="296">
          <cell r="B296" t="str">
            <v/>
          </cell>
          <cell r="C296" t="str">
            <v/>
          </cell>
          <cell r="AH296" t="str">
            <v/>
          </cell>
          <cell r="AI296" t="str">
            <v/>
          </cell>
        </row>
        <row r="297">
          <cell r="B297" t="str">
            <v/>
          </cell>
          <cell r="C297" t="str">
            <v/>
          </cell>
          <cell r="AH297" t="str">
            <v/>
          </cell>
          <cell r="AI297" t="str">
            <v/>
          </cell>
        </row>
        <row r="298">
          <cell r="B298" t="str">
            <v/>
          </cell>
          <cell r="C298" t="str">
            <v/>
          </cell>
          <cell r="AH298" t="str">
            <v/>
          </cell>
          <cell r="AI298" t="str">
            <v/>
          </cell>
        </row>
        <row r="299">
          <cell r="B299" t="str">
            <v/>
          </cell>
          <cell r="C299" t="str">
            <v/>
          </cell>
          <cell r="AH299" t="str">
            <v/>
          </cell>
          <cell r="AI299" t="str">
            <v/>
          </cell>
        </row>
        <row r="300">
          <cell r="B300" t="str">
            <v/>
          </cell>
          <cell r="C300" t="str">
            <v/>
          </cell>
          <cell r="AH300" t="str">
            <v/>
          </cell>
          <cell r="AI300" t="str">
            <v/>
          </cell>
        </row>
        <row r="301">
          <cell r="B301" t="str">
            <v/>
          </cell>
          <cell r="C301" t="str">
            <v/>
          </cell>
          <cell r="AH301" t="str">
            <v/>
          </cell>
          <cell r="AI301" t="str">
            <v/>
          </cell>
        </row>
        <row r="302">
          <cell r="B302" t="str">
            <v/>
          </cell>
          <cell r="C302" t="str">
            <v/>
          </cell>
          <cell r="AH302" t="str">
            <v/>
          </cell>
          <cell r="AI302" t="str">
            <v/>
          </cell>
        </row>
        <row r="303">
          <cell r="B303" t="str">
            <v/>
          </cell>
          <cell r="C303" t="str">
            <v/>
          </cell>
          <cell r="AH303" t="str">
            <v/>
          </cell>
          <cell r="AI303" t="str">
            <v/>
          </cell>
        </row>
        <row r="304">
          <cell r="B304" t="str">
            <v/>
          </cell>
          <cell r="C304" t="str">
            <v/>
          </cell>
          <cell r="AH304" t="str">
            <v/>
          </cell>
          <cell r="AI304" t="str">
            <v/>
          </cell>
        </row>
        <row r="305">
          <cell r="B305" t="str">
            <v/>
          </cell>
          <cell r="C305" t="str">
            <v/>
          </cell>
          <cell r="AH305" t="str">
            <v/>
          </cell>
          <cell r="AI305" t="str">
            <v/>
          </cell>
        </row>
        <row r="306">
          <cell r="B306" t="str">
            <v/>
          </cell>
          <cell r="C306" t="str">
            <v/>
          </cell>
          <cell r="AH306" t="str">
            <v/>
          </cell>
          <cell r="AI306" t="str">
            <v/>
          </cell>
        </row>
        <row r="307">
          <cell r="B307" t="str">
            <v/>
          </cell>
          <cell r="C307" t="str">
            <v/>
          </cell>
          <cell r="AH307" t="str">
            <v/>
          </cell>
          <cell r="AI307" t="str">
            <v/>
          </cell>
        </row>
      </sheetData>
      <sheetData sheetId="2">
        <row r="1">
          <cell r="Z1">
            <v>3</v>
          </cell>
        </row>
        <row r="4">
          <cell r="K4">
            <v>0.6694515850532623</v>
          </cell>
          <cell r="AB4">
            <v>0.97488857078879099</v>
          </cell>
        </row>
        <row r="5">
          <cell r="K5">
            <v>0.76308455867826197</v>
          </cell>
          <cell r="AB5">
            <v>-2.9962804370953222E-4</v>
          </cell>
        </row>
      </sheetData>
      <sheetData sheetId="3" refreshError="1"/>
      <sheetData sheetId="4">
        <row r="1">
          <cell r="AB1">
            <v>627</v>
          </cell>
        </row>
        <row r="8">
          <cell r="AD8">
            <v>0</v>
          </cell>
        </row>
        <row r="15">
          <cell r="I15">
            <v>1</v>
          </cell>
          <cell r="J15">
            <v>0.42568416086718064</v>
          </cell>
          <cell r="K15" t="b">
            <v>1</v>
          </cell>
          <cell r="O15">
            <v>0.6166929158092751</v>
          </cell>
          <cell r="P15">
            <v>0.62897092540398347</v>
          </cell>
        </row>
        <row r="16">
          <cell r="P16">
            <v>50</v>
          </cell>
        </row>
        <row r="17">
          <cell r="N17" t="b">
            <v>0</v>
          </cell>
          <cell r="P17">
            <v>0.5</v>
          </cell>
        </row>
        <row r="18">
          <cell r="P18">
            <v>95</v>
          </cell>
        </row>
        <row r="19">
          <cell r="N19" t="b">
            <v>1</v>
          </cell>
          <cell r="P19" t="b">
            <v>0</v>
          </cell>
        </row>
        <row r="20">
          <cell r="N20" t="b">
            <v>0</v>
          </cell>
          <cell r="P20">
            <v>0</v>
          </cell>
        </row>
        <row r="21">
          <cell r="N21" t="b">
            <v>0</v>
          </cell>
          <cell r="P21">
            <v>0</v>
          </cell>
        </row>
        <row r="22">
          <cell r="P22">
            <v>0</v>
          </cell>
        </row>
        <row r="36">
          <cell r="V36">
            <v>627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See r"/>
      <sheetName val="r to z"/>
      <sheetName val="Sample r"/>
      <sheetName val="Two correlations"/>
      <sheetName val="Figure"/>
    </sheetNames>
    <sheetDataSet>
      <sheetData sheetId="0" refreshError="1"/>
      <sheetData sheetId="1"/>
      <sheetData sheetId="2"/>
      <sheetData sheetId="3">
        <row r="11">
          <cell r="A11">
            <v>247</v>
          </cell>
          <cell r="B11">
            <v>0.48034368101558861</v>
          </cell>
          <cell r="C11" t="b">
            <v>1</v>
          </cell>
        </row>
        <row r="12">
          <cell r="A12">
            <v>246</v>
          </cell>
          <cell r="B12">
            <v>0.48034368101558861</v>
          </cell>
          <cell r="C12" t="b">
            <v>1</v>
          </cell>
        </row>
        <row r="13">
          <cell r="A13">
            <v>245</v>
          </cell>
          <cell r="B13">
            <v>0.66525546637863442</v>
          </cell>
          <cell r="C13" t="b">
            <v>1</v>
          </cell>
        </row>
        <row r="14">
          <cell r="A14">
            <v>244</v>
          </cell>
          <cell r="B14">
            <v>0.68632008767421371</v>
          </cell>
          <cell r="C14" t="b">
            <v>1</v>
          </cell>
        </row>
        <row r="15">
          <cell r="A15">
            <v>243</v>
          </cell>
          <cell r="B15">
            <v>0.73945655182070869</v>
          </cell>
          <cell r="C15" t="b">
            <v>1</v>
          </cell>
        </row>
        <row r="16">
          <cell r="A16">
            <v>242</v>
          </cell>
          <cell r="B16">
            <v>0.40810399897342597</v>
          </cell>
          <cell r="C16" t="b">
            <v>1</v>
          </cell>
        </row>
        <row r="17">
          <cell r="A17">
            <v>241</v>
          </cell>
          <cell r="B17">
            <v>0.58110850839468642</v>
          </cell>
          <cell r="C17" t="b">
            <v>1</v>
          </cell>
        </row>
        <row r="18">
          <cell r="A18">
            <v>240</v>
          </cell>
          <cell r="B18">
            <v>0.76828472928062652</v>
          </cell>
          <cell r="C18" t="b">
            <v>1</v>
          </cell>
        </row>
        <row r="19">
          <cell r="A19">
            <v>239</v>
          </cell>
          <cell r="B19">
            <v>0.52593755997893288</v>
          </cell>
          <cell r="C19" t="b">
            <v>1</v>
          </cell>
        </row>
        <row r="20">
          <cell r="A20">
            <v>238</v>
          </cell>
          <cell r="B20">
            <v>0.61084286059547233</v>
          </cell>
          <cell r="C20" t="b">
            <v>1</v>
          </cell>
        </row>
        <row r="21">
          <cell r="A21">
            <v>237</v>
          </cell>
          <cell r="B21">
            <v>0.70363124630685825</v>
          </cell>
          <cell r="C21" t="b">
            <v>1</v>
          </cell>
        </row>
        <row r="22">
          <cell r="A22">
            <v>236</v>
          </cell>
          <cell r="B22">
            <v>0.51279254930630935</v>
          </cell>
          <cell r="C22" t="b">
            <v>1</v>
          </cell>
        </row>
        <row r="23">
          <cell r="A23">
            <v>235</v>
          </cell>
          <cell r="B23">
            <v>0.58308147613260075</v>
          </cell>
          <cell r="C23" t="b">
            <v>1</v>
          </cell>
        </row>
        <row r="24">
          <cell r="A24">
            <v>234</v>
          </cell>
          <cell r="B24">
            <v>0.55429000840752241</v>
          </cell>
          <cell r="C24" t="b">
            <v>1</v>
          </cell>
        </row>
        <row r="25">
          <cell r="A25">
            <v>233</v>
          </cell>
          <cell r="B25">
            <v>0.74949877025800871</v>
          </cell>
          <cell r="C25" t="b">
            <v>1</v>
          </cell>
        </row>
        <row r="26">
          <cell r="A26">
            <v>232</v>
          </cell>
          <cell r="B26">
            <v>0.65634958784416242</v>
          </cell>
          <cell r="C26" t="b">
            <v>1</v>
          </cell>
        </row>
        <row r="27">
          <cell r="A27">
            <v>231</v>
          </cell>
          <cell r="B27">
            <v>0.56590409853280565</v>
          </cell>
          <cell r="C27" t="b">
            <v>1</v>
          </cell>
        </row>
        <row r="28">
          <cell r="A28">
            <v>230</v>
          </cell>
          <cell r="B28">
            <v>0.56814921861700429</v>
          </cell>
          <cell r="C28" t="b">
            <v>1</v>
          </cell>
        </row>
        <row r="29">
          <cell r="A29">
            <v>229</v>
          </cell>
          <cell r="B29">
            <v>0.3289546597100394</v>
          </cell>
          <cell r="C29" t="b">
            <v>1</v>
          </cell>
        </row>
        <row r="30">
          <cell r="A30">
            <v>228</v>
          </cell>
          <cell r="B30">
            <v>0.57219893670997124</v>
          </cell>
          <cell r="C30" t="b">
            <v>1</v>
          </cell>
        </row>
        <row r="31">
          <cell r="A31">
            <v>227</v>
          </cell>
          <cell r="B31">
            <v>0.68650765946648096</v>
          </cell>
          <cell r="C31" t="b">
            <v>1</v>
          </cell>
        </row>
        <row r="32">
          <cell r="A32">
            <v>226</v>
          </cell>
          <cell r="B32">
            <v>0.66103169119607075</v>
          </cell>
          <cell r="C32" t="b">
            <v>1</v>
          </cell>
        </row>
        <row r="33">
          <cell r="A33">
            <v>225</v>
          </cell>
          <cell r="B33">
            <v>0.58809279158396688</v>
          </cell>
          <cell r="C33" t="b">
            <v>1</v>
          </cell>
        </row>
        <row r="34">
          <cell r="A34">
            <v>224</v>
          </cell>
          <cell r="B34">
            <v>0.56080171063788464</v>
          </cell>
          <cell r="C34" t="b">
            <v>1</v>
          </cell>
        </row>
        <row r="35">
          <cell r="A35">
            <v>223</v>
          </cell>
          <cell r="B35">
            <v>0.41583161536371471</v>
          </cell>
          <cell r="C35" t="b">
            <v>1</v>
          </cell>
        </row>
        <row r="36">
          <cell r="A36">
            <v>222</v>
          </cell>
          <cell r="B36">
            <v>0.39387285758815815</v>
          </cell>
          <cell r="C36" t="b">
            <v>1</v>
          </cell>
        </row>
        <row r="37">
          <cell r="A37">
            <v>221</v>
          </cell>
          <cell r="B37">
            <v>0.65953464152163743</v>
          </cell>
          <cell r="C37" t="b">
            <v>1</v>
          </cell>
        </row>
        <row r="38">
          <cell r="A38">
            <v>220</v>
          </cell>
          <cell r="B38">
            <v>0.57503539275577065</v>
          </cell>
          <cell r="C38" t="b">
            <v>1</v>
          </cell>
        </row>
        <row r="39">
          <cell r="A39">
            <v>219</v>
          </cell>
          <cell r="B39">
            <v>0.5361230417872701</v>
          </cell>
          <cell r="C39" t="b">
            <v>1</v>
          </cell>
        </row>
        <row r="40">
          <cell r="A40">
            <v>218</v>
          </cell>
          <cell r="B40">
            <v>0.5781428780046407</v>
          </cell>
          <cell r="C40" t="b">
            <v>1</v>
          </cell>
        </row>
        <row r="41">
          <cell r="A41">
            <v>217</v>
          </cell>
          <cell r="B41">
            <v>0.68778048224312993</v>
          </cell>
          <cell r="C41" t="b">
            <v>1</v>
          </cell>
        </row>
        <row r="42">
          <cell r="A42">
            <v>216</v>
          </cell>
          <cell r="B42">
            <v>0.40264898021679951</v>
          </cell>
          <cell r="C42" t="b">
            <v>1</v>
          </cell>
        </row>
        <row r="43">
          <cell r="A43">
            <v>215</v>
          </cell>
          <cell r="B43">
            <v>0.57857438948426965</v>
          </cell>
          <cell r="C43" t="b">
            <v>1</v>
          </cell>
        </row>
        <row r="44">
          <cell r="A44">
            <v>214</v>
          </cell>
          <cell r="B44">
            <v>0.60557845774537655</v>
          </cell>
          <cell r="C44" t="b">
            <v>1</v>
          </cell>
        </row>
        <row r="45">
          <cell r="A45">
            <v>213</v>
          </cell>
          <cell r="B45">
            <v>0.52385118204763537</v>
          </cell>
          <cell r="C45" t="b">
            <v>1</v>
          </cell>
        </row>
        <row r="46">
          <cell r="A46">
            <v>212</v>
          </cell>
          <cell r="B46">
            <v>0.75535507593574591</v>
          </cell>
          <cell r="C46" t="b">
            <v>1</v>
          </cell>
        </row>
        <row r="47">
          <cell r="A47">
            <v>211</v>
          </cell>
          <cell r="B47">
            <v>0.34891322222909421</v>
          </cell>
          <cell r="C47" t="b">
            <v>1</v>
          </cell>
        </row>
        <row r="48">
          <cell r="A48">
            <v>210</v>
          </cell>
          <cell r="B48">
            <v>0.76110756603676666</v>
          </cell>
          <cell r="C48" t="b">
            <v>1</v>
          </cell>
        </row>
        <row r="49">
          <cell r="A49">
            <v>209</v>
          </cell>
          <cell r="B49">
            <v>0.63963889964092102</v>
          </cell>
          <cell r="C49" t="b">
            <v>1</v>
          </cell>
        </row>
        <row r="50">
          <cell r="A50">
            <v>208</v>
          </cell>
          <cell r="B50">
            <v>0.66518573318655938</v>
          </cell>
          <cell r="C50" t="b">
            <v>1</v>
          </cell>
        </row>
        <row r="51">
          <cell r="A51">
            <v>207</v>
          </cell>
          <cell r="B51">
            <v>0.12236420146493696</v>
          </cell>
          <cell r="C51" t="b">
            <v>0</v>
          </cell>
        </row>
        <row r="52">
          <cell r="A52">
            <v>206</v>
          </cell>
          <cell r="B52">
            <v>0.53468099814979708</v>
          </cell>
          <cell r="C52" t="b">
            <v>1</v>
          </cell>
        </row>
        <row r="53">
          <cell r="A53">
            <v>205</v>
          </cell>
          <cell r="B53">
            <v>0.7370843651821517</v>
          </cell>
          <cell r="C53" t="b">
            <v>1</v>
          </cell>
        </row>
        <row r="54">
          <cell r="A54">
            <v>204</v>
          </cell>
          <cell r="B54">
            <v>0.70916266643906711</v>
          </cell>
          <cell r="C54" t="b">
            <v>1</v>
          </cell>
        </row>
        <row r="55">
          <cell r="A55">
            <v>203</v>
          </cell>
          <cell r="B55">
            <v>0.80449000096386469</v>
          </cell>
          <cell r="C55" t="b">
            <v>0</v>
          </cell>
        </row>
        <row r="56">
          <cell r="A56">
            <v>202</v>
          </cell>
          <cell r="B56">
            <v>0.75431702049828098</v>
          </cell>
          <cell r="C56" t="b">
            <v>1</v>
          </cell>
        </row>
        <row r="57">
          <cell r="A57">
            <v>201</v>
          </cell>
          <cell r="B57">
            <v>0.73499456848004319</v>
          </cell>
          <cell r="C57" t="b">
            <v>1</v>
          </cell>
        </row>
        <row r="58">
          <cell r="A58">
            <v>200</v>
          </cell>
          <cell r="B58">
            <v>0.58156295785677325</v>
          </cell>
          <cell r="C58" t="b">
            <v>1</v>
          </cell>
        </row>
        <row r="59">
          <cell r="A59">
            <v>199</v>
          </cell>
          <cell r="B59">
            <v>0.44099877990381842</v>
          </cell>
          <cell r="C59" t="b">
            <v>1</v>
          </cell>
        </row>
        <row r="60">
          <cell r="A60">
            <v>198</v>
          </cell>
          <cell r="B60">
            <v>0.45441511226893844</v>
          </cell>
          <cell r="C60" t="b">
            <v>1</v>
          </cell>
        </row>
        <row r="61">
          <cell r="A61">
            <v>197</v>
          </cell>
          <cell r="B61">
            <v>0.89120429574343685</v>
          </cell>
          <cell r="C61" t="b">
            <v>0</v>
          </cell>
        </row>
        <row r="62">
          <cell r="A62">
            <v>196</v>
          </cell>
          <cell r="B62">
            <v>0.33862227047068277</v>
          </cell>
          <cell r="C62" t="b">
            <v>1</v>
          </cell>
        </row>
        <row r="63">
          <cell r="A63">
            <v>195</v>
          </cell>
          <cell r="B63">
            <v>0.44171273739788913</v>
          </cell>
          <cell r="C63" t="b">
            <v>1</v>
          </cell>
        </row>
        <row r="64">
          <cell r="A64">
            <v>194</v>
          </cell>
          <cell r="B64">
            <v>0.45507431964568801</v>
          </cell>
          <cell r="C64" t="b">
            <v>1</v>
          </cell>
        </row>
        <row r="65">
          <cell r="A65">
            <v>193</v>
          </cell>
          <cell r="B65">
            <v>0.56957224534039008</v>
          </cell>
          <cell r="C65" t="b">
            <v>1</v>
          </cell>
        </row>
        <row r="66">
          <cell r="A66">
            <v>192</v>
          </cell>
          <cell r="B66">
            <v>0.80932397556420654</v>
          </cell>
          <cell r="C66" t="b">
            <v>0</v>
          </cell>
        </row>
        <row r="67">
          <cell r="A67">
            <v>191</v>
          </cell>
          <cell r="B67">
            <v>0.49321786608621232</v>
          </cell>
          <cell r="C67" t="b">
            <v>1</v>
          </cell>
        </row>
        <row r="68">
          <cell r="A68">
            <v>190</v>
          </cell>
          <cell r="B68">
            <v>0.62843607321077888</v>
          </cell>
          <cell r="C68" t="b">
            <v>1</v>
          </cell>
        </row>
        <row r="69">
          <cell r="A69">
            <v>189</v>
          </cell>
          <cell r="B69">
            <v>0.54015256048540961</v>
          </cell>
          <cell r="C69" t="b">
            <v>1</v>
          </cell>
        </row>
        <row r="70">
          <cell r="A70">
            <v>188</v>
          </cell>
          <cell r="B70">
            <v>0.70937483173656002</v>
          </cell>
          <cell r="C70" t="b">
            <v>1</v>
          </cell>
        </row>
        <row r="71">
          <cell r="A71">
            <v>187</v>
          </cell>
          <cell r="B71">
            <v>0.6958003482430779</v>
          </cell>
          <cell r="C71" t="b">
            <v>1</v>
          </cell>
        </row>
        <row r="72">
          <cell r="A72">
            <v>186</v>
          </cell>
          <cell r="B72">
            <v>0.69639549990418825</v>
          </cell>
          <cell r="C72" t="b">
            <v>1</v>
          </cell>
        </row>
        <row r="73">
          <cell r="A73">
            <v>185</v>
          </cell>
          <cell r="B73">
            <v>0.53487712204029547</v>
          </cell>
          <cell r="C73" t="b">
            <v>1</v>
          </cell>
        </row>
        <row r="74">
          <cell r="A74">
            <v>184</v>
          </cell>
          <cell r="B74">
            <v>0.49681913369948971</v>
          </cell>
          <cell r="C74" t="b">
            <v>1</v>
          </cell>
        </row>
        <row r="75">
          <cell r="A75">
            <v>183</v>
          </cell>
          <cell r="B75">
            <v>0.36585848468772331</v>
          </cell>
          <cell r="C75" t="b">
            <v>1</v>
          </cell>
        </row>
        <row r="76">
          <cell r="A76">
            <v>182</v>
          </cell>
          <cell r="B76">
            <v>0.52200988598039455</v>
          </cell>
          <cell r="C76" t="b">
            <v>1</v>
          </cell>
        </row>
        <row r="77">
          <cell r="A77">
            <v>181</v>
          </cell>
          <cell r="B77">
            <v>0.5578757244904472</v>
          </cell>
          <cell r="C77" t="b">
            <v>1</v>
          </cell>
        </row>
        <row r="78">
          <cell r="A78">
            <v>180</v>
          </cell>
          <cell r="B78">
            <v>0.35401918295077434</v>
          </cell>
          <cell r="C78" t="b">
            <v>1</v>
          </cell>
        </row>
        <row r="79">
          <cell r="A79">
            <v>179</v>
          </cell>
          <cell r="B79">
            <v>0.4417236505674218</v>
          </cell>
          <cell r="C79" t="b">
            <v>1</v>
          </cell>
        </row>
        <row r="80">
          <cell r="A80">
            <v>178</v>
          </cell>
          <cell r="B80">
            <v>0.47739612264694936</v>
          </cell>
          <cell r="C80" t="b">
            <v>1</v>
          </cell>
        </row>
        <row r="81">
          <cell r="A81">
            <v>177</v>
          </cell>
          <cell r="B81">
            <v>0.73794118444650025</v>
          </cell>
          <cell r="C81" t="b">
            <v>1</v>
          </cell>
        </row>
        <row r="82">
          <cell r="A82">
            <v>176</v>
          </cell>
          <cell r="B82">
            <v>0.59919033520393017</v>
          </cell>
          <cell r="C82" t="b">
            <v>1</v>
          </cell>
        </row>
        <row r="83">
          <cell r="A83">
            <v>175</v>
          </cell>
          <cell r="B83">
            <v>0.49830929161942511</v>
          </cell>
          <cell r="C83" t="b">
            <v>1</v>
          </cell>
        </row>
        <row r="84">
          <cell r="A84">
            <v>174</v>
          </cell>
          <cell r="B84">
            <v>0.56018183739923588</v>
          </cell>
          <cell r="C84" t="b">
            <v>1</v>
          </cell>
        </row>
        <row r="85">
          <cell r="A85">
            <v>173</v>
          </cell>
          <cell r="B85">
            <v>0.56847975124002881</v>
          </cell>
          <cell r="C85" t="b">
            <v>1</v>
          </cell>
        </row>
        <row r="86">
          <cell r="A86">
            <v>172</v>
          </cell>
          <cell r="B86">
            <v>0.53782244124037182</v>
          </cell>
          <cell r="C86" t="b">
            <v>1</v>
          </cell>
        </row>
        <row r="87">
          <cell r="A87">
            <v>171</v>
          </cell>
          <cell r="B87">
            <v>0.63008814915745359</v>
          </cell>
          <cell r="C87" t="b">
            <v>1</v>
          </cell>
        </row>
        <row r="88">
          <cell r="A88">
            <v>170</v>
          </cell>
          <cell r="B88">
            <v>0.75136632846245799</v>
          </cell>
          <cell r="C88" t="b">
            <v>1</v>
          </cell>
        </row>
        <row r="89">
          <cell r="A89">
            <v>169</v>
          </cell>
          <cell r="B89">
            <v>0.78031130603700194</v>
          </cell>
          <cell r="C89" t="b">
            <v>1</v>
          </cell>
        </row>
        <row r="90">
          <cell r="A90">
            <v>168</v>
          </cell>
          <cell r="B90">
            <v>0.52421027442048407</v>
          </cell>
          <cell r="C90" t="b">
            <v>1</v>
          </cell>
        </row>
        <row r="91">
          <cell r="A91">
            <v>167</v>
          </cell>
          <cell r="B91">
            <v>0.56360011763542928</v>
          </cell>
          <cell r="C91" t="b">
            <v>1</v>
          </cell>
        </row>
        <row r="92">
          <cell r="A92">
            <v>166</v>
          </cell>
          <cell r="B92">
            <v>0.57816665988156046</v>
          </cell>
          <cell r="C92" t="b">
            <v>1</v>
          </cell>
        </row>
        <row r="93">
          <cell r="A93">
            <v>165</v>
          </cell>
          <cell r="B93">
            <v>0.45412323207519689</v>
          </cell>
          <cell r="C93" t="b">
            <v>1</v>
          </cell>
        </row>
        <row r="94">
          <cell r="A94">
            <v>164</v>
          </cell>
          <cell r="B94">
            <v>0.44437746513459242</v>
          </cell>
          <cell r="C94" t="b">
            <v>1</v>
          </cell>
        </row>
        <row r="95">
          <cell r="A95">
            <v>163</v>
          </cell>
          <cell r="B95">
            <v>0.65706091782640919</v>
          </cell>
          <cell r="C95" t="b">
            <v>1</v>
          </cell>
        </row>
        <row r="96">
          <cell r="A96">
            <v>162</v>
          </cell>
          <cell r="B96">
            <v>0.44755271668401525</v>
          </cell>
          <cell r="C96" t="b">
            <v>1</v>
          </cell>
        </row>
        <row r="97">
          <cell r="A97">
            <v>161</v>
          </cell>
          <cell r="B97">
            <v>0.25360185153917847</v>
          </cell>
          <cell r="C97" t="b">
            <v>0</v>
          </cell>
        </row>
        <row r="98">
          <cell r="A98">
            <v>160</v>
          </cell>
          <cell r="B98">
            <v>0.56344712319193779</v>
          </cell>
          <cell r="C98" t="b">
            <v>1</v>
          </cell>
        </row>
        <row r="99">
          <cell r="A99">
            <v>159</v>
          </cell>
          <cell r="B99">
            <v>0.69115056018988352</v>
          </cell>
          <cell r="C99" t="b">
            <v>1</v>
          </cell>
        </row>
        <row r="100">
          <cell r="A100">
            <v>158</v>
          </cell>
          <cell r="B100">
            <v>0.45513173590907624</v>
          </cell>
          <cell r="C100" t="b">
            <v>1</v>
          </cell>
        </row>
        <row r="101">
          <cell r="A101">
            <v>157</v>
          </cell>
          <cell r="B101">
            <v>0.56084537841560667</v>
          </cell>
          <cell r="C101" t="b">
            <v>1</v>
          </cell>
        </row>
        <row r="102">
          <cell r="A102">
            <v>156</v>
          </cell>
          <cell r="B102">
            <v>0.50643025456981872</v>
          </cell>
          <cell r="C102" t="b">
            <v>1</v>
          </cell>
        </row>
        <row r="103">
          <cell r="A103">
            <v>155</v>
          </cell>
          <cell r="B103">
            <v>0.45385378642366286</v>
          </cell>
          <cell r="C103" t="b">
            <v>1</v>
          </cell>
        </row>
        <row r="104">
          <cell r="A104">
            <v>154</v>
          </cell>
          <cell r="B104">
            <v>0.52267618797131499</v>
          </cell>
          <cell r="C104" t="b">
            <v>1</v>
          </cell>
        </row>
        <row r="105">
          <cell r="A105">
            <v>153</v>
          </cell>
          <cell r="B105">
            <v>0.80069000866192874</v>
          </cell>
          <cell r="C105" t="b">
            <v>0</v>
          </cell>
        </row>
        <row r="106">
          <cell r="A106">
            <v>152</v>
          </cell>
          <cell r="B106">
            <v>0.43008292561406802</v>
          </cell>
          <cell r="C106" t="b">
            <v>1</v>
          </cell>
        </row>
        <row r="107">
          <cell r="A107">
            <v>151</v>
          </cell>
          <cell r="B107">
            <v>0.64029687571314553</v>
          </cell>
          <cell r="C107" t="b">
            <v>1</v>
          </cell>
        </row>
        <row r="108">
          <cell r="A108">
            <v>150</v>
          </cell>
          <cell r="B108">
            <v>0.45580345370019903</v>
          </cell>
          <cell r="C108" t="b">
            <v>1</v>
          </cell>
        </row>
        <row r="109">
          <cell r="A109">
            <v>149</v>
          </cell>
          <cell r="B109">
            <v>0.60951621864261041</v>
          </cell>
          <cell r="C109" t="b">
            <v>1</v>
          </cell>
        </row>
        <row r="110">
          <cell r="A110">
            <v>148</v>
          </cell>
          <cell r="B110">
            <v>0.69731028941699325</v>
          </cell>
          <cell r="C110" t="b">
            <v>1</v>
          </cell>
        </row>
        <row r="111">
          <cell r="A111">
            <v>147</v>
          </cell>
          <cell r="B111">
            <v>0.5348922151444937</v>
          </cell>
          <cell r="C111" t="b">
            <v>1</v>
          </cell>
        </row>
        <row r="112">
          <cell r="A112">
            <v>146</v>
          </cell>
          <cell r="B112">
            <v>0.42878926819367974</v>
          </cell>
          <cell r="C112" t="b">
            <v>1</v>
          </cell>
        </row>
        <row r="113">
          <cell r="A113">
            <v>145</v>
          </cell>
          <cell r="B113">
            <v>0.68371452423399282</v>
          </cell>
          <cell r="C113" t="b">
            <v>1</v>
          </cell>
        </row>
        <row r="114">
          <cell r="A114">
            <v>144</v>
          </cell>
          <cell r="B114">
            <v>0.7595684111065234</v>
          </cell>
          <cell r="C114" t="b">
            <v>1</v>
          </cell>
        </row>
        <row r="115">
          <cell r="A115">
            <v>143</v>
          </cell>
          <cell r="B115">
            <v>0.61721667672012193</v>
          </cell>
          <cell r="C115" t="b">
            <v>1</v>
          </cell>
        </row>
        <row r="116">
          <cell r="A116">
            <v>142</v>
          </cell>
          <cell r="B116">
            <v>0.5151684704596764</v>
          </cell>
          <cell r="C116" t="b">
            <v>1</v>
          </cell>
        </row>
        <row r="117">
          <cell r="A117">
            <v>141</v>
          </cell>
          <cell r="B117">
            <v>0.33272106985394356</v>
          </cell>
          <cell r="C117" t="b">
            <v>1</v>
          </cell>
        </row>
        <row r="118">
          <cell r="A118">
            <v>140</v>
          </cell>
          <cell r="B118">
            <v>0.36811945057472334</v>
          </cell>
          <cell r="C118" t="b">
            <v>1</v>
          </cell>
        </row>
        <row r="119">
          <cell r="A119">
            <v>139</v>
          </cell>
          <cell r="B119">
            <v>0.72627217498010066</v>
          </cell>
          <cell r="C119" t="b">
            <v>1</v>
          </cell>
        </row>
        <row r="120">
          <cell r="A120">
            <v>138</v>
          </cell>
          <cell r="B120">
            <v>0.57921237372233347</v>
          </cell>
          <cell r="C120" t="b">
            <v>1</v>
          </cell>
        </row>
        <row r="121">
          <cell r="A121">
            <v>137</v>
          </cell>
          <cell r="B121">
            <v>0.48901983238161206</v>
          </cell>
          <cell r="C121" t="b">
            <v>1</v>
          </cell>
        </row>
        <row r="122">
          <cell r="A122">
            <v>136</v>
          </cell>
          <cell r="B122">
            <v>0.67362433639269859</v>
          </cell>
          <cell r="C122" t="b">
            <v>1</v>
          </cell>
        </row>
        <row r="123">
          <cell r="A123">
            <v>135</v>
          </cell>
          <cell r="B123">
            <v>0.67797413815963459</v>
          </cell>
          <cell r="C123" t="b">
            <v>1</v>
          </cell>
        </row>
        <row r="124">
          <cell r="A124">
            <v>134</v>
          </cell>
          <cell r="B124">
            <v>0.50898075697786138</v>
          </cell>
          <cell r="C124" t="b">
            <v>1</v>
          </cell>
        </row>
        <row r="125">
          <cell r="A125">
            <v>133</v>
          </cell>
          <cell r="B125">
            <v>0.70262370331262547</v>
          </cell>
          <cell r="C125" t="b">
            <v>1</v>
          </cell>
        </row>
        <row r="126">
          <cell r="A126">
            <v>132</v>
          </cell>
          <cell r="B126">
            <v>0.67046647988516483</v>
          </cell>
          <cell r="C126" t="b">
            <v>1</v>
          </cell>
        </row>
        <row r="127">
          <cell r="A127">
            <v>131</v>
          </cell>
          <cell r="B127">
            <v>0.66889939704432066</v>
          </cell>
          <cell r="C127" t="b">
            <v>1</v>
          </cell>
        </row>
        <row r="128">
          <cell r="A128">
            <v>130</v>
          </cell>
          <cell r="B128">
            <v>0.74967372070638238</v>
          </cell>
          <cell r="C128" t="b">
            <v>1</v>
          </cell>
        </row>
        <row r="129">
          <cell r="A129">
            <v>129</v>
          </cell>
          <cell r="B129">
            <v>0.48734969576061604</v>
          </cell>
          <cell r="C129" t="b">
            <v>1</v>
          </cell>
        </row>
        <row r="130">
          <cell r="A130">
            <v>128</v>
          </cell>
          <cell r="B130">
            <v>0.15239822619827478</v>
          </cell>
          <cell r="C130" t="b">
            <v>0</v>
          </cell>
        </row>
        <row r="131">
          <cell r="A131">
            <v>127</v>
          </cell>
          <cell r="B131">
            <v>0.51010548516700471</v>
          </cell>
          <cell r="C131" t="b">
            <v>1</v>
          </cell>
        </row>
        <row r="132">
          <cell r="A132">
            <v>126</v>
          </cell>
          <cell r="B132">
            <v>0.53521227124998894</v>
          </cell>
          <cell r="C132" t="b">
            <v>1</v>
          </cell>
        </row>
        <row r="133">
          <cell r="A133">
            <v>125</v>
          </cell>
          <cell r="B133">
            <v>0.70168714666703713</v>
          </cell>
          <cell r="C133" t="b">
            <v>1</v>
          </cell>
        </row>
        <row r="134">
          <cell r="A134">
            <v>124</v>
          </cell>
          <cell r="B134">
            <v>0.63100824101722619</v>
          </cell>
          <cell r="C134" t="b">
            <v>1</v>
          </cell>
        </row>
        <row r="135">
          <cell r="A135">
            <v>123</v>
          </cell>
          <cell r="B135">
            <v>0.5812584299921727</v>
          </cell>
          <cell r="C135" t="b">
            <v>1</v>
          </cell>
        </row>
        <row r="136">
          <cell r="A136">
            <v>122</v>
          </cell>
          <cell r="B136">
            <v>0.46389543259454524</v>
          </cell>
          <cell r="C136" t="b">
            <v>1</v>
          </cell>
        </row>
        <row r="137">
          <cell r="A137">
            <v>121</v>
          </cell>
          <cell r="B137">
            <v>0.57307361656531919</v>
          </cell>
          <cell r="C137" t="b">
            <v>1</v>
          </cell>
        </row>
        <row r="138">
          <cell r="A138">
            <v>120</v>
          </cell>
          <cell r="B138">
            <v>0.70769651461825078</v>
          </cell>
          <cell r="C138" t="b">
            <v>1</v>
          </cell>
        </row>
        <row r="139">
          <cell r="A139">
            <v>119</v>
          </cell>
          <cell r="B139">
            <v>0.40911340169619181</v>
          </cell>
          <cell r="C139" t="b">
            <v>1</v>
          </cell>
        </row>
        <row r="140">
          <cell r="A140">
            <v>118</v>
          </cell>
          <cell r="B140">
            <v>0.40204179554211383</v>
          </cell>
          <cell r="C140" t="b">
            <v>1</v>
          </cell>
        </row>
        <row r="141">
          <cell r="A141">
            <v>117</v>
          </cell>
          <cell r="B141">
            <v>0.45526100589692237</v>
          </cell>
          <cell r="C141" t="b">
            <v>1</v>
          </cell>
        </row>
        <row r="142">
          <cell r="A142">
            <v>116</v>
          </cell>
          <cell r="B142">
            <v>0.61162121945565273</v>
          </cell>
          <cell r="C142" t="b">
            <v>1</v>
          </cell>
        </row>
        <row r="143">
          <cell r="A143">
            <v>115</v>
          </cell>
          <cell r="B143">
            <v>0.6976163204615945</v>
          </cell>
          <cell r="C143" t="b">
            <v>1</v>
          </cell>
        </row>
        <row r="144">
          <cell r="A144">
            <v>114</v>
          </cell>
          <cell r="B144">
            <v>0.70502391871574477</v>
          </cell>
          <cell r="C144" t="b">
            <v>1</v>
          </cell>
        </row>
        <row r="145">
          <cell r="A145">
            <v>113</v>
          </cell>
          <cell r="B145">
            <v>0.58614446395849573</v>
          </cell>
          <cell r="C145" t="b">
            <v>1</v>
          </cell>
        </row>
        <row r="146">
          <cell r="A146">
            <v>112</v>
          </cell>
          <cell r="B146">
            <v>0.65280754206506819</v>
          </cell>
          <cell r="C146" t="b">
            <v>1</v>
          </cell>
        </row>
        <row r="147">
          <cell r="A147">
            <v>111</v>
          </cell>
          <cell r="B147">
            <v>0.35925842155354104</v>
          </cell>
          <cell r="C147" t="b">
            <v>1</v>
          </cell>
        </row>
        <row r="148">
          <cell r="A148">
            <v>110</v>
          </cell>
          <cell r="B148">
            <v>0.70928436926835892</v>
          </cell>
          <cell r="C148" t="b">
            <v>1</v>
          </cell>
        </row>
        <row r="149">
          <cell r="A149">
            <v>109</v>
          </cell>
          <cell r="B149">
            <v>0.5188357719400889</v>
          </cell>
          <cell r="C149" t="b">
            <v>1</v>
          </cell>
        </row>
        <row r="150">
          <cell r="A150">
            <v>108</v>
          </cell>
          <cell r="B150">
            <v>0.78510730766109038</v>
          </cell>
          <cell r="C150" t="b">
            <v>0</v>
          </cell>
        </row>
        <row r="151">
          <cell r="A151">
            <v>107</v>
          </cell>
          <cell r="B151">
            <v>0.55829916977737903</v>
          </cell>
          <cell r="C151" t="b">
            <v>1</v>
          </cell>
        </row>
        <row r="152">
          <cell r="A152">
            <v>106</v>
          </cell>
          <cell r="B152">
            <v>0.6242817060096435</v>
          </cell>
          <cell r="C152" t="b">
            <v>1</v>
          </cell>
        </row>
        <row r="153">
          <cell r="A153">
            <v>105</v>
          </cell>
          <cell r="B153">
            <v>0.60494347746396404</v>
          </cell>
          <cell r="C153" t="b">
            <v>1</v>
          </cell>
        </row>
        <row r="154">
          <cell r="A154">
            <v>104</v>
          </cell>
          <cell r="B154">
            <v>0.80678413376164526</v>
          </cell>
          <cell r="C154" t="b">
            <v>0</v>
          </cell>
        </row>
        <row r="155">
          <cell r="A155">
            <v>103</v>
          </cell>
          <cell r="B155">
            <v>0.46024637564040999</v>
          </cell>
          <cell r="C155" t="b">
            <v>1</v>
          </cell>
        </row>
        <row r="156">
          <cell r="A156">
            <v>102</v>
          </cell>
          <cell r="B156">
            <v>0.4820325407597183</v>
          </cell>
          <cell r="C156" t="b">
            <v>1</v>
          </cell>
        </row>
        <row r="157">
          <cell r="A157">
            <v>101</v>
          </cell>
          <cell r="B157">
            <v>0.60867892998122752</v>
          </cell>
          <cell r="C157" t="b">
            <v>1</v>
          </cell>
        </row>
        <row r="158">
          <cell r="A158">
            <v>100</v>
          </cell>
          <cell r="B158">
            <v>0.34570274499621617</v>
          </cell>
          <cell r="C158" t="b">
            <v>1</v>
          </cell>
        </row>
        <row r="159">
          <cell r="A159">
            <v>99</v>
          </cell>
          <cell r="B159">
            <v>0.56227020622769763</v>
          </cell>
          <cell r="C159" t="b">
            <v>1</v>
          </cell>
        </row>
        <row r="160">
          <cell r="A160">
            <v>98</v>
          </cell>
          <cell r="B160">
            <v>0.67683915158880692</v>
          </cell>
          <cell r="C160" t="b">
            <v>1</v>
          </cell>
        </row>
        <row r="161">
          <cell r="A161">
            <v>97</v>
          </cell>
          <cell r="B161">
            <v>0.45077948417659053</v>
          </cell>
          <cell r="C161" t="b">
            <v>1</v>
          </cell>
        </row>
        <row r="162">
          <cell r="A162">
            <v>96</v>
          </cell>
          <cell r="B162">
            <v>0.69167276582748138</v>
          </cell>
          <cell r="C162" t="b">
            <v>1</v>
          </cell>
        </row>
        <row r="163">
          <cell r="A163">
            <v>95</v>
          </cell>
          <cell r="B163">
            <v>0.55098319833281617</v>
          </cell>
          <cell r="C163" t="b">
            <v>1</v>
          </cell>
        </row>
        <row r="164">
          <cell r="A164">
            <v>94</v>
          </cell>
          <cell r="B164">
            <v>0.73681807450100445</v>
          </cell>
          <cell r="C164" t="b">
            <v>1</v>
          </cell>
        </row>
        <row r="165">
          <cell r="A165">
            <v>93</v>
          </cell>
          <cell r="B165">
            <v>0.56259862091113177</v>
          </cell>
          <cell r="C165" t="b">
            <v>1</v>
          </cell>
        </row>
        <row r="166">
          <cell r="A166">
            <v>92</v>
          </cell>
          <cell r="B166">
            <v>0.47866726374827312</v>
          </cell>
          <cell r="C166" t="b">
            <v>1</v>
          </cell>
        </row>
        <row r="167">
          <cell r="A167">
            <v>91</v>
          </cell>
          <cell r="B167">
            <v>0.46876709351148227</v>
          </cell>
          <cell r="C167" t="b">
            <v>1</v>
          </cell>
        </row>
        <row r="168">
          <cell r="A168">
            <v>90</v>
          </cell>
          <cell r="B168">
            <v>0.69812633415854208</v>
          </cell>
          <cell r="C168" t="b">
            <v>1</v>
          </cell>
        </row>
        <row r="169">
          <cell r="A169">
            <v>89</v>
          </cell>
          <cell r="B169">
            <v>0.35794939455699576</v>
          </cell>
          <cell r="C169" t="b">
            <v>1</v>
          </cell>
        </row>
        <row r="170">
          <cell r="A170">
            <v>88</v>
          </cell>
          <cell r="B170">
            <v>0.52593843358986592</v>
          </cell>
          <cell r="C170" t="b">
            <v>1</v>
          </cell>
        </row>
        <row r="171">
          <cell r="A171">
            <v>87</v>
          </cell>
          <cell r="B171">
            <v>0.46901513103942044</v>
          </cell>
          <cell r="C171" t="b">
            <v>1</v>
          </cell>
        </row>
        <row r="172">
          <cell r="A172">
            <v>86</v>
          </cell>
          <cell r="B172">
            <v>0.65266382948032398</v>
          </cell>
          <cell r="C172" t="b">
            <v>1</v>
          </cell>
        </row>
        <row r="173">
          <cell r="A173">
            <v>85</v>
          </cell>
          <cell r="B173">
            <v>0.70752273095437324</v>
          </cell>
          <cell r="C173" t="b">
            <v>1</v>
          </cell>
        </row>
        <row r="174">
          <cell r="A174">
            <v>84</v>
          </cell>
          <cell r="B174">
            <v>0.7337469673207504</v>
          </cell>
          <cell r="C174" t="b">
            <v>1</v>
          </cell>
        </row>
        <row r="175">
          <cell r="A175">
            <v>83</v>
          </cell>
          <cell r="B175">
            <v>0.74209775507376186</v>
          </cell>
          <cell r="C175" t="b">
            <v>1</v>
          </cell>
        </row>
        <row r="176">
          <cell r="A176">
            <v>82</v>
          </cell>
          <cell r="B176">
            <v>0.72410403723494621</v>
          </cell>
          <cell r="C176" t="b">
            <v>1</v>
          </cell>
        </row>
        <row r="177">
          <cell r="A177">
            <v>81</v>
          </cell>
          <cell r="B177">
            <v>0.48954179141965648</v>
          </cell>
          <cell r="C177" t="b">
            <v>1</v>
          </cell>
        </row>
        <row r="178">
          <cell r="A178">
            <v>80</v>
          </cell>
          <cell r="B178">
            <v>0.62994479096423017</v>
          </cell>
          <cell r="C178" t="b">
            <v>1</v>
          </cell>
        </row>
        <row r="179">
          <cell r="A179">
            <v>79</v>
          </cell>
          <cell r="B179">
            <v>0.57033568133154933</v>
          </cell>
          <cell r="C179" t="b">
            <v>1</v>
          </cell>
        </row>
        <row r="180">
          <cell r="A180">
            <v>78</v>
          </cell>
          <cell r="B180">
            <v>0.39413766505729309</v>
          </cell>
          <cell r="C180" t="b">
            <v>1</v>
          </cell>
        </row>
        <row r="181">
          <cell r="A181">
            <v>77</v>
          </cell>
          <cell r="B181">
            <v>0.58755591532443152</v>
          </cell>
          <cell r="C181" t="b">
            <v>1</v>
          </cell>
        </row>
        <row r="182">
          <cell r="A182">
            <v>76</v>
          </cell>
          <cell r="B182">
            <v>0.42520887730550749</v>
          </cell>
          <cell r="C182" t="b">
            <v>1</v>
          </cell>
        </row>
        <row r="183">
          <cell r="A183">
            <v>75</v>
          </cell>
          <cell r="B183">
            <v>0.59107307041939594</v>
          </cell>
          <cell r="C183" t="b">
            <v>1</v>
          </cell>
        </row>
        <row r="184">
          <cell r="A184">
            <v>74</v>
          </cell>
          <cell r="B184">
            <v>0.58084025148299312</v>
          </cell>
          <cell r="C184" t="b">
            <v>1</v>
          </cell>
        </row>
        <row r="185">
          <cell r="A185">
            <v>73</v>
          </cell>
          <cell r="B185">
            <v>0.22069851731177009</v>
          </cell>
          <cell r="C185" t="b">
            <v>0</v>
          </cell>
        </row>
        <row r="186">
          <cell r="A186">
            <v>72</v>
          </cell>
          <cell r="B186">
            <v>0.41477480910496473</v>
          </cell>
          <cell r="C186" t="b">
            <v>1</v>
          </cell>
        </row>
        <row r="187">
          <cell r="A187">
            <v>71</v>
          </cell>
          <cell r="B187">
            <v>0.37769150163322551</v>
          </cell>
          <cell r="C187" t="b">
            <v>1</v>
          </cell>
        </row>
        <row r="188">
          <cell r="A188">
            <v>70</v>
          </cell>
          <cell r="B188">
            <v>0.54745796252026002</v>
          </cell>
          <cell r="C188" t="b">
            <v>1</v>
          </cell>
        </row>
        <row r="189">
          <cell r="A189">
            <v>69</v>
          </cell>
          <cell r="B189">
            <v>0.71544956879625554</v>
          </cell>
          <cell r="C189" t="b">
            <v>1</v>
          </cell>
        </row>
        <row r="190">
          <cell r="A190">
            <v>68</v>
          </cell>
          <cell r="B190">
            <v>0.55395893033703969</v>
          </cell>
          <cell r="C190" t="b">
            <v>1</v>
          </cell>
        </row>
        <row r="191">
          <cell r="A191">
            <v>67</v>
          </cell>
          <cell r="B191">
            <v>0.46617921955147429</v>
          </cell>
          <cell r="C191" t="b">
            <v>1</v>
          </cell>
        </row>
        <row r="192">
          <cell r="A192">
            <v>66</v>
          </cell>
          <cell r="B192">
            <v>0.56551111416763056</v>
          </cell>
          <cell r="C192" t="b">
            <v>1</v>
          </cell>
        </row>
        <row r="193">
          <cell r="A193">
            <v>65</v>
          </cell>
          <cell r="B193">
            <v>0.58420526791534866</v>
          </cell>
          <cell r="C193" t="b">
            <v>1</v>
          </cell>
        </row>
        <row r="194">
          <cell r="A194">
            <v>64</v>
          </cell>
          <cell r="B194">
            <v>0.58495317120871404</v>
          </cell>
          <cell r="C194" t="b">
            <v>1</v>
          </cell>
        </row>
        <row r="195">
          <cell r="A195">
            <v>63</v>
          </cell>
          <cell r="B195">
            <v>0.48459445719290001</v>
          </cell>
          <cell r="C195" t="b">
            <v>1</v>
          </cell>
        </row>
        <row r="196">
          <cell r="A196">
            <v>62</v>
          </cell>
          <cell r="B196">
            <v>0.71530792222432649</v>
          </cell>
          <cell r="C196" t="b">
            <v>1</v>
          </cell>
        </row>
        <row r="197">
          <cell r="A197">
            <v>61</v>
          </cell>
          <cell r="B197">
            <v>0.50608924335498962</v>
          </cell>
          <cell r="C197" t="b">
            <v>1</v>
          </cell>
        </row>
        <row r="198">
          <cell r="A198">
            <v>60</v>
          </cell>
          <cell r="B198">
            <v>0.45189085507659915</v>
          </cell>
          <cell r="C198" t="b">
            <v>1</v>
          </cell>
        </row>
        <row r="199">
          <cell r="A199">
            <v>59</v>
          </cell>
          <cell r="B199">
            <v>0.63615153875137842</v>
          </cell>
          <cell r="C199" t="b">
            <v>1</v>
          </cell>
        </row>
        <row r="200">
          <cell r="A200">
            <v>58</v>
          </cell>
          <cell r="B200">
            <v>0.54082866727269607</v>
          </cell>
          <cell r="C200" t="b">
            <v>1</v>
          </cell>
        </row>
        <row r="201">
          <cell r="A201">
            <v>57</v>
          </cell>
          <cell r="B201">
            <v>0.70031532831223631</v>
          </cell>
          <cell r="C201" t="b">
            <v>1</v>
          </cell>
        </row>
        <row r="202">
          <cell r="A202">
            <v>56</v>
          </cell>
          <cell r="B202">
            <v>0.46798327035829018</v>
          </cell>
          <cell r="C202" t="b">
            <v>1</v>
          </cell>
        </row>
        <row r="203">
          <cell r="A203">
            <v>55</v>
          </cell>
          <cell r="B203">
            <v>0.66393764616127959</v>
          </cell>
          <cell r="C203" t="b">
            <v>1</v>
          </cell>
        </row>
        <row r="204">
          <cell r="A204">
            <v>54</v>
          </cell>
          <cell r="B204">
            <v>0.58593431767867932</v>
          </cell>
          <cell r="C204" t="b">
            <v>1</v>
          </cell>
        </row>
        <row r="205">
          <cell r="A205">
            <v>53</v>
          </cell>
          <cell r="B205">
            <v>0.56584519769630681</v>
          </cell>
          <cell r="C205" t="b">
            <v>1</v>
          </cell>
        </row>
        <row r="206">
          <cell r="A206">
            <v>52</v>
          </cell>
          <cell r="B206">
            <v>0.53738880982902171</v>
          </cell>
          <cell r="C206" t="b">
            <v>1</v>
          </cell>
        </row>
        <row r="207">
          <cell r="A207">
            <v>51</v>
          </cell>
          <cell r="B207">
            <v>0.37583735487150044</v>
          </cell>
          <cell r="C207" t="b">
            <v>1</v>
          </cell>
        </row>
        <row r="208">
          <cell r="A208">
            <v>50</v>
          </cell>
          <cell r="B208">
            <v>0.6456946960286114</v>
          </cell>
          <cell r="C208" t="b">
            <v>1</v>
          </cell>
        </row>
        <row r="209">
          <cell r="A209">
            <v>49</v>
          </cell>
          <cell r="B209">
            <v>0.75398638762223802</v>
          </cell>
          <cell r="C209" t="b">
            <v>1</v>
          </cell>
        </row>
        <row r="210">
          <cell r="A210">
            <v>48</v>
          </cell>
          <cell r="B210">
            <v>0.33379458088559188</v>
          </cell>
          <cell r="C210" t="b">
            <v>1</v>
          </cell>
        </row>
        <row r="211">
          <cell r="A211">
            <v>47</v>
          </cell>
          <cell r="B211">
            <v>0.77003176006434648</v>
          </cell>
          <cell r="C211" t="b">
            <v>1</v>
          </cell>
        </row>
        <row r="212">
          <cell r="A212">
            <v>46</v>
          </cell>
          <cell r="B212">
            <v>0.64511380427865161</v>
          </cell>
          <cell r="C212" t="b">
            <v>1</v>
          </cell>
        </row>
        <row r="213">
          <cell r="A213">
            <v>45</v>
          </cell>
          <cell r="B213">
            <v>0.70586346431631797</v>
          </cell>
          <cell r="C213" t="b">
            <v>1</v>
          </cell>
        </row>
        <row r="214">
          <cell r="A214">
            <v>44</v>
          </cell>
          <cell r="B214">
            <v>0.48454307975730354</v>
          </cell>
          <cell r="C214" t="b">
            <v>1</v>
          </cell>
        </row>
        <row r="215">
          <cell r="A215">
            <v>43</v>
          </cell>
          <cell r="B215">
            <v>0.49460278163803906</v>
          </cell>
          <cell r="C215" t="b">
            <v>1</v>
          </cell>
        </row>
        <row r="216">
          <cell r="A216">
            <v>42</v>
          </cell>
          <cell r="B216">
            <v>0.63626172825498784</v>
          </cell>
          <cell r="C216" t="b">
            <v>1</v>
          </cell>
        </row>
        <row r="217">
          <cell r="A217">
            <v>41</v>
          </cell>
          <cell r="B217">
            <v>0.50568507768120796</v>
          </cell>
          <cell r="C217" t="b">
            <v>1</v>
          </cell>
        </row>
        <row r="218">
          <cell r="A218">
            <v>40</v>
          </cell>
          <cell r="B218">
            <v>0.51552876018651739</v>
          </cell>
          <cell r="C218" t="b">
            <v>1</v>
          </cell>
        </row>
        <row r="219">
          <cell r="A219">
            <v>39</v>
          </cell>
          <cell r="B219">
            <v>0.62263489635929536</v>
          </cell>
          <cell r="C219" t="b">
            <v>1</v>
          </cell>
        </row>
        <row r="220">
          <cell r="A220">
            <v>38</v>
          </cell>
          <cell r="B220">
            <v>0.82174667914504529</v>
          </cell>
          <cell r="C220" t="b">
            <v>0</v>
          </cell>
        </row>
        <row r="221">
          <cell r="A221">
            <v>37</v>
          </cell>
          <cell r="B221">
            <v>0.78483841875474136</v>
          </cell>
          <cell r="C221" t="b">
            <v>0</v>
          </cell>
        </row>
        <row r="222">
          <cell r="A222">
            <v>36</v>
          </cell>
          <cell r="B222">
            <v>0.66292929383725763</v>
          </cell>
          <cell r="C222" t="b">
            <v>1</v>
          </cell>
        </row>
        <row r="223">
          <cell r="A223">
            <v>35</v>
          </cell>
          <cell r="B223">
            <v>0.53405507293989207</v>
          </cell>
          <cell r="C223" t="b">
            <v>1</v>
          </cell>
        </row>
        <row r="224">
          <cell r="A224">
            <v>34</v>
          </cell>
          <cell r="B224">
            <v>0.66470183723737652</v>
          </cell>
          <cell r="C224" t="b">
            <v>1</v>
          </cell>
        </row>
        <row r="225">
          <cell r="A225">
            <v>33</v>
          </cell>
          <cell r="B225">
            <v>0.66886705907934207</v>
          </cell>
          <cell r="C225" t="b">
            <v>1</v>
          </cell>
        </row>
        <row r="226">
          <cell r="A226">
            <v>32</v>
          </cell>
          <cell r="B226">
            <v>0.72607022331994753</v>
          </cell>
          <cell r="C226" t="b">
            <v>1</v>
          </cell>
        </row>
        <row r="227">
          <cell r="A227">
            <v>31</v>
          </cell>
          <cell r="B227">
            <v>0.57408788278304268</v>
          </cell>
          <cell r="C227" t="b">
            <v>1</v>
          </cell>
        </row>
        <row r="228">
          <cell r="A228">
            <v>30</v>
          </cell>
          <cell r="B228">
            <v>0.41645020113090531</v>
          </cell>
          <cell r="C228" t="b">
            <v>1</v>
          </cell>
        </row>
        <row r="229">
          <cell r="A229">
            <v>29</v>
          </cell>
          <cell r="B229">
            <v>0.48599237069645035</v>
          </cell>
          <cell r="C229" t="b">
            <v>1</v>
          </cell>
        </row>
        <row r="230">
          <cell r="A230">
            <v>28</v>
          </cell>
          <cell r="B230">
            <v>0.30994469730514485</v>
          </cell>
          <cell r="C230" t="b">
            <v>0</v>
          </cell>
        </row>
        <row r="231">
          <cell r="A231">
            <v>27</v>
          </cell>
          <cell r="B231">
            <v>0.69520668812722719</v>
          </cell>
          <cell r="C231" t="b">
            <v>1</v>
          </cell>
        </row>
        <row r="232">
          <cell r="A232">
            <v>26</v>
          </cell>
          <cell r="B232">
            <v>0.51799322766969025</v>
          </cell>
          <cell r="C232" t="b">
            <v>1</v>
          </cell>
        </row>
        <row r="233">
          <cell r="A233">
            <v>25</v>
          </cell>
          <cell r="B233">
            <v>0.71104464261958589</v>
          </cell>
          <cell r="C233" t="b">
            <v>1</v>
          </cell>
        </row>
        <row r="234">
          <cell r="A234">
            <v>24</v>
          </cell>
          <cell r="B234">
            <v>0.73274112883749853</v>
          </cell>
          <cell r="C234" t="b">
            <v>1</v>
          </cell>
        </row>
        <row r="235">
          <cell r="A235">
            <v>23</v>
          </cell>
          <cell r="B235">
            <v>0.70084798316702568</v>
          </cell>
          <cell r="C235" t="b">
            <v>1</v>
          </cell>
        </row>
        <row r="236">
          <cell r="A236">
            <v>22</v>
          </cell>
          <cell r="B236">
            <v>0.6683457500972706</v>
          </cell>
          <cell r="C236" t="b">
            <v>1</v>
          </cell>
        </row>
        <row r="237">
          <cell r="A237">
            <v>21</v>
          </cell>
          <cell r="B237">
            <v>0.48941322533194614</v>
          </cell>
          <cell r="C237" t="b">
            <v>1</v>
          </cell>
        </row>
        <row r="238">
          <cell r="A238">
            <v>20</v>
          </cell>
          <cell r="B238">
            <v>0.73597307926340771</v>
          </cell>
          <cell r="C238" t="b">
            <v>1</v>
          </cell>
        </row>
        <row r="239">
          <cell r="A239">
            <v>19</v>
          </cell>
          <cell r="B239">
            <v>0.51631796881471903</v>
          </cell>
          <cell r="C239" t="b">
            <v>1</v>
          </cell>
        </row>
        <row r="240">
          <cell r="A240">
            <v>18</v>
          </cell>
          <cell r="B240">
            <v>0.57805638473246157</v>
          </cell>
          <cell r="C240" t="b">
            <v>1</v>
          </cell>
        </row>
        <row r="241">
          <cell r="A241">
            <v>17</v>
          </cell>
          <cell r="B241">
            <v>0.58129357541293081</v>
          </cell>
          <cell r="C241" t="b">
            <v>1</v>
          </cell>
        </row>
        <row r="242">
          <cell r="A242">
            <v>16</v>
          </cell>
          <cell r="B242">
            <v>0.21383978435728423</v>
          </cell>
          <cell r="C242" t="b">
            <v>0</v>
          </cell>
        </row>
        <row r="243">
          <cell r="A243">
            <v>15</v>
          </cell>
          <cell r="B243">
            <v>0.54303504615412257</v>
          </cell>
          <cell r="C243" t="b">
            <v>1</v>
          </cell>
        </row>
        <row r="244">
          <cell r="A244">
            <v>14</v>
          </cell>
          <cell r="B244">
            <v>0.71511316679574488</v>
          </cell>
          <cell r="C244" t="b">
            <v>1</v>
          </cell>
        </row>
        <row r="245">
          <cell r="A245">
            <v>13</v>
          </cell>
          <cell r="B245">
            <v>0.38467926877786079</v>
          </cell>
          <cell r="C245" t="b">
            <v>1</v>
          </cell>
        </row>
        <row r="246">
          <cell r="A246">
            <v>12</v>
          </cell>
          <cell r="B246">
            <v>0.57133219571459015</v>
          </cell>
          <cell r="C246" t="b">
            <v>1</v>
          </cell>
        </row>
        <row r="247">
          <cell r="A247">
            <v>11</v>
          </cell>
          <cell r="B247">
            <v>0.48270490130793176</v>
          </cell>
          <cell r="C247" t="b">
            <v>1</v>
          </cell>
        </row>
        <row r="248">
          <cell r="A248">
            <v>10</v>
          </cell>
          <cell r="B248">
            <v>0.77104367912318061</v>
          </cell>
          <cell r="C248" t="b">
            <v>1</v>
          </cell>
        </row>
        <row r="249">
          <cell r="A249">
            <v>9</v>
          </cell>
          <cell r="B249">
            <v>0.6081083218806963</v>
          </cell>
          <cell r="C249" t="b">
            <v>1</v>
          </cell>
        </row>
        <row r="250">
          <cell r="A250">
            <v>8</v>
          </cell>
          <cell r="B250">
            <v>0.71221485530558515</v>
          </cell>
          <cell r="C250" t="b">
            <v>1</v>
          </cell>
        </row>
        <row r="251">
          <cell r="A251">
            <v>7</v>
          </cell>
          <cell r="B251">
            <v>0.69436133773446174</v>
          </cell>
          <cell r="C251" t="b">
            <v>1</v>
          </cell>
        </row>
        <row r="252">
          <cell r="A252">
            <v>6</v>
          </cell>
          <cell r="B252">
            <v>0.59075129921534353</v>
          </cell>
          <cell r="C252" t="b">
            <v>1</v>
          </cell>
        </row>
        <row r="253">
          <cell r="A253">
            <v>5</v>
          </cell>
          <cell r="B253">
            <v>0.78432958488295956</v>
          </cell>
          <cell r="C253" t="b">
            <v>0</v>
          </cell>
        </row>
        <row r="254">
          <cell r="A254">
            <v>4</v>
          </cell>
          <cell r="B254">
            <v>0.51423256017394192</v>
          </cell>
          <cell r="C254" t="b">
            <v>1</v>
          </cell>
        </row>
        <row r="255">
          <cell r="A255">
            <v>3</v>
          </cell>
          <cell r="B255">
            <v>0.71837369087098046</v>
          </cell>
          <cell r="C255" t="b">
            <v>1</v>
          </cell>
        </row>
        <row r="256">
          <cell r="A256">
            <v>2</v>
          </cell>
          <cell r="B256">
            <v>0.60296637127639641</v>
          </cell>
          <cell r="C256" t="b">
            <v>1</v>
          </cell>
        </row>
        <row r="257">
          <cell r="A257">
            <v>1</v>
          </cell>
          <cell r="B257">
            <v>0.32274682788616027</v>
          </cell>
          <cell r="C257" t="b">
            <v>0</v>
          </cell>
        </row>
      </sheetData>
      <sheetData sheetId="4">
        <row r="19">
          <cell r="AT19">
            <v>1600</v>
          </cell>
        </row>
      </sheetData>
      <sheetData sheetId="5">
        <row r="12">
          <cell r="B12" t="str">
            <v>Treatment</v>
          </cell>
        </row>
        <row r="84">
          <cell r="AC84" t="b">
            <v>1</v>
          </cell>
        </row>
        <row r="88">
          <cell r="AC88" t="b">
            <v>1</v>
          </cell>
        </row>
        <row r="89">
          <cell r="R89" t="b">
            <v>1</v>
          </cell>
        </row>
        <row r="92">
          <cell r="AC92" t="b">
            <v>0</v>
          </cell>
        </row>
        <row r="96">
          <cell r="AC96" t="b">
            <v>0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Fig 1"/>
      <sheetName val="Fig 2"/>
      <sheetName val="Fig 3"/>
      <sheetName val="Fig 4"/>
      <sheetName val="Figs 5, 6"/>
      <sheetName val="Fig 7"/>
      <sheetName val="Vary C"/>
    </sheetNames>
    <sheetDataSet>
      <sheetData sheetId="0" refreshError="1"/>
      <sheetData sheetId="1" refreshError="1"/>
      <sheetData sheetId="2">
        <row r="13">
          <cell r="J13">
            <v>0.37283183720422142</v>
          </cell>
          <cell r="K13">
            <v>36</v>
          </cell>
          <cell r="L13">
            <v>60</v>
          </cell>
        </row>
        <row r="14">
          <cell r="J14">
            <v>9.5074492710232938E-2</v>
          </cell>
          <cell r="K14">
            <v>36</v>
          </cell>
          <cell r="L14">
            <v>60</v>
          </cell>
        </row>
      </sheetData>
      <sheetData sheetId="3" refreshError="1"/>
      <sheetData sheetId="4" refreshError="1"/>
      <sheetData sheetId="5" refreshError="1"/>
      <sheetData sheetId="6" refreshError="1"/>
      <sheetData sheetId="7">
        <row r="8">
          <cell r="N8">
            <v>130728.28452184275</v>
          </cell>
        </row>
        <row r="14">
          <cell r="N14" t="b">
            <v>0</v>
          </cell>
        </row>
        <row r="20">
          <cell r="C20">
            <v>900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Fig 1"/>
      <sheetName val="p value function"/>
      <sheetName val="Fig 5"/>
      <sheetName val="Fig 10"/>
    </sheetNames>
    <sheetDataSet>
      <sheetData sheetId="0" refreshError="1"/>
      <sheetData sheetId="1">
        <row r="8">
          <cell r="M8">
            <v>0.27893615066330035</v>
          </cell>
        </row>
      </sheetData>
      <sheetData sheetId="2">
        <row r="3">
          <cell r="M3" t="b">
            <v>1</v>
          </cell>
        </row>
        <row r="4">
          <cell r="M4" t="b">
            <v>0</v>
          </cell>
        </row>
        <row r="5">
          <cell r="M5" t="b">
            <v>0</v>
          </cell>
        </row>
      </sheetData>
      <sheetData sheetId="3">
        <row r="2">
          <cell r="O2" t="b">
            <v>0</v>
          </cell>
        </row>
      </sheetData>
      <sheetData sheetId="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Two studies"/>
      <sheetName val="CIjumping"/>
      <sheetName val="Normal z t"/>
      <sheetName val="CI function"/>
      <sheetName val="CI and p"/>
    </sheetNames>
    <sheetDataSet>
      <sheetData sheetId="0"/>
      <sheetData sheetId="1">
        <row r="12">
          <cell r="AK12" t="str">
            <v>M(diff)</v>
          </cell>
        </row>
        <row r="17">
          <cell r="AN17" t="b">
            <v>1</v>
          </cell>
        </row>
        <row r="18">
          <cell r="AN18" t="b">
            <v>0</v>
          </cell>
        </row>
        <row r="19">
          <cell r="AN19" t="b">
            <v>0</v>
          </cell>
        </row>
        <row r="23">
          <cell r="AN23">
            <v>400</v>
          </cell>
        </row>
      </sheetData>
      <sheetData sheetId="2"/>
      <sheetData sheetId="3"/>
      <sheetData sheetId="4">
        <row r="3">
          <cell r="AK3" t="b">
            <v>1</v>
          </cell>
        </row>
      </sheetData>
      <sheetData sheetId="5">
        <row r="3">
          <cell r="O3">
            <v>-2.33</v>
          </cell>
        </row>
        <row r="5">
          <cell r="O5">
            <v>1.959963984540054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wo CIs"/>
      <sheetName val="single col"/>
      <sheetName val="SD CI SE"/>
      <sheetName val="Replication"/>
      <sheetName val="CI function"/>
      <sheetName val="cat's eyes"/>
    </sheetNames>
    <sheetDataSet>
      <sheetData sheetId="0"/>
      <sheetData sheetId="1"/>
      <sheetData sheetId="2"/>
      <sheetData sheetId="3">
        <row r="6">
          <cell r="AS6">
            <v>-999</v>
          </cell>
        </row>
        <row r="7">
          <cell r="AS7" t="b">
            <v>0</v>
          </cell>
        </row>
        <row r="8">
          <cell r="AS8" t="b">
            <v>0</v>
          </cell>
        </row>
        <row r="26">
          <cell r="W26">
            <v>235</v>
          </cell>
        </row>
        <row r="27">
          <cell r="W27">
            <v>236</v>
          </cell>
        </row>
      </sheetData>
      <sheetData sheetId="4"/>
      <sheetData sheetId="5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Data"/>
    </sheetNames>
    <sheetDataSet>
      <sheetData sheetId="0" refreshError="1"/>
      <sheetData sheetId="1">
        <row r="2">
          <cell r="F2">
            <v>23.289625016599892</v>
          </cell>
        </row>
        <row r="3">
          <cell r="F3">
            <v>22.71112415149808</v>
          </cell>
        </row>
        <row r="4">
          <cell r="F4">
            <v>24.059594762474298</v>
          </cell>
        </row>
        <row r="5">
          <cell r="F5">
            <v>24.419474896937608</v>
          </cell>
        </row>
        <row r="6">
          <cell r="F6">
            <v>23.622549747377633</v>
          </cell>
        </row>
        <row r="7">
          <cell r="F7">
            <v>24.706923056393862</v>
          </cell>
        </row>
        <row r="8">
          <cell r="F8">
            <v>24.253938350826502</v>
          </cell>
        </row>
        <row r="9">
          <cell r="F9">
            <v>23.849463579207658</v>
          </cell>
        </row>
        <row r="10">
          <cell r="F10">
            <v>24.435103117376567</v>
          </cell>
        </row>
        <row r="11">
          <cell r="F11">
            <v>23.670106185227635</v>
          </cell>
        </row>
        <row r="12">
          <cell r="F12">
            <v>26.023656733185053</v>
          </cell>
        </row>
        <row r="13">
          <cell r="F13">
            <v>24.859388060122726</v>
          </cell>
        </row>
        <row r="14">
          <cell r="F14">
            <v>25.11327206507325</v>
          </cell>
        </row>
        <row r="15">
          <cell r="F15">
            <v>24.903269363194703</v>
          </cell>
        </row>
        <row r="16">
          <cell r="F16">
            <v>26.054448762089013</v>
          </cell>
        </row>
        <row r="17">
          <cell r="F17">
            <v>25.648724047690628</v>
          </cell>
        </row>
        <row r="18">
          <cell r="F18">
            <v>25.630318919569252</v>
          </cell>
        </row>
        <row r="19">
          <cell r="F19">
            <v>25.989838493615387</v>
          </cell>
        </row>
        <row r="20">
          <cell r="F20">
            <v>24.964054305702447</v>
          </cell>
        </row>
        <row r="21">
          <cell r="F21">
            <v>25.389730453044177</v>
          </cell>
        </row>
        <row r="22">
          <cell r="F22">
            <v>25.736937650591134</v>
          </cell>
        </row>
        <row r="23">
          <cell r="F23">
            <v>27.566100807934998</v>
          </cell>
        </row>
        <row r="24">
          <cell r="F24">
            <v>26.758660497814414</v>
          </cell>
        </row>
        <row r="25">
          <cell r="F25">
            <v>27.100730640441178</v>
          </cell>
        </row>
        <row r="26">
          <cell r="F26">
            <v>26.813910118490455</v>
          </cell>
        </row>
        <row r="27">
          <cell r="F27">
            <v>27.585736115723844</v>
          </cell>
        </row>
        <row r="28">
          <cell r="F28">
            <v>26.75180798783898</v>
          </cell>
        </row>
        <row r="29">
          <cell r="F29">
            <v>26.851893677264449</v>
          </cell>
        </row>
        <row r="30">
          <cell r="F30">
            <v>26.447262324243781</v>
          </cell>
        </row>
        <row r="31">
          <cell r="F31">
            <v>27.476848054677244</v>
          </cell>
        </row>
        <row r="32">
          <cell r="F32">
            <v>26.285797190815206</v>
          </cell>
        </row>
        <row r="33">
          <cell r="F33">
            <v>27.643515584021802</v>
          </cell>
        </row>
        <row r="34">
          <cell r="F34">
            <v>28.445920659452675</v>
          </cell>
        </row>
        <row r="35">
          <cell r="F35">
            <v>28.89149534061551</v>
          </cell>
        </row>
        <row r="36">
          <cell r="F36">
            <v>28.815594537407158</v>
          </cell>
        </row>
        <row r="37">
          <cell r="F37">
            <v>28.256800584346056</v>
          </cell>
          <cell r="T37">
            <v>10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Data"/>
    </sheetNames>
    <sheetDataSet>
      <sheetData sheetId="0"/>
      <sheetData sheetId="1">
        <row r="2">
          <cell r="F2">
            <v>42.1</v>
          </cell>
        </row>
        <row r="3">
          <cell r="F3">
            <v>45</v>
          </cell>
        </row>
        <row r="4">
          <cell r="F4">
            <v>54.6</v>
          </cell>
        </row>
        <row r="5">
          <cell r="F5">
            <v>59.3</v>
          </cell>
        </row>
        <row r="6">
          <cell r="F6">
            <v>40.299999999999997</v>
          </cell>
        </row>
        <row r="7">
          <cell r="F7">
            <v>40</v>
          </cell>
        </row>
        <row r="8">
          <cell r="F8">
            <v>53.1</v>
          </cell>
        </row>
        <row r="9">
          <cell r="F9">
            <v>61.7</v>
          </cell>
        </row>
        <row r="10">
          <cell r="F10">
            <v>48.7</v>
          </cell>
        </row>
        <row r="11">
          <cell r="F11">
            <v>59.5</v>
          </cell>
        </row>
        <row r="12">
          <cell r="F12">
            <v>48.6</v>
          </cell>
        </row>
        <row r="13">
          <cell r="F13">
            <v>46.4</v>
          </cell>
        </row>
        <row r="14">
          <cell r="F14">
            <v>40.200000000000003</v>
          </cell>
        </row>
        <row r="15">
          <cell r="F15">
            <v>49.1</v>
          </cell>
        </row>
        <row r="16">
          <cell r="F16">
            <v>46.2</v>
          </cell>
        </row>
        <row r="17">
          <cell r="F17">
            <v>81.599999999999994</v>
          </cell>
        </row>
        <row r="18">
          <cell r="F18">
            <v>41.7</v>
          </cell>
        </row>
        <row r="19">
          <cell r="F19">
            <v>59.7</v>
          </cell>
        </row>
        <row r="20">
          <cell r="F20">
            <v>49.4</v>
          </cell>
        </row>
        <row r="21">
          <cell r="F21">
            <v>43.5</v>
          </cell>
        </row>
        <row r="22">
          <cell r="F22">
            <v>53.7</v>
          </cell>
        </row>
        <row r="23">
          <cell r="F23">
            <v>59.6</v>
          </cell>
        </row>
        <row r="24">
          <cell r="F24">
            <v>43.7</v>
          </cell>
        </row>
        <row r="25">
          <cell r="F25">
            <v>55.9</v>
          </cell>
        </row>
        <row r="26">
          <cell r="F26">
            <v>41.3</v>
          </cell>
        </row>
        <row r="27">
          <cell r="F27">
            <v>51.5</v>
          </cell>
        </row>
        <row r="28">
          <cell r="F28">
            <v>39.299999999999997</v>
          </cell>
        </row>
        <row r="29">
          <cell r="F29">
            <v>46.3</v>
          </cell>
        </row>
        <row r="30">
          <cell r="F30">
            <v>47.3</v>
          </cell>
        </row>
        <row r="31">
          <cell r="F31">
            <v>41.4</v>
          </cell>
        </row>
        <row r="32">
          <cell r="F32" t="str">
            <v/>
          </cell>
        </row>
        <row r="33">
          <cell r="F33" t="str">
            <v/>
          </cell>
        </row>
        <row r="34">
          <cell r="F34" t="str">
            <v/>
          </cell>
        </row>
        <row r="35">
          <cell r="F35" t="str">
            <v/>
          </cell>
        </row>
        <row r="36">
          <cell r="F36" t="str">
            <v/>
          </cell>
        </row>
        <row r="37">
          <cell r="F37" t="str">
            <v/>
          </cell>
          <cell r="T37">
            <v>9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Data"/>
    </sheetNames>
    <sheetDataSet>
      <sheetData sheetId="0" refreshError="1"/>
      <sheetData sheetId="1">
        <row r="2">
          <cell r="F2">
            <v>23.289625016599892</v>
          </cell>
        </row>
        <row r="3">
          <cell r="F3">
            <v>22.71112415149808</v>
          </cell>
        </row>
        <row r="4">
          <cell r="F4">
            <v>24.059594762474298</v>
          </cell>
        </row>
        <row r="5">
          <cell r="F5">
            <v>24.419474896937608</v>
          </cell>
        </row>
        <row r="6">
          <cell r="F6">
            <v>23.622549747377633</v>
          </cell>
        </row>
        <row r="7">
          <cell r="F7">
            <v>24.706923056393862</v>
          </cell>
        </row>
        <row r="8">
          <cell r="F8">
            <v>24.253938350826502</v>
          </cell>
        </row>
        <row r="9">
          <cell r="F9">
            <v>23.849463579207658</v>
          </cell>
        </row>
        <row r="10">
          <cell r="F10">
            <v>24.435103117376567</v>
          </cell>
        </row>
        <row r="11">
          <cell r="F11">
            <v>23.670106185227635</v>
          </cell>
        </row>
        <row r="12">
          <cell r="F12">
            <v>26.023656733185053</v>
          </cell>
        </row>
        <row r="13">
          <cell r="F13">
            <v>24.859388060122726</v>
          </cell>
        </row>
        <row r="14">
          <cell r="F14">
            <v>25.11327206507325</v>
          </cell>
        </row>
        <row r="15">
          <cell r="F15">
            <v>24.903269363194703</v>
          </cell>
        </row>
        <row r="16">
          <cell r="F16">
            <v>26.054448762089013</v>
          </cell>
        </row>
        <row r="17">
          <cell r="F17">
            <v>25.648724047690628</v>
          </cell>
        </row>
        <row r="18">
          <cell r="F18">
            <v>25.630318919569252</v>
          </cell>
        </row>
        <row r="19">
          <cell r="F19">
            <v>25.989838493615387</v>
          </cell>
        </row>
        <row r="20">
          <cell r="F20">
            <v>24.964054305702447</v>
          </cell>
        </row>
        <row r="21">
          <cell r="F21">
            <v>25.389730453044177</v>
          </cell>
        </row>
        <row r="22">
          <cell r="F22">
            <v>25.736937650591134</v>
          </cell>
        </row>
        <row r="23">
          <cell r="F23">
            <v>27.566100807934998</v>
          </cell>
        </row>
        <row r="24">
          <cell r="F24">
            <v>26.758660497814414</v>
          </cell>
        </row>
        <row r="25">
          <cell r="F25">
            <v>27.100730640441178</v>
          </cell>
        </row>
        <row r="26">
          <cell r="F26">
            <v>26.813910118490455</v>
          </cell>
        </row>
        <row r="27">
          <cell r="F27">
            <v>27.585736115723844</v>
          </cell>
        </row>
        <row r="28">
          <cell r="F28">
            <v>26.75180798783898</v>
          </cell>
        </row>
        <row r="29">
          <cell r="F29">
            <v>26.851893677264449</v>
          </cell>
        </row>
        <row r="30">
          <cell r="F30">
            <v>26.447262324243781</v>
          </cell>
        </row>
        <row r="31">
          <cell r="F31">
            <v>27.476848054677244</v>
          </cell>
        </row>
        <row r="32">
          <cell r="F32">
            <v>26.285797190815206</v>
          </cell>
        </row>
        <row r="33">
          <cell r="F33">
            <v>27.643515584021802</v>
          </cell>
        </row>
        <row r="34">
          <cell r="F34">
            <v>28.445920659452675</v>
          </cell>
        </row>
        <row r="35">
          <cell r="F35">
            <v>28.89149534061551</v>
          </cell>
        </row>
        <row r="36">
          <cell r="F36">
            <v>28.815594537407158</v>
          </cell>
        </row>
        <row r="37">
          <cell r="F37">
            <v>28.256800584346056</v>
          </cell>
          <cell r="T37">
            <v>10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ase 1 Single Group"/>
      <sheetName val="Case 2 Two Independent Groups"/>
    </sheetNames>
    <sheetDataSet>
      <sheetData sheetId="0"/>
      <sheetData sheetId="1">
        <row r="2">
          <cell r="K2">
            <v>1000</v>
          </cell>
        </row>
        <row r="14">
          <cell r="K14" t="str">
            <v/>
          </cell>
        </row>
        <row r="16">
          <cell r="I16" t="str">
            <v/>
          </cell>
        </row>
      </sheetData>
      <sheetData sheetId="2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Ijumping"/>
      <sheetName val="Simulate Two"/>
      <sheetName val="Data Two"/>
      <sheetName val="Simulate Paired"/>
      <sheetName val="Data Paired"/>
      <sheetName val="MA Original units"/>
    </sheetNames>
    <sheetDataSet>
      <sheetData sheetId="0" refreshError="1"/>
      <sheetData sheetId="1"/>
      <sheetData sheetId="2"/>
      <sheetData sheetId="3">
        <row r="7">
          <cell r="B7">
            <v>46</v>
          </cell>
          <cell r="E7">
            <v>78</v>
          </cell>
        </row>
        <row r="8">
          <cell r="B8">
            <v>57</v>
          </cell>
          <cell r="E8">
            <v>56</v>
          </cell>
        </row>
        <row r="9">
          <cell r="B9">
            <v>65</v>
          </cell>
          <cell r="E9">
            <v>47</v>
          </cell>
        </row>
        <row r="10">
          <cell r="B10">
            <v>45</v>
          </cell>
          <cell r="E10">
            <v>69</v>
          </cell>
        </row>
        <row r="11">
          <cell r="B11">
            <v>24</v>
          </cell>
          <cell r="E11">
            <v>70</v>
          </cell>
        </row>
        <row r="12">
          <cell r="B12">
            <v>35</v>
          </cell>
          <cell r="E12">
            <v>92</v>
          </cell>
        </row>
        <row r="13">
          <cell r="B13">
            <v>64</v>
          </cell>
          <cell r="E13">
            <v>95</v>
          </cell>
        </row>
        <row r="14">
          <cell r="B14">
            <v>14</v>
          </cell>
          <cell r="E14">
            <v>73</v>
          </cell>
        </row>
        <row r="15">
          <cell r="B15">
            <v>78</v>
          </cell>
          <cell r="E15">
            <v>75</v>
          </cell>
        </row>
        <row r="16">
          <cell r="B16">
            <v>68</v>
          </cell>
          <cell r="E16">
            <v>83</v>
          </cell>
        </row>
        <row r="17">
          <cell r="B17">
            <v>73</v>
          </cell>
          <cell r="E17">
            <v>64</v>
          </cell>
        </row>
        <row r="18">
          <cell r="B18">
            <v>75</v>
          </cell>
          <cell r="E18">
            <v>38</v>
          </cell>
        </row>
        <row r="19">
          <cell r="B19">
            <v>55</v>
          </cell>
          <cell r="E19">
            <v>82</v>
          </cell>
        </row>
        <row r="20">
          <cell r="B20">
            <v>52</v>
          </cell>
          <cell r="E20">
            <v>90</v>
          </cell>
        </row>
        <row r="21">
          <cell r="B21">
            <v>59</v>
          </cell>
          <cell r="E21">
            <v>63</v>
          </cell>
        </row>
        <row r="22">
          <cell r="B22">
            <v>57</v>
          </cell>
          <cell r="E22">
            <v>49</v>
          </cell>
        </row>
        <row r="23">
          <cell r="B23">
            <v>58</v>
          </cell>
        </row>
        <row r="24">
          <cell r="B24">
            <v>82</v>
          </cell>
        </row>
        <row r="25">
          <cell r="B25">
            <v>89</v>
          </cell>
        </row>
        <row r="26">
          <cell r="B26">
            <v>71</v>
          </cell>
        </row>
      </sheetData>
      <sheetData sheetId="4"/>
      <sheetData sheetId="5"/>
      <sheetData sheetId="6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APR"/>
      <sheetName val="Figure 2"/>
      <sheetName val="p values"/>
    </sheetNames>
    <sheetDataSet>
      <sheetData sheetId="0"/>
      <sheetData sheetId="1">
        <row r="2">
          <cell r="AE2">
            <v>802</v>
          </cell>
          <cell r="AF2">
            <v>251</v>
          </cell>
        </row>
        <row r="3">
          <cell r="N3">
            <v>0.50231273493980044</v>
          </cell>
          <cell r="AE3">
            <v>535</v>
          </cell>
          <cell r="AF3">
            <v>168</v>
          </cell>
        </row>
        <row r="4">
          <cell r="AE4">
            <v>263</v>
          </cell>
          <cell r="AF4">
            <v>84</v>
          </cell>
        </row>
        <row r="5">
          <cell r="Z5" t="b">
            <v>0</v>
          </cell>
          <cell r="AD5">
            <v>0.77810000000000001</v>
          </cell>
        </row>
        <row r="6">
          <cell r="Z6">
            <v>70</v>
          </cell>
        </row>
        <row r="7">
          <cell r="Z7" t="b">
            <v>1</v>
          </cell>
          <cell r="AD7">
            <v>70</v>
          </cell>
        </row>
        <row r="8">
          <cell r="Z8">
            <v>0.65445180374714074</v>
          </cell>
        </row>
        <row r="9">
          <cell r="Z9" t="b">
            <v>1</v>
          </cell>
        </row>
        <row r="17">
          <cell r="J17">
            <v>20</v>
          </cell>
        </row>
        <row r="18">
          <cell r="Y18">
            <v>2</v>
          </cell>
          <cell r="Z18">
            <v>0.87946355901658535</v>
          </cell>
          <cell r="AA18">
            <v>0.19815644577933558</v>
          </cell>
          <cell r="AB18">
            <v>0.72658417354977567</v>
          </cell>
          <cell r="AC18">
            <v>54</v>
          </cell>
          <cell r="AD18">
            <v>0</v>
          </cell>
          <cell r="AE18">
            <v>0.7218</v>
          </cell>
          <cell r="AF18">
            <v>2.5100000000000001E-2</v>
          </cell>
        </row>
        <row r="19">
          <cell r="Y19">
            <v>3</v>
          </cell>
          <cell r="Z19">
            <v>2.3192120715975761E-2</v>
          </cell>
          <cell r="AA19">
            <v>-0.33668914740022582</v>
          </cell>
          <cell r="AB19">
            <v>0.99991729146808828</v>
          </cell>
          <cell r="AC19">
            <v>75</v>
          </cell>
          <cell r="AD19">
            <v>0</v>
          </cell>
          <cell r="AE19">
            <v>1.0024999999999999</v>
          </cell>
          <cell r="AF19">
            <v>2.5100000000000001E-2</v>
          </cell>
        </row>
        <row r="20">
          <cell r="Y20">
            <v>4</v>
          </cell>
          <cell r="Z20">
            <v>0.50865732692182064</v>
          </cell>
          <cell r="AA20">
            <v>3.6683758060244323E-3</v>
          </cell>
          <cell r="AB20">
            <v>0.96020942576533908</v>
          </cell>
          <cell r="AC20">
            <v>72</v>
          </cell>
          <cell r="AD20">
            <v>1</v>
          </cell>
          <cell r="AE20">
            <v>0.96240000000000003</v>
          </cell>
          <cell r="AF20">
            <v>7.5300000000000006E-2</v>
          </cell>
        </row>
        <row r="21">
          <cell r="Y21">
            <v>5</v>
          </cell>
          <cell r="Z21">
            <v>0.88176345638930798</v>
          </cell>
          <cell r="AA21">
            <v>0.20010689897485814</v>
          </cell>
          <cell r="AB21">
            <v>0.7227316001626185</v>
          </cell>
          <cell r="AC21">
            <v>54</v>
          </cell>
          <cell r="AD21">
            <v>1</v>
          </cell>
          <cell r="AE21">
            <v>0.7218</v>
          </cell>
          <cell r="AF21">
            <v>7.5300000000000006E-2</v>
          </cell>
        </row>
        <row r="22">
          <cell r="Y22">
            <v>6</v>
          </cell>
          <cell r="Z22">
            <v>2.6818012818694115E-2</v>
          </cell>
          <cell r="AA22">
            <v>-0.32618973329727452</v>
          </cell>
          <cell r="AB22">
            <v>0.99989413287910367</v>
          </cell>
          <cell r="AC22">
            <v>75</v>
          </cell>
          <cell r="AD22">
            <v>1</v>
          </cell>
          <cell r="AE22">
            <v>1.0024999999999999</v>
          </cell>
          <cell r="AF22">
            <v>7.5300000000000006E-2</v>
          </cell>
        </row>
        <row r="23">
          <cell r="Y23">
            <v>7</v>
          </cell>
          <cell r="Z23">
            <v>0.47682110778987408</v>
          </cell>
          <cell r="AA23">
            <v>-9.826370843080157E-3</v>
          </cell>
          <cell r="AB23">
            <v>0.96659555632234773</v>
          </cell>
          <cell r="AC23">
            <v>72</v>
          </cell>
          <cell r="AD23">
            <v>2</v>
          </cell>
          <cell r="AE23">
            <v>0.96240000000000003</v>
          </cell>
          <cell r="AF23">
            <v>0.1255</v>
          </cell>
        </row>
        <row r="24">
          <cell r="Y24">
            <v>8</v>
          </cell>
          <cell r="Z24">
            <v>0.27657314203679562</v>
          </cell>
          <cell r="AA24">
            <v>-0.10024410147979711</v>
          </cell>
          <cell r="AB24">
            <v>0.99105473544812939</v>
          </cell>
          <cell r="AC24">
            <v>74</v>
          </cell>
          <cell r="AD24">
            <v>0</v>
          </cell>
          <cell r="AE24">
            <v>0.98913333333333342</v>
          </cell>
          <cell r="AF24">
            <v>2.5100000000000001E-2</v>
          </cell>
        </row>
        <row r="25">
          <cell r="Y25">
            <v>9</v>
          </cell>
          <cell r="Z25">
            <v>1.5818802639842033E-2</v>
          </cell>
          <cell r="AA25">
            <v>-0.36324046413209732</v>
          </cell>
          <cell r="AB25">
            <v>0.99995641546144354</v>
          </cell>
          <cell r="AC25">
            <v>75</v>
          </cell>
          <cell r="AD25">
            <v>2</v>
          </cell>
          <cell r="AE25">
            <v>1.0024999999999999</v>
          </cell>
          <cell r="AF25">
            <v>0.1255</v>
          </cell>
        </row>
        <row r="26">
          <cell r="Y26">
            <v>10</v>
          </cell>
          <cell r="Z26">
            <v>0.23204285465180874</v>
          </cell>
          <cell r="AA26">
            <v>-0.12375353048374042</v>
          </cell>
          <cell r="AB26">
            <v>0.99391127017035574</v>
          </cell>
          <cell r="AC26">
            <v>74</v>
          </cell>
          <cell r="AD26">
            <v>1</v>
          </cell>
          <cell r="AE26">
            <v>0.98913333333333342</v>
          </cell>
          <cell r="AF26">
            <v>7.5300000000000006E-2</v>
          </cell>
        </row>
        <row r="27">
          <cell r="Y27">
            <v>11</v>
          </cell>
          <cell r="Z27">
            <v>0.56307519786059856</v>
          </cell>
          <cell r="AA27">
            <v>2.6837131441644457E-2</v>
          </cell>
          <cell r="AB27">
            <v>0.9469586076814116</v>
          </cell>
          <cell r="AC27">
            <v>71</v>
          </cell>
          <cell r="AD27">
            <v>0</v>
          </cell>
          <cell r="AE27">
            <v>0.9490333333333334</v>
          </cell>
          <cell r="AF27">
            <v>2.5100000000000001E-2</v>
          </cell>
        </row>
        <row r="28">
          <cell r="Y28">
            <v>12</v>
          </cell>
          <cell r="Z28">
            <v>0.29858355782926083</v>
          </cell>
          <cell r="AA28">
            <v>-8.9329207113654094E-2</v>
          </cell>
          <cell r="AB28">
            <v>0.98936908970779713</v>
          </cell>
          <cell r="AC28">
            <v>74</v>
          </cell>
          <cell r="AD28">
            <v>2</v>
          </cell>
          <cell r="AE28">
            <v>0.98913333333333342</v>
          </cell>
          <cell r="AF28">
            <v>0.1255</v>
          </cell>
        </row>
        <row r="29">
          <cell r="Y29">
            <v>13</v>
          </cell>
          <cell r="Z29">
            <v>0.45987886004149914</v>
          </cell>
          <cell r="AA29">
            <v>-1.7027984250265266E-2</v>
          </cell>
          <cell r="AB29">
            <v>0.96964233404887246</v>
          </cell>
          <cell r="AC29">
            <v>73</v>
          </cell>
          <cell r="AD29">
            <v>0</v>
          </cell>
          <cell r="AE29">
            <v>0.97576666666666667</v>
          </cell>
          <cell r="AF29">
            <v>2.5100000000000001E-2</v>
          </cell>
        </row>
        <row r="30">
          <cell r="Y30">
            <v>14</v>
          </cell>
          <cell r="Z30">
            <v>0.57884017191827297</v>
          </cell>
          <cell r="AA30">
            <v>3.3624841675136359E-2</v>
          </cell>
          <cell r="AB30">
            <v>0.94247519290145054</v>
          </cell>
          <cell r="AC30">
            <v>71</v>
          </cell>
          <cell r="AD30">
            <v>1</v>
          </cell>
          <cell r="AE30">
            <v>0.9490333333333334</v>
          </cell>
          <cell r="AF30">
            <v>7.5300000000000006E-2</v>
          </cell>
        </row>
        <row r="31">
          <cell r="Y31">
            <v>15</v>
          </cell>
          <cell r="Z31">
            <v>0.24410496465861797</v>
          </cell>
          <cell r="AA31">
            <v>-0.11716521402768976</v>
          </cell>
          <cell r="AB31">
            <v>0.99320615547359425</v>
          </cell>
          <cell r="AC31">
            <v>74</v>
          </cell>
          <cell r="AD31">
            <v>3</v>
          </cell>
          <cell r="AE31">
            <v>0.98913333333333342</v>
          </cell>
          <cell r="AF31">
            <v>0.17570000000000002</v>
          </cell>
        </row>
        <row r="32">
          <cell r="U32">
            <v>802</v>
          </cell>
          <cell r="Y32">
            <v>16</v>
          </cell>
          <cell r="Z32">
            <v>0.81995072029531002</v>
          </cell>
          <cell r="AA32">
            <v>0.15469319782615248</v>
          </cell>
          <cell r="AB32">
            <v>0.80500807002197539</v>
          </cell>
          <cell r="AC32">
            <v>60</v>
          </cell>
          <cell r="AD32">
            <v>0</v>
          </cell>
          <cell r="AE32">
            <v>0.80200000000000005</v>
          </cell>
          <cell r="AF32">
            <v>2.5100000000000001E-2</v>
          </cell>
        </row>
        <row r="33">
          <cell r="Y33">
            <v>17</v>
          </cell>
          <cell r="Z33">
            <v>0.86231246404349804</v>
          </cell>
          <cell r="AA33">
            <v>0.18437340811040695</v>
          </cell>
          <cell r="AB33">
            <v>0.75303014270955959</v>
          </cell>
          <cell r="AC33">
            <v>56</v>
          </cell>
          <cell r="AD33">
            <v>0</v>
          </cell>
          <cell r="AE33">
            <v>0.74853333333333338</v>
          </cell>
          <cell r="AF33">
            <v>2.5100000000000001E-2</v>
          </cell>
        </row>
        <row r="34">
          <cell r="Y34">
            <v>18</v>
          </cell>
          <cell r="Z34">
            <v>0.85049701295793056</v>
          </cell>
          <cell r="AA34">
            <v>0.17554993131287563</v>
          </cell>
          <cell r="AB34">
            <v>0.76921270391044094</v>
          </cell>
          <cell r="AC34">
            <v>58</v>
          </cell>
          <cell r="AD34">
            <v>0</v>
          </cell>
          <cell r="AE34">
            <v>0.77526666666666666</v>
          </cell>
          <cell r="AF34">
            <v>2.5100000000000001E-2</v>
          </cell>
        </row>
        <row r="35">
          <cell r="U35">
            <v>251</v>
          </cell>
          <cell r="Y35">
            <v>19</v>
          </cell>
          <cell r="Z35">
            <v>0.18604047410190105</v>
          </cell>
          <cell r="AA35">
            <v>-0.1508739309257589</v>
          </cell>
          <cell r="AB35">
            <v>0.99617803824115891</v>
          </cell>
          <cell r="AC35">
            <v>75</v>
          </cell>
          <cell r="AD35">
            <v>3</v>
          </cell>
          <cell r="AE35">
            <v>1.0024999999999999</v>
          </cell>
          <cell r="AF35">
            <v>0.17570000000000002</v>
          </cell>
        </row>
        <row r="36">
          <cell r="Y36">
            <v>20</v>
          </cell>
          <cell r="Z36">
            <v>0.15954517386853695</v>
          </cell>
          <cell r="AA36">
            <v>-0.16841032826355859</v>
          </cell>
          <cell r="AB36">
            <v>0.99720709024670662</v>
          </cell>
          <cell r="AC36">
            <v>75</v>
          </cell>
          <cell r="AD36">
            <v>4</v>
          </cell>
          <cell r="AE36">
            <v>1.0024999999999999</v>
          </cell>
          <cell r="AF36">
            <v>0.22590000000000002</v>
          </cell>
        </row>
        <row r="37">
          <cell r="Y37">
            <v>21</v>
          </cell>
          <cell r="Z37">
            <v>0.81277262978255749</v>
          </cell>
          <cell r="AA37">
            <v>0.15012642528098524</v>
          </cell>
          <cell r="AB37">
            <v>0.8123700939460099</v>
          </cell>
          <cell r="AC37">
            <v>61</v>
          </cell>
          <cell r="AD37">
            <v>0</v>
          </cell>
          <cell r="AE37">
            <v>0.81536666666666668</v>
          </cell>
          <cell r="AF37">
            <v>2.5100000000000001E-2</v>
          </cell>
        </row>
        <row r="38">
          <cell r="Y38">
            <v>22</v>
          </cell>
          <cell r="Z38">
            <v>0.86386976204812527</v>
          </cell>
          <cell r="AA38">
            <v>0.18557420362177343</v>
          </cell>
          <cell r="AB38">
            <v>0.75078183975677992</v>
          </cell>
          <cell r="AC38">
            <v>56</v>
          </cell>
          <cell r="AD38">
            <v>1</v>
          </cell>
          <cell r="AE38">
            <v>0.74853333333333338</v>
          </cell>
          <cell r="AF38">
            <v>7.5300000000000006E-2</v>
          </cell>
        </row>
        <row r="39">
          <cell r="Y39">
            <v>23</v>
          </cell>
          <cell r="Z39">
            <v>0.85078815929591656</v>
          </cell>
          <cell r="AA39">
            <v>0.17576160632298068</v>
          </cell>
          <cell r="AB39">
            <v>0.7688315468364616</v>
          </cell>
          <cell r="AC39">
            <v>58</v>
          </cell>
          <cell r="AD39">
            <v>1</v>
          </cell>
          <cell r="AE39">
            <v>0.77526666666666666</v>
          </cell>
          <cell r="AF39">
            <v>7.5300000000000006E-2</v>
          </cell>
        </row>
        <row r="40">
          <cell r="Y40">
            <v>24</v>
          </cell>
          <cell r="Z40">
            <v>0.65320523642003536</v>
          </cell>
          <cell r="AA40">
            <v>6.6596211991921478E-2</v>
          </cell>
          <cell r="AB40">
            <v>0.91633521671298335</v>
          </cell>
          <cell r="AC40">
            <v>69</v>
          </cell>
          <cell r="AD40">
            <v>0</v>
          </cell>
          <cell r="AE40">
            <v>0.92230000000000001</v>
          </cell>
          <cell r="AF40">
            <v>2.5100000000000001E-2</v>
          </cell>
        </row>
        <row r="41">
          <cell r="Y41">
            <v>25</v>
          </cell>
          <cell r="Z41">
            <v>0.85586842708289623</v>
          </cell>
          <cell r="AA41">
            <v>0.17950053946884745</v>
          </cell>
          <cell r="AB41">
            <v>0.76204136032140246</v>
          </cell>
          <cell r="AC41">
            <v>57</v>
          </cell>
          <cell r="AD41">
            <v>0</v>
          </cell>
          <cell r="AE41">
            <v>0.76190000000000002</v>
          </cell>
          <cell r="AF41">
            <v>2.5100000000000001E-2</v>
          </cell>
        </row>
        <row r="42">
          <cell r="Y42">
            <v>26</v>
          </cell>
          <cell r="Z42">
            <v>0.39711851440370083</v>
          </cell>
          <cell r="AA42">
            <v>-4.4085375377171068E-2</v>
          </cell>
          <cell r="AB42">
            <v>0.97910656675940499</v>
          </cell>
          <cell r="AC42">
            <v>73</v>
          </cell>
          <cell r="AD42">
            <v>1</v>
          </cell>
          <cell r="AE42">
            <v>0.97576666666666667</v>
          </cell>
          <cell r="AF42">
            <v>7.5300000000000006E-2</v>
          </cell>
        </row>
        <row r="43">
          <cell r="Y43">
            <v>27</v>
          </cell>
          <cell r="Z43">
            <v>0.30657769553363323</v>
          </cell>
          <cell r="AA43">
            <v>-8.5457686865359456E-2</v>
          </cell>
          <cell r="AB43">
            <v>0.98870796562807284</v>
          </cell>
          <cell r="AC43">
            <v>74</v>
          </cell>
          <cell r="AD43">
            <v>4</v>
          </cell>
          <cell r="AE43">
            <v>0.98913333333333342</v>
          </cell>
          <cell r="AF43">
            <v>0.22590000000000002</v>
          </cell>
        </row>
        <row r="44">
          <cell r="Y44">
            <v>28</v>
          </cell>
          <cell r="Z44">
            <v>0.94084637425839901</v>
          </cell>
          <cell r="AA44">
            <v>0.26401236882760776</v>
          </cell>
          <cell r="AB44">
            <v>0.58429974073852042</v>
          </cell>
          <cell r="AC44">
            <v>44</v>
          </cell>
          <cell r="AD44">
            <v>0</v>
          </cell>
          <cell r="AE44">
            <v>0.5881333333333334</v>
          </cell>
          <cell r="AF44">
            <v>2.5100000000000001E-2</v>
          </cell>
        </row>
        <row r="45">
          <cell r="Y45">
            <v>29</v>
          </cell>
          <cell r="Z45">
            <v>0.97358685545623302</v>
          </cell>
          <cell r="AA45">
            <v>0.32730089921749117</v>
          </cell>
          <cell r="AB45">
            <v>0.43584417554385735</v>
          </cell>
          <cell r="AC45">
            <v>33</v>
          </cell>
          <cell r="AD45">
            <v>0</v>
          </cell>
          <cell r="AE45">
            <v>0.44110000000000005</v>
          </cell>
          <cell r="AF45">
            <v>2.5100000000000001E-2</v>
          </cell>
        </row>
        <row r="46">
          <cell r="Y46">
            <v>30</v>
          </cell>
          <cell r="Z46">
            <v>0.211191451177001</v>
          </cell>
          <cell r="AA46">
            <v>-0.13561244044374701</v>
          </cell>
          <cell r="AB46">
            <v>0.99501860263154662</v>
          </cell>
          <cell r="AC46">
            <v>74</v>
          </cell>
          <cell r="AD46">
            <v>5</v>
          </cell>
          <cell r="AE46">
            <v>0.98913333333333342</v>
          </cell>
          <cell r="AF46">
            <v>0.27610000000000001</v>
          </cell>
        </row>
        <row r="47">
          <cell r="Y47">
            <v>31</v>
          </cell>
          <cell r="Z47">
            <v>0.25725887529551983</v>
          </cell>
          <cell r="AA47">
            <v>-0.11017757068265889</v>
          </cell>
          <cell r="AB47">
            <v>0.99238038324920685</v>
          </cell>
          <cell r="AC47">
            <v>74</v>
          </cell>
          <cell r="AD47">
            <v>6</v>
          </cell>
          <cell r="AE47">
            <v>0.98913333333333342</v>
          </cell>
          <cell r="AF47">
            <v>0.32630000000000003</v>
          </cell>
        </row>
        <row r="48">
          <cell r="Y48">
            <v>32</v>
          </cell>
          <cell r="Z48">
            <v>9.7320577129721642E-2</v>
          </cell>
          <cell r="AA48">
            <v>-0.21922811713604512</v>
          </cell>
          <cell r="AB48">
            <v>0.99893612088629191</v>
          </cell>
          <cell r="AC48">
            <v>75</v>
          </cell>
          <cell r="AD48">
            <v>5</v>
          </cell>
          <cell r="AE48">
            <v>1.0024999999999999</v>
          </cell>
          <cell r="AF48">
            <v>0.27610000000000001</v>
          </cell>
        </row>
        <row r="49">
          <cell r="Y49">
            <v>33</v>
          </cell>
          <cell r="Z49">
            <v>3.6464719101786613E-2</v>
          </cell>
          <cell r="AA49">
            <v>-0.30311829644483013</v>
          </cell>
          <cell r="AB49">
            <v>0.99982020759054668</v>
          </cell>
          <cell r="AC49">
            <v>75</v>
          </cell>
          <cell r="AD49">
            <v>6</v>
          </cell>
          <cell r="AE49">
            <v>1.0024999999999999</v>
          </cell>
          <cell r="AF49">
            <v>0.32630000000000003</v>
          </cell>
        </row>
        <row r="50">
          <cell r="Y50">
            <v>34</v>
          </cell>
          <cell r="Z50">
            <v>0.66505921445786953</v>
          </cell>
          <cell r="AA50">
            <v>7.2059635103958547E-2</v>
          </cell>
          <cell r="AB50">
            <v>0.9112533408976643</v>
          </cell>
          <cell r="AC50">
            <v>68</v>
          </cell>
          <cell r="AD50">
            <v>0</v>
          </cell>
          <cell r="AE50">
            <v>0.90893333333333337</v>
          </cell>
          <cell r="AF50">
            <v>2.5100000000000001E-2</v>
          </cell>
        </row>
        <row r="51">
          <cell r="Y51">
            <v>35</v>
          </cell>
          <cell r="Z51">
            <v>0.7903484832495451</v>
          </cell>
          <cell r="AA51">
            <v>0.13651455575923999</v>
          </cell>
          <cell r="AB51">
            <v>0.83327620244644907</v>
          </cell>
          <cell r="AC51">
            <v>62</v>
          </cell>
          <cell r="AD51">
            <v>0</v>
          </cell>
          <cell r="AE51">
            <v>0.82873333333333332</v>
          </cell>
          <cell r="AF51">
            <v>2.5100000000000001E-2</v>
          </cell>
        </row>
        <row r="52">
          <cell r="Y52">
            <v>36</v>
          </cell>
          <cell r="Z52">
            <v>0.10702573321759701</v>
          </cell>
          <cell r="AA52">
            <v>-0.21002114129719149</v>
          </cell>
          <cell r="AB52">
            <v>0.99872492201634377</v>
          </cell>
          <cell r="AC52">
            <v>75</v>
          </cell>
          <cell r="AD52">
            <v>7</v>
          </cell>
          <cell r="AE52">
            <v>1.0024999999999999</v>
          </cell>
          <cell r="AF52">
            <v>0.3765</v>
          </cell>
        </row>
        <row r="53">
          <cell r="Y53">
            <v>37</v>
          </cell>
          <cell r="Z53">
            <v>0.72351050190627575</v>
          </cell>
          <cell r="AA53">
            <v>0.10028635818551591</v>
          </cell>
          <cell r="AB53">
            <v>0.88130225845760823</v>
          </cell>
          <cell r="AC53">
            <v>66</v>
          </cell>
          <cell r="AD53">
            <v>0</v>
          </cell>
          <cell r="AE53">
            <v>0.8822000000000001</v>
          </cell>
          <cell r="AF53">
            <v>2.5100000000000001E-2</v>
          </cell>
        </row>
        <row r="54">
          <cell r="Y54">
            <v>38</v>
          </cell>
          <cell r="Z54">
            <v>0.42469928227365017</v>
          </cell>
          <cell r="AA54">
            <v>-3.2096570314543778E-2</v>
          </cell>
          <cell r="AB54">
            <v>0.97527608280692402</v>
          </cell>
          <cell r="AC54">
            <v>73</v>
          </cell>
          <cell r="AD54">
            <v>2</v>
          </cell>
          <cell r="AE54">
            <v>0.97576666666666667</v>
          </cell>
          <cell r="AF54">
            <v>0.1255</v>
          </cell>
        </row>
        <row r="55">
          <cell r="Y55">
            <v>39</v>
          </cell>
          <cell r="Z55">
            <v>0.34382717125117779</v>
          </cell>
          <cell r="AA55">
            <v>-6.7957219819507961E-2</v>
          </cell>
          <cell r="AB55">
            <v>0.98525465196890227</v>
          </cell>
          <cell r="AC55">
            <v>74</v>
          </cell>
          <cell r="AD55">
            <v>7</v>
          </cell>
          <cell r="AE55">
            <v>0.98913333333333342</v>
          </cell>
          <cell r="AF55">
            <v>0.3765</v>
          </cell>
        </row>
        <row r="56">
          <cell r="Y56">
            <v>40</v>
          </cell>
          <cell r="Z56">
            <v>0.18226500414311886</v>
          </cell>
          <cell r="AA56">
            <v>-0.15327160271764256</v>
          </cell>
          <cell r="AB56">
            <v>0.99633635047965408</v>
          </cell>
          <cell r="AC56">
            <v>75</v>
          </cell>
          <cell r="AD56">
            <v>8</v>
          </cell>
          <cell r="AE56">
            <v>1.0024999999999999</v>
          </cell>
          <cell r="AF56">
            <v>0.42670000000000002</v>
          </cell>
        </row>
        <row r="57">
          <cell r="Y57">
            <v>41</v>
          </cell>
          <cell r="Z57">
            <v>0.41087624244391918</v>
          </cell>
          <cell r="AA57">
            <v>-3.808121978908028E-2</v>
          </cell>
          <cell r="AB57">
            <v>0.97725610163864984</v>
          </cell>
          <cell r="AC57">
            <v>73</v>
          </cell>
          <cell r="AD57">
            <v>3</v>
          </cell>
          <cell r="AE57">
            <v>0.97576666666666667</v>
          </cell>
          <cell r="AF57">
            <v>0.17570000000000002</v>
          </cell>
        </row>
        <row r="58">
          <cell r="Y58">
            <v>42</v>
          </cell>
          <cell r="Z58">
            <v>0.76583034358918667</v>
          </cell>
          <cell r="AA58">
            <v>0.12257842573134266</v>
          </cell>
          <cell r="AB58">
            <v>0.85305821378804714</v>
          </cell>
          <cell r="AC58">
            <v>64</v>
          </cell>
          <cell r="AD58">
            <v>0</v>
          </cell>
          <cell r="AE58">
            <v>0.85546666666666671</v>
          </cell>
          <cell r="AF58">
            <v>2.5100000000000001E-2</v>
          </cell>
        </row>
        <row r="59">
          <cell r="Y59">
            <v>43</v>
          </cell>
          <cell r="Z59">
            <v>0.39168633334338665</v>
          </cell>
          <cell r="AA59">
            <v>-4.6471069177414941E-2</v>
          </cell>
          <cell r="AB59">
            <v>0.97980560727592347</v>
          </cell>
          <cell r="AC59">
            <v>73</v>
          </cell>
          <cell r="AD59">
            <v>4</v>
          </cell>
          <cell r="AE59">
            <v>0.97576666666666667</v>
          </cell>
          <cell r="AF59">
            <v>0.22590000000000002</v>
          </cell>
        </row>
        <row r="60">
          <cell r="Y60">
            <v>44</v>
          </cell>
          <cell r="Z60">
            <v>0.42535619996488094</v>
          </cell>
          <cell r="AA60">
            <v>-3.1813217486569761E-2</v>
          </cell>
          <cell r="AB60">
            <v>0.97517885732932186</v>
          </cell>
          <cell r="AC60">
            <v>73</v>
          </cell>
          <cell r="AD60">
            <v>5</v>
          </cell>
          <cell r="AE60">
            <v>0.97576666666666667</v>
          </cell>
          <cell r="AF60">
            <v>0.27610000000000001</v>
          </cell>
        </row>
        <row r="61">
          <cell r="Y61">
            <v>45</v>
          </cell>
          <cell r="Z61">
            <v>0.52927940897643566</v>
          </cell>
          <cell r="AA61">
            <v>1.2416770813482171E-2</v>
          </cell>
          <cell r="AB61">
            <v>0.95556279614855</v>
          </cell>
          <cell r="AC61">
            <v>71</v>
          </cell>
          <cell r="AD61">
            <v>2</v>
          </cell>
          <cell r="AE61">
            <v>0.9490333333333334</v>
          </cell>
          <cell r="AF61">
            <v>0.1255</v>
          </cell>
        </row>
        <row r="62">
          <cell r="Y62">
            <v>46</v>
          </cell>
          <cell r="Z62">
            <v>0.97039667330682278</v>
          </cell>
          <cell r="AA62">
            <v>0.31890301384722786</v>
          </cell>
          <cell r="AB62">
            <v>0.45547841101379849</v>
          </cell>
          <cell r="AC62">
            <v>34</v>
          </cell>
          <cell r="AD62">
            <v>0</v>
          </cell>
          <cell r="AE62">
            <v>0.45446666666666669</v>
          </cell>
          <cell r="AF62">
            <v>2.5100000000000001E-2</v>
          </cell>
        </row>
        <row r="63">
          <cell r="Y63">
            <v>47</v>
          </cell>
          <cell r="Z63">
            <v>0.34822498075664043</v>
          </cell>
          <cell r="AA63">
            <v>-6.5941824734203611E-2</v>
          </cell>
          <cell r="AB63">
            <v>0.98480389926572975</v>
          </cell>
          <cell r="AC63">
            <v>74</v>
          </cell>
          <cell r="AD63">
            <v>8</v>
          </cell>
          <cell r="AE63">
            <v>0.98913333333333342</v>
          </cell>
          <cell r="AF63">
            <v>0.42670000000000002</v>
          </cell>
        </row>
        <row r="64">
          <cell r="Y64">
            <v>48</v>
          </cell>
          <cell r="Z64">
            <v>0.33449115417897701</v>
          </cell>
          <cell r="AA64">
            <v>-7.2268320180056869E-2</v>
          </cell>
          <cell r="AB64">
            <v>0.98618037602632613</v>
          </cell>
          <cell r="AC64">
            <v>74</v>
          </cell>
          <cell r="AD64">
            <v>9</v>
          </cell>
          <cell r="AE64">
            <v>0.98913333333333342</v>
          </cell>
          <cell r="AF64">
            <v>0.47690000000000005</v>
          </cell>
        </row>
        <row r="65">
          <cell r="Y65">
            <v>49</v>
          </cell>
          <cell r="Z65">
            <v>0.89017477445304394</v>
          </cell>
          <cell r="AA65">
            <v>0.20747829151935726</v>
          </cell>
          <cell r="AB65">
            <v>0.70793627992831132</v>
          </cell>
          <cell r="AC65">
            <v>53</v>
          </cell>
          <cell r="AD65">
            <v>0</v>
          </cell>
          <cell r="AE65">
            <v>0.70843333333333336</v>
          </cell>
          <cell r="AF65">
            <v>2.5100000000000001E-2</v>
          </cell>
        </row>
        <row r="66">
          <cell r="Y66">
            <v>50</v>
          </cell>
          <cell r="Z66">
            <v>0.31680250726640224</v>
          </cell>
          <cell r="AA66">
            <v>-8.0570064123684518E-2</v>
          </cell>
          <cell r="AB66">
            <v>0.98782251443609215</v>
          </cell>
          <cell r="AC66">
            <v>74</v>
          </cell>
          <cell r="AD66">
            <v>10</v>
          </cell>
          <cell r="AE66">
            <v>0.98913333333333342</v>
          </cell>
          <cell r="AF66">
            <v>0.52710000000000001</v>
          </cell>
        </row>
        <row r="67">
          <cell r="Y67">
            <v>51</v>
          </cell>
          <cell r="Z67">
            <v>0.19109661690890789</v>
          </cell>
          <cell r="AA67">
            <v>-0.14770969249821622</v>
          </cell>
          <cell r="AB67">
            <v>0.99595973460368348</v>
          </cell>
          <cell r="AC67">
            <v>75</v>
          </cell>
          <cell r="AD67">
            <v>9</v>
          </cell>
          <cell r="AE67">
            <v>1.0024999999999999</v>
          </cell>
          <cell r="AF67">
            <v>0.47690000000000005</v>
          </cell>
        </row>
        <row r="68">
          <cell r="Y68">
            <v>52</v>
          </cell>
          <cell r="Z68">
            <v>0.65334509871900082</v>
          </cell>
          <cell r="AA68">
            <v>6.6660258595398453E-2</v>
          </cell>
          <cell r="AB68">
            <v>0.91627693695429191</v>
          </cell>
          <cell r="AC68">
            <v>69</v>
          </cell>
          <cell r="AD68">
            <v>1</v>
          </cell>
          <cell r="AE68">
            <v>0.92230000000000001</v>
          </cell>
          <cell r="AF68">
            <v>7.5300000000000006E-2</v>
          </cell>
        </row>
        <row r="69">
          <cell r="Y69">
            <v>53</v>
          </cell>
          <cell r="Z69">
            <v>0.48067629151046276</v>
          </cell>
          <cell r="AA69">
            <v>-8.1906113258465515E-3</v>
          </cell>
          <cell r="AB69">
            <v>0.96586952161796114</v>
          </cell>
          <cell r="AC69">
            <v>72</v>
          </cell>
          <cell r="AD69">
            <v>3</v>
          </cell>
          <cell r="AE69">
            <v>0.96240000000000003</v>
          </cell>
          <cell r="AF69">
            <v>0.17570000000000002</v>
          </cell>
        </row>
        <row r="70">
          <cell r="Y70">
            <v>54</v>
          </cell>
          <cell r="Z70">
            <v>0.16389641724526882</v>
          </cell>
          <cell r="AA70">
            <v>-0.16540840146184141</v>
          </cell>
          <cell r="AB70">
            <v>0.99705094977786324</v>
          </cell>
          <cell r="AC70">
            <v>75</v>
          </cell>
          <cell r="AD70">
            <v>10</v>
          </cell>
          <cell r="AE70">
            <v>1.0024999999999999</v>
          </cell>
          <cell r="AF70">
            <v>0.52710000000000001</v>
          </cell>
        </row>
        <row r="71">
          <cell r="Y71">
            <v>55</v>
          </cell>
          <cell r="Z71">
            <v>0.30310611240565777</v>
          </cell>
          <cell r="AA71">
            <v>-8.7133333710348954E-2</v>
          </cell>
          <cell r="AB71">
            <v>0.98899837264983903</v>
          </cell>
          <cell r="AC71">
            <v>74</v>
          </cell>
          <cell r="AD71">
            <v>11</v>
          </cell>
          <cell r="AE71">
            <v>0.98913333333333342</v>
          </cell>
          <cell r="AF71">
            <v>0.57730000000000004</v>
          </cell>
        </row>
        <row r="72">
          <cell r="Y72">
            <v>56</v>
          </cell>
          <cell r="Z72">
            <v>6.4436038956046104E-2</v>
          </cell>
          <cell r="AA72">
            <v>-0.25668429975901313</v>
          </cell>
          <cell r="AB72">
            <v>0.99950506243650428</v>
          </cell>
          <cell r="AC72">
            <v>75</v>
          </cell>
          <cell r="AD72">
            <v>11</v>
          </cell>
          <cell r="AE72">
            <v>1.0024999999999999</v>
          </cell>
          <cell r="AF72">
            <v>0.57730000000000004</v>
          </cell>
        </row>
        <row r="73">
          <cell r="Y73">
            <v>57</v>
          </cell>
          <cell r="Z73">
            <v>0.22722896747291088</v>
          </cell>
          <cell r="AA73">
            <v>-0.12643569935519861</v>
          </cell>
          <cell r="AB73">
            <v>0.99417922738798503</v>
          </cell>
          <cell r="AC73">
            <v>74</v>
          </cell>
          <cell r="AD73">
            <v>12</v>
          </cell>
          <cell r="AE73">
            <v>0.98913333333333342</v>
          </cell>
          <cell r="AF73">
            <v>0.62750000000000006</v>
          </cell>
        </row>
        <row r="74">
          <cell r="Y74">
            <v>58</v>
          </cell>
          <cell r="Z74">
            <v>0.62870568595826626</v>
          </cell>
          <cell r="AA74">
            <v>5.5514340674507862E-2</v>
          </cell>
          <cell r="AB74">
            <v>0.92596701183007535</v>
          </cell>
          <cell r="AC74">
            <v>69</v>
          </cell>
          <cell r="AD74">
            <v>2</v>
          </cell>
          <cell r="AE74">
            <v>0.92230000000000001</v>
          </cell>
          <cell r="AF74">
            <v>0.1255</v>
          </cell>
        </row>
        <row r="75">
          <cell r="Y75">
            <v>59</v>
          </cell>
          <cell r="Z75">
            <v>3.2756580039858818E-2</v>
          </cell>
          <cell r="AA75">
            <v>-0.31131091425261043</v>
          </cell>
          <cell r="AB75">
            <v>0.99985073031635818</v>
          </cell>
          <cell r="AC75">
            <v>75</v>
          </cell>
          <cell r="AD75">
            <v>12</v>
          </cell>
          <cell r="AE75">
            <v>1.0024999999999999</v>
          </cell>
          <cell r="AF75">
            <v>0.62750000000000006</v>
          </cell>
        </row>
        <row r="76">
          <cell r="Y76">
            <v>60</v>
          </cell>
          <cell r="Z76">
            <v>0.22623412869870663</v>
          </cell>
          <cell r="AA76">
            <v>-0.1269939660210414</v>
          </cell>
          <cell r="AB76">
            <v>0.99423366621253939</v>
          </cell>
          <cell r="AC76">
            <v>74</v>
          </cell>
          <cell r="AD76">
            <v>13</v>
          </cell>
          <cell r="AE76">
            <v>0.98913333333333342</v>
          </cell>
          <cell r="AF76">
            <v>0.67770000000000008</v>
          </cell>
        </row>
        <row r="77">
          <cell r="Y77">
            <v>61</v>
          </cell>
          <cell r="Z77">
            <v>0.22803073935210705</v>
          </cell>
          <cell r="AA77">
            <v>-0.12598677648122542</v>
          </cell>
          <cell r="AB77">
            <v>0.99413512085842348</v>
          </cell>
          <cell r="AC77">
            <v>74</v>
          </cell>
          <cell r="AD77">
            <v>14</v>
          </cell>
          <cell r="AE77">
            <v>0.98913333333333342</v>
          </cell>
          <cell r="AF77">
            <v>0.72789999999999999</v>
          </cell>
        </row>
        <row r="78">
          <cell r="Y78">
            <v>62</v>
          </cell>
          <cell r="Z78">
            <v>0.3579206820577383</v>
          </cell>
          <cell r="AA78">
            <v>-6.1530997558987756E-2</v>
          </cell>
          <cell r="AB78">
            <v>0.98377593783475592</v>
          </cell>
          <cell r="AC78">
            <v>74</v>
          </cell>
          <cell r="AD78">
            <v>15</v>
          </cell>
          <cell r="AE78">
            <v>0.98913333333333342</v>
          </cell>
          <cell r="AF78">
            <v>0.77810000000000001</v>
          </cell>
        </row>
        <row r="79">
          <cell r="Y79">
            <v>63</v>
          </cell>
          <cell r="Z79">
            <v>0.47354624979197979</v>
          </cell>
          <cell r="AA79">
            <v>-1.1216614605696042E-2</v>
          </cell>
          <cell r="AB79">
            <v>0.96720257746117622</v>
          </cell>
          <cell r="AC79">
            <v>72</v>
          </cell>
          <cell r="AD79">
            <v>4</v>
          </cell>
          <cell r="AE79">
            <v>0.96240000000000003</v>
          </cell>
          <cell r="AF79">
            <v>0.22590000000000002</v>
          </cell>
        </row>
        <row r="80">
          <cell r="Y80">
            <v>64</v>
          </cell>
          <cell r="Z80">
            <v>0.65402104519307613</v>
          </cell>
          <cell r="AA80">
            <v>6.6969927291671782E-2</v>
          </cell>
          <cell r="AB80">
            <v>0.91599472098884671</v>
          </cell>
          <cell r="AC80">
            <v>69</v>
          </cell>
          <cell r="AD80">
            <v>3</v>
          </cell>
          <cell r="AE80">
            <v>0.92230000000000001</v>
          </cell>
          <cell r="AF80">
            <v>0.17570000000000002</v>
          </cell>
        </row>
        <row r="81">
          <cell r="Y81">
            <v>65</v>
          </cell>
          <cell r="Z81">
            <v>0.95420434884727001</v>
          </cell>
          <cell r="AA81">
            <v>0.28516563851446741</v>
          </cell>
          <cell r="AB81">
            <v>0.53496678793830377</v>
          </cell>
          <cell r="AC81">
            <v>40</v>
          </cell>
          <cell r="AD81">
            <v>0</v>
          </cell>
          <cell r="AE81">
            <v>0.53466666666666673</v>
          </cell>
          <cell r="AF81">
            <v>2.5100000000000001E-2</v>
          </cell>
        </row>
        <row r="82">
          <cell r="Y82">
            <v>66</v>
          </cell>
          <cell r="Z82">
            <v>0.89312923513352871</v>
          </cell>
          <cell r="AA82">
            <v>0.21016329563462924</v>
          </cell>
          <cell r="AB82">
            <v>0.70245728613664427</v>
          </cell>
          <cell r="AC82">
            <v>53</v>
          </cell>
          <cell r="AD82">
            <v>1</v>
          </cell>
          <cell r="AE82">
            <v>0.70843333333333336</v>
          </cell>
          <cell r="AF82">
            <v>7.5300000000000006E-2</v>
          </cell>
        </row>
        <row r="83">
          <cell r="Y83">
            <v>67</v>
          </cell>
          <cell r="Z83">
            <v>0.96201534382998943</v>
          </cell>
          <cell r="AA83">
            <v>0.29995667009292565</v>
          </cell>
          <cell r="AB83">
            <v>0.50010226613456532</v>
          </cell>
          <cell r="AC83">
            <v>37</v>
          </cell>
          <cell r="AD83">
            <v>0</v>
          </cell>
          <cell r="AE83">
            <v>0.49456666666666671</v>
          </cell>
          <cell r="AF83">
            <v>2.5100000000000001E-2</v>
          </cell>
        </row>
        <row r="84">
          <cell r="Y84">
            <v>68</v>
          </cell>
          <cell r="Z84">
            <v>0.94449936412274837</v>
          </cell>
          <cell r="AA84">
            <v>0.26938595504520108</v>
          </cell>
          <cell r="AB84">
            <v>0.57186139647122813</v>
          </cell>
          <cell r="AC84">
            <v>43</v>
          </cell>
          <cell r="AD84">
            <v>0</v>
          </cell>
          <cell r="AE84">
            <v>0.57476666666666665</v>
          </cell>
          <cell r="AF84">
            <v>2.5100000000000001E-2</v>
          </cell>
        </row>
        <row r="85">
          <cell r="Y85">
            <v>69</v>
          </cell>
          <cell r="Z85">
            <v>0.91971921734511852</v>
          </cell>
          <cell r="AA85">
            <v>0.23718161925965281</v>
          </cell>
          <cell r="AB85">
            <v>0.64491900942832558</v>
          </cell>
          <cell r="AC85">
            <v>48</v>
          </cell>
          <cell r="AD85">
            <v>0</v>
          </cell>
          <cell r="AE85">
            <v>0.64160000000000006</v>
          </cell>
          <cell r="AF85">
            <v>2.5100000000000001E-2</v>
          </cell>
        </row>
        <row r="86">
          <cell r="Y86">
            <v>70</v>
          </cell>
          <cell r="Z86">
            <v>0.12980101071298122</v>
          </cell>
          <cell r="AA86">
            <v>-0.19055393372903567</v>
          </cell>
          <cell r="AB86">
            <v>0.99814698155389081</v>
          </cell>
          <cell r="AC86">
            <v>75</v>
          </cell>
          <cell r="AD86">
            <v>13</v>
          </cell>
          <cell r="AE86">
            <v>1.0024999999999999</v>
          </cell>
          <cell r="AF86">
            <v>0.67770000000000008</v>
          </cell>
        </row>
        <row r="87">
          <cell r="Y87">
            <v>71</v>
          </cell>
          <cell r="Z87">
            <v>0.7945429515093565</v>
          </cell>
          <cell r="AA87">
            <v>0.13899171589270917</v>
          </cell>
          <cell r="AB87" t="str">
            <v/>
          </cell>
          <cell r="AC87" t="e">
            <v>#N/A</v>
          </cell>
          <cell r="AD87">
            <v>0</v>
          </cell>
          <cell r="AE87" t="e">
            <v>#N/A</v>
          </cell>
          <cell r="AF87" t="str">
            <v/>
          </cell>
        </row>
        <row r="88">
          <cell r="Y88">
            <v>72</v>
          </cell>
          <cell r="Z88">
            <v>0.8441519346088171</v>
          </cell>
          <cell r="AA88">
            <v>0.17100334674149906</v>
          </cell>
          <cell r="AB88" t="str">
            <v/>
          </cell>
          <cell r="AC88" t="e">
            <v>#N/A</v>
          </cell>
          <cell r="AD88">
            <v>1</v>
          </cell>
          <cell r="AE88" t="e">
            <v>#N/A</v>
          </cell>
          <cell r="AF88" t="str">
            <v/>
          </cell>
        </row>
        <row r="89">
          <cell r="Y89">
            <v>73</v>
          </cell>
          <cell r="Z89">
            <v>0.32006332091987133</v>
          </cell>
          <cell r="AA89">
            <v>-7.9025597538194686E-2</v>
          </cell>
          <cell r="AB89" t="str">
            <v/>
          </cell>
          <cell r="AC89" t="e">
            <v>#N/A</v>
          </cell>
          <cell r="AD89">
            <v>2</v>
          </cell>
          <cell r="AE89" t="e">
            <v>#N/A</v>
          </cell>
          <cell r="AF89" t="str">
            <v/>
          </cell>
        </row>
        <row r="90">
          <cell r="Y90">
            <v>74</v>
          </cell>
          <cell r="Z90">
            <v>0.3700218852609396</v>
          </cell>
          <cell r="AA90">
            <v>-5.6083655994776591E-2</v>
          </cell>
          <cell r="AB90" t="str">
            <v/>
          </cell>
          <cell r="AC90" t="e">
            <v>#N/A</v>
          </cell>
          <cell r="AD90">
            <v>3</v>
          </cell>
          <cell r="AE90" t="e">
            <v>#N/A</v>
          </cell>
          <cell r="AF90" t="str">
            <v/>
          </cell>
        </row>
        <row r="91">
          <cell r="Y91">
            <v>75</v>
          </cell>
          <cell r="Z91">
            <v>0.66289390437304974</v>
          </cell>
          <cell r="AA91">
            <v>7.1056190539369041E-2</v>
          </cell>
          <cell r="AB91" t="str">
            <v/>
          </cell>
          <cell r="AC91" t="e">
            <v>#N/A</v>
          </cell>
          <cell r="AD91">
            <v>4</v>
          </cell>
          <cell r="AE91" t="e">
            <v>#N/A</v>
          </cell>
          <cell r="AF91" t="str">
            <v/>
          </cell>
        </row>
        <row r="92">
          <cell r="Y92">
            <v>76</v>
          </cell>
          <cell r="Z92">
            <v>0.66135125420987606</v>
          </cell>
          <cell r="AA92">
            <v>7.0342824567851389E-2</v>
          </cell>
          <cell r="AB92" t="str">
            <v/>
          </cell>
          <cell r="AC92" t="e">
            <v>#N/A</v>
          </cell>
          <cell r="AD92">
            <v>5</v>
          </cell>
          <cell r="AE92" t="e">
            <v>#N/A</v>
          </cell>
          <cell r="AF92" t="str">
            <v/>
          </cell>
        </row>
        <row r="93">
          <cell r="Y93">
            <v>77</v>
          </cell>
          <cell r="Z93">
            <v>0.13966506533324718</v>
          </cell>
          <cell r="AA93">
            <v>-0.18286186310444938</v>
          </cell>
          <cell r="AB93" t="str">
            <v/>
          </cell>
          <cell r="AC93" t="e">
            <v>#N/A</v>
          </cell>
          <cell r="AD93">
            <v>6</v>
          </cell>
          <cell r="AE93" t="e">
            <v>#N/A</v>
          </cell>
          <cell r="AF93" t="str">
            <v/>
          </cell>
        </row>
        <row r="94">
          <cell r="Y94">
            <v>78</v>
          </cell>
          <cell r="Z94">
            <v>0.46897832117974758</v>
          </cell>
          <cell r="AA94">
            <v>-1.3157082054092812E-2</v>
          </cell>
          <cell r="AB94" t="str">
            <v/>
          </cell>
          <cell r="AC94" t="e">
            <v>#N/A</v>
          </cell>
          <cell r="AD94">
            <v>7</v>
          </cell>
          <cell r="AE94" t="e">
            <v>#N/A</v>
          </cell>
          <cell r="AF94" t="str">
            <v/>
          </cell>
        </row>
        <row r="95">
          <cell r="Y95">
            <v>79</v>
          </cell>
          <cell r="Z95">
            <v>0.3085156511515379</v>
          </cell>
          <cell r="AA95">
            <v>-8.4525934127234609E-2</v>
          </cell>
          <cell r="AB95" t="str">
            <v/>
          </cell>
          <cell r="AC95" t="e">
            <v>#N/A</v>
          </cell>
          <cell r="AD95">
            <v>8</v>
          </cell>
          <cell r="AE95" t="e">
            <v>#N/A</v>
          </cell>
          <cell r="AF95" t="str">
            <v/>
          </cell>
        </row>
        <row r="96">
          <cell r="Y96">
            <v>80</v>
          </cell>
          <cell r="Z96">
            <v>0.522218843922019</v>
          </cell>
          <cell r="AA96">
            <v>9.4189410021186977E-3</v>
          </cell>
          <cell r="AB96" t="str">
            <v/>
          </cell>
          <cell r="AC96" t="e">
            <v>#N/A</v>
          </cell>
          <cell r="AD96">
            <v>9</v>
          </cell>
          <cell r="AE96" t="e">
            <v>#N/A</v>
          </cell>
          <cell r="AF96" t="str">
            <v/>
          </cell>
        </row>
        <row r="97">
          <cell r="Y97">
            <v>81</v>
          </cell>
          <cell r="Z97">
            <v>0.22806516103446484</v>
          </cell>
          <cell r="AA97">
            <v>-0.12596752322098367</v>
          </cell>
          <cell r="AB97" t="str">
            <v/>
          </cell>
          <cell r="AC97" t="e">
            <v>#N/A</v>
          </cell>
          <cell r="AD97">
            <v>10</v>
          </cell>
          <cell r="AE97" t="e">
            <v>#N/A</v>
          </cell>
          <cell r="AF97" t="str">
            <v/>
          </cell>
        </row>
        <row r="98">
          <cell r="Y98">
            <v>82</v>
          </cell>
          <cell r="Z98">
            <v>0.57519174180924892</v>
          </cell>
          <cell r="AA98">
            <v>3.2049558763186908E-2</v>
          </cell>
          <cell r="AB98" t="str">
            <v/>
          </cell>
          <cell r="AC98" t="e">
            <v>#N/A</v>
          </cell>
          <cell r="AD98">
            <v>11</v>
          </cell>
          <cell r="AE98" t="e">
            <v>#N/A</v>
          </cell>
          <cell r="AF98" t="str">
            <v/>
          </cell>
        </row>
        <row r="99">
          <cell r="Y99">
            <v>83</v>
          </cell>
          <cell r="Z99">
            <v>0.89558513276278973</v>
          </cell>
          <cell r="AA99">
            <v>0.21243626150191841</v>
          </cell>
          <cell r="AB99" t="str">
            <v/>
          </cell>
          <cell r="AC99" t="e">
            <v>#N/A</v>
          </cell>
          <cell r="AD99">
            <v>12</v>
          </cell>
          <cell r="AE99" t="e">
            <v>#N/A</v>
          </cell>
          <cell r="AF99" t="str">
            <v/>
          </cell>
        </row>
        <row r="100">
          <cell r="Y100">
            <v>84</v>
          </cell>
          <cell r="Z100">
            <v>0.97023462317883968</v>
          </cell>
          <cell r="AA100">
            <v>0.31849689790528485</v>
          </cell>
          <cell r="AB100" t="str">
            <v/>
          </cell>
          <cell r="AC100" t="e">
            <v>#N/A</v>
          </cell>
          <cell r="AD100">
            <v>13</v>
          </cell>
          <cell r="AE100" t="e">
            <v>#N/A</v>
          </cell>
          <cell r="AF100" t="str">
            <v/>
          </cell>
        </row>
        <row r="101">
          <cell r="Y101">
            <v>85</v>
          </cell>
          <cell r="Z101">
            <v>0.84483849816024303</v>
          </cell>
          <cell r="AA101">
            <v>0.1714893212438566</v>
          </cell>
          <cell r="AB101" t="str">
            <v/>
          </cell>
          <cell r="AC101" t="e">
            <v>#N/A</v>
          </cell>
          <cell r="AD101">
            <v>14</v>
          </cell>
          <cell r="AE101" t="e">
            <v>#N/A</v>
          </cell>
          <cell r="AF101" t="str">
            <v/>
          </cell>
        </row>
        <row r="102">
          <cell r="Y102">
            <v>86</v>
          </cell>
          <cell r="Z102">
            <v>0.96450290642678738</v>
          </cell>
          <cell r="AA102">
            <v>0.30518767550318576</v>
          </cell>
          <cell r="AB102" t="str">
            <v/>
          </cell>
          <cell r="AC102" t="e">
            <v>#N/A</v>
          </cell>
          <cell r="AD102">
            <v>15</v>
          </cell>
          <cell r="AE102" t="e">
            <v>#N/A</v>
          </cell>
          <cell r="AF102" t="str">
            <v/>
          </cell>
        </row>
        <row r="103">
          <cell r="Y103">
            <v>87</v>
          </cell>
          <cell r="Z103">
            <v>0.60280565731227398</v>
          </cell>
          <cell r="AA103">
            <v>4.4052136445353503E-2</v>
          </cell>
          <cell r="AB103" t="str">
            <v/>
          </cell>
          <cell r="AC103" t="e">
            <v>#N/A</v>
          </cell>
          <cell r="AD103">
            <v>16</v>
          </cell>
          <cell r="AE103" t="e">
            <v>#N/A</v>
          </cell>
          <cell r="AF103" t="str">
            <v/>
          </cell>
        </row>
        <row r="104">
          <cell r="Y104">
            <v>88</v>
          </cell>
          <cell r="Z104">
            <v>0.40959628485143185</v>
          </cell>
          <cell r="AA104">
            <v>-3.8637681011100454E-2</v>
          </cell>
          <cell r="AB104" t="str">
            <v/>
          </cell>
          <cell r="AC104" t="e">
            <v>#N/A</v>
          </cell>
          <cell r="AD104">
            <v>17</v>
          </cell>
          <cell r="AE104" t="e">
            <v>#N/A</v>
          </cell>
          <cell r="AF104" t="str">
            <v/>
          </cell>
        </row>
        <row r="105">
          <cell r="Y105">
            <v>89</v>
          </cell>
          <cell r="Z105">
            <v>0.17326602153480053</v>
          </cell>
          <cell r="AA105">
            <v>-0.15911504176198221</v>
          </cell>
          <cell r="AB105" t="str">
            <v/>
          </cell>
          <cell r="AC105" t="e">
            <v>#N/A</v>
          </cell>
          <cell r="AD105">
            <v>18</v>
          </cell>
          <cell r="AE105" t="e">
            <v>#N/A</v>
          </cell>
          <cell r="AF105" t="str">
            <v/>
          </cell>
        </row>
        <row r="106">
          <cell r="Y106">
            <v>90</v>
          </cell>
          <cell r="Z106">
            <v>0.46780628524720669</v>
          </cell>
          <cell r="AA106">
            <v>-1.3655235263929717E-2</v>
          </cell>
          <cell r="AB106" t="str">
            <v/>
          </cell>
          <cell r="AC106" t="e">
            <v>#N/A</v>
          </cell>
          <cell r="AD106">
            <v>19</v>
          </cell>
          <cell r="AE106" t="e">
            <v>#N/A</v>
          </cell>
          <cell r="AF106" t="str">
            <v/>
          </cell>
        </row>
        <row r="107">
          <cell r="Y107">
            <v>91</v>
          </cell>
          <cell r="Z107">
            <v>0.9339537750929594</v>
          </cell>
          <cell r="AA107">
            <v>0.25454381964592437</v>
          </cell>
          <cell r="AB107" t="str">
            <v/>
          </cell>
          <cell r="AC107" t="e">
            <v>#N/A</v>
          </cell>
          <cell r="AD107">
            <v>20</v>
          </cell>
          <cell r="AE107" t="e">
            <v>#N/A</v>
          </cell>
          <cell r="AF107" t="str">
            <v/>
          </cell>
        </row>
        <row r="108">
          <cell r="Y108">
            <v>92</v>
          </cell>
          <cell r="Z108">
            <v>0.89232867024838924</v>
          </cell>
          <cell r="AA108">
            <v>0.20943051993037803</v>
          </cell>
          <cell r="AB108" t="str">
            <v/>
          </cell>
          <cell r="AC108" t="e">
            <v>#N/A</v>
          </cell>
          <cell r="AD108">
            <v>21</v>
          </cell>
          <cell r="AE108" t="e">
            <v>#N/A</v>
          </cell>
          <cell r="AF108" t="str">
            <v/>
          </cell>
        </row>
        <row r="109">
          <cell r="Y109">
            <v>93</v>
          </cell>
          <cell r="Z109">
            <v>0.30275660566985607</v>
          </cell>
          <cell r="AA109">
            <v>-8.7302504579142973E-2</v>
          </cell>
          <cell r="AB109" t="str">
            <v/>
          </cell>
          <cell r="AC109" t="e">
            <v>#N/A</v>
          </cell>
          <cell r="AD109">
            <v>22</v>
          </cell>
          <cell r="AE109" t="e">
            <v>#N/A</v>
          </cell>
          <cell r="AF109" t="str">
            <v/>
          </cell>
        </row>
        <row r="110">
          <cell r="Y110">
            <v>94</v>
          </cell>
          <cell r="Z110">
            <v>0.99253443442285061</v>
          </cell>
          <cell r="AA110">
            <v>0.41142872846792794</v>
          </cell>
          <cell r="AB110" t="str">
            <v/>
          </cell>
          <cell r="AC110" t="e">
            <v>#N/A</v>
          </cell>
          <cell r="AD110">
            <v>23</v>
          </cell>
          <cell r="AE110" t="e">
            <v>#N/A</v>
          </cell>
          <cell r="AF110" t="str">
            <v/>
          </cell>
        </row>
        <row r="111">
          <cell r="Y111">
            <v>95</v>
          </cell>
          <cell r="Z111">
            <v>0.24717615358531475</v>
          </cell>
          <cell r="AA111">
            <v>-0.11551616860853341</v>
          </cell>
          <cell r="AB111" t="str">
            <v/>
          </cell>
          <cell r="AC111" t="e">
            <v>#N/A</v>
          </cell>
          <cell r="AD111">
            <v>24</v>
          </cell>
          <cell r="AE111" t="e">
            <v>#N/A</v>
          </cell>
          <cell r="AF111" t="str">
            <v/>
          </cell>
        </row>
        <row r="112">
          <cell r="Y112">
            <v>96</v>
          </cell>
          <cell r="Z112">
            <v>0.74914314411580563</v>
          </cell>
          <cell r="AA112">
            <v>0.11355421338461123</v>
          </cell>
          <cell r="AB112" t="str">
            <v/>
          </cell>
          <cell r="AC112" t="e">
            <v>#N/A</v>
          </cell>
          <cell r="AD112">
            <v>25</v>
          </cell>
          <cell r="AE112" t="e">
            <v>#N/A</v>
          </cell>
          <cell r="AF112" t="str">
            <v/>
          </cell>
        </row>
        <row r="113">
          <cell r="Y113">
            <v>97</v>
          </cell>
          <cell r="Z113">
            <v>0.18001892976462841</v>
          </cell>
          <cell r="AA113">
            <v>-0.1547127460945987</v>
          </cell>
          <cell r="AB113" t="str">
            <v/>
          </cell>
          <cell r="AC113" t="e">
            <v>#N/A</v>
          </cell>
          <cell r="AD113">
            <v>26</v>
          </cell>
          <cell r="AE113" t="e">
            <v>#N/A</v>
          </cell>
          <cell r="AF113" t="str">
            <v/>
          </cell>
        </row>
        <row r="114">
          <cell r="Y114">
            <v>98</v>
          </cell>
          <cell r="Z114">
            <v>0.63789237104356289</v>
          </cell>
          <cell r="AA114">
            <v>5.9639298009494711E-2</v>
          </cell>
          <cell r="AB114" t="str">
            <v/>
          </cell>
          <cell r="AC114" t="e">
            <v>#N/A</v>
          </cell>
          <cell r="AD114">
            <v>27</v>
          </cell>
          <cell r="AE114" t="e">
            <v>#N/A</v>
          </cell>
          <cell r="AF114" t="str">
            <v/>
          </cell>
        </row>
        <row r="115">
          <cell r="Y115">
            <v>99</v>
          </cell>
          <cell r="Z115">
            <v>3.0364524573087692E-3</v>
          </cell>
          <cell r="AA115">
            <v>-0.46379002645821155</v>
          </cell>
          <cell r="AB115" t="str">
            <v/>
          </cell>
          <cell r="AC115" t="e">
            <v>#N/A</v>
          </cell>
          <cell r="AD115">
            <v>28</v>
          </cell>
          <cell r="AE115" t="e">
            <v>#N/A</v>
          </cell>
          <cell r="AF115" t="str">
            <v/>
          </cell>
        </row>
        <row r="116">
          <cell r="Y116">
            <v>100</v>
          </cell>
          <cell r="Z116">
            <v>0.56404696963727474</v>
          </cell>
          <cell r="AA116">
            <v>2.7254173220867605E-2</v>
          </cell>
          <cell r="AB116" t="str">
            <v/>
          </cell>
          <cell r="AC116" t="e">
            <v>#N/A</v>
          </cell>
          <cell r="AD116">
            <v>29</v>
          </cell>
          <cell r="AE116" t="e">
            <v>#N/A</v>
          </cell>
          <cell r="AF116" t="str">
            <v/>
          </cell>
        </row>
        <row r="117">
          <cell r="Y117">
            <v>101</v>
          </cell>
          <cell r="Z117">
            <v>2.8983352705836296E-2</v>
          </cell>
          <cell r="AA117">
            <v>-0.32047397923850851</v>
          </cell>
          <cell r="AB117" t="str">
            <v/>
          </cell>
          <cell r="AC117" t="e">
            <v>#N/A</v>
          </cell>
          <cell r="AD117">
            <v>30</v>
          </cell>
          <cell r="AE117" t="e">
            <v>#N/A</v>
          </cell>
          <cell r="AF117" t="str">
            <v/>
          </cell>
        </row>
        <row r="118">
          <cell r="Y118">
            <v>102</v>
          </cell>
          <cell r="Z118">
            <v>0.90384194813668728</v>
          </cell>
          <cell r="AA118">
            <v>0.22037532576465949</v>
          </cell>
          <cell r="AB118" t="str">
            <v/>
          </cell>
          <cell r="AC118" t="e">
            <v>#N/A</v>
          </cell>
          <cell r="AD118">
            <v>31</v>
          </cell>
          <cell r="AE118" t="e">
            <v>#N/A</v>
          </cell>
          <cell r="AF118" t="str">
            <v/>
          </cell>
        </row>
        <row r="119">
          <cell r="Y119">
            <v>103</v>
          </cell>
          <cell r="Z119">
            <v>0.23131219856441021</v>
          </cell>
          <cell r="AA119">
            <v>-0.1241586154684671</v>
          </cell>
          <cell r="AB119" t="str">
            <v/>
          </cell>
          <cell r="AC119" t="e">
            <v>#N/A</v>
          </cell>
          <cell r="AD119">
            <v>32</v>
          </cell>
          <cell r="AE119" t="e">
            <v>#N/A</v>
          </cell>
          <cell r="AF119" t="str">
            <v/>
          </cell>
        </row>
        <row r="120">
          <cell r="Y120">
            <v>104</v>
          </cell>
          <cell r="Z120">
            <v>0.99270268343389034</v>
          </cell>
          <cell r="AA120">
            <v>0.41282145649700597</v>
          </cell>
          <cell r="AB120" t="str">
            <v/>
          </cell>
          <cell r="AC120" t="e">
            <v>#N/A</v>
          </cell>
          <cell r="AD120">
            <v>33</v>
          </cell>
          <cell r="AE120" t="e">
            <v>#N/A</v>
          </cell>
          <cell r="AF120" t="str">
            <v/>
          </cell>
        </row>
        <row r="121">
          <cell r="Y121">
            <v>105</v>
          </cell>
          <cell r="Z121">
            <v>0.73947378806769848</v>
          </cell>
          <cell r="AA121">
            <v>0.10847114845461558</v>
          </cell>
          <cell r="AB121" t="str">
            <v/>
          </cell>
          <cell r="AC121" t="e">
            <v>#N/A</v>
          </cell>
          <cell r="AD121">
            <v>34</v>
          </cell>
          <cell r="AE121" t="e">
            <v>#N/A</v>
          </cell>
          <cell r="AF121" t="str">
            <v/>
          </cell>
        </row>
        <row r="122">
          <cell r="Y122">
            <v>106</v>
          </cell>
          <cell r="Z122">
            <v>0.49383622966706753</v>
          </cell>
          <cell r="AA122">
            <v>-2.6116780545854296E-3</v>
          </cell>
          <cell r="AB122" t="str">
            <v/>
          </cell>
          <cell r="AC122" t="e">
            <v>#N/A</v>
          </cell>
          <cell r="AD122">
            <v>35</v>
          </cell>
          <cell r="AE122" t="e">
            <v>#N/A</v>
          </cell>
          <cell r="AF122" t="str">
            <v/>
          </cell>
        </row>
        <row r="123">
          <cell r="Y123">
            <v>107</v>
          </cell>
          <cell r="Z123">
            <v>0.71654166094958782</v>
          </cell>
          <cell r="AA123">
            <v>9.6786786117488241E-2</v>
          </cell>
          <cell r="AB123" t="str">
            <v/>
          </cell>
          <cell r="AC123" t="e">
            <v>#N/A</v>
          </cell>
          <cell r="AD123">
            <v>36</v>
          </cell>
          <cell r="AE123" t="e">
            <v>#N/A</v>
          </cell>
          <cell r="AF123" t="str">
            <v/>
          </cell>
        </row>
        <row r="124">
          <cell r="Y124">
            <v>108</v>
          </cell>
          <cell r="Z124">
            <v>0.92453747056424618</v>
          </cell>
          <cell r="AA124">
            <v>0.2427742185492939</v>
          </cell>
          <cell r="AB124" t="str">
            <v/>
          </cell>
          <cell r="AC124" t="e">
            <v>#N/A</v>
          </cell>
          <cell r="AD124">
            <v>37</v>
          </cell>
          <cell r="AE124" t="e">
            <v>#N/A</v>
          </cell>
          <cell r="AF124" t="str">
            <v/>
          </cell>
        </row>
        <row r="125">
          <cell r="Y125">
            <v>109</v>
          </cell>
          <cell r="Z125">
            <v>0.72462957911193371</v>
          </cell>
          <cell r="AA125">
            <v>0.10085231787803753</v>
          </cell>
          <cell r="AB125" t="str">
            <v/>
          </cell>
          <cell r="AC125" t="e">
            <v>#N/A</v>
          </cell>
          <cell r="AD125">
            <v>38</v>
          </cell>
          <cell r="AE125" t="e">
            <v>#N/A</v>
          </cell>
          <cell r="AF125" t="str">
            <v/>
          </cell>
        </row>
        <row r="126">
          <cell r="Y126">
            <v>110</v>
          </cell>
          <cell r="Z126">
            <v>0.21130386553704739</v>
          </cell>
          <cell r="AA126">
            <v>-0.13554673786797022</v>
          </cell>
          <cell r="AB126" t="str">
            <v/>
          </cell>
          <cell r="AC126" t="e">
            <v>#N/A</v>
          </cell>
          <cell r="AD126">
            <v>39</v>
          </cell>
          <cell r="AE126" t="e">
            <v>#N/A</v>
          </cell>
          <cell r="AF126" t="str">
            <v/>
          </cell>
        </row>
        <row r="127">
          <cell r="Y127">
            <v>111</v>
          </cell>
          <cell r="Z127">
            <v>0.40232072584331036</v>
          </cell>
          <cell r="AA127">
            <v>-4.1808888601324944E-2</v>
          </cell>
          <cell r="AB127" t="str">
            <v/>
          </cell>
          <cell r="AC127" t="e">
            <v>#N/A</v>
          </cell>
          <cell r="AD127">
            <v>40</v>
          </cell>
          <cell r="AE127" t="e">
            <v>#N/A</v>
          </cell>
          <cell r="AF127" t="str">
            <v/>
          </cell>
        </row>
        <row r="128">
          <cell r="Y128">
            <v>112</v>
          </cell>
          <cell r="Z128">
            <v>0.488602539524436</v>
          </cell>
          <cell r="AA128">
            <v>-4.8297327290210013E-3</v>
          </cell>
          <cell r="AB128" t="str">
            <v/>
          </cell>
          <cell r="AC128" t="e">
            <v>#N/A</v>
          </cell>
          <cell r="AD128">
            <v>41</v>
          </cell>
          <cell r="AE128" t="e">
            <v>#N/A</v>
          </cell>
          <cell r="AF128" t="str">
            <v/>
          </cell>
        </row>
        <row r="129">
          <cell r="Y129">
            <v>113</v>
          </cell>
          <cell r="Z129">
            <v>0.74707737378776073</v>
          </cell>
          <cell r="AA129">
            <v>0.1124597613625974</v>
          </cell>
          <cell r="AB129" t="str">
            <v/>
          </cell>
          <cell r="AC129" t="e">
            <v>#N/A</v>
          </cell>
          <cell r="AD129">
            <v>42</v>
          </cell>
          <cell r="AE129" t="e">
            <v>#N/A</v>
          </cell>
          <cell r="AF129" t="str">
            <v/>
          </cell>
        </row>
        <row r="130">
          <cell r="Y130">
            <v>114</v>
          </cell>
          <cell r="Z130">
            <v>0.4498834665864706</v>
          </cell>
          <cell r="AA130">
            <v>-2.1290411605509818E-2</v>
          </cell>
          <cell r="AB130" t="str">
            <v/>
          </cell>
          <cell r="AC130" t="e">
            <v>#N/A</v>
          </cell>
          <cell r="AD130">
            <v>43</v>
          </cell>
          <cell r="AE130" t="e">
            <v>#N/A</v>
          </cell>
          <cell r="AF130" t="str">
            <v/>
          </cell>
        </row>
        <row r="131">
          <cell r="Y131">
            <v>115</v>
          </cell>
          <cell r="Z131">
            <v>0.51434977166354656</v>
          </cell>
          <cell r="AA131">
            <v>6.0812741714859056E-3</v>
          </cell>
          <cell r="AB131" t="str">
            <v/>
          </cell>
          <cell r="AC131" t="e">
            <v>#N/A</v>
          </cell>
          <cell r="AD131">
            <v>44</v>
          </cell>
          <cell r="AE131" t="e">
            <v>#N/A</v>
          </cell>
          <cell r="AF131" t="str">
            <v/>
          </cell>
        </row>
        <row r="132">
          <cell r="Y132">
            <v>116</v>
          </cell>
          <cell r="Z132">
            <v>0.40318249724805355</v>
          </cell>
          <cell r="AA132">
            <v>-4.1432519733830692E-2</v>
          </cell>
          <cell r="AB132" t="str">
            <v/>
          </cell>
          <cell r="AC132" t="e">
            <v>#N/A</v>
          </cell>
          <cell r="AD132">
            <v>45</v>
          </cell>
          <cell r="AE132" t="e">
            <v>#N/A</v>
          </cell>
          <cell r="AF132" t="str">
            <v/>
          </cell>
        </row>
        <row r="133">
          <cell r="Y133">
            <v>117</v>
          </cell>
          <cell r="Z133">
            <v>0.21385299973189831</v>
          </cell>
          <cell r="AA133">
            <v>-0.13406230325087992</v>
          </cell>
          <cell r="AB133" t="str">
            <v/>
          </cell>
          <cell r="AC133" t="e">
            <v>#N/A</v>
          </cell>
          <cell r="AD133">
            <v>46</v>
          </cell>
          <cell r="AE133" t="e">
            <v>#N/A</v>
          </cell>
          <cell r="AF133" t="str">
            <v/>
          </cell>
        </row>
        <row r="134">
          <cell r="Y134">
            <v>118</v>
          </cell>
          <cell r="Z134">
            <v>0.77740797959268093</v>
          </cell>
          <cell r="AA134">
            <v>0.12904973038783099</v>
          </cell>
          <cell r="AB134" t="str">
            <v/>
          </cell>
          <cell r="AC134" t="e">
            <v>#N/A</v>
          </cell>
          <cell r="AD134">
            <v>47</v>
          </cell>
          <cell r="AE134" t="e">
            <v>#N/A</v>
          </cell>
          <cell r="AF134" t="str">
            <v/>
          </cell>
        </row>
        <row r="135">
          <cell r="Y135">
            <v>119</v>
          </cell>
          <cell r="Z135">
            <v>0.90223054401576519</v>
          </cell>
          <cell r="AA135">
            <v>0.21878784368166504</v>
          </cell>
          <cell r="AB135" t="str">
            <v/>
          </cell>
          <cell r="AC135" t="e">
            <v>#N/A</v>
          </cell>
          <cell r="AD135">
            <v>48</v>
          </cell>
          <cell r="AE135" t="e">
            <v>#N/A</v>
          </cell>
          <cell r="AF135" t="str">
            <v/>
          </cell>
        </row>
        <row r="136">
          <cell r="Y136">
            <v>120</v>
          </cell>
          <cell r="Z136">
            <v>0.16915472410619259</v>
          </cell>
          <cell r="AA136">
            <v>-0.16184888195070077</v>
          </cell>
          <cell r="AB136" t="str">
            <v/>
          </cell>
          <cell r="AC136" t="e">
            <v>#N/A</v>
          </cell>
          <cell r="AD136">
            <v>49</v>
          </cell>
          <cell r="AE136" t="e">
            <v>#N/A</v>
          </cell>
          <cell r="AF136" t="str">
            <v/>
          </cell>
        </row>
        <row r="137">
          <cell r="Y137">
            <v>121</v>
          </cell>
          <cell r="Z137">
            <v>0.44007333926856518</v>
          </cell>
          <cell r="AA137">
            <v>-2.5487025601202157E-2</v>
          </cell>
          <cell r="AB137" t="str">
            <v/>
          </cell>
          <cell r="AC137" t="e">
            <v>#N/A</v>
          </cell>
          <cell r="AD137">
            <v>50</v>
          </cell>
          <cell r="AE137" t="e">
            <v>#N/A</v>
          </cell>
          <cell r="AF137" t="str">
            <v/>
          </cell>
        </row>
        <row r="138">
          <cell r="Y138">
            <v>122</v>
          </cell>
          <cell r="Z138">
            <v>0.11363906227052212</v>
          </cell>
          <cell r="AA138">
            <v>-0.20408785426705081</v>
          </cell>
          <cell r="AB138" t="str">
            <v/>
          </cell>
          <cell r="AC138" t="e">
            <v>#N/A</v>
          </cell>
          <cell r="AD138">
            <v>51</v>
          </cell>
          <cell r="AE138" t="e">
            <v>#N/A</v>
          </cell>
          <cell r="AF138" t="str">
            <v/>
          </cell>
        </row>
        <row r="139">
          <cell r="Y139">
            <v>123</v>
          </cell>
          <cell r="Z139">
            <v>0.10001303069293499</v>
          </cell>
          <cell r="AA139">
            <v>-0.21660920176725504</v>
          </cell>
          <cell r="AB139" t="str">
            <v/>
          </cell>
          <cell r="AC139" t="e">
            <v>#N/A</v>
          </cell>
          <cell r="AD139">
            <v>52</v>
          </cell>
          <cell r="AE139" t="e">
            <v>#N/A</v>
          </cell>
          <cell r="AF139" t="str">
            <v/>
          </cell>
        </row>
        <row r="140">
          <cell r="Y140">
            <v>124</v>
          </cell>
          <cell r="Z140">
            <v>0.60709874890744686</v>
          </cell>
          <cell r="AA140">
            <v>4.5936716780681931E-2</v>
          </cell>
          <cell r="AB140" t="str">
            <v/>
          </cell>
          <cell r="AC140" t="e">
            <v>#N/A</v>
          </cell>
          <cell r="AD140">
            <v>53</v>
          </cell>
          <cell r="AE140" t="e">
            <v>#N/A</v>
          </cell>
          <cell r="AF140" t="str">
            <v/>
          </cell>
        </row>
        <row r="141">
          <cell r="Y141">
            <v>125</v>
          </cell>
          <cell r="Z141">
            <v>0.38135820440948009</v>
          </cell>
          <cell r="AA141">
            <v>-5.1033049555812546E-2</v>
          </cell>
          <cell r="AB141" t="str">
            <v/>
          </cell>
          <cell r="AC141" t="e">
            <v>#N/A</v>
          </cell>
          <cell r="AD141">
            <v>54</v>
          </cell>
          <cell r="AE141" t="e">
            <v>#N/A</v>
          </cell>
          <cell r="AF141" t="str">
            <v/>
          </cell>
        </row>
        <row r="142">
          <cell r="Y142">
            <v>126</v>
          </cell>
          <cell r="Z142">
            <v>1.7514582723379135E-3</v>
          </cell>
          <cell r="AA142">
            <v>-0.49353092993835729</v>
          </cell>
          <cell r="AB142" t="str">
            <v/>
          </cell>
          <cell r="AC142" t="e">
            <v>#N/A</v>
          </cell>
          <cell r="AD142">
            <v>55</v>
          </cell>
          <cell r="AE142" t="e">
            <v>#N/A</v>
          </cell>
          <cell r="AF142" t="str">
            <v/>
          </cell>
        </row>
        <row r="143">
          <cell r="Y143">
            <v>127</v>
          </cell>
          <cell r="Z143">
            <v>0.60549233667552471</v>
          </cell>
          <cell r="AA143">
            <v>4.5230878134087736E-2</v>
          </cell>
          <cell r="AB143" t="str">
            <v/>
          </cell>
          <cell r="AC143" t="e">
            <v>#N/A</v>
          </cell>
          <cell r="AD143">
            <v>56</v>
          </cell>
          <cell r="AE143" t="e">
            <v>#N/A</v>
          </cell>
          <cell r="AF143" t="str">
            <v/>
          </cell>
        </row>
        <row r="144">
          <cell r="Y144">
            <v>128</v>
          </cell>
          <cell r="Z144">
            <v>0.23815562389791012</v>
          </cell>
          <cell r="AA144">
            <v>-0.12039187744785904</v>
          </cell>
          <cell r="AB144" t="str">
            <v/>
          </cell>
          <cell r="AC144" t="e">
            <v>#N/A</v>
          </cell>
          <cell r="AD144">
            <v>57</v>
          </cell>
          <cell r="AE144" t="e">
            <v>#N/A</v>
          </cell>
          <cell r="AF144" t="str">
            <v/>
          </cell>
        </row>
        <row r="145">
          <cell r="Y145">
            <v>129</v>
          </cell>
          <cell r="Z145">
            <v>0.33500221185386181</v>
          </cell>
          <cell r="AA145">
            <v>-7.2031134160745164E-2</v>
          </cell>
          <cell r="AB145" t="str">
            <v/>
          </cell>
          <cell r="AC145" t="e">
            <v>#N/A</v>
          </cell>
          <cell r="AD145">
            <v>58</v>
          </cell>
          <cell r="AE145" t="e">
            <v>#N/A</v>
          </cell>
          <cell r="AF145" t="str">
            <v/>
          </cell>
        </row>
        <row r="146">
          <cell r="Y146">
            <v>130</v>
          </cell>
          <cell r="Z146">
            <v>0.47356737218797207</v>
          </cell>
          <cell r="AA146">
            <v>-1.1207645388894912E-2</v>
          </cell>
          <cell r="AB146" t="str">
            <v/>
          </cell>
          <cell r="AC146" t="e">
            <v>#N/A</v>
          </cell>
          <cell r="AD146">
            <v>59</v>
          </cell>
          <cell r="AE146" t="e">
            <v>#N/A</v>
          </cell>
          <cell r="AF146" t="str">
            <v/>
          </cell>
        </row>
        <row r="147">
          <cell r="Y147">
            <v>131</v>
          </cell>
          <cell r="Z147">
            <v>0.87825555913150311</v>
          </cell>
          <cell r="AA147">
            <v>0.19714247623324041</v>
          </cell>
          <cell r="AB147" t="str">
            <v/>
          </cell>
          <cell r="AC147" t="e">
            <v>#N/A</v>
          </cell>
          <cell r="AD147">
            <v>60</v>
          </cell>
          <cell r="AE147" t="e">
            <v>#N/A</v>
          </cell>
          <cell r="AF147" t="str">
            <v/>
          </cell>
        </row>
        <row r="148">
          <cell r="Y148">
            <v>132</v>
          </cell>
          <cell r="Z148">
            <v>8.6372997611761093E-3</v>
          </cell>
          <cell r="AA148">
            <v>-0.4024304115941349</v>
          </cell>
          <cell r="AB148" t="str">
            <v/>
          </cell>
          <cell r="AC148" t="e">
            <v>#N/A</v>
          </cell>
          <cell r="AD148">
            <v>61</v>
          </cell>
          <cell r="AE148" t="e">
            <v>#N/A</v>
          </cell>
          <cell r="AF148" t="str">
            <v/>
          </cell>
        </row>
        <row r="149">
          <cell r="Y149">
            <v>133</v>
          </cell>
          <cell r="Z149">
            <v>0.10989665798842907</v>
          </cell>
          <cell r="AA149">
            <v>-0.20741402042341434</v>
          </cell>
          <cell r="AB149" t="str">
            <v/>
          </cell>
          <cell r="AC149" t="e">
            <v>#N/A</v>
          </cell>
          <cell r="AD149">
            <v>62</v>
          </cell>
          <cell r="AE149" t="e">
            <v>#N/A</v>
          </cell>
          <cell r="AF149" t="str">
            <v/>
          </cell>
        </row>
        <row r="150">
          <cell r="Y150">
            <v>134</v>
          </cell>
          <cell r="Z150">
            <v>8.5408445447683334E-3</v>
          </cell>
          <cell r="AA150">
            <v>-0.40312923126153605</v>
          </cell>
          <cell r="AB150" t="str">
            <v/>
          </cell>
          <cell r="AC150" t="e">
            <v>#N/A</v>
          </cell>
          <cell r="AD150">
            <v>63</v>
          </cell>
          <cell r="AE150" t="e">
            <v>#N/A</v>
          </cell>
          <cell r="AF150" t="str">
            <v/>
          </cell>
        </row>
        <row r="151">
          <cell r="Y151">
            <v>135</v>
          </cell>
          <cell r="Z151">
            <v>0.55647866241633892</v>
          </cell>
          <cell r="AA151">
            <v>2.4010369421117124E-2</v>
          </cell>
          <cell r="AB151" t="str">
            <v/>
          </cell>
          <cell r="AC151" t="e">
            <v>#N/A</v>
          </cell>
          <cell r="AD151">
            <v>64</v>
          </cell>
          <cell r="AE151" t="e">
            <v>#N/A</v>
          </cell>
          <cell r="AF151" t="str">
            <v/>
          </cell>
        </row>
        <row r="152">
          <cell r="Y152">
            <v>136</v>
          </cell>
          <cell r="Z152">
            <v>0.85838600061833858</v>
          </cell>
          <cell r="AA152">
            <v>0.18138634764380679</v>
          </cell>
          <cell r="AB152" t="str">
            <v/>
          </cell>
          <cell r="AC152" t="e">
            <v>#N/A</v>
          </cell>
          <cell r="AD152">
            <v>65</v>
          </cell>
          <cell r="AE152" t="e">
            <v>#N/A</v>
          </cell>
          <cell r="AF152" t="str">
            <v/>
          </cell>
        </row>
        <row r="153">
          <cell r="Y153">
            <v>137</v>
          </cell>
          <cell r="Z153">
            <v>0.16520139388740063</v>
          </cell>
          <cell r="AA153">
            <v>-0.1645182153033255</v>
          </cell>
          <cell r="AB153" t="str">
            <v/>
          </cell>
          <cell r="AC153" t="e">
            <v>#N/A</v>
          </cell>
          <cell r="AD153">
            <v>66</v>
          </cell>
          <cell r="AE153" t="e">
            <v>#N/A</v>
          </cell>
          <cell r="AF153" t="str">
            <v/>
          </cell>
        </row>
        <row r="154">
          <cell r="Y154">
            <v>138</v>
          </cell>
          <cell r="Z154">
            <v>8.6492126807570457E-2</v>
          </cell>
          <cell r="AA154">
            <v>-0.2303344936081142</v>
          </cell>
          <cell r="AB154" t="str">
            <v/>
          </cell>
          <cell r="AC154" t="e">
            <v>#N/A</v>
          </cell>
          <cell r="AD154">
            <v>67</v>
          </cell>
          <cell r="AE154" t="e">
            <v>#N/A</v>
          </cell>
          <cell r="AF154" t="str">
            <v/>
          </cell>
        </row>
        <row r="155">
          <cell r="Y155">
            <v>139</v>
          </cell>
          <cell r="Z155">
            <v>0.39247335307300091</v>
          </cell>
          <cell r="AA155">
            <v>-4.6124864808523493E-2</v>
          </cell>
          <cell r="AB155" t="str">
            <v/>
          </cell>
          <cell r="AC155" t="e">
            <v>#N/A</v>
          </cell>
          <cell r="AD155">
            <v>68</v>
          </cell>
          <cell r="AE155" t="e">
            <v>#N/A</v>
          </cell>
          <cell r="AF155" t="str">
            <v/>
          </cell>
        </row>
        <row r="156">
          <cell r="Y156">
            <v>140</v>
          </cell>
          <cell r="Z156">
            <v>0.63288359902799129</v>
          </cell>
          <cell r="AA156">
            <v>5.7386040129740107E-2</v>
          </cell>
          <cell r="AB156" t="str">
            <v/>
          </cell>
          <cell r="AC156" t="e">
            <v>#N/A</v>
          </cell>
          <cell r="AD156">
            <v>69</v>
          </cell>
          <cell r="AE156" t="e">
            <v>#N/A</v>
          </cell>
          <cell r="AF156" t="str">
            <v/>
          </cell>
        </row>
        <row r="157">
          <cell r="Y157">
            <v>141</v>
          </cell>
          <cell r="Z157">
            <v>0.21776670031249523</v>
          </cell>
          <cell r="AA157">
            <v>-0.13180313863997639</v>
          </cell>
          <cell r="AB157" t="str">
            <v/>
          </cell>
          <cell r="AC157" t="e">
            <v>#N/A</v>
          </cell>
          <cell r="AD157">
            <v>70</v>
          </cell>
          <cell r="AE157" t="e">
            <v>#N/A</v>
          </cell>
          <cell r="AF157" t="str">
            <v/>
          </cell>
        </row>
        <row r="158">
          <cell r="Y158">
            <v>142</v>
          </cell>
          <cell r="Z158">
            <v>0.83409205637872219</v>
          </cell>
          <cell r="AA158">
            <v>0.16403814324280669</v>
          </cell>
          <cell r="AB158" t="str">
            <v/>
          </cell>
          <cell r="AC158" t="e">
            <v>#N/A</v>
          </cell>
          <cell r="AD158">
            <v>71</v>
          </cell>
          <cell r="AE158" t="e">
            <v>#N/A</v>
          </cell>
          <cell r="AF158" t="str">
            <v/>
          </cell>
        </row>
        <row r="159">
          <cell r="Y159">
            <v>143</v>
          </cell>
          <cell r="Z159">
            <v>0.40698395483195782</v>
          </cell>
          <cell r="AA159">
            <v>-3.9774698424874605E-2</v>
          </cell>
          <cell r="AB159" t="str">
            <v/>
          </cell>
          <cell r="AC159" t="e">
            <v>#N/A</v>
          </cell>
          <cell r="AD159">
            <v>72</v>
          </cell>
          <cell r="AE159" t="e">
            <v>#N/A</v>
          </cell>
          <cell r="AF159" t="str">
            <v/>
          </cell>
        </row>
        <row r="160">
          <cell r="Y160">
            <v>144</v>
          </cell>
          <cell r="Z160">
            <v>0.83911099098622799</v>
          </cell>
          <cell r="AA160">
            <v>0.16747757764911464</v>
          </cell>
          <cell r="AB160" t="str">
            <v/>
          </cell>
          <cell r="AC160" t="e">
            <v>#N/A</v>
          </cell>
          <cell r="AD160">
            <v>73</v>
          </cell>
          <cell r="AE160" t="e">
            <v>#N/A</v>
          </cell>
          <cell r="AF160" t="str">
            <v/>
          </cell>
        </row>
        <row r="161">
          <cell r="Y161">
            <v>145</v>
          </cell>
          <cell r="Z161">
            <v>0.81830516271293163</v>
          </cell>
          <cell r="AA161">
            <v>0.15363637957391657</v>
          </cell>
          <cell r="AB161" t="str">
            <v/>
          </cell>
          <cell r="AC161" t="e">
            <v>#N/A</v>
          </cell>
          <cell r="AD161">
            <v>74</v>
          </cell>
          <cell r="AE161" t="e">
            <v>#N/A</v>
          </cell>
          <cell r="AF161" t="str">
            <v/>
          </cell>
        </row>
        <row r="162">
          <cell r="Y162">
            <v>146</v>
          </cell>
          <cell r="Z162">
            <v>0.26509643159806728</v>
          </cell>
          <cell r="AA162">
            <v>-0.10610263150026972</v>
          </cell>
          <cell r="AB162" t="str">
            <v/>
          </cell>
          <cell r="AC162" t="e">
            <v>#N/A</v>
          </cell>
          <cell r="AD162">
            <v>75</v>
          </cell>
          <cell r="AE162" t="e">
            <v>#N/A</v>
          </cell>
          <cell r="AF162" t="str">
            <v/>
          </cell>
        </row>
        <row r="163">
          <cell r="Y163">
            <v>147</v>
          </cell>
          <cell r="Z163">
            <v>0.7622342836111784</v>
          </cell>
          <cell r="AA163">
            <v>0.12060487307007314</v>
          </cell>
          <cell r="AB163" t="str">
            <v/>
          </cell>
          <cell r="AC163" t="e">
            <v>#N/A</v>
          </cell>
          <cell r="AD163">
            <v>76</v>
          </cell>
          <cell r="AE163" t="e">
            <v>#N/A</v>
          </cell>
          <cell r="AF163" t="str">
            <v/>
          </cell>
        </row>
        <row r="164">
          <cell r="Y164">
            <v>148</v>
          </cell>
          <cell r="Z164">
            <v>0.74515747092664242</v>
          </cell>
          <cell r="AA164">
            <v>0.11144680126419877</v>
          </cell>
          <cell r="AB164" t="str">
            <v/>
          </cell>
          <cell r="AC164" t="e">
            <v>#N/A</v>
          </cell>
          <cell r="AD164">
            <v>77</v>
          </cell>
          <cell r="AE164" t="e">
            <v>#N/A</v>
          </cell>
          <cell r="AF164" t="str">
            <v/>
          </cell>
        </row>
        <row r="165">
          <cell r="Y165">
            <v>149</v>
          </cell>
          <cell r="Z165">
            <v>0.39631354622542858</v>
          </cell>
          <cell r="AA165">
            <v>-4.4438334367212728E-2</v>
          </cell>
          <cell r="AB165" t="str">
            <v/>
          </cell>
          <cell r="AC165" t="e">
            <v>#N/A</v>
          </cell>
          <cell r="AD165">
            <v>78</v>
          </cell>
          <cell r="AE165" t="e">
            <v>#N/A</v>
          </cell>
          <cell r="AF165" t="str">
            <v/>
          </cell>
        </row>
        <row r="166">
          <cell r="Y166">
            <v>150</v>
          </cell>
          <cell r="Z166">
            <v>0.61433038674294949</v>
          </cell>
          <cell r="AA166">
            <v>4.9124350453204187E-2</v>
          </cell>
          <cell r="AB166" t="str">
            <v/>
          </cell>
          <cell r="AC166" t="e">
            <v>#N/A</v>
          </cell>
          <cell r="AD166">
            <v>79</v>
          </cell>
          <cell r="AE166" t="e">
            <v>#N/A</v>
          </cell>
          <cell r="AF166" t="str">
            <v/>
          </cell>
        </row>
        <row r="167">
          <cell r="Y167">
            <v>151</v>
          </cell>
          <cell r="Z167">
            <v>0.8537245225161314</v>
          </cell>
          <cell r="AA167">
            <v>0.17791206865042078</v>
          </cell>
          <cell r="AB167" t="str">
            <v/>
          </cell>
          <cell r="AC167" t="e">
            <v>#N/A</v>
          </cell>
          <cell r="AD167">
            <v>80</v>
          </cell>
          <cell r="AE167" t="e">
            <v>#N/A</v>
          </cell>
          <cell r="AF167" t="str">
            <v/>
          </cell>
        </row>
        <row r="168">
          <cell r="Y168">
            <v>152</v>
          </cell>
          <cell r="Z168">
            <v>0.32358010672032833</v>
          </cell>
          <cell r="AA168">
            <v>-7.7367249393194087E-2</v>
          </cell>
          <cell r="AB168" t="str">
            <v/>
          </cell>
          <cell r="AC168" t="e">
            <v>#N/A</v>
          </cell>
          <cell r="AD168">
            <v>81</v>
          </cell>
          <cell r="AE168" t="e">
            <v>#N/A</v>
          </cell>
          <cell r="AF168" t="str">
            <v/>
          </cell>
        </row>
        <row r="169">
          <cell r="Y169">
            <v>153</v>
          </cell>
          <cell r="Z169">
            <v>0.27374467067420483</v>
          </cell>
          <cell r="AA169">
            <v>-0.10167654265521515</v>
          </cell>
          <cell r="AB169" t="str">
            <v/>
          </cell>
          <cell r="AC169" t="e">
            <v>#N/A</v>
          </cell>
          <cell r="AD169">
            <v>82</v>
          </cell>
          <cell r="AE169" t="e">
            <v>#N/A</v>
          </cell>
          <cell r="AF169" t="str">
            <v/>
          </cell>
        </row>
        <row r="170">
          <cell r="Y170">
            <v>154</v>
          </cell>
          <cell r="Z170">
            <v>0.26542276702821255</v>
          </cell>
          <cell r="AA170">
            <v>-0.10593430781308198</v>
          </cell>
          <cell r="AB170" t="str">
            <v/>
          </cell>
          <cell r="AC170" t="e">
            <v>#N/A</v>
          </cell>
          <cell r="AD170">
            <v>83</v>
          </cell>
          <cell r="AE170" t="e">
            <v>#N/A</v>
          </cell>
          <cell r="AF170" t="str">
            <v/>
          </cell>
        </row>
        <row r="171">
          <cell r="Y171">
            <v>155</v>
          </cell>
          <cell r="Z171">
            <v>0.12077809683978558</v>
          </cell>
          <cell r="AA171">
            <v>-0.19795303478895418</v>
          </cell>
          <cell r="AB171" t="str">
            <v/>
          </cell>
          <cell r="AC171" t="e">
            <v>#N/A</v>
          </cell>
          <cell r="AD171">
            <v>84</v>
          </cell>
          <cell r="AE171" t="e">
            <v>#N/A</v>
          </cell>
          <cell r="AF171" t="str">
            <v/>
          </cell>
        </row>
        <row r="172">
          <cell r="Y172">
            <v>156</v>
          </cell>
          <cell r="Z172">
            <v>0.53851311467587948</v>
          </cell>
          <cell r="AA172">
            <v>1.6343339870323787E-2</v>
          </cell>
          <cell r="AB172" t="str">
            <v/>
          </cell>
          <cell r="AC172" t="e">
            <v>#N/A</v>
          </cell>
          <cell r="AD172">
            <v>85</v>
          </cell>
          <cell r="AE172" t="e">
            <v>#N/A</v>
          </cell>
          <cell r="AF172" t="str">
            <v/>
          </cell>
        </row>
        <row r="173">
          <cell r="Y173">
            <v>157</v>
          </cell>
          <cell r="Z173">
            <v>0.14742928557097912</v>
          </cell>
          <cell r="AA173">
            <v>-0.17706365230684498</v>
          </cell>
          <cell r="AB173" t="str">
            <v/>
          </cell>
          <cell r="AC173" t="e">
            <v>#N/A</v>
          </cell>
          <cell r="AD173">
            <v>86</v>
          </cell>
          <cell r="AE173" t="e">
            <v>#N/A</v>
          </cell>
          <cell r="AF173" t="str">
            <v/>
          </cell>
        </row>
        <row r="174">
          <cell r="Y174">
            <v>158</v>
          </cell>
          <cell r="Z174">
            <v>0.77229050360620022</v>
          </cell>
          <cell r="AA174">
            <v>0.12616653787846793</v>
          </cell>
          <cell r="AB174" t="str">
            <v/>
          </cell>
          <cell r="AC174" t="e">
            <v>#N/A</v>
          </cell>
          <cell r="AD174">
            <v>87</v>
          </cell>
          <cell r="AE174" t="e">
            <v>#N/A</v>
          </cell>
          <cell r="AF174" t="str">
            <v/>
          </cell>
        </row>
        <row r="175">
          <cell r="Y175">
            <v>159</v>
          </cell>
          <cell r="Z175">
            <v>7.5838549062609673E-2</v>
          </cell>
          <cell r="AA175">
            <v>-0.24232816035339338</v>
          </cell>
          <cell r="AB175" t="str">
            <v/>
          </cell>
          <cell r="AC175" t="e">
            <v>#N/A</v>
          </cell>
          <cell r="AD175">
            <v>88</v>
          </cell>
          <cell r="AE175" t="e">
            <v>#N/A</v>
          </cell>
          <cell r="AF175" t="str">
            <v/>
          </cell>
        </row>
        <row r="176">
          <cell r="Y176">
            <v>160</v>
          </cell>
          <cell r="Z176">
            <v>0.47652723453938961</v>
          </cell>
          <cell r="AA176">
            <v>-9.9510974693184893E-3</v>
          </cell>
          <cell r="AB176" t="str">
            <v/>
          </cell>
          <cell r="AC176" t="e">
            <v>#N/A</v>
          </cell>
          <cell r="AD176">
            <v>89</v>
          </cell>
          <cell r="AE176" t="e">
            <v>#N/A</v>
          </cell>
          <cell r="AF176" t="str">
            <v/>
          </cell>
        </row>
        <row r="177">
          <cell r="Y177">
            <v>161</v>
          </cell>
          <cell r="Z177">
            <v>0.54024794511497021</v>
          </cell>
          <cell r="AA177">
            <v>1.7081985461841226E-2</v>
          </cell>
          <cell r="AB177" t="str">
            <v/>
          </cell>
          <cell r="AC177" t="e">
            <v>#N/A</v>
          </cell>
          <cell r="AD177">
            <v>90</v>
          </cell>
          <cell r="AE177" t="e">
            <v>#N/A</v>
          </cell>
          <cell r="AF177" t="str">
            <v/>
          </cell>
        </row>
        <row r="178">
          <cell r="Y178">
            <v>162</v>
          </cell>
          <cell r="Z178">
            <v>0.47437298856675625</v>
          </cell>
          <cell r="AA178">
            <v>-1.0865579298917462E-2</v>
          </cell>
          <cell r="AB178" t="str">
            <v/>
          </cell>
          <cell r="AC178" t="e">
            <v>#N/A</v>
          </cell>
          <cell r="AD178">
            <v>91</v>
          </cell>
          <cell r="AE178" t="e">
            <v>#N/A</v>
          </cell>
          <cell r="AF178" t="str">
            <v/>
          </cell>
        </row>
        <row r="179">
          <cell r="Y179">
            <v>163</v>
          </cell>
          <cell r="Z179">
            <v>5.2516413852572441E-2</v>
          </cell>
          <cell r="AA179">
            <v>-0.27398703879813124</v>
          </cell>
          <cell r="AB179" t="str">
            <v/>
          </cell>
          <cell r="AC179" t="e">
            <v>#N/A</v>
          </cell>
          <cell r="AD179">
            <v>92</v>
          </cell>
          <cell r="AE179" t="e">
            <v>#N/A</v>
          </cell>
          <cell r="AF179" t="str">
            <v/>
          </cell>
        </row>
        <row r="180">
          <cell r="Y180">
            <v>164</v>
          </cell>
          <cell r="Z180">
            <v>0.82123910449445248</v>
          </cell>
          <cell r="AA180">
            <v>0.15552486974233903</v>
          </cell>
          <cell r="AB180" t="str">
            <v/>
          </cell>
          <cell r="AC180" t="e">
            <v>#N/A</v>
          </cell>
          <cell r="AD180">
            <v>93</v>
          </cell>
          <cell r="AE180" t="e">
            <v>#N/A</v>
          </cell>
          <cell r="AF180" t="str">
            <v/>
          </cell>
        </row>
        <row r="181">
          <cell r="Y181">
            <v>165</v>
          </cell>
          <cell r="Z181">
            <v>0.72105288319289684</v>
          </cell>
          <cell r="AA181">
            <v>9.9047370320688444E-2</v>
          </cell>
          <cell r="AB181" t="str">
            <v/>
          </cell>
          <cell r="AC181" t="e">
            <v>#N/A</v>
          </cell>
          <cell r="AD181">
            <v>94</v>
          </cell>
          <cell r="AE181" t="e">
            <v>#N/A</v>
          </cell>
          <cell r="AF181" t="str">
            <v/>
          </cell>
        </row>
        <row r="182">
          <cell r="Y182">
            <v>166</v>
          </cell>
          <cell r="Z182">
            <v>0.20561644993722439</v>
          </cell>
          <cell r="AA182">
            <v>-0.1388970326263394</v>
          </cell>
          <cell r="AB182" t="str">
            <v/>
          </cell>
          <cell r="AC182" t="e">
            <v>#N/A</v>
          </cell>
          <cell r="AD182">
            <v>95</v>
          </cell>
          <cell r="AE182" t="e">
            <v>#N/A</v>
          </cell>
          <cell r="AF182" t="str">
            <v/>
          </cell>
        </row>
        <row r="183">
          <cell r="Y183">
            <v>167</v>
          </cell>
          <cell r="Z183">
            <v>0.17238609306514263</v>
          </cell>
          <cell r="AA183">
            <v>-0.1596966424274216</v>
          </cell>
          <cell r="AB183" t="str">
            <v/>
          </cell>
          <cell r="AC183" t="e">
            <v>#N/A</v>
          </cell>
          <cell r="AD183">
            <v>96</v>
          </cell>
          <cell r="AE183" t="e">
            <v>#N/A</v>
          </cell>
          <cell r="AF183" t="str">
            <v/>
          </cell>
        </row>
        <row r="184">
          <cell r="Y184">
            <v>168</v>
          </cell>
          <cell r="Z184">
            <v>0.17167063616216183</v>
          </cell>
          <cell r="AA184">
            <v>-0.16017093064074078</v>
          </cell>
          <cell r="AB184" t="str">
            <v/>
          </cell>
          <cell r="AC184" t="e">
            <v>#N/A</v>
          </cell>
          <cell r="AD184">
            <v>97</v>
          </cell>
          <cell r="AE184" t="e">
            <v>#N/A</v>
          </cell>
          <cell r="AF184" t="str">
            <v/>
          </cell>
        </row>
        <row r="185">
          <cell r="Y185">
            <v>169</v>
          </cell>
          <cell r="Z185">
            <v>0.59333988837897778</v>
          </cell>
          <cell r="AA185">
            <v>3.9915775696038824E-2</v>
          </cell>
          <cell r="AB185" t="str">
            <v/>
          </cell>
          <cell r="AC185" t="e">
            <v>#N/A</v>
          </cell>
          <cell r="AD185">
            <v>98</v>
          </cell>
          <cell r="AE185" t="e">
            <v>#N/A</v>
          </cell>
          <cell r="AF185" t="str">
            <v/>
          </cell>
        </row>
        <row r="186">
          <cell r="Y186">
            <v>170</v>
          </cell>
          <cell r="Z186">
            <v>0.59720832668244839</v>
          </cell>
          <cell r="AA186">
            <v>4.1603182077217811E-2</v>
          </cell>
          <cell r="AB186" t="str">
            <v/>
          </cell>
          <cell r="AC186" t="e">
            <v>#N/A</v>
          </cell>
          <cell r="AD186">
            <v>99</v>
          </cell>
          <cell r="AE186" t="e">
            <v>#N/A</v>
          </cell>
          <cell r="AF186" t="str">
            <v/>
          </cell>
        </row>
        <row r="187">
          <cell r="Y187">
            <v>171</v>
          </cell>
          <cell r="Z187">
            <v>3.0532730743288994E-2</v>
          </cell>
          <cell r="AA187">
            <v>-0.31659836246967205</v>
          </cell>
          <cell r="AB187" t="str">
            <v/>
          </cell>
          <cell r="AC187" t="e">
            <v>#N/A</v>
          </cell>
          <cell r="AD187">
            <v>100</v>
          </cell>
          <cell r="AE187" t="e">
            <v>#N/A</v>
          </cell>
          <cell r="AF187" t="str">
            <v/>
          </cell>
        </row>
        <row r="188">
          <cell r="Y188">
            <v>172</v>
          </cell>
          <cell r="Z188">
            <v>0.70435838960111141</v>
          </cell>
          <cell r="AA188">
            <v>9.0765747918578929E-2</v>
          </cell>
          <cell r="AB188" t="str">
            <v/>
          </cell>
          <cell r="AC188" t="e">
            <v>#N/A</v>
          </cell>
          <cell r="AD188">
            <v>101</v>
          </cell>
          <cell r="AE188" t="e">
            <v>#N/A</v>
          </cell>
          <cell r="AF188" t="str">
            <v/>
          </cell>
        </row>
        <row r="189">
          <cell r="Y189">
            <v>173</v>
          </cell>
          <cell r="Z189">
            <v>5.2670178934931755E-2</v>
          </cell>
          <cell r="AA189">
            <v>-0.27374496669160053</v>
          </cell>
          <cell r="AB189" t="str">
            <v/>
          </cell>
          <cell r="AC189" t="e">
            <v>#N/A</v>
          </cell>
          <cell r="AD189">
            <v>102</v>
          </cell>
          <cell r="AE189" t="e">
            <v>#N/A</v>
          </cell>
          <cell r="AF189" t="str">
            <v/>
          </cell>
        </row>
        <row r="190">
          <cell r="Y190">
            <v>174</v>
          </cell>
          <cell r="Z190">
            <v>0.474061643704772</v>
          </cell>
          <cell r="AA190">
            <v>-1.0997771506743371E-2</v>
          </cell>
          <cell r="AB190" t="str">
            <v/>
          </cell>
          <cell r="AC190" t="e">
            <v>#N/A</v>
          </cell>
          <cell r="AD190">
            <v>103</v>
          </cell>
          <cell r="AE190" t="e">
            <v>#N/A</v>
          </cell>
          <cell r="AF190" t="str">
            <v/>
          </cell>
        </row>
        <row r="191">
          <cell r="Y191">
            <v>175</v>
          </cell>
          <cell r="Z191">
            <v>0.59984908811748028</v>
          </cell>
          <cell r="AA191">
            <v>4.2757453403424031E-2</v>
          </cell>
          <cell r="AB191" t="str">
            <v/>
          </cell>
          <cell r="AC191" t="e">
            <v>#N/A</v>
          </cell>
          <cell r="AD191">
            <v>104</v>
          </cell>
          <cell r="AE191" t="e">
            <v>#N/A</v>
          </cell>
          <cell r="AF191" t="str">
            <v/>
          </cell>
        </row>
        <row r="192">
          <cell r="Y192">
            <v>176</v>
          </cell>
          <cell r="Z192">
            <v>0.67921294830739498</v>
          </cell>
          <cell r="AA192">
            <v>7.868370376744882E-2</v>
          </cell>
          <cell r="AB192" t="str">
            <v/>
          </cell>
          <cell r="AC192" t="e">
            <v>#N/A</v>
          </cell>
          <cell r="AD192">
            <v>105</v>
          </cell>
          <cell r="AE192" t="e">
            <v>#N/A</v>
          </cell>
          <cell r="AF192" t="str">
            <v/>
          </cell>
        </row>
        <row r="193">
          <cell r="Y193">
            <v>177</v>
          </cell>
          <cell r="Z193">
            <v>0.31284227780997753</v>
          </cell>
          <cell r="AA193">
            <v>-8.2454908844185187E-2</v>
          </cell>
          <cell r="AB193" t="str">
            <v/>
          </cell>
          <cell r="AC193" t="e">
            <v>#N/A</v>
          </cell>
          <cell r="AD193">
            <v>106</v>
          </cell>
          <cell r="AE193" t="e">
            <v>#N/A</v>
          </cell>
          <cell r="AF193" t="str">
            <v/>
          </cell>
        </row>
        <row r="194">
          <cell r="Y194">
            <v>178</v>
          </cell>
          <cell r="Z194">
            <v>0.84504938684403896</v>
          </cell>
          <cell r="AA194">
            <v>0.17163888071945985</v>
          </cell>
          <cell r="AB194" t="str">
            <v/>
          </cell>
          <cell r="AC194" t="e">
            <v>#N/A</v>
          </cell>
          <cell r="AD194">
            <v>107</v>
          </cell>
          <cell r="AE194" t="e">
            <v>#N/A</v>
          </cell>
          <cell r="AF194" t="str">
            <v/>
          </cell>
        </row>
        <row r="195">
          <cell r="Y195">
            <v>179</v>
          </cell>
          <cell r="Z195">
            <v>0.85408241860568523</v>
          </cell>
          <cell r="AA195">
            <v>0.17817614863095418</v>
          </cell>
          <cell r="AB195" t="str">
            <v/>
          </cell>
          <cell r="AC195" t="e">
            <v>#N/A</v>
          </cell>
          <cell r="AD195">
            <v>108</v>
          </cell>
          <cell r="AE195" t="e">
            <v>#N/A</v>
          </cell>
          <cell r="AF195" t="str">
            <v/>
          </cell>
        </row>
        <row r="196">
          <cell r="Y196">
            <v>180</v>
          </cell>
          <cell r="Z196">
            <v>0.28912829421460629</v>
          </cell>
          <cell r="AA196">
            <v>-9.3969845230022234E-2</v>
          </cell>
          <cell r="AB196" t="str">
            <v/>
          </cell>
          <cell r="AC196" t="e">
            <v>#N/A</v>
          </cell>
          <cell r="AD196">
            <v>109</v>
          </cell>
          <cell r="AE196" t="e">
            <v>#N/A</v>
          </cell>
          <cell r="AF196" t="str">
            <v/>
          </cell>
        </row>
        <row r="197">
          <cell r="Y197">
            <v>181</v>
          </cell>
          <cell r="Z197">
            <v>0.70081388764083385</v>
          </cell>
          <cell r="AA197">
            <v>8.9035779989058747E-2</v>
          </cell>
          <cell r="AB197" t="str">
            <v/>
          </cell>
          <cell r="AC197" t="e">
            <v>#N/A</v>
          </cell>
          <cell r="AD197">
            <v>110</v>
          </cell>
          <cell r="AE197" t="e">
            <v>#N/A</v>
          </cell>
          <cell r="AF197" t="str">
            <v/>
          </cell>
        </row>
        <row r="198">
          <cell r="Y198">
            <v>182</v>
          </cell>
          <cell r="Z198">
            <v>0.98698887787759304</v>
          </cell>
          <cell r="AA198">
            <v>0.37624233021386155</v>
          </cell>
          <cell r="AB198" t="str">
            <v/>
          </cell>
          <cell r="AC198" t="e">
            <v>#N/A</v>
          </cell>
          <cell r="AD198">
            <v>111</v>
          </cell>
          <cell r="AE198" t="e">
            <v>#N/A</v>
          </cell>
          <cell r="AF198" t="str">
            <v/>
          </cell>
        </row>
        <row r="199">
          <cell r="Y199">
            <v>183</v>
          </cell>
          <cell r="Z199">
            <v>0.60963134281337261</v>
          </cell>
          <cell r="AA199">
            <v>4.7051143043466803E-2</v>
          </cell>
          <cell r="AB199" t="str">
            <v/>
          </cell>
          <cell r="AC199" t="e">
            <v>#N/A</v>
          </cell>
          <cell r="AD199">
            <v>112</v>
          </cell>
          <cell r="AE199" t="e">
            <v>#N/A</v>
          </cell>
          <cell r="AF199" t="str">
            <v/>
          </cell>
        </row>
        <row r="200">
          <cell r="Y200">
            <v>184</v>
          </cell>
          <cell r="Z200">
            <v>0.35334118269383907</v>
          </cell>
          <cell r="AA200">
            <v>-6.3608927386657452E-2</v>
          </cell>
          <cell r="AB200" t="str">
            <v/>
          </cell>
          <cell r="AC200" t="e">
            <v>#N/A</v>
          </cell>
          <cell r="AD200">
            <v>113</v>
          </cell>
          <cell r="AE200" t="e">
            <v>#N/A</v>
          </cell>
          <cell r="AF200" t="str">
            <v/>
          </cell>
        </row>
        <row r="201">
          <cell r="Y201">
            <v>185</v>
          </cell>
          <cell r="Z201">
            <v>0.42037376575171947</v>
          </cell>
          <cell r="AA201">
            <v>-3.3964617893442683E-2</v>
          </cell>
          <cell r="AB201" t="str">
            <v/>
          </cell>
          <cell r="AC201" t="e">
            <v>#N/A</v>
          </cell>
          <cell r="AD201">
            <v>114</v>
          </cell>
          <cell r="AE201" t="e">
            <v>#N/A</v>
          </cell>
          <cell r="AF201" t="str">
            <v/>
          </cell>
        </row>
        <row r="202">
          <cell r="Y202">
            <v>186</v>
          </cell>
          <cell r="Z202">
            <v>0.12237614952027798</v>
          </cell>
          <cell r="AA202">
            <v>-0.19661504712170264</v>
          </cell>
          <cell r="AB202" t="str">
            <v/>
          </cell>
          <cell r="AC202" t="e">
            <v>#N/A</v>
          </cell>
          <cell r="AD202">
            <v>115</v>
          </cell>
          <cell r="AE202" t="e">
            <v>#N/A</v>
          </cell>
          <cell r="AF202" t="str">
            <v/>
          </cell>
        </row>
        <row r="203">
          <cell r="Y203">
            <v>187</v>
          </cell>
          <cell r="Z203">
            <v>8.6092723533511162E-2</v>
          </cell>
          <cell r="AA203">
            <v>-0.2307634736873618</v>
          </cell>
          <cell r="AB203" t="str">
            <v/>
          </cell>
          <cell r="AC203" t="e">
            <v>#N/A</v>
          </cell>
          <cell r="AD203">
            <v>116</v>
          </cell>
          <cell r="AE203" t="e">
            <v>#N/A</v>
          </cell>
          <cell r="AF203" t="str">
            <v/>
          </cell>
        </row>
        <row r="204">
          <cell r="Y204">
            <v>188</v>
          </cell>
          <cell r="Z204">
            <v>0.3545405175536871</v>
          </cell>
          <cell r="AA204">
            <v>-6.3063816925982827E-2</v>
          </cell>
          <cell r="AB204" t="str">
            <v/>
          </cell>
          <cell r="AC204" t="e">
            <v>#N/A</v>
          </cell>
          <cell r="AD204">
            <v>117</v>
          </cell>
          <cell r="AE204" t="e">
            <v>#N/A</v>
          </cell>
          <cell r="AF204" t="str">
            <v/>
          </cell>
        </row>
        <row r="205">
          <cell r="Y205">
            <v>189</v>
          </cell>
          <cell r="Z205">
            <v>0.78456359915435314</v>
          </cell>
          <cell r="AA205">
            <v>0.13314542906858823</v>
          </cell>
          <cell r="AB205" t="str">
            <v/>
          </cell>
          <cell r="AC205" t="e">
            <v>#N/A</v>
          </cell>
          <cell r="AD205">
            <v>118</v>
          </cell>
          <cell r="AE205" t="e">
            <v>#N/A</v>
          </cell>
          <cell r="AF205" t="str">
            <v/>
          </cell>
        </row>
        <row r="206">
          <cell r="Y206">
            <v>190</v>
          </cell>
          <cell r="Z206">
            <v>0.19087032042443752</v>
          </cell>
          <cell r="AA206">
            <v>-0.14785020430328097</v>
          </cell>
          <cell r="AB206" t="str">
            <v/>
          </cell>
          <cell r="AC206" t="e">
            <v>#N/A</v>
          </cell>
          <cell r="AD206">
            <v>119</v>
          </cell>
          <cell r="AE206" t="e">
            <v>#N/A</v>
          </cell>
          <cell r="AF206" t="str">
            <v/>
          </cell>
        </row>
        <row r="207">
          <cell r="Y207">
            <v>191</v>
          </cell>
          <cell r="Z207">
            <v>0.68555854074656963</v>
          </cell>
          <cell r="AA207">
            <v>8.1692567774352617E-2</v>
          </cell>
          <cell r="AB207" t="str">
            <v/>
          </cell>
          <cell r="AC207" t="e">
            <v>#N/A</v>
          </cell>
          <cell r="AD207">
            <v>120</v>
          </cell>
          <cell r="AE207" t="e">
            <v>#N/A</v>
          </cell>
          <cell r="AF207" t="str">
            <v/>
          </cell>
        </row>
        <row r="208">
          <cell r="Y208">
            <v>192</v>
          </cell>
          <cell r="Z208">
            <v>0.3197267260402441</v>
          </cell>
          <cell r="AA208">
            <v>-7.9184716650185422E-2</v>
          </cell>
          <cell r="AB208" t="str">
            <v/>
          </cell>
          <cell r="AC208" t="e">
            <v>#N/A</v>
          </cell>
          <cell r="AD208">
            <v>121</v>
          </cell>
          <cell r="AE208" t="e">
            <v>#N/A</v>
          </cell>
          <cell r="AF208" t="str">
            <v/>
          </cell>
        </row>
        <row r="209">
          <cell r="Y209">
            <v>193</v>
          </cell>
          <cell r="Z209">
            <v>0.41684987954795361</v>
          </cell>
          <cell r="AA209">
            <v>-3.5489529789393841E-2</v>
          </cell>
          <cell r="AB209" t="str">
            <v/>
          </cell>
          <cell r="AC209" t="e">
            <v>#N/A</v>
          </cell>
          <cell r="AD209">
            <v>122</v>
          </cell>
          <cell r="AE209" t="e">
            <v>#N/A</v>
          </cell>
          <cell r="AF209" t="str">
            <v/>
          </cell>
        </row>
        <row r="210">
          <cell r="Y210">
            <v>194</v>
          </cell>
          <cell r="Z210">
            <v>0.21452797017991543</v>
          </cell>
          <cell r="AA210">
            <v>-0.13367097827649205</v>
          </cell>
          <cell r="AB210" t="str">
            <v/>
          </cell>
          <cell r="AC210" t="e">
            <v>#N/A</v>
          </cell>
          <cell r="AD210">
            <v>123</v>
          </cell>
          <cell r="AE210" t="e">
            <v>#N/A</v>
          </cell>
          <cell r="AF210" t="str">
            <v/>
          </cell>
        </row>
        <row r="211">
          <cell r="Y211">
            <v>195</v>
          </cell>
          <cell r="Z211">
            <v>0.49066276662051678</v>
          </cell>
          <cell r="AA211">
            <v>-3.9565237977939212E-3</v>
          </cell>
          <cell r="AB211" t="str">
            <v/>
          </cell>
          <cell r="AC211" t="e">
            <v>#N/A</v>
          </cell>
          <cell r="AD211">
            <v>124</v>
          </cell>
          <cell r="AE211" t="e">
            <v>#N/A</v>
          </cell>
          <cell r="AF211" t="str">
            <v/>
          </cell>
        </row>
        <row r="212">
          <cell r="Y212">
            <v>196</v>
          </cell>
          <cell r="Z212">
            <v>4.4821133837103844E-2</v>
          </cell>
          <cell r="AA212">
            <v>-0.28689399661418136</v>
          </cell>
          <cell r="AB212" t="str">
            <v/>
          </cell>
          <cell r="AC212" t="e">
            <v>#N/A</v>
          </cell>
          <cell r="AD212">
            <v>125</v>
          </cell>
          <cell r="AE212" t="e">
            <v>#N/A</v>
          </cell>
          <cell r="AF212" t="str">
            <v/>
          </cell>
        </row>
        <row r="213">
          <cell r="Y213">
            <v>197</v>
          </cell>
          <cell r="Z213">
            <v>0.92104577831923962</v>
          </cell>
          <cell r="AA213">
            <v>0.23869539788317534</v>
          </cell>
          <cell r="AB213" t="str">
            <v/>
          </cell>
          <cell r="AC213" t="e">
            <v>#N/A</v>
          </cell>
          <cell r="AD213">
            <v>126</v>
          </cell>
          <cell r="AE213" t="e">
            <v>#N/A</v>
          </cell>
          <cell r="AF213" t="str">
            <v/>
          </cell>
        </row>
        <row r="214">
          <cell r="Y214">
            <v>198</v>
          </cell>
          <cell r="Z214">
            <v>0.75678751431405544</v>
          </cell>
          <cell r="AA214">
            <v>0.11764651366646847</v>
          </cell>
          <cell r="AB214" t="str">
            <v/>
          </cell>
          <cell r="AC214" t="e">
            <v>#N/A</v>
          </cell>
          <cell r="AD214">
            <v>127</v>
          </cell>
          <cell r="AE214" t="e">
            <v>#N/A</v>
          </cell>
          <cell r="AF214" t="str">
            <v/>
          </cell>
        </row>
        <row r="215">
          <cell r="Y215">
            <v>199</v>
          </cell>
          <cell r="Z215">
            <v>0.98137824051082134</v>
          </cell>
          <cell r="AA215">
            <v>0.35210555116204029</v>
          </cell>
          <cell r="AB215" t="str">
            <v/>
          </cell>
          <cell r="AC215" t="e">
            <v>#N/A</v>
          </cell>
          <cell r="AD215">
            <v>128</v>
          </cell>
          <cell r="AE215" t="e">
            <v>#N/A</v>
          </cell>
          <cell r="AF215" t="str">
            <v/>
          </cell>
        </row>
        <row r="216">
          <cell r="Y216">
            <v>200</v>
          </cell>
          <cell r="Z216">
            <v>0.16302534006536007</v>
          </cell>
          <cell r="AA216">
            <v>-0.16600516623744849</v>
          </cell>
          <cell r="AB216" t="str">
            <v/>
          </cell>
          <cell r="AC216" t="e">
            <v>#N/A</v>
          </cell>
          <cell r="AD216">
            <v>129</v>
          </cell>
          <cell r="AE216" t="e">
            <v>#N/A</v>
          </cell>
          <cell r="AF216" t="str">
            <v/>
          </cell>
        </row>
        <row r="217">
          <cell r="Y217">
            <v>201</v>
          </cell>
          <cell r="Z217">
            <v>0.51998302154242992</v>
          </cell>
          <cell r="AA217">
            <v>8.4703001153328614E-3</v>
          </cell>
          <cell r="AB217" t="str">
            <v/>
          </cell>
          <cell r="AC217" t="e">
            <v>#N/A</v>
          </cell>
          <cell r="AD217">
            <v>130</v>
          </cell>
          <cell r="AE217" t="e">
            <v>#N/A</v>
          </cell>
          <cell r="AF217" t="str">
            <v/>
          </cell>
        </row>
        <row r="218">
          <cell r="Y218">
            <v>202</v>
          </cell>
          <cell r="Z218">
            <v>0.97520357929170132</v>
          </cell>
          <cell r="AA218">
            <v>0.33188517850583454</v>
          </cell>
          <cell r="AB218" t="str">
            <v/>
          </cell>
          <cell r="AC218" t="e">
            <v>#N/A</v>
          </cell>
          <cell r="AD218">
            <v>131</v>
          </cell>
          <cell r="AE218" t="e">
            <v>#N/A</v>
          </cell>
          <cell r="AF218" t="str">
            <v/>
          </cell>
        </row>
        <row r="219">
          <cell r="Y219">
            <v>203</v>
          </cell>
          <cell r="Z219">
            <v>0.47056354396045208</v>
          </cell>
          <cell r="AA219">
            <v>-1.2483492006269841E-2</v>
          </cell>
          <cell r="AB219" t="str">
            <v/>
          </cell>
          <cell r="AC219" t="e">
            <v>#N/A</v>
          </cell>
          <cell r="AD219">
            <v>132</v>
          </cell>
          <cell r="AE219" t="e">
            <v>#N/A</v>
          </cell>
          <cell r="AF219" t="str">
            <v/>
          </cell>
        </row>
        <row r="220">
          <cell r="Y220">
            <v>204</v>
          </cell>
          <cell r="Z220">
            <v>0.55693059228360653</v>
          </cell>
          <cell r="AA220">
            <v>2.4203808324562478E-2</v>
          </cell>
          <cell r="AB220" t="str">
            <v/>
          </cell>
          <cell r="AC220" t="e">
            <v>#N/A</v>
          </cell>
          <cell r="AD220">
            <v>133</v>
          </cell>
          <cell r="AE220" t="e">
            <v>#N/A</v>
          </cell>
          <cell r="AF220" t="str">
            <v/>
          </cell>
        </row>
        <row r="221">
          <cell r="Y221">
            <v>205</v>
          </cell>
          <cell r="Z221">
            <v>0.16293376497924328</v>
          </cell>
          <cell r="AA221">
            <v>-0.16606802349429536</v>
          </cell>
          <cell r="AB221" t="str">
            <v/>
          </cell>
          <cell r="AC221" t="e">
            <v>#N/A</v>
          </cell>
          <cell r="AD221">
            <v>134</v>
          </cell>
          <cell r="AE221" t="e">
            <v>#N/A</v>
          </cell>
          <cell r="AF221" t="str">
            <v/>
          </cell>
        </row>
        <row r="222">
          <cell r="Y222">
            <v>206</v>
          </cell>
          <cell r="Z222">
            <v>0.7679313775151968</v>
          </cell>
          <cell r="AA222">
            <v>0.12373925745136645</v>
          </cell>
          <cell r="AB222" t="str">
            <v/>
          </cell>
          <cell r="AC222" t="e">
            <v>#N/A</v>
          </cell>
          <cell r="AD222">
            <v>135</v>
          </cell>
          <cell r="AE222" t="e">
            <v>#N/A</v>
          </cell>
          <cell r="AF222" t="str">
            <v/>
          </cell>
        </row>
        <row r="223">
          <cell r="Y223">
            <v>207</v>
          </cell>
          <cell r="Z223">
            <v>0.75825987569987774</v>
          </cell>
          <cell r="AA223">
            <v>0.11844262724522145</v>
          </cell>
          <cell r="AB223" t="str">
            <v/>
          </cell>
          <cell r="AC223" t="e">
            <v>#N/A</v>
          </cell>
          <cell r="AD223">
            <v>136</v>
          </cell>
          <cell r="AE223" t="e">
            <v>#N/A</v>
          </cell>
          <cell r="AF223" t="str">
            <v/>
          </cell>
        </row>
        <row r="224">
          <cell r="Y224">
            <v>208</v>
          </cell>
          <cell r="Z224">
            <v>0.61437716148793697</v>
          </cell>
          <cell r="AA224">
            <v>4.9145024036776515E-2</v>
          </cell>
          <cell r="AB224" t="str">
            <v/>
          </cell>
          <cell r="AC224" t="e">
            <v>#N/A</v>
          </cell>
          <cell r="AD224">
            <v>137</v>
          </cell>
          <cell r="AE224" t="e">
            <v>#N/A</v>
          </cell>
          <cell r="AF224" t="str">
            <v/>
          </cell>
        </row>
        <row r="225">
          <cell r="Y225">
            <v>209</v>
          </cell>
          <cell r="Z225">
            <v>0.60178246907889843</v>
          </cell>
          <cell r="AA225">
            <v>4.3603793200760195E-2</v>
          </cell>
          <cell r="AB225" t="str">
            <v/>
          </cell>
          <cell r="AC225" t="e">
            <v>#N/A</v>
          </cell>
          <cell r="AD225">
            <v>138</v>
          </cell>
          <cell r="AE225" t="e">
            <v>#N/A</v>
          </cell>
          <cell r="AF225" t="str">
            <v/>
          </cell>
        </row>
        <row r="226">
          <cell r="Y226">
            <v>210</v>
          </cell>
          <cell r="Z226">
            <v>0.51396108232438564</v>
          </cell>
          <cell r="AA226">
            <v>5.9164837131772743E-3</v>
          </cell>
          <cell r="AB226" t="str">
            <v/>
          </cell>
          <cell r="AC226" t="e">
            <v>#N/A</v>
          </cell>
          <cell r="AD226">
            <v>139</v>
          </cell>
          <cell r="AE226" t="e">
            <v>#N/A</v>
          </cell>
          <cell r="AF226" t="str">
            <v/>
          </cell>
        </row>
        <row r="227">
          <cell r="Y227">
            <v>211</v>
          </cell>
          <cell r="Z227">
            <v>0.50473792664706707</v>
          </cell>
          <cell r="AA227">
            <v>2.0074949164634423E-3</v>
          </cell>
          <cell r="AB227" t="str">
            <v/>
          </cell>
          <cell r="AC227" t="e">
            <v>#N/A</v>
          </cell>
          <cell r="AD227">
            <v>140</v>
          </cell>
          <cell r="AE227" t="e">
            <v>#N/A</v>
          </cell>
          <cell r="AF227" t="str">
            <v/>
          </cell>
        </row>
        <row r="228">
          <cell r="Y228">
            <v>212</v>
          </cell>
          <cell r="Z228">
            <v>0.82806371711194515</v>
          </cell>
          <cell r="AA228">
            <v>0.15999468201041162</v>
          </cell>
          <cell r="AB228" t="str">
            <v/>
          </cell>
          <cell r="AC228" t="e">
            <v>#N/A</v>
          </cell>
          <cell r="AD228">
            <v>141</v>
          </cell>
          <cell r="AE228" t="e">
            <v>#N/A</v>
          </cell>
          <cell r="AF228" t="str">
            <v/>
          </cell>
        </row>
        <row r="229">
          <cell r="Y229">
            <v>213</v>
          </cell>
          <cell r="Z229">
            <v>0.93594777397811413</v>
          </cell>
          <cell r="AA229">
            <v>0.25720063659493886</v>
          </cell>
          <cell r="AB229" t="str">
            <v/>
          </cell>
          <cell r="AC229" t="e">
            <v>#N/A</v>
          </cell>
          <cell r="AD229">
            <v>142</v>
          </cell>
          <cell r="AE229" t="e">
            <v>#N/A</v>
          </cell>
          <cell r="AF229" t="str">
            <v/>
          </cell>
        </row>
        <row r="230">
          <cell r="Y230">
            <v>214</v>
          </cell>
          <cell r="Z230">
            <v>0.9071022029966116</v>
          </cell>
          <cell r="AA230">
            <v>0.22364803881744991</v>
          </cell>
          <cell r="AB230" t="str">
            <v/>
          </cell>
          <cell r="AC230" t="e">
            <v>#N/A</v>
          </cell>
          <cell r="AD230">
            <v>143</v>
          </cell>
          <cell r="AE230" t="e">
            <v>#N/A</v>
          </cell>
          <cell r="AF230" t="str">
            <v/>
          </cell>
        </row>
        <row r="231">
          <cell r="Y231">
            <v>215</v>
          </cell>
          <cell r="Z231">
            <v>0.82229475490748882</v>
          </cell>
          <cell r="AA231">
            <v>0.15620912503383866</v>
          </cell>
          <cell r="AB231" t="str">
            <v/>
          </cell>
          <cell r="AC231" t="e">
            <v>#N/A</v>
          </cell>
          <cell r="AD231">
            <v>144</v>
          </cell>
          <cell r="AE231" t="e">
            <v>#N/A</v>
          </cell>
          <cell r="AF231" t="str">
            <v/>
          </cell>
        </row>
        <row r="232">
          <cell r="Y232">
            <v>216</v>
          </cell>
          <cell r="Z232">
            <v>0.23890670202672482</v>
          </cell>
          <cell r="AA232">
            <v>-0.11998212208163064</v>
          </cell>
          <cell r="AB232" t="str">
            <v/>
          </cell>
          <cell r="AC232" t="e">
            <v>#N/A</v>
          </cell>
          <cell r="AD232">
            <v>145</v>
          </cell>
          <cell r="AE232" t="e">
            <v>#N/A</v>
          </cell>
          <cell r="AF232" t="str">
            <v/>
          </cell>
        </row>
        <row r="233">
          <cell r="Y233">
            <v>217</v>
          </cell>
          <cell r="Z233">
            <v>0.12605437450110912</v>
          </cell>
          <cell r="AA233">
            <v>-0.19358130146757169</v>
          </cell>
          <cell r="AB233" t="str">
            <v/>
          </cell>
          <cell r="AC233" t="e">
            <v>#N/A</v>
          </cell>
          <cell r="AD233">
            <v>146</v>
          </cell>
          <cell r="AE233" t="e">
            <v>#N/A</v>
          </cell>
          <cell r="AF233" t="str">
            <v/>
          </cell>
        </row>
        <row r="234">
          <cell r="Y234">
            <v>218</v>
          </cell>
          <cell r="Z234">
            <v>0.38371795974671841</v>
          </cell>
          <cell r="AA234">
            <v>-4.9987574375181962E-2</v>
          </cell>
          <cell r="AB234" t="str">
            <v/>
          </cell>
          <cell r="AC234" t="e">
            <v>#N/A</v>
          </cell>
          <cell r="AD234">
            <v>147</v>
          </cell>
          <cell r="AE234" t="e">
            <v>#N/A</v>
          </cell>
          <cell r="AF234" t="str">
            <v/>
          </cell>
        </row>
        <row r="235">
          <cell r="Y235">
            <v>219</v>
          </cell>
          <cell r="Z235">
            <v>0.58580066077411175</v>
          </cell>
          <cell r="AA235">
            <v>3.6638413207321613E-2</v>
          </cell>
          <cell r="AB235" t="str">
            <v/>
          </cell>
          <cell r="AC235" t="e">
            <v>#N/A</v>
          </cell>
          <cell r="AD235">
            <v>148</v>
          </cell>
          <cell r="AE235" t="e">
            <v>#N/A</v>
          </cell>
          <cell r="AF235" t="str">
            <v/>
          </cell>
        </row>
        <row r="236">
          <cell r="Y236">
            <v>220</v>
          </cell>
          <cell r="Z236">
            <v>0.22314970754086971</v>
          </cell>
          <cell r="AA236">
            <v>-0.12873371481019355</v>
          </cell>
          <cell r="AB236" t="str">
            <v/>
          </cell>
          <cell r="AC236" t="e">
            <v>#N/A</v>
          </cell>
          <cell r="AD236">
            <v>149</v>
          </cell>
          <cell r="AE236" t="e">
            <v>#N/A</v>
          </cell>
          <cell r="AF236" t="str">
            <v/>
          </cell>
        </row>
        <row r="237">
          <cell r="Y237">
            <v>221</v>
          </cell>
          <cell r="Z237">
            <v>0.97635489515960217</v>
          </cell>
          <cell r="AA237">
            <v>0.33530511080722808</v>
          </cell>
          <cell r="AB237" t="str">
            <v/>
          </cell>
          <cell r="AC237" t="e">
            <v>#N/A</v>
          </cell>
          <cell r="AD237">
            <v>150</v>
          </cell>
          <cell r="AE237" t="e">
            <v>#N/A</v>
          </cell>
          <cell r="AF237" t="str">
            <v/>
          </cell>
        </row>
        <row r="238">
          <cell r="Y238">
            <v>222</v>
          </cell>
          <cell r="Z238">
            <v>0.64420965872704983</v>
          </cell>
          <cell r="AA238">
            <v>6.2496455662757529E-2</v>
          </cell>
          <cell r="AB238" t="str">
            <v/>
          </cell>
          <cell r="AC238" t="e">
            <v>#N/A</v>
          </cell>
          <cell r="AD238">
            <v>151</v>
          </cell>
          <cell r="AE238" t="e">
            <v>#N/A</v>
          </cell>
          <cell r="AF238" t="str">
            <v/>
          </cell>
        </row>
        <row r="239">
          <cell r="Y239">
            <v>223</v>
          </cell>
          <cell r="Z239">
            <v>0.96199606172740459</v>
          </cell>
          <cell r="AA239">
            <v>0.29991723011848281</v>
          </cell>
          <cell r="AB239" t="str">
            <v/>
          </cell>
          <cell r="AC239" t="e">
            <v>#N/A</v>
          </cell>
          <cell r="AD239">
            <v>152</v>
          </cell>
          <cell r="AE239" t="e">
            <v>#N/A</v>
          </cell>
          <cell r="AF239" t="str">
            <v/>
          </cell>
        </row>
        <row r="240">
          <cell r="Y240">
            <v>224</v>
          </cell>
          <cell r="Z240">
            <v>0.12322284840047359</v>
          </cell>
          <cell r="AA240">
            <v>-0.19591110560210656</v>
          </cell>
          <cell r="AB240" t="str">
            <v/>
          </cell>
          <cell r="AC240" t="e">
            <v>#N/A</v>
          </cell>
          <cell r="AD240">
            <v>153</v>
          </cell>
          <cell r="AE240" t="e">
            <v>#N/A</v>
          </cell>
          <cell r="AF240" t="str">
            <v/>
          </cell>
        </row>
        <row r="241">
          <cell r="Y241">
            <v>225</v>
          </cell>
          <cell r="Z241">
            <v>8.5901765152812004E-2</v>
          </cell>
          <cell r="AA241">
            <v>-0.23096909921553629</v>
          </cell>
          <cell r="AB241" t="str">
            <v/>
          </cell>
          <cell r="AC241" t="e">
            <v>#N/A</v>
          </cell>
          <cell r="AD241">
            <v>154</v>
          </cell>
          <cell r="AE241" t="e">
            <v>#N/A</v>
          </cell>
          <cell r="AF241" t="str">
            <v/>
          </cell>
        </row>
        <row r="242">
          <cell r="Y242">
            <v>226</v>
          </cell>
          <cell r="Z242">
            <v>0.76825106702744961</v>
          </cell>
          <cell r="AA242">
            <v>0.12391639881299249</v>
          </cell>
          <cell r="AB242" t="str">
            <v/>
          </cell>
          <cell r="AC242" t="e">
            <v>#N/A</v>
          </cell>
          <cell r="AD242">
            <v>155</v>
          </cell>
          <cell r="AE242" t="e">
            <v>#N/A</v>
          </cell>
          <cell r="AF242" t="str">
            <v/>
          </cell>
        </row>
        <row r="243">
          <cell r="Y243">
            <v>227</v>
          </cell>
          <cell r="Z243">
            <v>0.65753836743533611</v>
          </cell>
          <cell r="AA243">
            <v>6.8584965892536112E-2</v>
          </cell>
          <cell r="AB243" t="str">
            <v/>
          </cell>
          <cell r="AC243" t="e">
            <v>#N/A</v>
          </cell>
          <cell r="AD243">
            <v>156</v>
          </cell>
          <cell r="AE243" t="e">
            <v>#N/A</v>
          </cell>
          <cell r="AF243" t="str">
            <v/>
          </cell>
        </row>
        <row r="244">
          <cell r="Y244">
            <v>228</v>
          </cell>
          <cell r="Z244">
            <v>0.22235213778913021</v>
          </cell>
          <cell r="AA244">
            <v>-0.12918579960120885</v>
          </cell>
          <cell r="AB244" t="str">
            <v/>
          </cell>
          <cell r="AC244" t="e">
            <v>#N/A</v>
          </cell>
          <cell r="AD244">
            <v>157</v>
          </cell>
          <cell r="AE244" t="e">
            <v>#N/A</v>
          </cell>
          <cell r="AF244" t="str">
            <v/>
          </cell>
        </row>
        <row r="245">
          <cell r="Y245">
            <v>229</v>
          </cell>
          <cell r="Z245">
            <v>0.26846909336745739</v>
          </cell>
          <cell r="AA245">
            <v>-0.10436803852400081</v>
          </cell>
          <cell r="AB245" t="str">
            <v/>
          </cell>
          <cell r="AC245" t="e">
            <v>#N/A</v>
          </cell>
          <cell r="AD245">
            <v>158</v>
          </cell>
          <cell r="AE245" t="e">
            <v>#N/A</v>
          </cell>
          <cell r="AF245" t="str">
            <v/>
          </cell>
        </row>
        <row r="246">
          <cell r="Y246">
            <v>230</v>
          </cell>
          <cell r="Z246">
            <v>0.4237727876752615</v>
          </cell>
          <cell r="AA246">
            <v>-3.2496355161169103E-2</v>
          </cell>
          <cell r="AB246" t="str">
            <v/>
          </cell>
          <cell r="AC246" t="e">
            <v>#N/A</v>
          </cell>
          <cell r="AD246">
            <v>159</v>
          </cell>
          <cell r="AE246" t="e">
            <v>#N/A</v>
          </cell>
          <cell r="AF246" t="str">
            <v/>
          </cell>
        </row>
        <row r="247">
          <cell r="Y247">
            <v>231</v>
          </cell>
          <cell r="Z247">
            <v>0.38579885475337505</v>
          </cell>
          <cell r="AA247">
            <v>-4.9067231889754891E-2</v>
          </cell>
          <cell r="AB247" t="str">
            <v/>
          </cell>
          <cell r="AC247" t="e">
            <v>#N/A</v>
          </cell>
          <cell r="AD247">
            <v>160</v>
          </cell>
          <cell r="AE247" t="e">
            <v>#N/A</v>
          </cell>
          <cell r="AF247" t="str">
            <v/>
          </cell>
        </row>
        <row r="248">
          <cell r="Y248">
            <v>232</v>
          </cell>
          <cell r="Z248">
            <v>0.56291886232793331</v>
          </cell>
          <cell r="AA248">
            <v>2.67700544138804E-2</v>
          </cell>
          <cell r="AB248" t="str">
            <v/>
          </cell>
          <cell r="AC248" t="e">
            <v>#N/A</v>
          </cell>
          <cell r="AD248">
            <v>161</v>
          </cell>
          <cell r="AE248" t="e">
            <v>#N/A</v>
          </cell>
          <cell r="AF248" t="str">
            <v/>
          </cell>
        </row>
        <row r="249">
          <cell r="Y249">
            <v>233</v>
          </cell>
          <cell r="Z249">
            <v>0.94122454337775707</v>
          </cell>
          <cell r="AA249">
            <v>0.26455634980349424</v>
          </cell>
          <cell r="AB249" t="str">
            <v/>
          </cell>
          <cell r="AC249" t="e">
            <v>#N/A</v>
          </cell>
          <cell r="AD249">
            <v>162</v>
          </cell>
          <cell r="AE249" t="e">
            <v>#N/A</v>
          </cell>
          <cell r="AF249" t="str">
            <v/>
          </cell>
        </row>
        <row r="250">
          <cell r="Y250">
            <v>234</v>
          </cell>
          <cell r="Z250">
            <v>0.66969663463532925</v>
          </cell>
          <cell r="AA250">
            <v>7.421732874633305E-2</v>
          </cell>
          <cell r="AB250" t="str">
            <v/>
          </cell>
          <cell r="AC250" t="e">
            <v>#N/A</v>
          </cell>
          <cell r="AD250">
            <v>163</v>
          </cell>
          <cell r="AE250" t="e">
            <v>#N/A</v>
          </cell>
          <cell r="AF250" t="str">
            <v/>
          </cell>
        </row>
        <row r="251">
          <cell r="Y251">
            <v>235</v>
          </cell>
          <cell r="Z251">
            <v>5.2409542724490166E-2</v>
          </cell>
          <cell r="AA251">
            <v>-0.27415561742321953</v>
          </cell>
          <cell r="AB251" t="str">
            <v/>
          </cell>
          <cell r="AC251" t="e">
            <v>#N/A</v>
          </cell>
          <cell r="AD251">
            <v>164</v>
          </cell>
          <cell r="AE251" t="e">
            <v>#N/A</v>
          </cell>
          <cell r="AF251" t="str">
            <v/>
          </cell>
        </row>
        <row r="252">
          <cell r="Y252">
            <v>236</v>
          </cell>
          <cell r="Z252">
            <v>0.10856895707547665</v>
          </cell>
          <cell r="AA252">
            <v>-0.20861355377312454</v>
          </cell>
          <cell r="AB252" t="str">
            <v/>
          </cell>
          <cell r="AC252" t="e">
            <v>#N/A</v>
          </cell>
          <cell r="AD252">
            <v>165</v>
          </cell>
          <cell r="AE252" t="e">
            <v>#N/A</v>
          </cell>
          <cell r="AF252" t="str">
            <v/>
          </cell>
        </row>
        <row r="253">
          <cell r="Y253">
            <v>237</v>
          </cell>
          <cell r="Z253">
            <v>0.9821512084454298</v>
          </cell>
          <cell r="AA253">
            <v>0.3550248723589719</v>
          </cell>
          <cell r="AB253" t="str">
            <v/>
          </cell>
          <cell r="AC253" t="e">
            <v>#N/A</v>
          </cell>
          <cell r="AD253">
            <v>166</v>
          </cell>
          <cell r="AE253" t="e">
            <v>#N/A</v>
          </cell>
          <cell r="AF253" t="str">
            <v/>
          </cell>
        </row>
        <row r="254">
          <cell r="Y254">
            <v>238</v>
          </cell>
          <cell r="Z254">
            <v>0.8524200078099966</v>
          </cell>
          <cell r="AA254">
            <v>0.17695316406383327</v>
          </cell>
          <cell r="AB254" t="str">
            <v/>
          </cell>
          <cell r="AC254" t="e">
            <v>#N/A</v>
          </cell>
          <cell r="AD254">
            <v>167</v>
          </cell>
          <cell r="AE254" t="e">
            <v>#N/A</v>
          </cell>
          <cell r="AF254" t="str">
            <v/>
          </cell>
        </row>
        <row r="255">
          <cell r="Y255">
            <v>239</v>
          </cell>
          <cell r="Z255">
            <v>0.1595600675791502</v>
          </cell>
          <cell r="AA255">
            <v>-0.16839996249754377</v>
          </cell>
          <cell r="AB255" t="str">
            <v/>
          </cell>
          <cell r="AC255" t="e">
            <v>#N/A</v>
          </cell>
          <cell r="AD255">
            <v>168</v>
          </cell>
          <cell r="AE255" t="e">
            <v>#N/A</v>
          </cell>
          <cell r="AF255" t="str">
            <v/>
          </cell>
        </row>
        <row r="256">
          <cell r="Y256">
            <v>240</v>
          </cell>
          <cell r="Z256">
            <v>0.75007238052785397</v>
          </cell>
          <cell r="AA256">
            <v>0.11404807984151451</v>
          </cell>
          <cell r="AB256" t="str">
            <v/>
          </cell>
          <cell r="AC256" t="e">
            <v>#N/A</v>
          </cell>
          <cell r="AD256">
            <v>169</v>
          </cell>
          <cell r="AE256" t="e">
            <v>#N/A</v>
          </cell>
          <cell r="AF256" t="str">
            <v/>
          </cell>
        </row>
        <row r="257">
          <cell r="Y257">
            <v>241</v>
          </cell>
          <cell r="Z257">
            <v>0.55621948651969433</v>
          </cell>
          <cell r="AA257">
            <v>2.3899448930029217E-2</v>
          </cell>
          <cell r="AB257" t="str">
            <v/>
          </cell>
          <cell r="AC257" t="e">
            <v>#N/A</v>
          </cell>
          <cell r="AD257">
            <v>170</v>
          </cell>
          <cell r="AE257" t="e">
            <v>#N/A</v>
          </cell>
          <cell r="AF257" t="str">
            <v/>
          </cell>
        </row>
        <row r="258">
          <cell r="Y258">
            <v>242</v>
          </cell>
          <cell r="Z258">
            <v>9.6050268039107323E-2</v>
          </cell>
          <cell r="AA258">
            <v>-0.22048220470483898</v>
          </cell>
          <cell r="AB258" t="str">
            <v/>
          </cell>
          <cell r="AC258" t="e">
            <v>#N/A</v>
          </cell>
          <cell r="AD258">
            <v>171</v>
          </cell>
          <cell r="AE258" t="e">
            <v>#N/A</v>
          </cell>
          <cell r="AF258" t="str">
            <v/>
          </cell>
        </row>
        <row r="259">
          <cell r="Y259">
            <v>243</v>
          </cell>
          <cell r="Z259">
            <v>0.92904455773532391</v>
          </cell>
          <cell r="AA259">
            <v>0.24825766203398572</v>
          </cell>
          <cell r="AB259" t="str">
            <v/>
          </cell>
          <cell r="AC259" t="e">
            <v>#N/A</v>
          </cell>
          <cell r="AD259">
            <v>172</v>
          </cell>
          <cell r="AE259" t="e">
            <v>#N/A</v>
          </cell>
          <cell r="AF259" t="str">
            <v/>
          </cell>
        </row>
        <row r="260">
          <cell r="Y260">
            <v>244</v>
          </cell>
          <cell r="Z260">
            <v>0.65493248961865902</v>
          </cell>
          <cell r="AA260">
            <v>6.7387840126302376E-2</v>
          </cell>
          <cell r="AB260" t="str">
            <v/>
          </cell>
          <cell r="AC260" t="e">
            <v>#N/A</v>
          </cell>
          <cell r="AD260">
            <v>173</v>
          </cell>
          <cell r="AE260" t="e">
            <v>#N/A</v>
          </cell>
          <cell r="AF260" t="str">
            <v/>
          </cell>
        </row>
        <row r="261">
          <cell r="Y261">
            <v>245</v>
          </cell>
          <cell r="Z261">
            <v>0.4103089552372694</v>
          </cell>
          <cell r="AA261">
            <v>-3.8327796470792791E-2</v>
          </cell>
          <cell r="AB261" t="str">
            <v/>
          </cell>
          <cell r="AC261" t="e">
            <v>#N/A</v>
          </cell>
          <cell r="AD261">
            <v>174</v>
          </cell>
          <cell r="AE261" t="e">
            <v>#N/A</v>
          </cell>
          <cell r="AF261" t="str">
            <v/>
          </cell>
        </row>
        <row r="262">
          <cell r="Y262">
            <v>246</v>
          </cell>
          <cell r="Z262">
            <v>0.88638911210000515</v>
          </cell>
          <cell r="AA262">
            <v>0.20411260049371757</v>
          </cell>
          <cell r="AB262" t="str">
            <v/>
          </cell>
          <cell r="AC262" t="e">
            <v>#N/A</v>
          </cell>
          <cell r="AD262">
            <v>175</v>
          </cell>
          <cell r="AE262" t="e">
            <v>#N/A</v>
          </cell>
          <cell r="AF262" t="str">
            <v/>
          </cell>
        </row>
        <row r="263">
          <cell r="Y263">
            <v>247</v>
          </cell>
          <cell r="Z263">
            <v>0.64405850879848003</v>
          </cell>
          <cell r="AA263">
            <v>6.2427888522942801E-2</v>
          </cell>
          <cell r="AB263" t="str">
            <v/>
          </cell>
          <cell r="AC263" t="e">
            <v>#N/A</v>
          </cell>
          <cell r="AD263">
            <v>176</v>
          </cell>
          <cell r="AE263" t="e">
            <v>#N/A</v>
          </cell>
          <cell r="AF263" t="str">
            <v/>
          </cell>
        </row>
        <row r="264">
          <cell r="Y264">
            <v>248</v>
          </cell>
          <cell r="Z264">
            <v>0.46074541471898556</v>
          </cell>
          <cell r="AA264">
            <v>-1.6658999722075261E-2</v>
          </cell>
          <cell r="AB264" t="str">
            <v/>
          </cell>
          <cell r="AC264" t="e">
            <v>#N/A</v>
          </cell>
          <cell r="AD264">
            <v>177</v>
          </cell>
          <cell r="AE264" t="e">
            <v>#N/A</v>
          </cell>
          <cell r="AF264" t="str">
            <v/>
          </cell>
        </row>
        <row r="265">
          <cell r="Y265">
            <v>249</v>
          </cell>
          <cell r="Z265">
            <v>0.13688024692237377</v>
          </cell>
          <cell r="AA265">
            <v>-0.1849947240617868</v>
          </cell>
          <cell r="AB265" t="str">
            <v/>
          </cell>
          <cell r="AC265" t="e">
            <v>#N/A</v>
          </cell>
          <cell r="AD265">
            <v>178</v>
          </cell>
          <cell r="AE265" t="e">
            <v>#N/A</v>
          </cell>
          <cell r="AF265" t="str">
            <v/>
          </cell>
        </row>
        <row r="266">
          <cell r="Y266">
            <v>250</v>
          </cell>
          <cell r="Z266">
            <v>0.24866694770753384</v>
          </cell>
          <cell r="AA266">
            <v>-0.11471965710966009</v>
          </cell>
          <cell r="AB266" t="str">
            <v/>
          </cell>
          <cell r="AC266" t="e">
            <v>#N/A</v>
          </cell>
          <cell r="AD266">
            <v>179</v>
          </cell>
          <cell r="AE266" t="e">
            <v>#N/A</v>
          </cell>
          <cell r="AF266" t="str">
            <v/>
          </cell>
        </row>
        <row r="267">
          <cell r="Y267">
            <v>251</v>
          </cell>
          <cell r="Z267">
            <v>0.70974565856158733</v>
          </cell>
          <cell r="AA267">
            <v>9.341352122700991E-2</v>
          </cell>
          <cell r="AB267" t="str">
            <v/>
          </cell>
          <cell r="AC267" t="e">
            <v>#N/A</v>
          </cell>
          <cell r="AD267">
            <v>180</v>
          </cell>
          <cell r="AE267" t="e">
            <v>#N/A</v>
          </cell>
          <cell r="AF267" t="str">
            <v/>
          </cell>
        </row>
        <row r="268">
          <cell r="Y268">
            <v>252</v>
          </cell>
          <cell r="Z268">
            <v>0.81230943463742733</v>
          </cell>
          <cell r="AA268">
            <v>0.14983550099823223</v>
          </cell>
          <cell r="AB268" t="str">
            <v/>
          </cell>
          <cell r="AC268" t="e">
            <v>#N/A</v>
          </cell>
          <cell r="AD268">
            <v>181</v>
          </cell>
          <cell r="AE268" t="e">
            <v>#N/A</v>
          </cell>
          <cell r="AF268" t="str">
            <v/>
          </cell>
        </row>
        <row r="269">
          <cell r="Y269">
            <v>253</v>
          </cell>
          <cell r="Z269">
            <v>0.90639692358672619</v>
          </cell>
          <cell r="AA269">
            <v>0.22293296602473231</v>
          </cell>
          <cell r="AB269" t="str">
            <v/>
          </cell>
          <cell r="AC269" t="e">
            <v>#N/A</v>
          </cell>
          <cell r="AD269">
            <v>182</v>
          </cell>
          <cell r="AE269" t="e">
            <v>#N/A</v>
          </cell>
          <cell r="AF269" t="str">
            <v/>
          </cell>
        </row>
        <row r="270">
          <cell r="Y270">
            <v>254</v>
          </cell>
          <cell r="Z270">
            <v>1.9027268514037132E-2</v>
          </cell>
          <cell r="AA270">
            <v>-0.35061508656173618</v>
          </cell>
          <cell r="AB270" t="str">
            <v/>
          </cell>
          <cell r="AC270" t="e">
            <v>#N/A</v>
          </cell>
          <cell r="AD270">
            <v>183</v>
          </cell>
          <cell r="AE270" t="e">
            <v>#N/A</v>
          </cell>
          <cell r="AF270" t="str">
            <v/>
          </cell>
        </row>
        <row r="271">
          <cell r="Y271">
            <v>255</v>
          </cell>
          <cell r="Z271">
            <v>0.93249486200511456</v>
          </cell>
          <cell r="AA271">
            <v>0.25263907024977833</v>
          </cell>
          <cell r="AB271" t="str">
            <v/>
          </cell>
          <cell r="AC271" t="e">
            <v>#N/A</v>
          </cell>
          <cell r="AD271">
            <v>184</v>
          </cell>
          <cell r="AE271" t="e">
            <v>#N/A</v>
          </cell>
          <cell r="AF271" t="str">
            <v/>
          </cell>
        </row>
        <row r="272">
          <cell r="Y272">
            <v>256</v>
          </cell>
          <cell r="Z272">
            <v>0.74248435162007809</v>
          </cell>
          <cell r="AA272">
            <v>0.11004306153589045</v>
          </cell>
          <cell r="AB272" t="str">
            <v/>
          </cell>
          <cell r="AC272" t="e">
            <v>#N/A</v>
          </cell>
          <cell r="AD272">
            <v>185</v>
          </cell>
          <cell r="AE272" t="e">
            <v>#N/A</v>
          </cell>
          <cell r="AF272" t="str">
            <v/>
          </cell>
        </row>
        <row r="273">
          <cell r="Y273">
            <v>257</v>
          </cell>
          <cell r="Z273">
            <v>0.1684973519295454</v>
          </cell>
          <cell r="AA273">
            <v>-0.16228994088721946</v>
          </cell>
          <cell r="AB273" t="str">
            <v/>
          </cell>
          <cell r="AC273" t="e">
            <v>#N/A</v>
          </cell>
          <cell r="AD273">
            <v>186</v>
          </cell>
          <cell r="AE273" t="e">
            <v>#N/A</v>
          </cell>
          <cell r="AF273" t="str">
            <v/>
          </cell>
        </row>
        <row r="274">
          <cell r="Y274">
            <v>258</v>
          </cell>
          <cell r="Z274">
            <v>0.70976102910935879</v>
          </cell>
          <cell r="AA274">
            <v>9.3421108229659128E-2</v>
          </cell>
          <cell r="AB274" t="str">
            <v/>
          </cell>
          <cell r="AC274" t="e">
            <v>#N/A</v>
          </cell>
          <cell r="AD274">
            <v>187</v>
          </cell>
          <cell r="AE274" t="e">
            <v>#N/A</v>
          </cell>
          <cell r="AF274" t="str">
            <v/>
          </cell>
        </row>
        <row r="275">
          <cell r="Y275">
            <v>259</v>
          </cell>
          <cell r="Z275">
            <v>0.51798696629703045</v>
          </cell>
          <cell r="AA275">
            <v>7.6236166881654714E-3</v>
          </cell>
          <cell r="AB275" t="str">
            <v/>
          </cell>
          <cell r="AC275" t="e">
            <v>#N/A</v>
          </cell>
          <cell r="AD275">
            <v>188</v>
          </cell>
          <cell r="AE275" t="e">
            <v>#N/A</v>
          </cell>
          <cell r="AF275" t="str">
            <v/>
          </cell>
        </row>
        <row r="276">
          <cell r="Y276">
            <v>260</v>
          </cell>
          <cell r="Z276">
            <v>0.39680086635053158</v>
          </cell>
          <cell r="AA276">
            <v>-4.4224633286235111E-2</v>
          </cell>
          <cell r="AB276" t="str">
            <v/>
          </cell>
          <cell r="AC276" t="e">
            <v>#N/A</v>
          </cell>
          <cell r="AD276">
            <v>189</v>
          </cell>
          <cell r="AE276" t="e">
            <v>#N/A</v>
          </cell>
          <cell r="AF276" t="str">
            <v/>
          </cell>
        </row>
        <row r="277">
          <cell r="Y277">
            <v>261</v>
          </cell>
          <cell r="Z277">
            <v>0.82191657833755016</v>
          </cell>
          <cell r="AA277">
            <v>0.1559637034037637</v>
          </cell>
          <cell r="AB277" t="str">
            <v/>
          </cell>
          <cell r="AC277" t="e">
            <v>#N/A</v>
          </cell>
          <cell r="AD277">
            <v>190</v>
          </cell>
          <cell r="AE277" t="e">
            <v>#N/A</v>
          </cell>
          <cell r="AF277" t="str">
            <v/>
          </cell>
        </row>
        <row r="278">
          <cell r="Y278">
            <v>262</v>
          </cell>
          <cell r="Z278">
            <v>0.46829102002084255</v>
          </cell>
          <cell r="AA278">
            <v>-1.3449193158999E-2</v>
          </cell>
          <cell r="AB278" t="str">
            <v/>
          </cell>
          <cell r="AC278" t="e">
            <v>#N/A</v>
          </cell>
          <cell r="AD278">
            <v>191</v>
          </cell>
          <cell r="AE278" t="e">
            <v>#N/A</v>
          </cell>
          <cell r="AF278" t="str">
            <v/>
          </cell>
        </row>
        <row r="279">
          <cell r="Y279">
            <v>263</v>
          </cell>
          <cell r="Z279">
            <v>0.28799168579280376</v>
          </cell>
          <cell r="AA279">
            <v>-9.4532421204649109E-2</v>
          </cell>
          <cell r="AB279" t="str">
            <v/>
          </cell>
          <cell r="AC279" t="e">
            <v>#N/A</v>
          </cell>
          <cell r="AD279">
            <v>192</v>
          </cell>
          <cell r="AE279" t="e">
            <v>#N/A</v>
          </cell>
          <cell r="AF279" t="str">
            <v/>
          </cell>
        </row>
        <row r="280">
          <cell r="Y280">
            <v>264</v>
          </cell>
          <cell r="Z280">
            <v>0.60181995294988155</v>
          </cell>
          <cell r="AA280">
            <v>4.362021254809538E-2</v>
          </cell>
          <cell r="AB280" t="str">
            <v/>
          </cell>
          <cell r="AC280" t="e">
            <v>#N/A</v>
          </cell>
          <cell r="AD280">
            <v>193</v>
          </cell>
          <cell r="AE280" t="e">
            <v>#N/A</v>
          </cell>
          <cell r="AF280" t="str">
            <v/>
          </cell>
        </row>
        <row r="281">
          <cell r="Y281">
            <v>265</v>
          </cell>
          <cell r="Z281">
            <v>0.35315820388495922</v>
          </cell>
          <cell r="AA281">
            <v>-6.3692151256516366E-2</v>
          </cell>
          <cell r="AB281" t="str">
            <v/>
          </cell>
          <cell r="AC281" t="e">
            <v>#N/A</v>
          </cell>
          <cell r="AD281">
            <v>194</v>
          </cell>
          <cell r="AE281" t="e">
            <v>#N/A</v>
          </cell>
          <cell r="AF281" t="str">
            <v/>
          </cell>
        </row>
        <row r="282">
          <cell r="Y282">
            <v>266</v>
          </cell>
          <cell r="Z282">
            <v>0.62990624271333218</v>
          </cell>
          <cell r="AA282">
            <v>5.6051481819013378E-2</v>
          </cell>
          <cell r="AB282" t="str">
            <v/>
          </cell>
          <cell r="AC282" t="e">
            <v>#N/A</v>
          </cell>
          <cell r="AD282">
            <v>195</v>
          </cell>
          <cell r="AE282" t="e">
            <v>#N/A</v>
          </cell>
          <cell r="AF282" t="str">
            <v/>
          </cell>
        </row>
        <row r="283">
          <cell r="Y283">
            <v>267</v>
          </cell>
          <cell r="Z283">
            <v>0.61591447703540325</v>
          </cell>
          <cell r="AA283">
            <v>4.9824900743731415E-2</v>
          </cell>
          <cell r="AB283" t="str">
            <v/>
          </cell>
          <cell r="AC283" t="e">
            <v>#N/A</v>
          </cell>
          <cell r="AD283">
            <v>196</v>
          </cell>
          <cell r="AE283" t="e">
            <v>#N/A</v>
          </cell>
          <cell r="AF283" t="str">
            <v/>
          </cell>
        </row>
        <row r="284">
          <cell r="Y284">
            <v>268</v>
          </cell>
          <cell r="Z284">
            <v>0.77724223397672176</v>
          </cell>
          <cell r="AA284">
            <v>0.12895576292444885</v>
          </cell>
          <cell r="AB284" t="str">
            <v/>
          </cell>
          <cell r="AC284" t="e">
            <v>#N/A</v>
          </cell>
          <cell r="AD284">
            <v>197</v>
          </cell>
          <cell r="AE284" t="e">
            <v>#N/A</v>
          </cell>
          <cell r="AF284" t="str">
            <v/>
          </cell>
        </row>
        <row r="285">
          <cell r="Y285">
            <v>269</v>
          </cell>
          <cell r="Z285">
            <v>0.44391625933349133</v>
          </cell>
          <cell r="AA285">
            <v>-2.3841357372106825E-2</v>
          </cell>
          <cell r="AB285" t="str">
            <v/>
          </cell>
          <cell r="AC285" t="e">
            <v>#N/A</v>
          </cell>
          <cell r="AD285">
            <v>198</v>
          </cell>
          <cell r="AE285" t="e">
            <v>#N/A</v>
          </cell>
          <cell r="AF285" t="str">
            <v/>
          </cell>
        </row>
        <row r="286">
          <cell r="Y286">
            <v>270</v>
          </cell>
          <cell r="Z286">
            <v>0.36424628458917141</v>
          </cell>
          <cell r="AA286">
            <v>-5.8675923925644274E-2</v>
          </cell>
          <cell r="AB286" t="str">
            <v/>
          </cell>
          <cell r="AC286" t="e">
            <v>#N/A</v>
          </cell>
          <cell r="AD286">
            <v>199</v>
          </cell>
          <cell r="AE286" t="e">
            <v>#N/A</v>
          </cell>
          <cell r="AF286" t="str">
            <v/>
          </cell>
        </row>
        <row r="287">
          <cell r="Y287">
            <v>271</v>
          </cell>
          <cell r="Z287">
            <v>0.58109341375529766</v>
          </cell>
          <cell r="AA287">
            <v>3.4599176118122896E-2</v>
          </cell>
          <cell r="AB287" t="str">
            <v/>
          </cell>
          <cell r="AC287" t="e">
            <v>#N/A</v>
          </cell>
          <cell r="AD287">
            <v>200</v>
          </cell>
          <cell r="AE287" t="e">
            <v>#N/A</v>
          </cell>
          <cell r="AF287" t="str">
            <v/>
          </cell>
        </row>
        <row r="288">
          <cell r="Y288">
            <v>272</v>
          </cell>
          <cell r="Z288">
            <v>0.69176735542714596</v>
          </cell>
          <cell r="AA288">
            <v>8.4661840588919374E-2</v>
          </cell>
          <cell r="AB288" t="str">
            <v/>
          </cell>
          <cell r="AC288" t="e">
            <v>#N/A</v>
          </cell>
          <cell r="AD288">
            <v>201</v>
          </cell>
          <cell r="AE288" t="e">
            <v>#N/A</v>
          </cell>
          <cell r="AF288" t="str">
            <v/>
          </cell>
        </row>
        <row r="289">
          <cell r="Y289">
            <v>273</v>
          </cell>
          <cell r="Z289">
            <v>0.54724708013236523</v>
          </cell>
          <cell r="AA289">
            <v>2.0065497422783581E-2</v>
          </cell>
          <cell r="AB289" t="str">
            <v/>
          </cell>
          <cell r="AC289" t="e">
            <v>#N/A</v>
          </cell>
          <cell r="AD289">
            <v>202</v>
          </cell>
          <cell r="AE289" t="e">
            <v>#N/A</v>
          </cell>
          <cell r="AF289" t="str">
            <v/>
          </cell>
        </row>
        <row r="290">
          <cell r="Y290">
            <v>274</v>
          </cell>
          <cell r="Z290">
            <v>0.915535693988204</v>
          </cell>
          <cell r="AA290">
            <v>0.23252805778974373</v>
          </cell>
          <cell r="AB290" t="str">
            <v/>
          </cell>
          <cell r="AC290" t="e">
            <v>#N/A</v>
          </cell>
          <cell r="AD290">
            <v>203</v>
          </cell>
          <cell r="AE290" t="e">
            <v>#N/A</v>
          </cell>
          <cell r="AF290" t="str">
            <v/>
          </cell>
        </row>
        <row r="291">
          <cell r="Y291">
            <v>275</v>
          </cell>
          <cell r="Z291">
            <v>0.84184606187045574</v>
          </cell>
          <cell r="AA291">
            <v>0.16938141318460759</v>
          </cell>
          <cell r="AB291" t="str">
            <v/>
          </cell>
          <cell r="AC291" t="e">
            <v>#N/A</v>
          </cell>
          <cell r="AD291">
            <v>204</v>
          </cell>
          <cell r="AE291" t="e">
            <v>#N/A</v>
          </cell>
          <cell r="AF291" t="str">
            <v/>
          </cell>
        </row>
        <row r="292">
          <cell r="Y292">
            <v>276</v>
          </cell>
          <cell r="Z292">
            <v>0.56270336173474789</v>
          </cell>
          <cell r="AA292">
            <v>2.6677599045158984E-2</v>
          </cell>
          <cell r="AB292" t="str">
            <v/>
          </cell>
          <cell r="AC292" t="e">
            <v>#N/A</v>
          </cell>
          <cell r="AD292">
            <v>205</v>
          </cell>
          <cell r="AE292" t="e">
            <v>#N/A</v>
          </cell>
          <cell r="AF292" t="str">
            <v/>
          </cell>
        </row>
        <row r="293">
          <cell r="Y293">
            <v>277</v>
          </cell>
          <cell r="Z293">
            <v>0.93249118141829967</v>
          </cell>
          <cell r="AA293">
            <v>0.25263430533628317</v>
          </cell>
          <cell r="AB293" t="str">
            <v/>
          </cell>
          <cell r="AC293" t="e">
            <v>#N/A</v>
          </cell>
          <cell r="AD293">
            <v>206</v>
          </cell>
          <cell r="AE293" t="e">
            <v>#N/A</v>
          </cell>
          <cell r="AF293" t="str">
            <v/>
          </cell>
        </row>
        <row r="294">
          <cell r="Y294">
            <v>278</v>
          </cell>
          <cell r="Z294">
            <v>0.9365683551877737</v>
          </cell>
          <cell r="AA294">
            <v>0.25804060673826501</v>
          </cell>
          <cell r="AB294" t="str">
            <v/>
          </cell>
          <cell r="AC294" t="e">
            <v>#N/A</v>
          </cell>
          <cell r="AD294">
            <v>207</v>
          </cell>
          <cell r="AE294" t="e">
            <v>#N/A</v>
          </cell>
          <cell r="AF294" t="str">
            <v/>
          </cell>
        </row>
        <row r="295">
          <cell r="Y295">
            <v>279</v>
          </cell>
          <cell r="Z295">
            <v>0.72726635448634624</v>
          </cell>
          <cell r="AA295">
            <v>0.10219033403407612</v>
          </cell>
          <cell r="AB295" t="str">
            <v/>
          </cell>
          <cell r="AC295" t="e">
            <v>#N/A</v>
          </cell>
          <cell r="AD295">
            <v>208</v>
          </cell>
          <cell r="AE295" t="e">
            <v>#N/A</v>
          </cell>
          <cell r="AF295" t="str">
            <v/>
          </cell>
        </row>
        <row r="296">
          <cell r="Y296">
            <v>280</v>
          </cell>
          <cell r="Z296">
            <v>0.9993260707706213</v>
          </cell>
          <cell r="AA296">
            <v>0.54184362089858418</v>
          </cell>
          <cell r="AB296" t="str">
            <v/>
          </cell>
          <cell r="AC296" t="e">
            <v>#N/A</v>
          </cell>
          <cell r="AD296">
            <v>209</v>
          </cell>
          <cell r="AE296" t="e">
            <v>#N/A</v>
          </cell>
          <cell r="AF296" t="str">
            <v/>
          </cell>
        </row>
        <row r="297">
          <cell r="Y297">
            <v>281</v>
          </cell>
          <cell r="Z297">
            <v>0.69894513301551342</v>
          </cell>
          <cell r="AA297">
            <v>8.8127447782415561E-2</v>
          </cell>
          <cell r="AB297" t="str">
            <v/>
          </cell>
          <cell r="AC297" t="e">
            <v>#N/A</v>
          </cell>
          <cell r="AD297">
            <v>210</v>
          </cell>
          <cell r="AE297" t="e">
            <v>#N/A</v>
          </cell>
          <cell r="AF297" t="str">
            <v/>
          </cell>
        </row>
        <row r="298">
          <cell r="Y298">
            <v>282</v>
          </cell>
          <cell r="Z298">
            <v>0.41644186340272427</v>
          </cell>
          <cell r="AA298">
            <v>-3.5666277361375252E-2</v>
          </cell>
          <cell r="AB298" t="str">
            <v/>
          </cell>
          <cell r="AC298" t="e">
            <v>#N/A</v>
          </cell>
          <cell r="AD298">
            <v>211</v>
          </cell>
          <cell r="AE298" t="e">
            <v>#N/A</v>
          </cell>
          <cell r="AF298" t="str">
            <v/>
          </cell>
        </row>
        <row r="299">
          <cell r="Y299">
            <v>283</v>
          </cell>
          <cell r="Z299">
            <v>4.777146689593792E-2</v>
          </cell>
          <cell r="AA299">
            <v>-0.28175017988643469</v>
          </cell>
          <cell r="AB299" t="str">
            <v/>
          </cell>
          <cell r="AC299" t="e">
            <v>#N/A</v>
          </cell>
          <cell r="AD299">
            <v>212</v>
          </cell>
          <cell r="AE299" t="e">
            <v>#N/A</v>
          </cell>
          <cell r="AF299" t="str">
            <v/>
          </cell>
        </row>
        <row r="300">
          <cell r="Y300">
            <v>284</v>
          </cell>
          <cell r="Z300">
            <v>0.28998844884335995</v>
          </cell>
          <cell r="AA300">
            <v>-9.3544794098492159E-2</v>
          </cell>
          <cell r="AB300" t="str">
            <v/>
          </cell>
          <cell r="AC300" t="e">
            <v>#N/A</v>
          </cell>
          <cell r="AD300">
            <v>213</v>
          </cell>
          <cell r="AE300" t="e">
            <v>#N/A</v>
          </cell>
          <cell r="AF300" t="str">
            <v/>
          </cell>
        </row>
        <row r="301">
          <cell r="Y301">
            <v>285</v>
          </cell>
          <cell r="Z301">
            <v>0.25828343443572521</v>
          </cell>
          <cell r="AA301">
            <v>-0.10964127596311456</v>
          </cell>
          <cell r="AB301" t="str">
            <v/>
          </cell>
          <cell r="AC301" t="e">
            <v>#N/A</v>
          </cell>
          <cell r="AD301">
            <v>214</v>
          </cell>
          <cell r="AE301" t="e">
            <v>#N/A</v>
          </cell>
          <cell r="AF301" t="str">
            <v/>
          </cell>
        </row>
        <row r="302">
          <cell r="Y302">
            <v>286</v>
          </cell>
          <cell r="Z302">
            <v>0.70204189978539944</v>
          </cell>
          <cell r="AA302">
            <v>8.963407241153154E-2</v>
          </cell>
          <cell r="AB302" t="str">
            <v/>
          </cell>
          <cell r="AC302" t="e">
            <v>#N/A</v>
          </cell>
          <cell r="AD302">
            <v>215</v>
          </cell>
          <cell r="AE302" t="e">
            <v>#N/A</v>
          </cell>
          <cell r="AF302" t="str">
            <v/>
          </cell>
        </row>
        <row r="303">
          <cell r="Y303">
            <v>287</v>
          </cell>
          <cell r="Z303">
            <v>0.12439869157969952</v>
          </cell>
          <cell r="AA303">
            <v>-0.19493911431049118</v>
          </cell>
          <cell r="AB303" t="str">
            <v/>
          </cell>
          <cell r="AC303" t="e">
            <v>#N/A</v>
          </cell>
          <cell r="AD303">
            <v>216</v>
          </cell>
          <cell r="AE303" t="e">
            <v>#N/A</v>
          </cell>
          <cell r="AF303" t="str">
            <v/>
          </cell>
        </row>
        <row r="304">
          <cell r="Y304">
            <v>288</v>
          </cell>
          <cell r="Z304">
            <v>0.53297998569905758</v>
          </cell>
          <cell r="AA304">
            <v>1.3989492085075474E-2</v>
          </cell>
          <cell r="AB304" t="str">
            <v/>
          </cell>
          <cell r="AC304" t="e">
            <v>#N/A</v>
          </cell>
          <cell r="AD304">
            <v>217</v>
          </cell>
          <cell r="AE304" t="e">
            <v>#N/A</v>
          </cell>
          <cell r="AF304" t="str">
            <v/>
          </cell>
        </row>
        <row r="305">
          <cell r="Y305">
            <v>289</v>
          </cell>
          <cell r="Z305">
            <v>0.7857303898781538</v>
          </cell>
          <cell r="AA305">
            <v>0.1338206819416318</v>
          </cell>
          <cell r="AB305" t="str">
            <v/>
          </cell>
          <cell r="AC305" t="e">
            <v>#N/A</v>
          </cell>
          <cell r="AD305">
            <v>218</v>
          </cell>
          <cell r="AE305" t="e">
            <v>#N/A</v>
          </cell>
          <cell r="AF305" t="str">
            <v/>
          </cell>
        </row>
        <row r="306">
          <cell r="Y306">
            <v>290</v>
          </cell>
          <cell r="Z306">
            <v>0.11327660642564297</v>
          </cell>
          <cell r="AA306">
            <v>-0.20440654245567738</v>
          </cell>
          <cell r="AB306" t="str">
            <v/>
          </cell>
          <cell r="AC306" t="e">
            <v>#N/A</v>
          </cell>
          <cell r="AD306">
            <v>219</v>
          </cell>
          <cell r="AE306" t="e">
            <v>#N/A</v>
          </cell>
          <cell r="AF306" t="str">
            <v/>
          </cell>
        </row>
        <row r="307">
          <cell r="Y307">
            <v>291</v>
          </cell>
          <cell r="Z307">
            <v>0.53685231320559978</v>
          </cell>
          <cell r="AA307">
            <v>1.5636506352315446E-2</v>
          </cell>
          <cell r="AB307" t="str">
            <v/>
          </cell>
          <cell r="AC307" t="e">
            <v>#N/A</v>
          </cell>
          <cell r="AD307">
            <v>220</v>
          </cell>
          <cell r="AE307" t="e">
            <v>#N/A</v>
          </cell>
          <cell r="AF307" t="str">
            <v/>
          </cell>
        </row>
        <row r="308">
          <cell r="Y308">
            <v>292</v>
          </cell>
          <cell r="Z308">
            <v>0.11113606952130795</v>
          </cell>
          <cell r="AA308">
            <v>-0.2063036038380795</v>
          </cell>
          <cell r="AB308" t="str">
            <v/>
          </cell>
          <cell r="AC308" t="e">
            <v>#N/A</v>
          </cell>
          <cell r="AD308">
            <v>221</v>
          </cell>
          <cell r="AE308" t="e">
            <v>#N/A</v>
          </cell>
          <cell r="AF308" t="str">
            <v/>
          </cell>
        </row>
        <row r="309">
          <cell r="Y309">
            <v>293</v>
          </cell>
          <cell r="Z309">
            <v>0.13998198322951794</v>
          </cell>
          <cell r="AA309">
            <v>-0.18262098049841044</v>
          </cell>
          <cell r="AB309" t="str">
            <v/>
          </cell>
          <cell r="AC309" t="e">
            <v>#N/A</v>
          </cell>
          <cell r="AD309">
            <v>222</v>
          </cell>
          <cell r="AE309" t="e">
            <v>#N/A</v>
          </cell>
          <cell r="AF309" t="str">
            <v/>
          </cell>
        </row>
        <row r="310">
          <cell r="Y310">
            <v>294</v>
          </cell>
          <cell r="Z310">
            <v>0.65206096135079861</v>
          </cell>
          <cell r="AA310">
            <v>6.6072576489371079E-2</v>
          </cell>
          <cell r="AB310" t="str">
            <v/>
          </cell>
          <cell r="AC310" t="e">
            <v>#N/A</v>
          </cell>
          <cell r="AD310">
            <v>223</v>
          </cell>
          <cell r="AE310" t="e">
            <v>#N/A</v>
          </cell>
          <cell r="AF310" t="str">
            <v/>
          </cell>
        </row>
        <row r="311">
          <cell r="Y311">
            <v>295</v>
          </cell>
          <cell r="Z311">
            <v>9.0300483629107475E-2</v>
          </cell>
          <cell r="AA311">
            <v>-0.22631658087754286</v>
          </cell>
          <cell r="AB311" t="str">
            <v/>
          </cell>
          <cell r="AC311" t="e">
            <v>#N/A</v>
          </cell>
          <cell r="AD311">
            <v>224</v>
          </cell>
          <cell r="AE311" t="e">
            <v>#N/A</v>
          </cell>
          <cell r="AF311" t="str">
            <v/>
          </cell>
        </row>
        <row r="312">
          <cell r="Y312">
            <v>296</v>
          </cell>
          <cell r="Z312">
            <v>1.0197361931204796E-2</v>
          </cell>
          <cell r="AA312">
            <v>-0.39198351742727067</v>
          </cell>
          <cell r="AB312" t="str">
            <v/>
          </cell>
          <cell r="AC312" t="e">
            <v>#N/A</v>
          </cell>
          <cell r="AD312">
            <v>225</v>
          </cell>
          <cell r="AE312" t="e">
            <v>#N/A</v>
          </cell>
          <cell r="AF312" t="str">
            <v/>
          </cell>
        </row>
        <row r="313">
          <cell r="Y313">
            <v>297</v>
          </cell>
          <cell r="Z313">
            <v>0.75187775306403637</v>
          </cell>
          <cell r="AA313">
            <v>0.11501038731361166</v>
          </cell>
          <cell r="AB313" t="str">
            <v/>
          </cell>
          <cell r="AC313" t="e">
            <v>#N/A</v>
          </cell>
          <cell r="AD313">
            <v>226</v>
          </cell>
          <cell r="AE313" t="e">
            <v>#N/A</v>
          </cell>
          <cell r="AF313" t="str">
            <v/>
          </cell>
        </row>
        <row r="314">
          <cell r="Y314">
            <v>298</v>
          </cell>
          <cell r="Z314">
            <v>0.30505115352571011</v>
          </cell>
          <cell r="AA314">
            <v>-8.6193466701171784E-2</v>
          </cell>
          <cell r="AB314" t="str">
            <v/>
          </cell>
          <cell r="AC314" t="e">
            <v>#N/A</v>
          </cell>
          <cell r="AD314">
            <v>227</v>
          </cell>
          <cell r="AE314" t="e">
            <v>#N/A</v>
          </cell>
          <cell r="AF314" t="str">
            <v/>
          </cell>
        </row>
        <row r="315">
          <cell r="Y315">
            <v>299</v>
          </cell>
          <cell r="Z315">
            <v>0.50092209689319134</v>
          </cell>
          <cell r="AA315">
            <v>3.9069050573707279E-4</v>
          </cell>
          <cell r="AB315" t="str">
            <v/>
          </cell>
          <cell r="AC315" t="e">
            <v>#N/A</v>
          </cell>
          <cell r="AD315">
            <v>228</v>
          </cell>
          <cell r="AE315" t="e">
            <v>#N/A</v>
          </cell>
          <cell r="AF315" t="str">
            <v/>
          </cell>
        </row>
        <row r="316">
          <cell r="Y316">
            <v>300</v>
          </cell>
          <cell r="Z316">
            <v>0.48091917298734188</v>
          </cell>
          <cell r="AA316">
            <v>-8.0875836779201286E-3</v>
          </cell>
          <cell r="AB316" t="str">
            <v/>
          </cell>
          <cell r="AC316" t="e">
            <v>#N/A</v>
          </cell>
          <cell r="AD316">
            <v>229</v>
          </cell>
          <cell r="AE316" t="e">
            <v>#N/A</v>
          </cell>
          <cell r="AF316" t="str">
            <v/>
          </cell>
        </row>
        <row r="317">
          <cell r="Y317">
            <v>301</v>
          </cell>
          <cell r="Z317">
            <v>0.98182266764342785</v>
          </cell>
          <cell r="AA317">
            <v>0.35377113806492971</v>
          </cell>
          <cell r="AB317" t="str">
            <v/>
          </cell>
          <cell r="AC317" t="e">
            <v>#N/A</v>
          </cell>
          <cell r="AD317">
            <v>230</v>
          </cell>
          <cell r="AE317" t="e">
            <v>#N/A</v>
          </cell>
          <cell r="AF317" t="str">
            <v/>
          </cell>
        </row>
        <row r="318">
          <cell r="Y318">
            <v>302</v>
          </cell>
          <cell r="Z318">
            <v>0.44012895785272121</v>
          </cell>
          <cell r="AA318">
            <v>-2.5463190983097159E-2</v>
          </cell>
          <cell r="AB318" t="str">
            <v/>
          </cell>
          <cell r="AC318" t="e">
            <v>#N/A</v>
          </cell>
          <cell r="AD318">
            <v>231</v>
          </cell>
          <cell r="AE318" t="e">
            <v>#N/A</v>
          </cell>
          <cell r="AF318" t="str">
            <v/>
          </cell>
        </row>
        <row r="319">
          <cell r="Y319">
            <v>303</v>
          </cell>
          <cell r="Z319">
            <v>0.30020366422832012</v>
          </cell>
          <cell r="AA319">
            <v>-8.8540868682128543E-2</v>
          </cell>
          <cell r="AB319" t="str">
            <v/>
          </cell>
          <cell r="AC319" t="e">
            <v>#N/A</v>
          </cell>
          <cell r="AD319">
            <v>232</v>
          </cell>
          <cell r="AE319" t="e">
            <v>#N/A</v>
          </cell>
          <cell r="AF319" t="str">
            <v/>
          </cell>
        </row>
        <row r="320">
          <cell r="Y320">
            <v>304</v>
          </cell>
          <cell r="Z320">
            <v>0.54493083618581295</v>
          </cell>
          <cell r="AA320">
            <v>1.9077508647823913E-2</v>
          </cell>
          <cell r="AB320" t="str">
            <v/>
          </cell>
          <cell r="AC320" t="e">
            <v>#N/A</v>
          </cell>
          <cell r="AD320">
            <v>233</v>
          </cell>
          <cell r="AE320" t="e">
            <v>#N/A</v>
          </cell>
          <cell r="AF320" t="str">
            <v/>
          </cell>
        </row>
        <row r="321">
          <cell r="Y321">
            <v>305</v>
          </cell>
          <cell r="Z321">
            <v>0.44595899991691113</v>
          </cell>
          <cell r="AA321">
            <v>-2.2967515760266687E-2</v>
          </cell>
          <cell r="AB321" t="str">
            <v/>
          </cell>
          <cell r="AC321" t="e">
            <v>#N/A</v>
          </cell>
          <cell r="AD321">
            <v>234</v>
          </cell>
          <cell r="AE321" t="e">
            <v>#N/A</v>
          </cell>
          <cell r="AF321" t="str">
            <v/>
          </cell>
        </row>
        <row r="322">
          <cell r="Y322">
            <v>306</v>
          </cell>
          <cell r="Z322">
            <v>0.79663611017167568</v>
          </cell>
          <cell r="AA322">
            <v>0.14023911115234855</v>
          </cell>
          <cell r="AB322" t="str">
            <v/>
          </cell>
          <cell r="AC322" t="e">
            <v>#N/A</v>
          </cell>
          <cell r="AD322">
            <v>235</v>
          </cell>
          <cell r="AE322" t="e">
            <v>#N/A</v>
          </cell>
          <cell r="AF322" t="str">
            <v/>
          </cell>
        </row>
        <row r="323">
          <cell r="Y323">
            <v>307</v>
          </cell>
          <cell r="Z323">
            <v>0.45798618905246258</v>
          </cell>
          <cell r="AA323">
            <v>-1.783418035445895E-2</v>
          </cell>
          <cell r="AB323" t="str">
            <v/>
          </cell>
          <cell r="AC323" t="e">
            <v>#N/A</v>
          </cell>
          <cell r="AD323">
            <v>236</v>
          </cell>
          <cell r="AE323" t="e">
            <v>#N/A</v>
          </cell>
          <cell r="AF323" t="str">
            <v/>
          </cell>
        </row>
        <row r="324">
          <cell r="Y324">
            <v>308</v>
          </cell>
          <cell r="Z324">
            <v>0.84434508346021175</v>
          </cell>
          <cell r="AA324">
            <v>0.17113992147515752</v>
          </cell>
          <cell r="AB324" t="str">
            <v/>
          </cell>
          <cell r="AC324" t="e">
            <v>#N/A</v>
          </cell>
          <cell r="AD324">
            <v>237</v>
          </cell>
          <cell r="AE324" t="e">
            <v>#N/A</v>
          </cell>
          <cell r="AF324" t="str">
            <v/>
          </cell>
        </row>
        <row r="325">
          <cell r="Y325">
            <v>309</v>
          </cell>
          <cell r="Z325">
            <v>0.81108820252120495</v>
          </cell>
          <cell r="AA325">
            <v>0.14907058657440828</v>
          </cell>
          <cell r="AB325" t="str">
            <v/>
          </cell>
          <cell r="AC325" t="e">
            <v>#N/A</v>
          </cell>
          <cell r="AD325">
            <v>238</v>
          </cell>
          <cell r="AE325" t="e">
            <v>#N/A</v>
          </cell>
          <cell r="AF325" t="str">
            <v/>
          </cell>
        </row>
        <row r="326">
          <cell r="Y326">
            <v>310</v>
          </cell>
          <cell r="Z326">
            <v>0.56935868225991726</v>
          </cell>
          <cell r="AA326">
            <v>2.9536730610876971E-2</v>
          </cell>
          <cell r="AB326" t="str">
            <v/>
          </cell>
          <cell r="AC326" t="e">
            <v>#N/A</v>
          </cell>
          <cell r="AD326">
            <v>239</v>
          </cell>
          <cell r="AE326" t="e">
            <v>#N/A</v>
          </cell>
          <cell r="AF326" t="str">
            <v/>
          </cell>
        </row>
        <row r="327">
          <cell r="Y327">
            <v>311</v>
          </cell>
          <cell r="Z327">
            <v>0.22426204197108746</v>
          </cell>
          <cell r="AA327">
            <v>-0.12810474569767119</v>
          </cell>
          <cell r="AB327" t="str">
            <v/>
          </cell>
          <cell r="AC327" t="e">
            <v>#N/A</v>
          </cell>
          <cell r="AD327">
            <v>240</v>
          </cell>
          <cell r="AE327" t="e">
            <v>#N/A</v>
          </cell>
          <cell r="AF327" t="str">
            <v/>
          </cell>
        </row>
        <row r="328">
          <cell r="Y328">
            <v>312</v>
          </cell>
          <cell r="Z328">
            <v>0.33511742018163204</v>
          </cell>
          <cell r="AA328">
            <v>-7.1977684640951139E-2</v>
          </cell>
          <cell r="AB328" t="str">
            <v/>
          </cell>
          <cell r="AC328" t="e">
            <v>#N/A</v>
          </cell>
          <cell r="AD328">
            <v>241</v>
          </cell>
          <cell r="AE328" t="e">
            <v>#N/A</v>
          </cell>
          <cell r="AF328" t="str">
            <v/>
          </cell>
        </row>
        <row r="329">
          <cell r="Y329">
            <v>313</v>
          </cell>
          <cell r="Z329">
            <v>0.55834278278052807</v>
          </cell>
          <cell r="AA329">
            <v>2.4808471753228836E-2</v>
          </cell>
          <cell r="AB329" t="str">
            <v/>
          </cell>
          <cell r="AC329" t="e">
            <v>#N/A</v>
          </cell>
          <cell r="AD329">
            <v>242</v>
          </cell>
          <cell r="AE329" t="e">
            <v>#N/A</v>
          </cell>
          <cell r="AF329" t="str">
            <v/>
          </cell>
        </row>
        <row r="330">
          <cell r="Y330">
            <v>314</v>
          </cell>
          <cell r="Z330">
            <v>8.6261456832289696E-2</v>
          </cell>
          <cell r="AA330">
            <v>-0.23058206407501994</v>
          </cell>
          <cell r="AB330" t="str">
            <v/>
          </cell>
          <cell r="AC330" t="e">
            <v>#N/A</v>
          </cell>
          <cell r="AD330">
            <v>243</v>
          </cell>
          <cell r="AE330" t="e">
            <v>#N/A</v>
          </cell>
          <cell r="AF330" t="str">
            <v/>
          </cell>
        </row>
        <row r="331">
          <cell r="Y331">
            <v>315</v>
          </cell>
          <cell r="Z331">
            <v>0.68972183577716351</v>
          </cell>
          <cell r="AA331">
            <v>8.3680757813125714E-2</v>
          </cell>
          <cell r="AB331" t="str">
            <v/>
          </cell>
          <cell r="AC331" t="e">
            <v>#N/A</v>
          </cell>
          <cell r="AD331">
            <v>244</v>
          </cell>
          <cell r="AE331" t="e">
            <v>#N/A</v>
          </cell>
          <cell r="AF331" t="str">
            <v/>
          </cell>
        </row>
        <row r="332">
          <cell r="Y332">
            <v>316</v>
          </cell>
          <cell r="Z332">
            <v>0.32415550015866756</v>
          </cell>
          <cell r="AA332">
            <v>-7.7096633037190679E-2</v>
          </cell>
          <cell r="AB332" t="str">
            <v/>
          </cell>
          <cell r="AC332" t="e">
            <v>#N/A</v>
          </cell>
          <cell r="AD332">
            <v>245</v>
          </cell>
          <cell r="AE332" t="e">
            <v>#N/A</v>
          </cell>
          <cell r="AF332" t="str">
            <v/>
          </cell>
        </row>
        <row r="333">
          <cell r="Y333">
            <v>317</v>
          </cell>
          <cell r="Z333">
            <v>0.21560817770659924</v>
          </cell>
          <cell r="AA333">
            <v>-0.13304619667671103</v>
          </cell>
          <cell r="AB333" t="str">
            <v/>
          </cell>
          <cell r="AC333" t="e">
            <v>#N/A</v>
          </cell>
          <cell r="AD333">
            <v>246</v>
          </cell>
          <cell r="AE333" t="e">
            <v>#N/A</v>
          </cell>
          <cell r="AF333" t="str">
            <v/>
          </cell>
        </row>
        <row r="334">
          <cell r="Y334">
            <v>318</v>
          </cell>
          <cell r="Z334">
            <v>0.57997230254113674</v>
          </cell>
          <cell r="AA334">
            <v>3.4114249695118164E-2</v>
          </cell>
          <cell r="AB334" t="str">
            <v/>
          </cell>
          <cell r="AC334" t="e">
            <v>#N/A</v>
          </cell>
          <cell r="AD334">
            <v>247</v>
          </cell>
          <cell r="AE334" t="e">
            <v>#N/A</v>
          </cell>
          <cell r="AF334" t="str">
            <v/>
          </cell>
        </row>
        <row r="335">
          <cell r="Y335">
            <v>319</v>
          </cell>
          <cell r="Z335">
            <v>0.56505130045115948</v>
          </cell>
          <cell r="AA335">
            <v>2.7685362346662943E-2</v>
          </cell>
          <cell r="AB335" t="str">
            <v/>
          </cell>
          <cell r="AC335" t="e">
            <v>#N/A</v>
          </cell>
          <cell r="AD335">
            <v>248</v>
          </cell>
          <cell r="AE335" t="e">
            <v>#N/A</v>
          </cell>
          <cell r="AF335" t="str">
            <v/>
          </cell>
        </row>
        <row r="336">
          <cell r="Y336">
            <v>320</v>
          </cell>
          <cell r="Z336">
            <v>0.35017850063741207</v>
          </cell>
          <cell r="AA336">
            <v>-6.5049595470831223E-2</v>
          </cell>
          <cell r="AB336" t="str">
            <v/>
          </cell>
          <cell r="AC336" t="e">
            <v>#N/A</v>
          </cell>
          <cell r="AD336">
            <v>249</v>
          </cell>
          <cell r="AE336" t="e">
            <v>#N/A</v>
          </cell>
          <cell r="AF336" t="str">
            <v/>
          </cell>
        </row>
        <row r="337">
          <cell r="Y337">
            <v>321</v>
          </cell>
          <cell r="Z337">
            <v>0.5586946289986372</v>
          </cell>
          <cell r="AA337">
            <v>2.4959172312248121E-2</v>
          </cell>
          <cell r="AB337" t="str">
            <v/>
          </cell>
          <cell r="AC337" t="e">
            <v>#N/A</v>
          </cell>
          <cell r="AD337">
            <v>250</v>
          </cell>
          <cell r="AE337" t="e">
            <v>#N/A</v>
          </cell>
          <cell r="AF337" t="str">
            <v/>
          </cell>
        </row>
        <row r="338">
          <cell r="Y338">
            <v>322</v>
          </cell>
          <cell r="Z338">
            <v>0.55301654897630215</v>
          </cell>
          <cell r="AA338">
            <v>2.2529509510472147E-2</v>
          </cell>
          <cell r="AB338" t="str">
            <v/>
          </cell>
          <cell r="AC338" t="e">
            <v>#N/A</v>
          </cell>
          <cell r="AD338">
            <v>251</v>
          </cell>
          <cell r="AE338" t="e">
            <v>#N/A</v>
          </cell>
          <cell r="AF338" t="str">
            <v/>
          </cell>
        </row>
        <row r="339">
          <cell r="Y339">
            <v>323</v>
          </cell>
          <cell r="Z339">
            <v>0.67897815816104412</v>
          </cell>
          <cell r="AA339">
            <v>7.8572857002591034E-2</v>
          </cell>
          <cell r="AB339" t="str">
            <v/>
          </cell>
          <cell r="AC339" t="e">
            <v>#N/A</v>
          </cell>
          <cell r="AD339">
            <v>252</v>
          </cell>
          <cell r="AE339" t="e">
            <v>#N/A</v>
          </cell>
          <cell r="AF339" t="str">
            <v/>
          </cell>
        </row>
        <row r="340">
          <cell r="Y340">
            <v>324</v>
          </cell>
          <cell r="Z340">
            <v>0.40832649730145931</v>
          </cell>
          <cell r="AA340">
            <v>-3.9190134871867774E-2</v>
          </cell>
          <cell r="AB340" t="str">
            <v/>
          </cell>
          <cell r="AC340" t="e">
            <v>#N/A</v>
          </cell>
          <cell r="AD340">
            <v>253</v>
          </cell>
          <cell r="AE340" t="e">
            <v>#N/A</v>
          </cell>
          <cell r="AF340" t="str">
            <v/>
          </cell>
        </row>
        <row r="341">
          <cell r="Y341">
            <v>325</v>
          </cell>
          <cell r="Z341">
            <v>0.28125905804336071</v>
          </cell>
          <cell r="AA341">
            <v>-9.7886663649201455E-2</v>
          </cell>
          <cell r="AB341" t="str">
            <v/>
          </cell>
          <cell r="AC341" t="e">
            <v>#N/A</v>
          </cell>
          <cell r="AD341">
            <v>254</v>
          </cell>
          <cell r="AE341" t="e">
            <v>#N/A</v>
          </cell>
          <cell r="AF341" t="str">
            <v/>
          </cell>
        </row>
        <row r="342">
          <cell r="Y342">
            <v>326</v>
          </cell>
          <cell r="Z342">
            <v>0.23680136166512966</v>
          </cell>
          <cell r="AA342">
            <v>-0.12113249795358201</v>
          </cell>
          <cell r="AB342" t="str">
            <v/>
          </cell>
          <cell r="AC342" t="e">
            <v>#N/A</v>
          </cell>
          <cell r="AD342">
            <v>255</v>
          </cell>
          <cell r="AE342" t="e">
            <v>#N/A</v>
          </cell>
          <cell r="AF342" t="str">
            <v/>
          </cell>
        </row>
        <row r="343">
          <cell r="Y343">
            <v>327</v>
          </cell>
          <cell r="Z343">
            <v>0.69506899826228619</v>
          </cell>
          <cell r="AA343">
            <v>8.6251448016678056E-2</v>
          </cell>
          <cell r="AB343" t="str">
            <v/>
          </cell>
          <cell r="AC343" t="e">
            <v>#N/A</v>
          </cell>
          <cell r="AD343">
            <v>256</v>
          </cell>
          <cell r="AE343" t="e">
            <v>#N/A</v>
          </cell>
          <cell r="AF343" t="str">
            <v/>
          </cell>
        </row>
        <row r="344">
          <cell r="Y344">
            <v>328</v>
          </cell>
          <cell r="Z344">
            <v>1.8519839271903038E-2</v>
          </cell>
          <cell r="AA344">
            <v>-0.35248450347946569</v>
          </cell>
          <cell r="AB344" t="str">
            <v/>
          </cell>
          <cell r="AC344" t="e">
            <v>#N/A</v>
          </cell>
          <cell r="AD344">
            <v>257</v>
          </cell>
          <cell r="AE344" t="e">
            <v>#N/A</v>
          </cell>
          <cell r="AF344" t="str">
            <v/>
          </cell>
        </row>
        <row r="345">
          <cell r="Y345">
            <v>329</v>
          </cell>
          <cell r="Z345">
            <v>0.63347694091498852</v>
          </cell>
          <cell r="AA345">
            <v>5.7652422683981526E-2</v>
          </cell>
          <cell r="AB345" t="str">
            <v/>
          </cell>
          <cell r="AC345" t="e">
            <v>#N/A</v>
          </cell>
          <cell r="AD345">
            <v>258</v>
          </cell>
          <cell r="AE345" t="e">
            <v>#N/A</v>
          </cell>
          <cell r="AF345" t="str">
            <v/>
          </cell>
        </row>
        <row r="346">
          <cell r="Y346">
            <v>330</v>
          </cell>
          <cell r="Z346">
            <v>0.64435011707246304</v>
          </cell>
          <cell r="AA346">
            <v>6.2560181928641628E-2</v>
          </cell>
          <cell r="AB346" t="str">
            <v/>
          </cell>
          <cell r="AC346" t="e">
            <v>#N/A</v>
          </cell>
          <cell r="AD346">
            <v>259</v>
          </cell>
          <cell r="AE346" t="e">
            <v>#N/A</v>
          </cell>
          <cell r="AF346" t="str">
            <v/>
          </cell>
        </row>
        <row r="347">
          <cell r="Y347">
            <v>331</v>
          </cell>
          <cell r="Z347">
            <v>0.54727615229785442</v>
          </cell>
          <cell r="AA347">
            <v>2.0077902377746832E-2</v>
          </cell>
          <cell r="AB347" t="str">
            <v/>
          </cell>
          <cell r="AC347" t="e">
            <v>#N/A</v>
          </cell>
          <cell r="AD347">
            <v>260</v>
          </cell>
          <cell r="AE347" t="e">
            <v>#N/A</v>
          </cell>
          <cell r="AF347" t="str">
            <v/>
          </cell>
        </row>
        <row r="348">
          <cell r="Y348">
            <v>332</v>
          </cell>
          <cell r="Z348">
            <v>0.637568524107337</v>
          </cell>
          <cell r="AA348">
            <v>5.9493294883987219E-2</v>
          </cell>
          <cell r="AB348" t="str">
            <v/>
          </cell>
          <cell r="AC348" t="e">
            <v>#N/A</v>
          </cell>
          <cell r="AD348">
            <v>261</v>
          </cell>
          <cell r="AE348" t="e">
            <v>#N/A</v>
          </cell>
          <cell r="AF348" t="str">
            <v/>
          </cell>
        </row>
        <row r="349">
          <cell r="Y349">
            <v>333</v>
          </cell>
          <cell r="Z349">
            <v>0.52946418337523937</v>
          </cell>
          <cell r="AA349">
            <v>1.249527212207612E-2</v>
          </cell>
          <cell r="AB349" t="str">
            <v/>
          </cell>
          <cell r="AC349" t="e">
            <v>#N/A</v>
          </cell>
          <cell r="AD349">
            <v>262</v>
          </cell>
          <cell r="AE349" t="e">
            <v>#N/A</v>
          </cell>
          <cell r="AF349" t="str">
            <v/>
          </cell>
        </row>
        <row r="350">
          <cell r="Y350">
            <v>334</v>
          </cell>
          <cell r="Z350">
            <v>0.71678677760064602</v>
          </cell>
          <cell r="AA350">
            <v>9.6909167288480549E-2</v>
          </cell>
          <cell r="AB350" t="str">
            <v/>
          </cell>
          <cell r="AC350" t="e">
            <v>#N/A</v>
          </cell>
          <cell r="AD350">
            <v>263</v>
          </cell>
          <cell r="AE350" t="e">
            <v>#N/A</v>
          </cell>
          <cell r="AF350" t="str">
            <v/>
          </cell>
        </row>
        <row r="351">
          <cell r="Y351">
            <v>335</v>
          </cell>
          <cell r="Z351">
            <v>9.4234568998217583E-2</v>
          </cell>
          <cell r="AA351">
            <v>-0.22229607300793386</v>
          </cell>
          <cell r="AB351" t="str">
            <v/>
          </cell>
          <cell r="AC351" t="e">
            <v>#N/A</v>
          </cell>
          <cell r="AD351">
            <v>264</v>
          </cell>
          <cell r="AE351" t="e">
            <v>#N/A</v>
          </cell>
          <cell r="AF351" t="str">
            <v/>
          </cell>
        </row>
        <row r="352">
          <cell r="Y352">
            <v>336</v>
          </cell>
          <cell r="Z352">
            <v>0.91503157280385494</v>
          </cell>
          <cell r="AA352">
            <v>0.23197907840259196</v>
          </cell>
          <cell r="AB352" t="str">
            <v/>
          </cell>
          <cell r="AC352" t="e">
            <v>#N/A</v>
          </cell>
          <cell r="AD352">
            <v>265</v>
          </cell>
          <cell r="AE352" t="e">
            <v>#N/A</v>
          </cell>
          <cell r="AF352" t="str">
            <v/>
          </cell>
        </row>
        <row r="353">
          <cell r="Y353">
            <v>337</v>
          </cell>
          <cell r="Z353">
            <v>0.62344899587333202</v>
          </cell>
          <cell r="AA353">
            <v>5.3168952274645263E-2</v>
          </cell>
          <cell r="AB353" t="str">
            <v/>
          </cell>
          <cell r="AC353" t="e">
            <v>#N/A</v>
          </cell>
          <cell r="AD353">
            <v>266</v>
          </cell>
          <cell r="AE353" t="e">
            <v>#N/A</v>
          </cell>
          <cell r="AF353" t="str">
            <v/>
          </cell>
        </row>
        <row r="354">
          <cell r="Y354">
            <v>338</v>
          </cell>
          <cell r="Z354">
            <v>6.3570266589522362E-2</v>
          </cell>
          <cell r="AA354">
            <v>-0.2578524264042984</v>
          </cell>
          <cell r="AB354" t="str">
            <v/>
          </cell>
          <cell r="AC354" t="e">
            <v>#N/A</v>
          </cell>
          <cell r="AD354">
            <v>267</v>
          </cell>
          <cell r="AE354" t="e">
            <v>#N/A</v>
          </cell>
          <cell r="AF354" t="str">
            <v/>
          </cell>
        </row>
        <row r="355">
          <cell r="Y355">
            <v>339</v>
          </cell>
          <cell r="Z355">
            <v>0.49230868928134441</v>
          </cell>
          <cell r="AA355">
            <v>-3.2589911048613602E-3</v>
          </cell>
          <cell r="AB355" t="str">
            <v/>
          </cell>
          <cell r="AC355" t="e">
            <v>#N/A</v>
          </cell>
          <cell r="AD355">
            <v>268</v>
          </cell>
          <cell r="AE355" t="e">
            <v>#N/A</v>
          </cell>
          <cell r="AF355" t="str">
            <v/>
          </cell>
        </row>
        <row r="356">
          <cell r="Y356">
            <v>340</v>
          </cell>
          <cell r="Z356">
            <v>0.29282640479505062</v>
          </cell>
          <cell r="AA356">
            <v>-9.2146565490377016E-2</v>
          </cell>
          <cell r="AB356" t="str">
            <v/>
          </cell>
          <cell r="AC356" t="e">
            <v>#N/A</v>
          </cell>
          <cell r="AD356">
            <v>269</v>
          </cell>
          <cell r="AE356" t="e">
            <v>#N/A</v>
          </cell>
          <cell r="AF356" t="str">
            <v/>
          </cell>
        </row>
        <row r="357">
          <cell r="Y357">
            <v>341</v>
          </cell>
          <cell r="Z357">
            <v>0.85469376854598522</v>
          </cell>
          <cell r="AA357">
            <v>0.17862825276514357</v>
          </cell>
          <cell r="AB357" t="str">
            <v/>
          </cell>
          <cell r="AC357" t="e">
            <v>#N/A</v>
          </cell>
          <cell r="AD357">
            <v>270</v>
          </cell>
          <cell r="AE357" t="e">
            <v>#N/A</v>
          </cell>
          <cell r="AF357" t="str">
            <v/>
          </cell>
        </row>
        <row r="358">
          <cell r="Y358">
            <v>342</v>
          </cell>
          <cell r="Z358">
            <v>0.79647884331643581</v>
          </cell>
          <cell r="AA358">
            <v>0.14014512470378954</v>
          </cell>
          <cell r="AB358" t="str">
            <v/>
          </cell>
          <cell r="AC358" t="e">
            <v>#N/A</v>
          </cell>
          <cell r="AD358">
            <v>271</v>
          </cell>
          <cell r="AE358" t="e">
            <v>#N/A</v>
          </cell>
          <cell r="AF358" t="str">
            <v/>
          </cell>
        </row>
        <row r="359">
          <cell r="Y359">
            <v>343</v>
          </cell>
          <cell r="Z359">
            <v>0.78738932125270367</v>
          </cell>
          <cell r="AA359">
            <v>0.13478444410751089</v>
          </cell>
          <cell r="AB359" t="str">
            <v/>
          </cell>
          <cell r="AC359" t="e">
            <v>#N/A</v>
          </cell>
          <cell r="AD359">
            <v>272</v>
          </cell>
          <cell r="AE359" t="e">
            <v>#N/A</v>
          </cell>
          <cell r="AF359" t="str">
            <v/>
          </cell>
        </row>
        <row r="360">
          <cell r="Y360">
            <v>344</v>
          </cell>
          <cell r="Z360">
            <v>0.44858821295201778</v>
          </cell>
          <cell r="AA360">
            <v>-2.18436929673133E-2</v>
          </cell>
          <cell r="AB360" t="str">
            <v/>
          </cell>
          <cell r="AC360" t="e">
            <v>#N/A</v>
          </cell>
          <cell r="AD360">
            <v>273</v>
          </cell>
          <cell r="AE360" t="e">
            <v>#N/A</v>
          </cell>
          <cell r="AF360" t="str">
            <v/>
          </cell>
        </row>
        <row r="361">
          <cell r="Y361">
            <v>345</v>
          </cell>
          <cell r="Z361">
            <v>0.96116694621741772</v>
          </cell>
          <cell r="AA361">
            <v>0.29823657725100799</v>
          </cell>
          <cell r="AB361" t="str">
            <v/>
          </cell>
          <cell r="AC361" t="e">
            <v>#N/A</v>
          </cell>
          <cell r="AD361">
            <v>274</v>
          </cell>
          <cell r="AE361" t="e">
            <v>#N/A</v>
          </cell>
          <cell r="AF361" t="str">
            <v/>
          </cell>
        </row>
        <row r="362">
          <cell r="Y362">
            <v>346</v>
          </cell>
          <cell r="Z362">
            <v>0.95734447799623013</v>
          </cell>
          <cell r="AA362">
            <v>0.290846015623906</v>
          </cell>
          <cell r="AB362" t="str">
            <v/>
          </cell>
          <cell r="AC362" t="e">
            <v>#N/A</v>
          </cell>
          <cell r="AD362">
            <v>275</v>
          </cell>
          <cell r="AE362" t="e">
            <v>#N/A</v>
          </cell>
          <cell r="AF362" t="str">
            <v/>
          </cell>
        </row>
        <row r="363">
          <cell r="Y363">
            <v>347</v>
          </cell>
          <cell r="Z363">
            <v>0.22544051520526409</v>
          </cell>
          <cell r="AA363">
            <v>-0.12744030766893799</v>
          </cell>
          <cell r="AB363" t="str">
            <v/>
          </cell>
          <cell r="AC363" t="e">
            <v>#N/A</v>
          </cell>
          <cell r="AD363">
            <v>276</v>
          </cell>
          <cell r="AE363" t="e">
            <v>#N/A</v>
          </cell>
          <cell r="AF363" t="str">
            <v/>
          </cell>
        </row>
        <row r="364">
          <cell r="Y364">
            <v>348</v>
          </cell>
          <cell r="Z364">
            <v>8.2779338583350182E-2</v>
          </cell>
          <cell r="AA364">
            <v>-0.23438099856357617</v>
          </cell>
          <cell r="AB364" t="str">
            <v/>
          </cell>
          <cell r="AC364" t="e">
            <v>#N/A</v>
          </cell>
          <cell r="AD364">
            <v>277</v>
          </cell>
          <cell r="AE364" t="e">
            <v>#N/A</v>
          </cell>
          <cell r="AF364" t="str">
            <v/>
          </cell>
        </row>
        <row r="365">
          <cell r="Y365">
            <v>349</v>
          </cell>
          <cell r="Z365">
            <v>0.46196490339934826</v>
          </cell>
          <cell r="AA365">
            <v>-1.6139867661828688E-2</v>
          </cell>
          <cell r="AB365" t="str">
            <v/>
          </cell>
          <cell r="AC365" t="e">
            <v>#N/A</v>
          </cell>
          <cell r="AD365">
            <v>278</v>
          </cell>
          <cell r="AE365" t="e">
            <v>#N/A</v>
          </cell>
          <cell r="AF365" t="str">
            <v/>
          </cell>
        </row>
        <row r="366">
          <cell r="Y366">
            <v>350</v>
          </cell>
          <cell r="Z366">
            <v>3.9537226781249046E-2</v>
          </cell>
          <cell r="AA366">
            <v>-0.29683198981238795</v>
          </cell>
          <cell r="AB366" t="str">
            <v/>
          </cell>
          <cell r="AC366" t="e">
            <v>#N/A</v>
          </cell>
          <cell r="AD366">
            <v>279</v>
          </cell>
          <cell r="AE366" t="e">
            <v>#N/A</v>
          </cell>
          <cell r="AF366" t="str">
            <v/>
          </cell>
        </row>
        <row r="367">
          <cell r="Y367">
            <v>351</v>
          </cell>
          <cell r="Z367">
            <v>0.78179643861949444</v>
          </cell>
          <cell r="AA367">
            <v>0.13155242461949546</v>
          </cell>
          <cell r="AB367" t="str">
            <v/>
          </cell>
          <cell r="AC367" t="e">
            <v>#N/A</v>
          </cell>
          <cell r="AD367">
            <v>280</v>
          </cell>
          <cell r="AE367" t="e">
            <v>#N/A</v>
          </cell>
          <cell r="AF367" t="str">
            <v/>
          </cell>
        </row>
        <row r="368">
          <cell r="Y368">
            <v>352</v>
          </cell>
          <cell r="Z368">
            <v>0.54954864643514156</v>
          </cell>
          <cell r="AA368">
            <v>2.1047904906164785E-2</v>
          </cell>
          <cell r="AB368" t="str">
            <v/>
          </cell>
          <cell r="AC368" t="e">
            <v>#N/A</v>
          </cell>
          <cell r="AD368">
            <v>281</v>
          </cell>
          <cell r="AE368" t="e">
            <v>#N/A</v>
          </cell>
          <cell r="AF368" t="str">
            <v/>
          </cell>
        </row>
        <row r="369">
          <cell r="Y369">
            <v>353</v>
          </cell>
          <cell r="Z369">
            <v>0.6084838192909956</v>
          </cell>
          <cell r="AA369">
            <v>4.6545943695042072E-2</v>
          </cell>
          <cell r="AB369" t="str">
            <v/>
          </cell>
          <cell r="AC369" t="e">
            <v>#N/A</v>
          </cell>
          <cell r="AD369">
            <v>282</v>
          </cell>
          <cell r="AE369" t="e">
            <v>#N/A</v>
          </cell>
          <cell r="AF369" t="str">
            <v/>
          </cell>
        </row>
        <row r="370">
          <cell r="Y370">
            <v>354</v>
          </cell>
          <cell r="Z370">
            <v>0.10319960676133633</v>
          </cell>
          <cell r="AA370">
            <v>-0.21357534339952616</v>
          </cell>
          <cell r="AB370" t="str">
            <v/>
          </cell>
          <cell r="AC370" t="e">
            <v>#N/A</v>
          </cell>
          <cell r="AD370">
            <v>283</v>
          </cell>
          <cell r="AE370" t="e">
            <v>#N/A</v>
          </cell>
          <cell r="AF370" t="str">
            <v/>
          </cell>
        </row>
        <row r="371">
          <cell r="Y371">
            <v>355</v>
          </cell>
          <cell r="Z371">
            <v>0.40920825116336346</v>
          </cell>
          <cell r="AA371">
            <v>-3.8806461026220686E-2</v>
          </cell>
          <cell r="AB371" t="str">
            <v/>
          </cell>
          <cell r="AC371" t="e">
            <v>#N/A</v>
          </cell>
          <cell r="AD371">
            <v>284</v>
          </cell>
          <cell r="AE371" t="e">
            <v>#N/A</v>
          </cell>
          <cell r="AF371" t="str">
            <v/>
          </cell>
        </row>
        <row r="372">
          <cell r="Y372">
            <v>356</v>
          </cell>
          <cell r="Z372">
            <v>0.83134089969098568</v>
          </cell>
          <cell r="AA372">
            <v>0.16218131460372634</v>
          </cell>
          <cell r="AB372" t="str">
            <v/>
          </cell>
          <cell r="AC372" t="e">
            <v>#N/A</v>
          </cell>
          <cell r="AD372">
            <v>285</v>
          </cell>
          <cell r="AE372" t="e">
            <v>#N/A</v>
          </cell>
          <cell r="AF372" t="str">
            <v/>
          </cell>
        </row>
        <row r="373">
          <cell r="Y373">
            <v>357</v>
          </cell>
          <cell r="Z373">
            <v>0.80434155277907848</v>
          </cell>
          <cell r="AA373">
            <v>0.14489858903332528</v>
          </cell>
          <cell r="AB373" t="str">
            <v/>
          </cell>
          <cell r="AC373" t="e">
            <v>#N/A</v>
          </cell>
          <cell r="AD373">
            <v>286</v>
          </cell>
          <cell r="AE373" t="e">
            <v>#N/A</v>
          </cell>
          <cell r="AF373" t="str">
            <v/>
          </cell>
        </row>
        <row r="374">
          <cell r="Y374">
            <v>358</v>
          </cell>
          <cell r="Z374">
            <v>0.98423097096383572</v>
          </cell>
          <cell r="AA374">
            <v>0.36345300066642933</v>
          </cell>
          <cell r="AB374" t="str">
            <v/>
          </cell>
          <cell r="AC374" t="e">
            <v>#N/A</v>
          </cell>
          <cell r="AD374">
            <v>287</v>
          </cell>
          <cell r="AE374" t="e">
            <v>#N/A</v>
          </cell>
          <cell r="AF374" t="str">
            <v/>
          </cell>
        </row>
        <row r="375">
          <cell r="Y375">
            <v>359</v>
          </cell>
          <cell r="Z375">
            <v>0.5046409796923399</v>
          </cell>
          <cell r="AA375">
            <v>1.9664158949710044E-3</v>
          </cell>
          <cell r="AB375" t="str">
            <v/>
          </cell>
          <cell r="AC375" t="e">
            <v>#N/A</v>
          </cell>
          <cell r="AD375">
            <v>288</v>
          </cell>
          <cell r="AE375" t="e">
            <v>#N/A</v>
          </cell>
          <cell r="AF375" t="str">
            <v/>
          </cell>
        </row>
        <row r="376">
          <cell r="Y376">
            <v>360</v>
          </cell>
          <cell r="Z376">
            <v>0.35725613497197628</v>
          </cell>
          <cell r="AA376">
            <v>-6.1831949601464861E-2</v>
          </cell>
          <cell r="AB376" t="str">
            <v/>
          </cell>
          <cell r="AC376" t="e">
            <v>#N/A</v>
          </cell>
          <cell r="AD376">
            <v>289</v>
          </cell>
          <cell r="AE376" t="e">
            <v>#N/A</v>
          </cell>
          <cell r="AF376" t="str">
            <v/>
          </cell>
        </row>
        <row r="377">
          <cell r="Y377">
            <v>361</v>
          </cell>
          <cell r="Z377">
            <v>0.99404951743781567</v>
          </cell>
          <cell r="AA377">
            <v>0.42512397205924968</v>
          </cell>
          <cell r="AB377" t="str">
            <v/>
          </cell>
          <cell r="AC377" t="e">
            <v>#N/A</v>
          </cell>
          <cell r="AD377">
            <v>290</v>
          </cell>
          <cell r="AE377" t="e">
            <v>#N/A</v>
          </cell>
          <cell r="AF377" t="str">
            <v/>
          </cell>
        </row>
        <row r="378">
          <cell r="Y378">
            <v>362</v>
          </cell>
          <cell r="Z378">
            <v>9.7021883353590965E-2</v>
          </cell>
          <cell r="AA378">
            <v>-0.21952191081479974</v>
          </cell>
          <cell r="AB378" t="str">
            <v/>
          </cell>
          <cell r="AC378" t="e">
            <v>#N/A</v>
          </cell>
          <cell r="AD378">
            <v>291</v>
          </cell>
          <cell r="AE378" t="e">
            <v>#N/A</v>
          </cell>
          <cell r="AF378" t="str">
            <v/>
          </cell>
        </row>
        <row r="379">
          <cell r="Y379">
            <v>363</v>
          </cell>
          <cell r="Z379">
            <v>9.4820393249392509E-2</v>
          </cell>
          <cell r="AA379">
            <v>-0.22170804770577135</v>
          </cell>
          <cell r="AB379" t="str">
            <v/>
          </cell>
          <cell r="AC379" t="e">
            <v>#N/A</v>
          </cell>
          <cell r="AD379">
            <v>292</v>
          </cell>
          <cell r="AE379" t="e">
            <v>#N/A</v>
          </cell>
          <cell r="AF379" t="str">
            <v/>
          </cell>
        </row>
        <row r="380">
          <cell r="Y380">
            <v>364</v>
          </cell>
          <cell r="Z380">
            <v>0.16515903733670712</v>
          </cell>
          <cell r="AA380">
            <v>-0.16454703703948859</v>
          </cell>
          <cell r="AB380" t="str">
            <v/>
          </cell>
          <cell r="AC380" t="e">
            <v>#N/A</v>
          </cell>
          <cell r="AD380">
            <v>293</v>
          </cell>
          <cell r="AE380" t="e">
            <v>#N/A</v>
          </cell>
          <cell r="AF380" t="str">
            <v/>
          </cell>
        </row>
        <row r="381">
          <cell r="Y381">
            <v>365</v>
          </cell>
          <cell r="Z381">
            <v>0.5204345565289259</v>
          </cell>
          <cell r="AA381">
            <v>8.6618602015252916E-3</v>
          </cell>
          <cell r="AB381" t="str">
            <v/>
          </cell>
          <cell r="AC381" t="e">
            <v>#N/A</v>
          </cell>
          <cell r="AD381">
            <v>294</v>
          </cell>
          <cell r="AE381" t="e">
            <v>#N/A</v>
          </cell>
          <cell r="AF381" t="str">
            <v/>
          </cell>
        </row>
        <row r="382">
          <cell r="Y382">
            <v>366</v>
          </cell>
          <cell r="Z382">
            <v>0.33093849383294582</v>
          </cell>
          <cell r="AA382">
            <v>-7.3921109091170306E-2</v>
          </cell>
          <cell r="AB382" t="str">
            <v/>
          </cell>
          <cell r="AC382" t="e">
            <v>#N/A</v>
          </cell>
          <cell r="AD382">
            <v>295</v>
          </cell>
          <cell r="AE382" t="e">
            <v>#N/A</v>
          </cell>
          <cell r="AF382" t="str">
            <v/>
          </cell>
        </row>
        <row r="383">
          <cell r="Y383">
            <v>367</v>
          </cell>
          <cell r="Z383">
            <v>0.24052987806499004</v>
          </cell>
          <cell r="AA383">
            <v>-0.11909898616144568</v>
          </cell>
          <cell r="AB383" t="str">
            <v/>
          </cell>
          <cell r="AC383" t="e">
            <v>#N/A</v>
          </cell>
          <cell r="AD383">
            <v>296</v>
          </cell>
          <cell r="AE383" t="e">
            <v>#N/A</v>
          </cell>
          <cell r="AF383" t="str">
            <v/>
          </cell>
        </row>
        <row r="384">
          <cell r="Y384">
            <v>368</v>
          </cell>
          <cell r="Z384">
            <v>0.90753831528127193</v>
          </cell>
          <cell r="AA384">
            <v>0.22409221714830055</v>
          </cell>
          <cell r="AB384" t="str">
            <v/>
          </cell>
          <cell r="AC384" t="e">
            <v>#N/A</v>
          </cell>
          <cell r="AD384">
            <v>297</v>
          </cell>
          <cell r="AE384" t="e">
            <v>#N/A</v>
          </cell>
          <cell r="AF384" t="str">
            <v/>
          </cell>
        </row>
        <row r="385">
          <cell r="Y385">
            <v>369</v>
          </cell>
          <cell r="Z385">
            <v>0.95081081800162792</v>
          </cell>
          <cell r="AA385">
            <v>0.27936855317549497</v>
          </cell>
          <cell r="AB385" t="str">
            <v/>
          </cell>
          <cell r="AC385" t="e">
            <v>#N/A</v>
          </cell>
          <cell r="AD385">
            <v>298</v>
          </cell>
          <cell r="AE385" t="e">
            <v>#N/A</v>
          </cell>
          <cell r="AF385" t="str">
            <v/>
          </cell>
        </row>
        <row r="386">
          <cell r="Y386">
            <v>370</v>
          </cell>
          <cell r="Z386">
            <v>0.54055691324174404</v>
          </cell>
          <cell r="AA386">
            <v>1.7213569860324688E-2</v>
          </cell>
          <cell r="AB386" t="str">
            <v/>
          </cell>
          <cell r="AC386" t="e">
            <v>#N/A</v>
          </cell>
          <cell r="AD386">
            <v>299</v>
          </cell>
          <cell r="AE386" t="e">
            <v>#N/A</v>
          </cell>
          <cell r="AF386" t="str">
            <v/>
          </cell>
        </row>
        <row r="387">
          <cell r="Y387">
            <v>371</v>
          </cell>
          <cell r="Z387">
            <v>0.15965731255710125</v>
          </cell>
          <cell r="AA387">
            <v>-0.16833229722870807</v>
          </cell>
          <cell r="AB387" t="str">
            <v/>
          </cell>
          <cell r="AC387" t="e">
            <v>#N/A</v>
          </cell>
          <cell r="AD387">
            <v>300</v>
          </cell>
          <cell r="AE387" t="e">
            <v>#N/A</v>
          </cell>
          <cell r="AF387" t="str">
            <v/>
          </cell>
        </row>
        <row r="388">
          <cell r="Y388">
            <v>372</v>
          </cell>
          <cell r="Z388">
            <v>0.20111607573926449</v>
          </cell>
          <cell r="AA388">
            <v>-0.14158723337224907</v>
          </cell>
          <cell r="AB388" t="str">
            <v/>
          </cell>
          <cell r="AC388" t="e">
            <v>#N/A</v>
          </cell>
          <cell r="AD388">
            <v>301</v>
          </cell>
          <cell r="AE388" t="e">
            <v>#N/A</v>
          </cell>
          <cell r="AF388" t="str">
            <v/>
          </cell>
        </row>
        <row r="389">
          <cell r="Y389">
            <v>373</v>
          </cell>
          <cell r="Z389">
            <v>0.3719016294926405</v>
          </cell>
          <cell r="AA389">
            <v>-5.5242835354744772E-2</v>
          </cell>
          <cell r="AB389" t="str">
            <v/>
          </cell>
          <cell r="AC389" t="e">
            <v>#N/A</v>
          </cell>
          <cell r="AD389">
            <v>302</v>
          </cell>
          <cell r="AE389" t="e">
            <v>#N/A</v>
          </cell>
          <cell r="AF389" t="str">
            <v/>
          </cell>
        </row>
        <row r="390">
          <cell r="Y390">
            <v>374</v>
          </cell>
          <cell r="Z390">
            <v>0.12964758835732937</v>
          </cell>
          <cell r="AA390">
            <v>-0.19067670310490439</v>
          </cell>
          <cell r="AB390" t="str">
            <v/>
          </cell>
          <cell r="AC390" t="e">
            <v>#N/A</v>
          </cell>
          <cell r="AD390">
            <v>303</v>
          </cell>
          <cell r="AE390" t="e">
            <v>#N/A</v>
          </cell>
          <cell r="AF390" t="str">
            <v/>
          </cell>
        </row>
        <row r="391">
          <cell r="Y391">
            <v>375</v>
          </cell>
          <cell r="Z391">
            <v>0.56899194233119488</v>
          </cell>
          <cell r="AA391">
            <v>2.9378966116688717E-2</v>
          </cell>
          <cell r="AB391" t="str">
            <v/>
          </cell>
          <cell r="AC391" t="e">
            <v>#N/A</v>
          </cell>
          <cell r="AD391">
            <v>304</v>
          </cell>
          <cell r="AE391" t="e">
            <v>#N/A</v>
          </cell>
          <cell r="AF391" t="str">
            <v/>
          </cell>
        </row>
        <row r="392">
          <cell r="Y392">
            <v>376</v>
          </cell>
          <cell r="Z392">
            <v>0.82020719908177853</v>
          </cell>
          <cell r="AA392">
            <v>0.15485845992927608</v>
          </cell>
          <cell r="AB392" t="str">
            <v/>
          </cell>
          <cell r="AC392" t="e">
            <v>#N/A</v>
          </cell>
          <cell r="AD392">
            <v>305</v>
          </cell>
          <cell r="AE392" t="e">
            <v>#N/A</v>
          </cell>
          <cell r="AF392" t="str">
            <v/>
          </cell>
        </row>
        <row r="393">
          <cell r="Y393">
            <v>377</v>
          </cell>
          <cell r="Z393">
            <v>0.65351137332618237</v>
          </cell>
          <cell r="AA393">
            <v>6.6736412540176926E-2</v>
          </cell>
          <cell r="AB393" t="str">
            <v/>
          </cell>
          <cell r="AC393" t="e">
            <v>#N/A</v>
          </cell>
          <cell r="AD393">
            <v>306</v>
          </cell>
          <cell r="AE393" t="e">
            <v>#N/A</v>
          </cell>
          <cell r="AF393" t="str">
            <v/>
          </cell>
        </row>
        <row r="394">
          <cell r="Y394">
            <v>378</v>
          </cell>
          <cell r="Z394">
            <v>0.22890967689454556</v>
          </cell>
          <cell r="AA394">
            <v>-0.1254956663228568</v>
          </cell>
          <cell r="AB394" t="str">
            <v/>
          </cell>
          <cell r="AC394" t="e">
            <v>#N/A</v>
          </cell>
          <cell r="AD394">
            <v>307</v>
          </cell>
          <cell r="AE394" t="e">
            <v>#N/A</v>
          </cell>
          <cell r="AF394" t="str">
            <v/>
          </cell>
        </row>
        <row r="395">
          <cell r="Y395">
            <v>379</v>
          </cell>
          <cell r="Z395">
            <v>0.74477125518023968</v>
          </cell>
          <cell r="AA395">
            <v>0.11124351377091866</v>
          </cell>
          <cell r="AB395" t="str">
            <v/>
          </cell>
          <cell r="AC395" t="e">
            <v>#N/A</v>
          </cell>
          <cell r="AD395">
            <v>308</v>
          </cell>
          <cell r="AE395" t="e">
            <v>#N/A</v>
          </cell>
          <cell r="AF395" t="str">
            <v/>
          </cell>
        </row>
        <row r="396">
          <cell r="Y396">
            <v>380</v>
          </cell>
          <cell r="Z396">
            <v>0.2338287141174078</v>
          </cell>
          <cell r="AA396">
            <v>-0.12276640409822454</v>
          </cell>
          <cell r="AB396" t="str">
            <v/>
          </cell>
          <cell r="AC396" t="e">
            <v>#N/A</v>
          </cell>
          <cell r="AD396">
            <v>309</v>
          </cell>
          <cell r="AE396" t="e">
            <v>#N/A</v>
          </cell>
          <cell r="AF396" t="str">
            <v/>
          </cell>
        </row>
        <row r="397">
          <cell r="Y397">
            <v>381</v>
          </cell>
          <cell r="Z397">
            <v>0.18094736151397228</v>
          </cell>
          <cell r="AA397">
            <v>-0.15411568044554544</v>
          </cell>
          <cell r="AB397" t="str">
            <v/>
          </cell>
          <cell r="AC397" t="e">
            <v>#N/A</v>
          </cell>
          <cell r="AD397">
            <v>310</v>
          </cell>
          <cell r="AE397" t="e">
            <v>#N/A</v>
          </cell>
          <cell r="AF397" t="str">
            <v/>
          </cell>
        </row>
        <row r="398">
          <cell r="Y398">
            <v>382</v>
          </cell>
          <cell r="Z398">
            <v>0.96745542250573635</v>
          </cell>
          <cell r="AA398">
            <v>0.31180196215791128</v>
          </cell>
          <cell r="AB398" t="str">
            <v/>
          </cell>
          <cell r="AC398" t="e">
            <v>#N/A</v>
          </cell>
          <cell r="AD398">
            <v>311</v>
          </cell>
          <cell r="AE398" t="e">
            <v>#N/A</v>
          </cell>
          <cell r="AF398" t="str">
            <v/>
          </cell>
        </row>
        <row r="399">
          <cell r="Y399">
            <v>383</v>
          </cell>
          <cell r="Z399">
            <v>0.8019778560847044</v>
          </cell>
          <cell r="AA399">
            <v>0.14345768533714193</v>
          </cell>
          <cell r="AB399" t="str">
            <v/>
          </cell>
          <cell r="AC399" t="e">
            <v>#N/A</v>
          </cell>
          <cell r="AD399">
            <v>312</v>
          </cell>
          <cell r="AE399" t="e">
            <v>#N/A</v>
          </cell>
          <cell r="AF399" t="str">
            <v/>
          </cell>
        </row>
        <row r="400">
          <cell r="Y400">
            <v>384</v>
          </cell>
          <cell r="Z400">
            <v>0.98655917309224606</v>
          </cell>
          <cell r="AA400">
            <v>0.3741044911777453</v>
          </cell>
          <cell r="AB400" t="str">
            <v/>
          </cell>
          <cell r="AC400" t="e">
            <v>#N/A</v>
          </cell>
          <cell r="AD400">
            <v>313</v>
          </cell>
          <cell r="AE400" t="e">
            <v>#N/A</v>
          </cell>
          <cell r="AF400" t="str">
            <v/>
          </cell>
        </row>
        <row r="401">
          <cell r="Y401">
            <v>385</v>
          </cell>
          <cell r="Z401">
            <v>0.556191710755229</v>
          </cell>
          <cell r="AA401">
            <v>2.3887562242195865E-2</v>
          </cell>
          <cell r="AB401" t="str">
            <v/>
          </cell>
          <cell r="AC401" t="e">
            <v>#N/A</v>
          </cell>
          <cell r="AD401">
            <v>314</v>
          </cell>
          <cell r="AE401" t="e">
            <v>#N/A</v>
          </cell>
          <cell r="AF401" t="str">
            <v/>
          </cell>
        </row>
        <row r="402">
          <cell r="Y402">
            <v>386</v>
          </cell>
          <cell r="Z402">
            <v>0.33804452978074551</v>
          </cell>
          <cell r="AA402">
            <v>-7.0622081551198729E-2</v>
          </cell>
          <cell r="AB402" t="str">
            <v/>
          </cell>
          <cell r="AC402" t="e">
            <v>#N/A</v>
          </cell>
          <cell r="AD402">
            <v>315</v>
          </cell>
          <cell r="AE402" t="e">
            <v>#N/A</v>
          </cell>
          <cell r="AF402" t="str">
            <v/>
          </cell>
        </row>
        <row r="403">
          <cell r="Y403">
            <v>387</v>
          </cell>
          <cell r="Z403">
            <v>0.69238634221255779</v>
          </cell>
          <cell r="AA403">
            <v>8.4959283726819906E-2</v>
          </cell>
          <cell r="AB403" t="str">
            <v/>
          </cell>
          <cell r="AC403" t="e">
            <v>#N/A</v>
          </cell>
          <cell r="AD403">
            <v>316</v>
          </cell>
          <cell r="AE403" t="e">
            <v>#N/A</v>
          </cell>
          <cell r="AF403" t="str">
            <v/>
          </cell>
        </row>
        <row r="404">
          <cell r="Y404">
            <v>388</v>
          </cell>
          <cell r="Z404">
            <v>0.42314802668988705</v>
          </cell>
          <cell r="AA404">
            <v>-3.2766043683843678E-2</v>
          </cell>
          <cell r="AB404" t="str">
            <v/>
          </cell>
          <cell r="AC404" t="e">
            <v>#N/A</v>
          </cell>
          <cell r="AD404">
            <v>317</v>
          </cell>
          <cell r="AE404" t="e">
            <v>#N/A</v>
          </cell>
          <cell r="AF404" t="str">
            <v/>
          </cell>
        </row>
        <row r="405">
          <cell r="Y405">
            <v>389</v>
          </cell>
          <cell r="Z405">
            <v>0.76782321743667126</v>
          </cell>
          <cell r="AA405">
            <v>0.12367935624086018</v>
          </cell>
          <cell r="AB405" t="str">
            <v/>
          </cell>
          <cell r="AC405" t="e">
            <v>#N/A</v>
          </cell>
          <cell r="AD405">
            <v>318</v>
          </cell>
          <cell r="AE405" t="e">
            <v>#N/A</v>
          </cell>
          <cell r="AF405" t="str">
            <v/>
          </cell>
        </row>
        <row r="406">
          <cell r="Y406">
            <v>390</v>
          </cell>
          <cell r="Z406">
            <v>0.15606853924691677</v>
          </cell>
          <cell r="AA406">
            <v>-0.17084758693205768</v>
          </cell>
          <cell r="AB406" t="str">
            <v/>
          </cell>
          <cell r="AC406" t="e">
            <v>#N/A</v>
          </cell>
          <cell r="AD406">
            <v>319</v>
          </cell>
          <cell r="AE406" t="e">
            <v>#N/A</v>
          </cell>
          <cell r="AF406" t="str">
            <v/>
          </cell>
        </row>
        <row r="407">
          <cell r="Y407">
            <v>391</v>
          </cell>
          <cell r="Z407">
            <v>0.42136017791926861</v>
          </cell>
          <cell r="AA407">
            <v>-3.3538262038070837E-2</v>
          </cell>
          <cell r="AB407" t="str">
            <v/>
          </cell>
          <cell r="AC407" t="e">
            <v>#N/A</v>
          </cell>
          <cell r="AD407">
            <v>320</v>
          </cell>
          <cell r="AE407" t="e">
            <v>#N/A</v>
          </cell>
          <cell r="AF407" t="str">
            <v/>
          </cell>
        </row>
        <row r="408">
          <cell r="Y408">
            <v>392</v>
          </cell>
          <cell r="Z408">
            <v>0.25687499903142452</v>
          </cell>
          <cell r="AA408">
            <v>-0.11037879235769008</v>
          </cell>
          <cell r="AB408" t="str">
            <v/>
          </cell>
          <cell r="AC408" t="e">
            <v>#N/A</v>
          </cell>
          <cell r="AD408">
            <v>321</v>
          </cell>
          <cell r="AE408" t="e">
            <v>#N/A</v>
          </cell>
          <cell r="AF408" t="str">
            <v/>
          </cell>
        </row>
        <row r="409">
          <cell r="Y409">
            <v>393</v>
          </cell>
          <cell r="Z409">
            <v>0.32968923263251781</v>
          </cell>
          <cell r="AA409">
            <v>-7.4503973037092247E-2</v>
          </cell>
          <cell r="AB409" t="str">
            <v/>
          </cell>
          <cell r="AC409" t="e">
            <v>#N/A</v>
          </cell>
          <cell r="AD409">
            <v>322</v>
          </cell>
          <cell r="AE409" t="e">
            <v>#N/A</v>
          </cell>
          <cell r="AF409" t="str">
            <v/>
          </cell>
        </row>
        <row r="410">
          <cell r="Y410">
            <v>394</v>
          </cell>
          <cell r="Z410">
            <v>0.61228520236909389</v>
          </cell>
          <cell r="AA410">
            <v>4.8221129745320793E-2</v>
          </cell>
          <cell r="AB410" t="str">
            <v/>
          </cell>
          <cell r="AC410" t="e">
            <v>#N/A</v>
          </cell>
          <cell r="AD410">
            <v>323</v>
          </cell>
          <cell r="AE410" t="e">
            <v>#N/A</v>
          </cell>
          <cell r="AF410" t="str">
            <v/>
          </cell>
        </row>
        <row r="411">
          <cell r="Y411">
            <v>395</v>
          </cell>
          <cell r="Z411">
            <v>0.9833985697478056</v>
          </cell>
          <cell r="AA411">
            <v>0.35997176311348095</v>
          </cell>
          <cell r="AB411" t="str">
            <v/>
          </cell>
          <cell r="AC411" t="e">
            <v>#N/A</v>
          </cell>
          <cell r="AD411">
            <v>324</v>
          </cell>
          <cell r="AE411" t="e">
            <v>#N/A</v>
          </cell>
          <cell r="AF411" t="str">
            <v/>
          </cell>
        </row>
        <row r="412">
          <cell r="Y412">
            <v>396</v>
          </cell>
          <cell r="Z412">
            <v>0.48165946267545223</v>
          </cell>
          <cell r="AA412">
            <v>-7.7735793173126146E-3</v>
          </cell>
          <cell r="AB412" t="str">
            <v/>
          </cell>
          <cell r="AC412" t="e">
            <v>#N/A</v>
          </cell>
          <cell r="AD412">
            <v>325</v>
          </cell>
          <cell r="AE412" t="e">
            <v>#N/A</v>
          </cell>
          <cell r="AF412" t="str">
            <v/>
          </cell>
        </row>
        <row r="413">
          <cell r="Y413">
            <v>397</v>
          </cell>
          <cell r="Z413">
            <v>0.88832753710448742</v>
          </cell>
          <cell r="AA413">
            <v>0.20582578643158073</v>
          </cell>
          <cell r="AB413" t="str">
            <v/>
          </cell>
          <cell r="AC413" t="e">
            <v>#N/A</v>
          </cell>
          <cell r="AD413">
            <v>326</v>
          </cell>
          <cell r="AE413" t="e">
            <v>#N/A</v>
          </cell>
          <cell r="AF413" t="str">
            <v/>
          </cell>
        </row>
        <row r="414">
          <cell r="Y414">
            <v>398</v>
          </cell>
          <cell r="Z414">
            <v>0.91930285654962063</v>
          </cell>
          <cell r="AA414">
            <v>0.23671039879274888</v>
          </cell>
          <cell r="AB414" t="str">
            <v/>
          </cell>
          <cell r="AC414" t="e">
            <v>#N/A</v>
          </cell>
          <cell r="AD414">
            <v>327</v>
          </cell>
          <cell r="AE414" t="e">
            <v>#N/A</v>
          </cell>
          <cell r="AF414" t="str">
            <v/>
          </cell>
        </row>
        <row r="415">
          <cell r="Y415">
            <v>399</v>
          </cell>
          <cell r="Z415">
            <v>0.5164333414286375</v>
          </cell>
          <cell r="AA415">
            <v>6.9647360934892502E-3</v>
          </cell>
          <cell r="AB415" t="str">
            <v/>
          </cell>
          <cell r="AC415" t="e">
            <v>#N/A</v>
          </cell>
          <cell r="AD415">
            <v>328</v>
          </cell>
          <cell r="AE415" t="e">
            <v>#N/A</v>
          </cell>
          <cell r="AF415" t="str">
            <v/>
          </cell>
        </row>
        <row r="416">
          <cell r="Y416">
            <v>400</v>
          </cell>
          <cell r="Z416">
            <v>0.12791981361806393</v>
          </cell>
          <cell r="AA416">
            <v>-0.19206628284649047</v>
          </cell>
          <cell r="AB416" t="str">
            <v/>
          </cell>
          <cell r="AC416" t="e">
            <v>#N/A</v>
          </cell>
          <cell r="AD416">
            <v>329</v>
          </cell>
          <cell r="AE416" t="e">
            <v>#N/A</v>
          </cell>
          <cell r="AF416" t="str">
            <v/>
          </cell>
        </row>
        <row r="417">
          <cell r="Y417">
            <v>401</v>
          </cell>
          <cell r="Z417">
            <v>0.79913821630179882</v>
          </cell>
          <cell r="AA417">
            <v>0.14174031155888778</v>
          </cell>
          <cell r="AB417" t="str">
            <v/>
          </cell>
          <cell r="AC417" t="e">
            <v>#N/A</v>
          </cell>
          <cell r="AD417">
            <v>330</v>
          </cell>
          <cell r="AE417" t="e">
            <v>#N/A</v>
          </cell>
          <cell r="AF417" t="str">
            <v/>
          </cell>
        </row>
        <row r="418">
          <cell r="Y418">
            <v>402</v>
          </cell>
          <cell r="Z418">
            <v>0.55181480012834072</v>
          </cell>
          <cell r="AA418">
            <v>2.2015891761615586E-2</v>
          </cell>
          <cell r="AB418" t="str">
            <v/>
          </cell>
          <cell r="AC418" t="e">
            <v>#N/A</v>
          </cell>
          <cell r="AD418">
            <v>331</v>
          </cell>
          <cell r="AE418" t="e">
            <v>#N/A</v>
          </cell>
          <cell r="AF418" t="str">
            <v/>
          </cell>
        </row>
        <row r="419">
          <cell r="Y419">
            <v>403</v>
          </cell>
          <cell r="Z419">
            <v>0.17487580887973309</v>
          </cell>
          <cell r="AA419">
            <v>-0.15805587727839082</v>
          </cell>
          <cell r="AB419" t="str">
            <v/>
          </cell>
          <cell r="AC419" t="e">
            <v>#N/A</v>
          </cell>
          <cell r="AD419">
            <v>332</v>
          </cell>
          <cell r="AE419" t="e">
            <v>#N/A</v>
          </cell>
          <cell r="AF419" t="str">
            <v/>
          </cell>
        </row>
        <row r="420">
          <cell r="Y420">
            <v>404</v>
          </cell>
          <cell r="Z420">
            <v>0.36218284629285336</v>
          </cell>
          <cell r="AA420">
            <v>-5.9605383068423223E-2</v>
          </cell>
          <cell r="AB420" t="str">
            <v/>
          </cell>
          <cell r="AC420" t="e">
            <v>#N/A</v>
          </cell>
          <cell r="AD420">
            <v>333</v>
          </cell>
          <cell r="AE420" t="e">
            <v>#N/A</v>
          </cell>
          <cell r="AF420" t="str">
            <v/>
          </cell>
        </row>
        <row r="421">
          <cell r="Y421">
            <v>405</v>
          </cell>
          <cell r="Z421">
            <v>0.17130553536117077</v>
          </cell>
          <cell r="AA421">
            <v>-0.1604134485959107</v>
          </cell>
          <cell r="AB421" t="str">
            <v/>
          </cell>
          <cell r="AC421" t="e">
            <v>#N/A</v>
          </cell>
          <cell r="AD421">
            <v>334</v>
          </cell>
          <cell r="AE421" t="e">
            <v>#N/A</v>
          </cell>
          <cell r="AF421" t="str">
            <v/>
          </cell>
        </row>
        <row r="422">
          <cell r="Y422">
            <v>406</v>
          </cell>
          <cell r="Z422">
            <v>0.58058366738259792</v>
          </cell>
          <cell r="AA422">
            <v>3.4378654913434878E-2</v>
          </cell>
          <cell r="AB422" t="str">
            <v/>
          </cell>
          <cell r="AC422" t="e">
            <v>#N/A</v>
          </cell>
          <cell r="AD422">
            <v>335</v>
          </cell>
          <cell r="AE422" t="e">
            <v>#N/A</v>
          </cell>
          <cell r="AF422" t="str">
            <v/>
          </cell>
        </row>
        <row r="423">
          <cell r="Y423">
            <v>407</v>
          </cell>
          <cell r="Z423">
            <v>0.22141365520656109</v>
          </cell>
          <cell r="AA423">
            <v>-0.12971894411010126</v>
          </cell>
          <cell r="AB423" t="str">
            <v/>
          </cell>
          <cell r="AC423" t="e">
            <v>#N/A</v>
          </cell>
          <cell r="AD423">
            <v>336</v>
          </cell>
          <cell r="AE423" t="e">
            <v>#N/A</v>
          </cell>
          <cell r="AF423" t="str">
            <v/>
          </cell>
        </row>
        <row r="424">
          <cell r="Y424">
            <v>408</v>
          </cell>
          <cell r="Z424">
            <v>0.43044312857091427</v>
          </cell>
          <cell r="AA424">
            <v>-2.9621998498214976E-2</v>
          </cell>
          <cell r="AB424" t="str">
            <v/>
          </cell>
          <cell r="AC424" t="e">
            <v>#N/A</v>
          </cell>
          <cell r="AD424">
            <v>337</v>
          </cell>
          <cell r="AE424" t="e">
            <v>#N/A</v>
          </cell>
          <cell r="AF424" t="str">
            <v/>
          </cell>
        </row>
        <row r="425">
          <cell r="Y425">
            <v>409</v>
          </cell>
          <cell r="Z425">
            <v>0.88146981410682201</v>
          </cell>
          <cell r="AA425">
            <v>0.19985638911502157</v>
          </cell>
          <cell r="AB425" t="str">
            <v/>
          </cell>
          <cell r="AC425" t="e">
            <v>#N/A</v>
          </cell>
          <cell r="AD425">
            <v>338</v>
          </cell>
          <cell r="AE425" t="e">
            <v>#N/A</v>
          </cell>
          <cell r="AF425" t="str">
            <v/>
          </cell>
        </row>
        <row r="426">
          <cell r="Y426">
            <v>410</v>
          </cell>
          <cell r="Z426">
            <v>0.60017580352723598</v>
          </cell>
          <cell r="AA426">
            <v>4.2900397634371382E-2</v>
          </cell>
          <cell r="AB426" t="str">
            <v/>
          </cell>
          <cell r="AC426" t="e">
            <v>#N/A</v>
          </cell>
          <cell r="AD426">
            <v>339</v>
          </cell>
          <cell r="AE426" t="e">
            <v>#N/A</v>
          </cell>
          <cell r="AF426" t="str">
            <v/>
          </cell>
        </row>
        <row r="427">
          <cell r="Y427">
            <v>411</v>
          </cell>
          <cell r="Z427">
            <v>0.83755780570209026</v>
          </cell>
          <cell r="AA427">
            <v>0.166405831524359</v>
          </cell>
          <cell r="AB427" t="str">
            <v/>
          </cell>
          <cell r="AC427" t="e">
            <v>#N/A</v>
          </cell>
          <cell r="AD427">
            <v>340</v>
          </cell>
          <cell r="AE427" t="e">
            <v>#N/A</v>
          </cell>
          <cell r="AF427" t="str">
            <v/>
          </cell>
        </row>
        <row r="428">
          <cell r="Y428">
            <v>412</v>
          </cell>
          <cell r="Z428">
            <v>0.94527237676084042</v>
          </cell>
          <cell r="AA428">
            <v>0.27055863266892338</v>
          </cell>
          <cell r="AB428" t="str">
            <v/>
          </cell>
          <cell r="AC428" t="e">
            <v>#N/A</v>
          </cell>
          <cell r="AD428">
            <v>341</v>
          </cell>
          <cell r="AE428" t="e">
            <v>#N/A</v>
          </cell>
          <cell r="AF428" t="str">
            <v/>
          </cell>
        </row>
        <row r="429">
          <cell r="Y429">
            <v>413</v>
          </cell>
          <cell r="Z429">
            <v>5.6149302050471306E-2</v>
          </cell>
          <cell r="AA429">
            <v>-0.268411823531293</v>
          </cell>
          <cell r="AB429" t="str">
            <v/>
          </cell>
          <cell r="AC429" t="e">
            <v>#N/A</v>
          </cell>
          <cell r="AD429">
            <v>342</v>
          </cell>
          <cell r="AE429" t="e">
            <v>#N/A</v>
          </cell>
          <cell r="AF429" t="str">
            <v/>
          </cell>
        </row>
        <row r="430">
          <cell r="Y430">
            <v>414</v>
          </cell>
          <cell r="Z430">
            <v>0.75044563971459866</v>
          </cell>
          <cell r="AA430">
            <v>0.11424673215195508</v>
          </cell>
          <cell r="AB430" t="str">
            <v/>
          </cell>
          <cell r="AC430" t="e">
            <v>#N/A</v>
          </cell>
          <cell r="AD430">
            <v>343</v>
          </cell>
          <cell r="AE430" t="e">
            <v>#N/A</v>
          </cell>
          <cell r="AF430" t="str">
            <v/>
          </cell>
        </row>
        <row r="431">
          <cell r="Y431">
            <v>415</v>
          </cell>
          <cell r="Z431">
            <v>0.15293930284678936</v>
          </cell>
          <cell r="AA431">
            <v>-0.1730720854510753</v>
          </cell>
          <cell r="AB431" t="str">
            <v/>
          </cell>
          <cell r="AC431" t="e">
            <v>#N/A</v>
          </cell>
          <cell r="AD431">
            <v>344</v>
          </cell>
          <cell r="AE431" t="e">
            <v>#N/A</v>
          </cell>
          <cell r="AF431" t="str">
            <v/>
          </cell>
        </row>
        <row r="432">
          <cell r="Y432">
            <v>416</v>
          </cell>
          <cell r="Z432">
            <v>1.6678830608725548E-2</v>
          </cell>
          <cell r="AA432">
            <v>-0.35965571038398531</v>
          </cell>
          <cell r="AB432" t="str">
            <v/>
          </cell>
          <cell r="AC432" t="e">
            <v>#N/A</v>
          </cell>
          <cell r="AD432">
            <v>345</v>
          </cell>
          <cell r="AE432" t="e">
            <v>#N/A</v>
          </cell>
          <cell r="AF432" t="str">
            <v/>
          </cell>
        </row>
        <row r="433">
          <cell r="Y433">
            <v>417</v>
          </cell>
          <cell r="Z433">
            <v>0.52291205339133739</v>
          </cell>
          <cell r="AA433">
            <v>9.7131228932154159E-3</v>
          </cell>
          <cell r="AB433" t="str">
            <v/>
          </cell>
          <cell r="AC433" t="e">
            <v>#N/A</v>
          </cell>
          <cell r="AD433">
            <v>346</v>
          </cell>
          <cell r="AE433" t="e">
            <v>#N/A</v>
          </cell>
          <cell r="AF433" t="str">
            <v/>
          </cell>
        </row>
        <row r="434">
          <cell r="Y434">
            <v>418</v>
          </cell>
          <cell r="Z434">
            <v>0.33177006803452969</v>
          </cell>
          <cell r="AA434">
            <v>-7.3533611211770322E-2</v>
          </cell>
          <cell r="AB434" t="str">
            <v/>
          </cell>
          <cell r="AC434" t="e">
            <v>#N/A</v>
          </cell>
          <cell r="AD434">
            <v>347</v>
          </cell>
          <cell r="AE434" t="e">
            <v>#N/A</v>
          </cell>
          <cell r="AF434" t="str">
            <v/>
          </cell>
        </row>
        <row r="435">
          <cell r="Y435">
            <v>419</v>
          </cell>
          <cell r="Z435">
            <v>0.99335618130862713</v>
          </cell>
          <cell r="AA435">
            <v>0.41851457519741075</v>
          </cell>
          <cell r="AB435" t="str">
            <v/>
          </cell>
          <cell r="AC435" t="e">
            <v>#N/A</v>
          </cell>
          <cell r="AD435">
            <v>348</v>
          </cell>
          <cell r="AE435" t="e">
            <v>#N/A</v>
          </cell>
          <cell r="AF435" t="str">
            <v/>
          </cell>
        </row>
        <row r="436">
          <cell r="Y436">
            <v>420</v>
          </cell>
          <cell r="Z436">
            <v>0.72671662829816341</v>
          </cell>
          <cell r="AA436">
            <v>0.1019108526872998</v>
          </cell>
          <cell r="AB436" t="str">
            <v/>
          </cell>
          <cell r="AC436" t="e">
            <v>#N/A</v>
          </cell>
          <cell r="AD436">
            <v>349</v>
          </cell>
          <cell r="AE436" t="e">
            <v>#N/A</v>
          </cell>
          <cell r="AF436" t="str">
            <v/>
          </cell>
        </row>
        <row r="437">
          <cell r="Y437">
            <v>421</v>
          </cell>
          <cell r="Z437">
            <v>0.73029780201613903</v>
          </cell>
          <cell r="AA437">
            <v>0.10373658416111502</v>
          </cell>
          <cell r="AB437" t="str">
            <v/>
          </cell>
          <cell r="AC437" t="e">
            <v>#N/A</v>
          </cell>
          <cell r="AD437">
            <v>350</v>
          </cell>
          <cell r="AE437" t="e">
            <v>#N/A</v>
          </cell>
          <cell r="AF437" t="str">
            <v/>
          </cell>
        </row>
        <row r="438">
          <cell r="Y438">
            <v>422</v>
          </cell>
          <cell r="Z438">
            <v>0.51403281651437283</v>
          </cell>
          <cell r="AA438">
            <v>5.9468960311279588E-3</v>
          </cell>
          <cell r="AB438" t="str">
            <v/>
          </cell>
          <cell r="AC438" t="e">
            <v>#N/A</v>
          </cell>
          <cell r="AD438">
            <v>351</v>
          </cell>
          <cell r="AE438" t="e">
            <v>#N/A</v>
          </cell>
          <cell r="AF438" t="str">
            <v/>
          </cell>
        </row>
        <row r="439">
          <cell r="Y439">
            <v>423</v>
          </cell>
          <cell r="Z439">
            <v>0.84757034294307232</v>
          </cell>
          <cell r="AA439">
            <v>0.17343722551661547</v>
          </cell>
          <cell r="AB439" t="str">
            <v/>
          </cell>
          <cell r="AC439" t="e">
            <v>#N/A</v>
          </cell>
          <cell r="AD439">
            <v>352</v>
          </cell>
          <cell r="AE439" t="e">
            <v>#N/A</v>
          </cell>
          <cell r="AF439" t="str">
            <v/>
          </cell>
        </row>
        <row r="440">
          <cell r="Y440">
            <v>424</v>
          </cell>
          <cell r="Z440">
            <v>0.44784518145024776</v>
          </cell>
          <cell r="AA440">
            <v>-2.2161192062877748E-2</v>
          </cell>
          <cell r="AB440" t="str">
            <v/>
          </cell>
          <cell r="AC440" t="e">
            <v>#N/A</v>
          </cell>
          <cell r="AD440">
            <v>353</v>
          </cell>
          <cell r="AE440" t="e">
            <v>#N/A</v>
          </cell>
          <cell r="AF440" t="str">
            <v/>
          </cell>
        </row>
        <row r="441">
          <cell r="Y441">
            <v>425</v>
          </cell>
          <cell r="Z441">
            <v>0.63648983649909496</v>
          </cell>
          <cell r="AA441">
            <v>5.9007298750783144E-2</v>
          </cell>
          <cell r="AB441" t="str">
            <v/>
          </cell>
          <cell r="AC441" t="e">
            <v>#N/A</v>
          </cell>
          <cell r="AD441">
            <v>354</v>
          </cell>
          <cell r="AE441" t="e">
            <v>#N/A</v>
          </cell>
          <cell r="AF441" t="str">
            <v/>
          </cell>
        </row>
        <row r="442">
          <cell r="Y442">
            <v>426</v>
          </cell>
          <cell r="Z442">
            <v>0.63935882411897182</v>
          </cell>
          <cell r="AA442">
            <v>6.0300992709741166E-2</v>
          </cell>
          <cell r="AB442" t="str">
            <v/>
          </cell>
          <cell r="AC442" t="e">
            <v>#N/A</v>
          </cell>
          <cell r="AD442">
            <v>355</v>
          </cell>
          <cell r="AE442" t="e">
            <v>#N/A</v>
          </cell>
          <cell r="AF442" t="str">
            <v/>
          </cell>
        </row>
        <row r="443">
          <cell r="Y443">
            <v>427</v>
          </cell>
          <cell r="Z443">
            <v>0.55285443179309368</v>
          </cell>
          <cell r="AA443">
            <v>2.2460209901496171E-2</v>
          </cell>
          <cell r="AB443" t="str">
            <v/>
          </cell>
          <cell r="AC443" t="e">
            <v>#N/A</v>
          </cell>
          <cell r="AD443">
            <v>356</v>
          </cell>
          <cell r="AE443" t="e">
            <v>#N/A</v>
          </cell>
          <cell r="AF443" t="str">
            <v/>
          </cell>
        </row>
        <row r="444">
          <cell r="Y444">
            <v>428</v>
          </cell>
          <cell r="Z444">
            <v>0.50503855012357235</v>
          </cell>
          <cell r="AA444">
            <v>2.1348779005017568E-3</v>
          </cell>
          <cell r="AB444" t="str">
            <v/>
          </cell>
          <cell r="AC444" t="e">
            <v>#N/A</v>
          </cell>
          <cell r="AD444">
            <v>357</v>
          </cell>
          <cell r="AE444" t="e">
            <v>#N/A</v>
          </cell>
          <cell r="AF444" t="str">
            <v/>
          </cell>
        </row>
        <row r="445">
          <cell r="Y445">
            <v>429</v>
          </cell>
          <cell r="Z445">
            <v>6.6736875101923943E-2</v>
          </cell>
          <cell r="AA445">
            <v>-0.25363809510901414</v>
          </cell>
          <cell r="AB445" t="str">
            <v/>
          </cell>
          <cell r="AC445" t="e">
            <v>#N/A</v>
          </cell>
          <cell r="AD445">
            <v>358</v>
          </cell>
          <cell r="AE445" t="e">
            <v>#N/A</v>
          </cell>
          <cell r="AF445" t="str">
            <v/>
          </cell>
        </row>
        <row r="446">
          <cell r="Y446">
            <v>430</v>
          </cell>
          <cell r="Z446">
            <v>0.61859861575067043</v>
          </cell>
          <cell r="AA446">
            <v>5.1013901568045916E-2</v>
          </cell>
          <cell r="AB446" t="str">
            <v/>
          </cell>
          <cell r="AC446" t="e">
            <v>#N/A</v>
          </cell>
          <cell r="AD446">
            <v>359</v>
          </cell>
          <cell r="AE446" t="e">
            <v>#N/A</v>
          </cell>
          <cell r="AF446" t="str">
            <v/>
          </cell>
        </row>
        <row r="447">
          <cell r="Y447">
            <v>431</v>
          </cell>
          <cell r="Z447">
            <v>0.19928870908915997</v>
          </cell>
          <cell r="AA447">
            <v>-0.14268986519589308</v>
          </cell>
          <cell r="AB447" t="str">
            <v/>
          </cell>
          <cell r="AC447" t="e">
            <v>#N/A</v>
          </cell>
          <cell r="AD447">
            <v>360</v>
          </cell>
          <cell r="AE447" t="e">
            <v>#N/A</v>
          </cell>
          <cell r="AF447" t="str">
            <v/>
          </cell>
        </row>
        <row r="448">
          <cell r="Y448">
            <v>432</v>
          </cell>
          <cell r="Z448">
            <v>0.68164481781423092</v>
          </cell>
          <cell r="AA448">
            <v>7.9833817065523616E-2</v>
          </cell>
          <cell r="AB448" t="str">
            <v/>
          </cell>
          <cell r="AC448" t="e">
            <v>#N/A</v>
          </cell>
          <cell r="AD448">
            <v>361</v>
          </cell>
          <cell r="AE448" t="e">
            <v>#N/A</v>
          </cell>
          <cell r="AF448" t="str">
            <v/>
          </cell>
        </row>
        <row r="449">
          <cell r="Y449">
            <v>433</v>
          </cell>
          <cell r="Z449">
            <v>3.9524940773844719E-2</v>
          </cell>
          <cell r="AA449">
            <v>-0.29685632110848881</v>
          </cell>
          <cell r="AB449" t="str">
            <v/>
          </cell>
          <cell r="AC449" t="e">
            <v>#N/A</v>
          </cell>
          <cell r="AD449">
            <v>362</v>
          </cell>
          <cell r="AE449" t="e">
            <v>#N/A</v>
          </cell>
          <cell r="AF449" t="str">
            <v/>
          </cell>
        </row>
        <row r="450">
          <cell r="Y450">
            <v>434</v>
          </cell>
          <cell r="Z450">
            <v>0.9215626772493124</v>
          </cell>
          <cell r="AA450">
            <v>0.23929046232783518</v>
          </cell>
          <cell r="AB450" t="str">
            <v/>
          </cell>
          <cell r="AC450" t="e">
            <v>#N/A</v>
          </cell>
          <cell r="AD450">
            <v>363</v>
          </cell>
          <cell r="AE450" t="e">
            <v>#N/A</v>
          </cell>
          <cell r="AF450" t="str">
            <v/>
          </cell>
        </row>
        <row r="451">
          <cell r="Y451">
            <v>435</v>
          </cell>
          <cell r="Z451">
            <v>0.75280792824923992</v>
          </cell>
          <cell r="AA451">
            <v>0.11550765021337224</v>
          </cell>
          <cell r="AB451" t="str">
            <v/>
          </cell>
          <cell r="AC451" t="e">
            <v>#N/A</v>
          </cell>
          <cell r="AD451">
            <v>364</v>
          </cell>
          <cell r="AE451" t="e">
            <v>#N/A</v>
          </cell>
          <cell r="AF451" t="str">
            <v/>
          </cell>
        </row>
        <row r="452">
          <cell r="Y452">
            <v>436</v>
          </cell>
          <cell r="Z452">
            <v>6.8995466455817223E-2</v>
          </cell>
          <cell r="AA452">
            <v>-0.25072587316304012</v>
          </cell>
          <cell r="AB452" t="str">
            <v/>
          </cell>
          <cell r="AC452" t="e">
            <v>#N/A</v>
          </cell>
          <cell r="AD452">
            <v>365</v>
          </cell>
          <cell r="AE452" t="e">
            <v>#N/A</v>
          </cell>
          <cell r="AF452" t="str">
            <v/>
          </cell>
        </row>
        <row r="453">
          <cell r="Y453">
            <v>437</v>
          </cell>
          <cell r="Z453">
            <v>0.56149923615157604</v>
          </cell>
          <cell r="AA453">
            <v>2.6161143862732862E-2</v>
          </cell>
          <cell r="AB453" t="str">
            <v/>
          </cell>
          <cell r="AC453" t="e">
            <v>#N/A</v>
          </cell>
          <cell r="AD453">
            <v>366</v>
          </cell>
          <cell r="AE453" t="e">
            <v>#N/A</v>
          </cell>
          <cell r="AF453" t="str">
            <v/>
          </cell>
        </row>
        <row r="454">
          <cell r="Y454">
            <v>438</v>
          </cell>
          <cell r="Z454">
            <v>0.66100583039224148</v>
          </cell>
          <cell r="AA454">
            <v>7.0183262606242108E-2</v>
          </cell>
          <cell r="AB454" t="str">
            <v/>
          </cell>
          <cell r="AC454" t="e">
            <v>#N/A</v>
          </cell>
          <cell r="AD454">
            <v>367</v>
          </cell>
          <cell r="AE454" t="e">
            <v>#N/A</v>
          </cell>
          <cell r="AF454" t="str">
            <v/>
          </cell>
        </row>
        <row r="455">
          <cell r="Y455">
            <v>439</v>
          </cell>
          <cell r="Z455">
            <v>0.8969982098788023</v>
          </cell>
          <cell r="AA455">
            <v>0.21376167988277645</v>
          </cell>
          <cell r="AB455" t="str">
            <v/>
          </cell>
          <cell r="AC455" t="e">
            <v>#N/A</v>
          </cell>
          <cell r="AD455">
            <v>368</v>
          </cell>
          <cell r="AE455" t="e">
            <v>#N/A</v>
          </cell>
          <cell r="AF455" t="str">
            <v/>
          </cell>
        </row>
        <row r="456">
          <cell r="Y456">
            <v>440</v>
          </cell>
          <cell r="Z456">
            <v>0.75976475141942501</v>
          </cell>
          <cell r="AA456">
            <v>0.11925904584463516</v>
          </cell>
          <cell r="AB456" t="str">
            <v/>
          </cell>
          <cell r="AC456" t="e">
            <v>#N/A</v>
          </cell>
          <cell r="AD456">
            <v>369</v>
          </cell>
          <cell r="AE456" t="e">
            <v>#N/A</v>
          </cell>
          <cell r="AF456" t="str">
            <v/>
          </cell>
        </row>
        <row r="457">
          <cell r="Y457">
            <v>441</v>
          </cell>
          <cell r="Z457">
            <v>0.39113601855933666</v>
          </cell>
          <cell r="AA457">
            <v>-4.6713264508987606E-2</v>
          </cell>
          <cell r="AB457" t="str">
            <v/>
          </cell>
          <cell r="AC457" t="e">
            <v>#N/A</v>
          </cell>
          <cell r="AD457">
            <v>370</v>
          </cell>
          <cell r="AE457" t="e">
            <v>#N/A</v>
          </cell>
          <cell r="AF457" t="str">
            <v/>
          </cell>
        </row>
        <row r="458">
          <cell r="Y458">
            <v>442</v>
          </cell>
          <cell r="Z458">
            <v>0.27036160789430141</v>
          </cell>
          <cell r="AA458">
            <v>-0.10339950395189798</v>
          </cell>
          <cell r="AB458" t="str">
            <v/>
          </cell>
          <cell r="AC458" t="e">
            <v>#N/A</v>
          </cell>
          <cell r="AD458">
            <v>371</v>
          </cell>
          <cell r="AE458" t="e">
            <v>#N/A</v>
          </cell>
          <cell r="AF458" t="str">
            <v/>
          </cell>
        </row>
        <row r="459">
          <cell r="Y459">
            <v>443</v>
          </cell>
          <cell r="Z459">
            <v>0.59364391677081585</v>
          </cell>
          <cell r="AA459">
            <v>4.0048246256944905E-2</v>
          </cell>
          <cell r="AB459" t="str">
            <v/>
          </cell>
          <cell r="AC459" t="e">
            <v>#N/A</v>
          </cell>
          <cell r="AD459">
            <v>372</v>
          </cell>
          <cell r="AE459" t="e">
            <v>#N/A</v>
          </cell>
          <cell r="AF459" t="str">
            <v/>
          </cell>
        </row>
        <row r="460">
          <cell r="Y460">
            <v>444</v>
          </cell>
          <cell r="Z460">
            <v>0.88507907651364803</v>
          </cell>
          <cell r="AA460">
            <v>0.20296655851303352</v>
          </cell>
          <cell r="AB460" t="str">
            <v/>
          </cell>
          <cell r="AC460" t="e">
            <v>#N/A</v>
          </cell>
          <cell r="AD460">
            <v>373</v>
          </cell>
          <cell r="AE460" t="e">
            <v>#N/A</v>
          </cell>
          <cell r="AF460" t="str">
            <v/>
          </cell>
        </row>
        <row r="461">
          <cell r="Y461">
            <v>445</v>
          </cell>
          <cell r="Z461">
            <v>0.27116447500884533</v>
          </cell>
          <cell r="AA461">
            <v>-0.10298964483908195</v>
          </cell>
          <cell r="AB461" t="str">
            <v/>
          </cell>
          <cell r="AC461" t="e">
            <v>#N/A</v>
          </cell>
          <cell r="AD461">
            <v>374</v>
          </cell>
          <cell r="AE461" t="e">
            <v>#N/A</v>
          </cell>
          <cell r="AF461" t="str">
            <v/>
          </cell>
        </row>
        <row r="462">
          <cell r="Y462">
            <v>446</v>
          </cell>
          <cell r="Z462">
            <v>0.27522662840783596</v>
          </cell>
          <cell r="AA462">
            <v>-0.10092512108443684</v>
          </cell>
          <cell r="AB462" t="str">
            <v/>
          </cell>
          <cell r="AC462" t="e">
            <v>#N/A</v>
          </cell>
          <cell r="AD462">
            <v>375</v>
          </cell>
          <cell r="AE462" t="e">
            <v>#N/A</v>
          </cell>
          <cell r="AF462" t="str">
            <v/>
          </cell>
        </row>
        <row r="463">
          <cell r="Y463">
            <v>447</v>
          </cell>
          <cell r="Z463">
            <v>0.86202452890574932</v>
          </cell>
          <cell r="AA463">
            <v>0.18415240560073945</v>
          </cell>
          <cell r="AB463" t="str">
            <v/>
          </cell>
          <cell r="AC463" t="e">
            <v>#N/A</v>
          </cell>
          <cell r="AD463">
            <v>376</v>
          </cell>
          <cell r="AE463" t="e">
            <v>#N/A</v>
          </cell>
          <cell r="AF463" t="str">
            <v/>
          </cell>
        </row>
        <row r="464">
          <cell r="Y464">
            <v>448</v>
          </cell>
          <cell r="Z464">
            <v>0.49537636898458004</v>
          </cell>
          <cell r="AA464">
            <v>-1.9590648081880546E-3</v>
          </cell>
          <cell r="AB464" t="str">
            <v/>
          </cell>
          <cell r="AC464" t="e">
            <v>#N/A</v>
          </cell>
          <cell r="AD464">
            <v>377</v>
          </cell>
          <cell r="AE464" t="e">
            <v>#N/A</v>
          </cell>
          <cell r="AF464" t="str">
            <v/>
          </cell>
        </row>
        <row r="465">
          <cell r="Y465">
            <v>449</v>
          </cell>
          <cell r="Z465">
            <v>0.12973859719932079</v>
          </cell>
          <cell r="AA465">
            <v>-0.19060386521897635</v>
          </cell>
          <cell r="AB465" t="str">
            <v/>
          </cell>
          <cell r="AC465" t="e">
            <v>#N/A</v>
          </cell>
          <cell r="AD465">
            <v>378</v>
          </cell>
          <cell r="AE465" t="e">
            <v>#N/A</v>
          </cell>
          <cell r="AF465" t="str">
            <v/>
          </cell>
        </row>
        <row r="466">
          <cell r="Y466">
            <v>450</v>
          </cell>
          <cell r="Z466">
            <v>0.65859497152268887</v>
          </cell>
          <cell r="AA466">
            <v>6.907134245924583E-2</v>
          </cell>
          <cell r="AB466" t="str">
            <v/>
          </cell>
          <cell r="AC466" t="e">
            <v>#N/A</v>
          </cell>
          <cell r="AD466">
            <v>379</v>
          </cell>
          <cell r="AE466" t="e">
            <v>#N/A</v>
          </cell>
          <cell r="AF466" t="str">
            <v/>
          </cell>
        </row>
        <row r="467">
          <cell r="Y467">
            <v>451</v>
          </cell>
          <cell r="Z467">
            <v>0.27696151845157146</v>
          </cell>
          <cell r="AA467">
            <v>-0.10004797670565832</v>
          </cell>
          <cell r="AB467" t="str">
            <v/>
          </cell>
          <cell r="AC467" t="e">
            <v>#N/A</v>
          </cell>
          <cell r="AD467">
            <v>380</v>
          </cell>
          <cell r="AE467" t="e">
            <v>#N/A</v>
          </cell>
          <cell r="AF467" t="str">
            <v/>
          </cell>
        </row>
        <row r="468">
          <cell r="Y468">
            <v>452</v>
          </cell>
          <cell r="Z468">
            <v>0.78501545451581478</v>
          </cell>
          <cell r="AA468">
            <v>0.13340667716919083</v>
          </cell>
          <cell r="AB468" t="str">
            <v/>
          </cell>
          <cell r="AC468" t="e">
            <v>#N/A</v>
          </cell>
          <cell r="AD468">
            <v>381</v>
          </cell>
          <cell r="AE468" t="e">
            <v>#N/A</v>
          </cell>
          <cell r="AF468" t="str">
            <v/>
          </cell>
        </row>
        <row r="469">
          <cell r="Y469">
            <v>453</v>
          </cell>
          <cell r="Z469">
            <v>0.7503590565174818</v>
          </cell>
          <cell r="AA469">
            <v>0.11420063765133036</v>
          </cell>
          <cell r="AB469" t="str">
            <v/>
          </cell>
          <cell r="AC469" t="e">
            <v>#N/A</v>
          </cell>
          <cell r="AD469">
            <v>382</v>
          </cell>
          <cell r="AE469" t="e">
            <v>#N/A</v>
          </cell>
          <cell r="AF469" t="str">
            <v/>
          </cell>
        </row>
        <row r="470">
          <cell r="Y470">
            <v>454</v>
          </cell>
          <cell r="Z470">
            <v>0.31984255276620388</v>
          </cell>
          <cell r="AA470">
            <v>-7.9129953758609595E-2</v>
          </cell>
          <cell r="AB470" t="str">
            <v/>
          </cell>
          <cell r="AC470" t="e">
            <v>#N/A</v>
          </cell>
          <cell r="AD470">
            <v>383</v>
          </cell>
          <cell r="AE470" t="e">
            <v>#N/A</v>
          </cell>
          <cell r="AF470" t="str">
            <v/>
          </cell>
        </row>
        <row r="471">
          <cell r="Y471">
            <v>455</v>
          </cell>
          <cell r="Z471">
            <v>0.68561522476375103</v>
          </cell>
          <cell r="AA471">
            <v>8.1719560966919333E-2</v>
          </cell>
          <cell r="AB471" t="str">
            <v/>
          </cell>
          <cell r="AC471" t="e">
            <v>#N/A</v>
          </cell>
          <cell r="AD471">
            <v>384</v>
          </cell>
          <cell r="AE471" t="e">
            <v>#N/A</v>
          </cell>
          <cell r="AF471" t="str">
            <v/>
          </cell>
        </row>
        <row r="472">
          <cell r="Y472">
            <v>456</v>
          </cell>
          <cell r="Z472">
            <v>0.16063543222844601</v>
          </cell>
          <cell r="AA472">
            <v>-0.16765319350170746</v>
          </cell>
          <cell r="AB472" t="str">
            <v/>
          </cell>
          <cell r="AC472" t="e">
            <v>#N/A</v>
          </cell>
          <cell r="AD472">
            <v>385</v>
          </cell>
          <cell r="AE472" t="e">
            <v>#N/A</v>
          </cell>
          <cell r="AF472" t="str">
            <v/>
          </cell>
        </row>
        <row r="473">
          <cell r="Y473">
            <v>457</v>
          </cell>
          <cell r="Z473">
            <v>0.41054507903754711</v>
          </cell>
          <cell r="AA473">
            <v>-3.8225153176935443E-2</v>
          </cell>
          <cell r="AB473" t="str">
            <v/>
          </cell>
          <cell r="AC473" t="e">
            <v>#N/A</v>
          </cell>
          <cell r="AD473">
            <v>386</v>
          </cell>
          <cell r="AE473" t="e">
            <v>#N/A</v>
          </cell>
          <cell r="AF473" t="str">
            <v/>
          </cell>
        </row>
        <row r="474">
          <cell r="Y474">
            <v>458</v>
          </cell>
          <cell r="Z474">
            <v>0.12746149860322475</v>
          </cell>
          <cell r="AA474">
            <v>-0.19243707199839935</v>
          </cell>
          <cell r="AB474" t="str">
            <v/>
          </cell>
          <cell r="AC474" t="e">
            <v>#N/A</v>
          </cell>
          <cell r="AD474">
            <v>387</v>
          </cell>
          <cell r="AE474" t="e">
            <v>#N/A</v>
          </cell>
          <cell r="AF474" t="str">
            <v/>
          </cell>
        </row>
        <row r="475">
          <cell r="Y475">
            <v>459</v>
          </cell>
          <cell r="Z475">
            <v>0.64303172938525677</v>
          </cell>
          <cell r="AA475">
            <v>6.1962374939212715E-2</v>
          </cell>
          <cell r="AB475" t="str">
            <v/>
          </cell>
          <cell r="AC475" t="e">
            <v>#N/A</v>
          </cell>
          <cell r="AD475">
            <v>388</v>
          </cell>
          <cell r="AE475" t="e">
            <v>#N/A</v>
          </cell>
          <cell r="AF475" t="str">
            <v/>
          </cell>
        </row>
        <row r="476">
          <cell r="Y476">
            <v>460</v>
          </cell>
          <cell r="Z476">
            <v>0.65326504968106747</v>
          </cell>
          <cell r="AA476">
            <v>6.6623600877348865E-2</v>
          </cell>
          <cell r="AB476" t="str">
            <v/>
          </cell>
          <cell r="AC476" t="e">
            <v>#N/A</v>
          </cell>
          <cell r="AD476">
            <v>389</v>
          </cell>
          <cell r="AE476" t="e">
            <v>#N/A</v>
          </cell>
          <cell r="AF476" t="str">
            <v/>
          </cell>
        </row>
        <row r="477">
          <cell r="Y477">
            <v>461</v>
          </cell>
          <cell r="Z477">
            <v>0.98925632052123547</v>
          </cell>
          <cell r="AA477">
            <v>0.38865427652928353</v>
          </cell>
          <cell r="AB477" t="str">
            <v/>
          </cell>
          <cell r="AC477" t="e">
            <v>#N/A</v>
          </cell>
          <cell r="AD477">
            <v>390</v>
          </cell>
          <cell r="AE477" t="e">
            <v>#N/A</v>
          </cell>
          <cell r="AF477" t="str">
            <v/>
          </cell>
        </row>
        <row r="478">
          <cell r="Y478">
            <v>462</v>
          </cell>
          <cell r="Z478">
            <v>6.5544521436095238E-2</v>
          </cell>
          <cell r="AA478">
            <v>-0.25520636958145076</v>
          </cell>
          <cell r="AB478" t="str">
            <v/>
          </cell>
          <cell r="AC478" t="e">
            <v>#N/A</v>
          </cell>
          <cell r="AD478">
            <v>391</v>
          </cell>
          <cell r="AE478" t="e">
            <v>#N/A</v>
          </cell>
          <cell r="AF478" t="str">
            <v/>
          </cell>
        </row>
        <row r="479">
          <cell r="Y479">
            <v>463</v>
          </cell>
          <cell r="Z479">
            <v>6.6439731046557426E-2</v>
          </cell>
          <cell r="AA479">
            <v>-0.25402687858866141</v>
          </cell>
          <cell r="AB479" t="str">
            <v/>
          </cell>
          <cell r="AC479" t="e">
            <v>#N/A</v>
          </cell>
          <cell r="AD479">
            <v>392</v>
          </cell>
          <cell r="AE479" t="e">
            <v>#N/A</v>
          </cell>
          <cell r="AF479" t="str">
            <v/>
          </cell>
        </row>
        <row r="480">
          <cell r="Y480">
            <v>464</v>
          </cell>
          <cell r="Z480">
            <v>0.17418207786977291</v>
          </cell>
          <cell r="AA480">
            <v>-0.15851155654283161</v>
          </cell>
          <cell r="AB480" t="str">
            <v/>
          </cell>
          <cell r="AC480" t="e">
            <v>#N/A</v>
          </cell>
          <cell r="AD480">
            <v>393</v>
          </cell>
          <cell r="AE480" t="e">
            <v>#N/A</v>
          </cell>
          <cell r="AF480" t="str">
            <v/>
          </cell>
        </row>
        <row r="481">
          <cell r="Y481">
            <v>465</v>
          </cell>
          <cell r="Z481">
            <v>4.3064741417765617E-2</v>
          </cell>
          <cell r="AA481">
            <v>-0.29008701448729274</v>
          </cell>
          <cell r="AB481" t="str">
            <v/>
          </cell>
          <cell r="AC481" t="e">
            <v>#N/A</v>
          </cell>
          <cell r="AD481">
            <v>394</v>
          </cell>
          <cell r="AE481" t="e">
            <v>#N/A</v>
          </cell>
          <cell r="AF481" t="str">
            <v/>
          </cell>
        </row>
        <row r="482">
          <cell r="Y482">
            <v>466</v>
          </cell>
          <cell r="Z482">
            <v>0.97401929460465908</v>
          </cell>
          <cell r="AA482">
            <v>0.32850356769775518</v>
          </cell>
          <cell r="AB482" t="str">
            <v/>
          </cell>
          <cell r="AC482" t="e">
            <v>#N/A</v>
          </cell>
          <cell r="AD482">
            <v>395</v>
          </cell>
          <cell r="AE482" t="e">
            <v>#N/A</v>
          </cell>
          <cell r="AF482" t="str">
            <v/>
          </cell>
        </row>
        <row r="483">
          <cell r="Y483">
            <v>467</v>
          </cell>
          <cell r="Z483">
            <v>0.60829742066562176</v>
          </cell>
          <cell r="AA483">
            <v>4.6463920715875941E-2</v>
          </cell>
          <cell r="AB483" t="str">
            <v/>
          </cell>
          <cell r="AC483" t="e">
            <v>#N/A</v>
          </cell>
          <cell r="AD483">
            <v>396</v>
          </cell>
          <cell r="AE483" t="e">
            <v>#N/A</v>
          </cell>
          <cell r="AF483" t="str">
            <v/>
          </cell>
        </row>
        <row r="484">
          <cell r="Y484">
            <v>468</v>
          </cell>
          <cell r="Z484">
            <v>0.11452268622815609</v>
          </cell>
          <cell r="AA484">
            <v>-0.20331395500179916</v>
          </cell>
          <cell r="AB484" t="str">
            <v/>
          </cell>
          <cell r="AC484" t="e">
            <v>#N/A</v>
          </cell>
          <cell r="AD484">
            <v>397</v>
          </cell>
          <cell r="AE484" t="e">
            <v>#N/A</v>
          </cell>
          <cell r="AF484" t="str">
            <v/>
          </cell>
        </row>
        <row r="485">
          <cell r="Y485">
            <v>469</v>
          </cell>
          <cell r="Z485">
            <v>0.35107648186385632</v>
          </cell>
          <cell r="AA485">
            <v>-6.4640070127798058E-2</v>
          </cell>
          <cell r="AB485" t="str">
            <v/>
          </cell>
          <cell r="AC485" t="e">
            <v>#N/A</v>
          </cell>
          <cell r="AD485">
            <v>398</v>
          </cell>
          <cell r="AE485" t="e">
            <v>#N/A</v>
          </cell>
          <cell r="AF485" t="str">
            <v/>
          </cell>
        </row>
        <row r="486">
          <cell r="Y486">
            <v>470</v>
          </cell>
          <cell r="Z486">
            <v>0.38263282738626003</v>
          </cell>
          <cell r="AA486">
            <v>-5.0468095734139615E-2</v>
          </cell>
          <cell r="AB486" t="str">
            <v/>
          </cell>
          <cell r="AC486" t="e">
            <v>#N/A</v>
          </cell>
          <cell r="AD486">
            <v>399</v>
          </cell>
          <cell r="AE486" t="e">
            <v>#N/A</v>
          </cell>
          <cell r="AF486" t="str">
            <v/>
          </cell>
        </row>
        <row r="487">
          <cell r="Y487">
            <v>471</v>
          </cell>
          <cell r="Z487">
            <v>0.24808935634791851</v>
          </cell>
          <cell r="AA487">
            <v>-0.11502795332227796</v>
          </cell>
          <cell r="AB487" t="str">
            <v/>
          </cell>
          <cell r="AC487" t="e">
            <v>#N/A</v>
          </cell>
          <cell r="AD487">
            <v>400</v>
          </cell>
          <cell r="AE487" t="e">
            <v>#N/A</v>
          </cell>
          <cell r="AF487" t="str">
            <v/>
          </cell>
        </row>
        <row r="488">
          <cell r="Y488">
            <v>472</v>
          </cell>
          <cell r="Z488">
            <v>0.78864081762731075</v>
          </cell>
          <cell r="AA488">
            <v>0.13551441447508442</v>
          </cell>
          <cell r="AB488" t="str">
            <v/>
          </cell>
          <cell r="AC488" t="e">
            <v>#N/A</v>
          </cell>
          <cell r="AD488">
            <v>401</v>
          </cell>
          <cell r="AE488" t="e">
            <v>#N/A</v>
          </cell>
          <cell r="AF488" t="str">
            <v/>
          </cell>
        </row>
        <row r="489">
          <cell r="Y489">
            <v>473</v>
          </cell>
          <cell r="Z489">
            <v>0.42860373668372631</v>
          </cell>
          <cell r="AA489">
            <v>-3.0413731686509196E-2</v>
          </cell>
          <cell r="AB489" t="str">
            <v/>
          </cell>
          <cell r="AC489" t="e">
            <v>#N/A</v>
          </cell>
          <cell r="AD489">
            <v>402</v>
          </cell>
          <cell r="AE489" t="e">
            <v>#N/A</v>
          </cell>
          <cell r="AF489" t="str">
            <v/>
          </cell>
        </row>
        <row r="490">
          <cell r="Y490">
            <v>474</v>
          </cell>
          <cell r="Z490">
            <v>0.93868583999574184</v>
          </cell>
          <cell r="AA490">
            <v>0.26095573678081296</v>
          </cell>
          <cell r="AB490" t="str">
            <v/>
          </cell>
          <cell r="AC490" t="e">
            <v>#N/A</v>
          </cell>
          <cell r="AD490">
            <v>403</v>
          </cell>
          <cell r="AE490" t="e">
            <v>#N/A</v>
          </cell>
          <cell r="AF490" t="str">
            <v/>
          </cell>
        </row>
        <row r="491">
          <cell r="Y491">
            <v>475</v>
          </cell>
          <cell r="Z491">
            <v>0.60287333838641644</v>
          </cell>
          <cell r="AA491">
            <v>4.4081804008598957E-2</v>
          </cell>
          <cell r="AB491" t="str">
            <v/>
          </cell>
          <cell r="AC491" t="e">
            <v>#N/A</v>
          </cell>
          <cell r="AD491">
            <v>404</v>
          </cell>
          <cell r="AE491" t="e">
            <v>#N/A</v>
          </cell>
          <cell r="AF491" t="str">
            <v/>
          </cell>
        </row>
        <row r="492">
          <cell r="Y492">
            <v>476</v>
          </cell>
          <cell r="Z492">
            <v>0.22121756337583065</v>
          </cell>
          <cell r="AA492">
            <v>-0.12983050532682266</v>
          </cell>
          <cell r="AB492" t="str">
            <v/>
          </cell>
          <cell r="AC492" t="e">
            <v>#N/A</v>
          </cell>
          <cell r="AD492">
            <v>405</v>
          </cell>
          <cell r="AE492" t="e">
            <v>#N/A</v>
          </cell>
          <cell r="AF492" t="str">
            <v/>
          </cell>
        </row>
        <row r="493">
          <cell r="Y493">
            <v>477</v>
          </cell>
          <cell r="Z493">
            <v>0.50958663038909435</v>
          </cell>
          <cell r="AA493">
            <v>4.0622224218511771E-3</v>
          </cell>
          <cell r="AB493" t="str">
            <v/>
          </cell>
          <cell r="AC493" t="e">
            <v>#N/A</v>
          </cell>
          <cell r="AD493">
            <v>406</v>
          </cell>
          <cell r="AE493" t="e">
            <v>#N/A</v>
          </cell>
          <cell r="AF493" t="str">
            <v/>
          </cell>
        </row>
        <row r="494">
          <cell r="Y494">
            <v>478</v>
          </cell>
          <cell r="Z494">
            <v>0.92851713858544827</v>
          </cell>
          <cell r="AA494">
            <v>0.2476024412205674</v>
          </cell>
          <cell r="AB494" t="str">
            <v/>
          </cell>
          <cell r="AC494" t="e">
            <v>#N/A</v>
          </cell>
          <cell r="AD494">
            <v>407</v>
          </cell>
          <cell r="AE494" t="e">
            <v>#N/A</v>
          </cell>
          <cell r="AF494" t="str">
            <v/>
          </cell>
        </row>
        <row r="495">
          <cell r="Y495">
            <v>479</v>
          </cell>
          <cell r="Z495">
            <v>0.45657728426158428</v>
          </cell>
          <cell r="AA495">
            <v>-1.8434575451563073E-2</v>
          </cell>
          <cell r="AB495" t="str">
            <v/>
          </cell>
          <cell r="AC495" t="e">
            <v>#N/A</v>
          </cell>
          <cell r="AD495">
            <v>408</v>
          </cell>
          <cell r="AE495" t="e">
            <v>#N/A</v>
          </cell>
          <cell r="AF495" t="str">
            <v/>
          </cell>
        </row>
        <row r="496">
          <cell r="Y496">
            <v>480</v>
          </cell>
          <cell r="Z496">
            <v>0.77812053821980953</v>
          </cell>
          <cell r="AA496">
            <v>0.12945416211627517</v>
          </cell>
          <cell r="AB496" t="str">
            <v/>
          </cell>
          <cell r="AC496" t="e">
            <v>#N/A</v>
          </cell>
          <cell r="AD496">
            <v>409</v>
          </cell>
          <cell r="AE496" t="e">
            <v>#N/A</v>
          </cell>
          <cell r="AF496" t="str">
            <v/>
          </cell>
        </row>
        <row r="497">
          <cell r="Y497">
            <v>481</v>
          </cell>
          <cell r="Z497">
            <v>0.49776509217917919</v>
          </cell>
          <cell r="AA497">
            <v>-9.4692983235248316E-4</v>
          </cell>
          <cell r="AB497" t="str">
            <v/>
          </cell>
          <cell r="AC497" t="e">
            <v>#N/A</v>
          </cell>
          <cell r="AD497">
            <v>410</v>
          </cell>
          <cell r="AE497" t="e">
            <v>#N/A</v>
          </cell>
          <cell r="AF497" t="str">
            <v/>
          </cell>
        </row>
        <row r="498">
          <cell r="Y498">
            <v>482</v>
          </cell>
          <cell r="Z498">
            <v>0.39273799024522305</v>
          </cell>
          <cell r="AA498">
            <v>-4.6008496331732589E-2</v>
          </cell>
          <cell r="AB498" t="str">
            <v/>
          </cell>
          <cell r="AC498" t="e">
            <v>#N/A</v>
          </cell>
          <cell r="AD498">
            <v>411</v>
          </cell>
          <cell r="AE498" t="e">
            <v>#N/A</v>
          </cell>
          <cell r="AF498" t="str">
            <v/>
          </cell>
        </row>
        <row r="499">
          <cell r="Y499">
            <v>483</v>
          </cell>
          <cell r="Z499">
            <v>8.0461036413908005E-3</v>
          </cell>
          <cell r="AA499">
            <v>-0.40682641768056399</v>
          </cell>
          <cell r="AB499" t="str">
            <v/>
          </cell>
          <cell r="AC499" t="e">
            <v>#N/A</v>
          </cell>
          <cell r="AD499">
            <v>412</v>
          </cell>
          <cell r="AE499" t="e">
            <v>#N/A</v>
          </cell>
          <cell r="AF499" t="str">
            <v/>
          </cell>
        </row>
        <row r="500">
          <cell r="Y500">
            <v>484</v>
          </cell>
          <cell r="Z500">
            <v>0.14101325534284115</v>
          </cell>
          <cell r="AA500">
            <v>-0.18183968698784256</v>
          </cell>
          <cell r="AB500" t="str">
            <v/>
          </cell>
          <cell r="AC500" t="e">
            <v>#N/A</v>
          </cell>
          <cell r="AD500">
            <v>413</v>
          </cell>
          <cell r="AE500" t="e">
            <v>#N/A</v>
          </cell>
          <cell r="AF500" t="str">
            <v/>
          </cell>
        </row>
        <row r="501">
          <cell r="Y501">
            <v>485</v>
          </cell>
          <cell r="Z501">
            <v>0.38660073094069958</v>
          </cell>
          <cell r="AA501">
            <v>-4.8712965863617716E-2</v>
          </cell>
          <cell r="AB501" t="str">
            <v/>
          </cell>
          <cell r="AC501" t="e">
            <v>#N/A</v>
          </cell>
          <cell r="AD501">
            <v>414</v>
          </cell>
          <cell r="AE501" t="e">
            <v>#N/A</v>
          </cell>
          <cell r="AF501" t="str">
            <v/>
          </cell>
        </row>
        <row r="502">
          <cell r="Y502">
            <v>486</v>
          </cell>
          <cell r="Z502">
            <v>0.33521649800240993</v>
          </cell>
          <cell r="AA502">
            <v>-7.193172443168809E-2</v>
          </cell>
          <cell r="AB502" t="str">
            <v/>
          </cell>
          <cell r="AC502" t="e">
            <v>#N/A</v>
          </cell>
          <cell r="AD502">
            <v>415</v>
          </cell>
          <cell r="AE502" t="e">
            <v>#N/A</v>
          </cell>
          <cell r="AF502" t="str">
            <v/>
          </cell>
        </row>
        <row r="503">
          <cell r="Y503">
            <v>487</v>
          </cell>
          <cell r="Z503">
            <v>0.33783857338130474</v>
          </cell>
          <cell r="AA503">
            <v>-7.0717314655497979E-2</v>
          </cell>
          <cell r="AB503" t="str">
            <v/>
          </cell>
          <cell r="AC503" t="e">
            <v>#N/A</v>
          </cell>
          <cell r="AD503">
            <v>416</v>
          </cell>
          <cell r="AE503" t="e">
            <v>#N/A</v>
          </cell>
          <cell r="AF503" t="str">
            <v/>
          </cell>
        </row>
        <row r="504">
          <cell r="Y504">
            <v>488</v>
          </cell>
          <cell r="Z504">
            <v>0.12571450136601925</v>
          </cell>
          <cell r="AA504">
            <v>-0.19385900888584653</v>
          </cell>
          <cell r="AB504" t="str">
            <v/>
          </cell>
          <cell r="AC504" t="e">
            <v>#N/A</v>
          </cell>
          <cell r="AD504">
            <v>417</v>
          </cell>
          <cell r="AE504" t="e">
            <v>#N/A</v>
          </cell>
          <cell r="AF504" t="str">
            <v/>
          </cell>
        </row>
        <row r="505">
          <cell r="Y505">
            <v>489</v>
          </cell>
          <cell r="Z505">
            <v>0.64794871024787426</v>
          </cell>
          <cell r="AA505">
            <v>6.4195936914286975E-2</v>
          </cell>
          <cell r="AB505" t="str">
            <v/>
          </cell>
          <cell r="AC505" t="e">
            <v>#N/A</v>
          </cell>
          <cell r="AD505">
            <v>418</v>
          </cell>
          <cell r="AE505" t="e">
            <v>#N/A</v>
          </cell>
          <cell r="AF505" t="str">
            <v/>
          </cell>
        </row>
        <row r="506">
          <cell r="Y506">
            <v>490</v>
          </cell>
          <cell r="Z506">
            <v>0.52581197582185268</v>
          </cell>
          <cell r="AA506">
            <v>1.094411150803706E-2</v>
          </cell>
          <cell r="AB506" t="str">
            <v/>
          </cell>
          <cell r="AC506" t="e">
            <v>#N/A</v>
          </cell>
          <cell r="AD506">
            <v>419</v>
          </cell>
          <cell r="AE506" t="e">
            <v>#N/A</v>
          </cell>
          <cell r="AF506" t="str">
            <v/>
          </cell>
        </row>
        <row r="507">
          <cell r="Y507">
            <v>491</v>
          </cell>
          <cell r="Z507">
            <v>0.59377421252429485</v>
          </cell>
          <cell r="AA507">
            <v>4.0105025952743491E-2</v>
          </cell>
          <cell r="AB507" t="str">
            <v/>
          </cell>
          <cell r="AC507" t="e">
            <v>#N/A</v>
          </cell>
          <cell r="AD507">
            <v>420</v>
          </cell>
          <cell r="AE507" t="e">
            <v>#N/A</v>
          </cell>
          <cell r="AF507" t="str">
            <v/>
          </cell>
        </row>
        <row r="508">
          <cell r="Y508">
            <v>492</v>
          </cell>
          <cell r="Z508">
            <v>0.84430771134793758</v>
          </cell>
          <cell r="AA508">
            <v>0.17111348709679569</v>
          </cell>
          <cell r="AB508" t="str">
            <v/>
          </cell>
          <cell r="AC508" t="e">
            <v>#N/A</v>
          </cell>
          <cell r="AD508">
            <v>421</v>
          </cell>
          <cell r="AE508" t="e">
            <v>#N/A</v>
          </cell>
          <cell r="AF508" t="str">
            <v/>
          </cell>
        </row>
        <row r="509">
          <cell r="Y509">
            <v>493</v>
          </cell>
          <cell r="Z509">
            <v>8.9479623362421989E-2</v>
          </cell>
          <cell r="AA509">
            <v>-0.22717178718334913</v>
          </cell>
          <cell r="AB509" t="str">
            <v/>
          </cell>
          <cell r="AC509" t="e">
            <v>#N/A</v>
          </cell>
          <cell r="AD509">
            <v>422</v>
          </cell>
          <cell r="AE509" t="e">
            <v>#N/A</v>
          </cell>
          <cell r="AF509" t="str">
            <v/>
          </cell>
        </row>
        <row r="510">
          <cell r="Y510">
            <v>494</v>
          </cell>
          <cell r="Z510">
            <v>0.39685932360589504</v>
          </cell>
          <cell r="AA510">
            <v>-4.4199003189921253E-2</v>
          </cell>
          <cell r="AB510" t="str">
            <v/>
          </cell>
          <cell r="AC510" t="e">
            <v>#N/A</v>
          </cell>
          <cell r="AD510">
            <v>423</v>
          </cell>
          <cell r="AE510" t="e">
            <v>#N/A</v>
          </cell>
          <cell r="AF510" t="str">
            <v/>
          </cell>
        </row>
        <row r="511">
          <cell r="Y511">
            <v>495</v>
          </cell>
          <cell r="Z511">
            <v>0.39523015730082989</v>
          </cell>
          <cell r="AA511">
            <v>-4.4913680461362605E-2</v>
          </cell>
          <cell r="AB511" t="str">
            <v/>
          </cell>
          <cell r="AC511" t="e">
            <v>#N/A</v>
          </cell>
          <cell r="AD511">
            <v>424</v>
          </cell>
          <cell r="AE511" t="e">
            <v>#N/A</v>
          </cell>
          <cell r="AF511" t="str">
            <v/>
          </cell>
        </row>
        <row r="512">
          <cell r="Y512">
            <v>496</v>
          </cell>
          <cell r="Z512">
            <v>0.7110003437846899</v>
          </cell>
          <cell r="AA512">
            <v>9.4033463596018024E-2</v>
          </cell>
          <cell r="AB512" t="str">
            <v/>
          </cell>
          <cell r="AC512" t="e">
            <v>#N/A</v>
          </cell>
          <cell r="AD512">
            <v>425</v>
          </cell>
          <cell r="AE512" t="e">
            <v>#N/A</v>
          </cell>
          <cell r="AF512" t="str">
            <v/>
          </cell>
        </row>
        <row r="513">
          <cell r="Y513">
            <v>497</v>
          </cell>
          <cell r="Z513">
            <v>0.68085136823356152</v>
          </cell>
          <cell r="AA513">
            <v>7.9458164147421725E-2</v>
          </cell>
          <cell r="AB513" t="str">
            <v/>
          </cell>
          <cell r="AC513" t="e">
            <v>#N/A</v>
          </cell>
          <cell r="AD513">
            <v>426</v>
          </cell>
          <cell r="AE513" t="e">
            <v>#N/A</v>
          </cell>
          <cell r="AF513" t="str">
            <v/>
          </cell>
        </row>
        <row r="514">
          <cell r="Y514">
            <v>498</v>
          </cell>
          <cell r="Z514">
            <v>0.53340340219438076</v>
          </cell>
          <cell r="AA514">
            <v>1.4169516041654196E-2</v>
          </cell>
          <cell r="AB514" t="str">
            <v/>
          </cell>
          <cell r="AC514" t="e">
            <v>#N/A</v>
          </cell>
          <cell r="AD514">
            <v>427</v>
          </cell>
          <cell r="AE514" t="e">
            <v>#N/A</v>
          </cell>
          <cell r="AF514" t="str">
            <v/>
          </cell>
        </row>
        <row r="515">
          <cell r="Y515">
            <v>499</v>
          </cell>
          <cell r="Z515">
            <v>0.95618803612887859</v>
          </cell>
          <cell r="AA515">
            <v>0.28871600345132237</v>
          </cell>
          <cell r="AB515" t="str">
            <v/>
          </cell>
          <cell r="AC515" t="e">
            <v>#N/A</v>
          </cell>
          <cell r="AD515">
            <v>428</v>
          </cell>
          <cell r="AE515" t="e">
            <v>#N/A</v>
          </cell>
          <cell r="AF515" t="str">
            <v/>
          </cell>
        </row>
        <row r="516">
          <cell r="Y516">
            <v>500</v>
          </cell>
          <cell r="Z516">
            <v>0.79173325560986996</v>
          </cell>
          <cell r="AA516">
            <v>0.13732910808639387</v>
          </cell>
          <cell r="AB516" t="str">
            <v/>
          </cell>
          <cell r="AC516" t="e">
            <v>#N/A</v>
          </cell>
          <cell r="AD516">
            <v>429</v>
          </cell>
          <cell r="AE516" t="e">
            <v>#N/A</v>
          </cell>
          <cell r="AF516" t="str">
            <v/>
          </cell>
        </row>
        <row r="517">
          <cell r="Y517">
            <v>501</v>
          </cell>
          <cell r="Z517">
            <v>0.84863102249801159</v>
          </cell>
          <cell r="AA517">
            <v>0.17419976534319093</v>
          </cell>
          <cell r="AB517" t="str">
            <v/>
          </cell>
          <cell r="AC517" t="e">
            <v>#N/A</v>
          </cell>
          <cell r="AD517">
            <v>430</v>
          </cell>
          <cell r="AE517" t="e">
            <v>#N/A</v>
          </cell>
          <cell r="AF517" t="str">
            <v/>
          </cell>
        </row>
        <row r="518">
          <cell r="Y518">
            <v>502</v>
          </cell>
          <cell r="Z518">
            <v>0.25718340836465359</v>
          </cell>
          <cell r="AA518">
            <v>-0.11021711687904844</v>
          </cell>
          <cell r="AB518" t="str">
            <v/>
          </cell>
          <cell r="AC518" t="e">
            <v>#N/A</v>
          </cell>
          <cell r="AD518">
            <v>431</v>
          </cell>
          <cell r="AE518" t="e">
            <v>#N/A</v>
          </cell>
          <cell r="AF518" t="str">
            <v/>
          </cell>
        </row>
        <row r="519">
          <cell r="Y519">
            <v>503</v>
          </cell>
          <cell r="Z519">
            <v>0.42703084461390972</v>
          </cell>
          <cell r="AA519">
            <v>-3.1091283806102064E-2</v>
          </cell>
          <cell r="AB519" t="str">
            <v/>
          </cell>
          <cell r="AC519" t="e">
            <v>#N/A</v>
          </cell>
          <cell r="AD519">
            <v>432</v>
          </cell>
          <cell r="AE519" t="e">
            <v>#N/A</v>
          </cell>
          <cell r="AF519" t="str">
            <v/>
          </cell>
        </row>
        <row r="520">
          <cell r="Y520">
            <v>504</v>
          </cell>
          <cell r="Z520">
            <v>0.9975400771945715</v>
          </cell>
          <cell r="AA520">
            <v>0.4753545726874589</v>
          </cell>
          <cell r="AB520" t="str">
            <v/>
          </cell>
          <cell r="AC520" t="e">
            <v>#N/A</v>
          </cell>
          <cell r="AD520">
            <v>433</v>
          </cell>
          <cell r="AE520" t="e">
            <v>#N/A</v>
          </cell>
          <cell r="AF520" t="str">
            <v/>
          </cell>
        </row>
        <row r="521">
          <cell r="Y521">
            <v>505</v>
          </cell>
          <cell r="Z521">
            <v>0.73996671847999096</v>
          </cell>
          <cell r="AA521">
            <v>0.10872787847339255</v>
          </cell>
          <cell r="AB521" t="str">
            <v/>
          </cell>
          <cell r="AC521" t="e">
            <v>#N/A</v>
          </cell>
          <cell r="AD521">
            <v>434</v>
          </cell>
          <cell r="AE521" t="e">
            <v>#N/A</v>
          </cell>
          <cell r="AF521" t="str">
            <v/>
          </cell>
        </row>
        <row r="522">
          <cell r="Y522">
            <v>506</v>
          </cell>
          <cell r="Z522">
            <v>0.80436724983155727</v>
          </cell>
          <cell r="AA522">
            <v>0.14491431170438193</v>
          </cell>
          <cell r="AB522" t="str">
            <v/>
          </cell>
          <cell r="AC522" t="e">
            <v>#N/A</v>
          </cell>
          <cell r="AD522">
            <v>435</v>
          </cell>
          <cell r="AE522" t="e">
            <v>#N/A</v>
          </cell>
          <cell r="AF522" t="str">
            <v/>
          </cell>
        </row>
        <row r="523">
          <cell r="Y523">
            <v>507</v>
          </cell>
          <cell r="Z523">
            <v>0.95508982054889202</v>
          </cell>
          <cell r="AA523">
            <v>0.2867348211680853</v>
          </cell>
          <cell r="AB523" t="str">
            <v/>
          </cell>
          <cell r="AC523" t="e">
            <v>#N/A</v>
          </cell>
          <cell r="AD523">
            <v>436</v>
          </cell>
          <cell r="AE523" t="e">
            <v>#N/A</v>
          </cell>
          <cell r="AF523" t="str">
            <v/>
          </cell>
        </row>
        <row r="524">
          <cell r="Y524">
            <v>508</v>
          </cell>
          <cell r="Z524">
            <v>0.62165658734738827</v>
          </cell>
          <cell r="AA524">
            <v>5.2371586787346693E-2</v>
          </cell>
          <cell r="AB524" t="str">
            <v/>
          </cell>
          <cell r="AC524" t="e">
            <v>#N/A</v>
          </cell>
          <cell r="AD524">
            <v>437</v>
          </cell>
          <cell r="AE524" t="e">
            <v>#N/A</v>
          </cell>
          <cell r="AF524" t="str">
            <v/>
          </cell>
        </row>
        <row r="525">
          <cell r="Y525">
            <v>509</v>
          </cell>
          <cell r="Z525">
            <v>0.95500951819121838</v>
          </cell>
          <cell r="AA525">
            <v>0.28659149265005041</v>
          </cell>
          <cell r="AB525" t="str">
            <v/>
          </cell>
          <cell r="AC525" t="e">
            <v>#N/A</v>
          </cell>
          <cell r="AD525">
            <v>438</v>
          </cell>
          <cell r="AE525" t="e">
            <v>#N/A</v>
          </cell>
          <cell r="AF525" t="str">
            <v/>
          </cell>
        </row>
        <row r="526">
          <cell r="Y526">
            <v>510</v>
          </cell>
          <cell r="Z526">
            <v>0.59703592024743557</v>
          </cell>
          <cell r="AA526">
            <v>4.1527891586899818E-2</v>
          </cell>
          <cell r="AB526" t="str">
            <v/>
          </cell>
          <cell r="AC526" t="e">
            <v>#N/A</v>
          </cell>
          <cell r="AD526">
            <v>439</v>
          </cell>
          <cell r="AE526" t="e">
            <v>#N/A</v>
          </cell>
          <cell r="AF526" t="str">
            <v/>
          </cell>
        </row>
        <row r="527">
          <cell r="Y527">
            <v>511</v>
          </cell>
          <cell r="Z527">
            <v>0.96394131891429424</v>
          </cell>
          <cell r="AA527">
            <v>0.30398111229128644</v>
          </cell>
          <cell r="AB527" t="str">
            <v/>
          </cell>
          <cell r="AC527" t="e">
            <v>#N/A</v>
          </cell>
          <cell r="AD527">
            <v>440</v>
          </cell>
          <cell r="AE527" t="e">
            <v>#N/A</v>
          </cell>
          <cell r="AF527" t="str">
            <v/>
          </cell>
        </row>
        <row r="528">
          <cell r="Y528">
            <v>512</v>
          </cell>
          <cell r="Z528">
            <v>0.72038008831441402</v>
          </cell>
          <cell r="AA528">
            <v>9.8709115006123754E-2</v>
          </cell>
          <cell r="AB528" t="str">
            <v/>
          </cell>
          <cell r="AC528" t="e">
            <v>#N/A</v>
          </cell>
          <cell r="AD528">
            <v>441</v>
          </cell>
          <cell r="AE528" t="e">
            <v>#N/A</v>
          </cell>
          <cell r="AF528" t="str">
            <v/>
          </cell>
        </row>
        <row r="529">
          <cell r="Y529">
            <v>513</v>
          </cell>
          <cell r="Z529">
            <v>0.24808528833091259</v>
          </cell>
          <cell r="AA529">
            <v>-0.1150301260308097</v>
          </cell>
          <cell r="AB529" t="str">
            <v/>
          </cell>
          <cell r="AC529" t="e">
            <v>#N/A</v>
          </cell>
          <cell r="AD529">
            <v>442</v>
          </cell>
          <cell r="AE529" t="e">
            <v>#N/A</v>
          </cell>
          <cell r="AF529" t="str">
            <v/>
          </cell>
        </row>
        <row r="530">
          <cell r="Y530">
            <v>514</v>
          </cell>
          <cell r="Z530">
            <v>0.10841787420213223</v>
          </cell>
          <cell r="AA530">
            <v>-0.20875071911877852</v>
          </cell>
          <cell r="AB530" t="str">
            <v/>
          </cell>
          <cell r="AC530" t="e">
            <v>#N/A</v>
          </cell>
          <cell r="AD530">
            <v>443</v>
          </cell>
          <cell r="AE530" t="e">
            <v>#N/A</v>
          </cell>
          <cell r="AF530" t="str">
            <v/>
          </cell>
        </row>
        <row r="531">
          <cell r="Y531">
            <v>515</v>
          </cell>
          <cell r="Z531">
            <v>0.15145368687808514</v>
          </cell>
          <cell r="AA531">
            <v>-0.17413873616787043</v>
          </cell>
          <cell r="AB531" t="str">
            <v/>
          </cell>
          <cell r="AC531" t="e">
            <v>#N/A</v>
          </cell>
          <cell r="AD531">
            <v>444</v>
          </cell>
          <cell r="AE531" t="e">
            <v>#N/A</v>
          </cell>
          <cell r="AF531" t="str">
            <v/>
          </cell>
        </row>
        <row r="532">
          <cell r="Y532">
            <v>516</v>
          </cell>
          <cell r="Z532">
            <v>0.83767878077924252</v>
          </cell>
          <cell r="AA532">
            <v>0.16648906771518895</v>
          </cell>
          <cell r="AB532" t="str">
            <v/>
          </cell>
          <cell r="AC532" t="e">
            <v>#N/A</v>
          </cell>
          <cell r="AD532">
            <v>445</v>
          </cell>
          <cell r="AE532" t="e">
            <v>#N/A</v>
          </cell>
          <cell r="AF532" t="str">
            <v/>
          </cell>
        </row>
        <row r="533">
          <cell r="Y533">
            <v>517</v>
          </cell>
          <cell r="Z533">
            <v>0.69761657528579235</v>
          </cell>
          <cell r="AA533">
            <v>8.7483231010443183E-2</v>
          </cell>
          <cell r="AB533" t="str">
            <v/>
          </cell>
          <cell r="AC533" t="e">
            <v>#N/A</v>
          </cell>
          <cell r="AD533">
            <v>446</v>
          </cell>
          <cell r="AE533" t="e">
            <v>#N/A</v>
          </cell>
          <cell r="AF533" t="str">
            <v/>
          </cell>
        </row>
        <row r="534">
          <cell r="Y534">
            <v>518</v>
          </cell>
          <cell r="Z534">
            <v>0.82187340222299099</v>
          </cell>
          <cell r="AA534">
            <v>0.15593570472366558</v>
          </cell>
          <cell r="AB534" t="str">
            <v/>
          </cell>
          <cell r="AC534" t="e">
            <v>#N/A</v>
          </cell>
          <cell r="AD534">
            <v>447</v>
          </cell>
          <cell r="AE534" t="e">
            <v>#N/A</v>
          </cell>
          <cell r="AF534" t="str">
            <v/>
          </cell>
        </row>
        <row r="535">
          <cell r="Y535">
            <v>519</v>
          </cell>
          <cell r="Z535">
            <v>0.70658413879573345</v>
          </cell>
          <cell r="AA535">
            <v>9.1856939325937914E-2</v>
          </cell>
          <cell r="AB535" t="str">
            <v/>
          </cell>
          <cell r="AC535" t="e">
            <v>#N/A</v>
          </cell>
          <cell r="AD535">
            <v>448</v>
          </cell>
          <cell r="AE535" t="e">
            <v>#N/A</v>
          </cell>
          <cell r="AF535" t="str">
            <v/>
          </cell>
        </row>
        <row r="536">
          <cell r="Y536">
            <v>520</v>
          </cell>
          <cell r="Z536">
            <v>0.57355113886296749</v>
          </cell>
          <cell r="AA536">
            <v>3.1342109960207282E-2</v>
          </cell>
          <cell r="AB536" t="str">
            <v/>
          </cell>
          <cell r="AC536" t="e">
            <v>#N/A</v>
          </cell>
          <cell r="AD536">
            <v>449</v>
          </cell>
          <cell r="AE536" t="e">
            <v>#N/A</v>
          </cell>
          <cell r="AF536" t="str">
            <v/>
          </cell>
        </row>
        <row r="537">
          <cell r="Y537">
            <v>521</v>
          </cell>
          <cell r="Z537">
            <v>0.84479448013007641</v>
          </cell>
          <cell r="AA537">
            <v>0.17145812116951537</v>
          </cell>
          <cell r="AB537" t="str">
            <v/>
          </cell>
          <cell r="AC537" t="e">
            <v>#N/A</v>
          </cell>
          <cell r="AD537">
            <v>450</v>
          </cell>
          <cell r="AE537" t="e">
            <v>#N/A</v>
          </cell>
          <cell r="AF537" t="str">
            <v/>
          </cell>
        </row>
        <row r="538">
          <cell r="Y538">
            <v>522</v>
          </cell>
          <cell r="Z538">
            <v>0.78362900577485561</v>
          </cell>
          <cell r="AA538">
            <v>0.13260608396753779</v>
          </cell>
          <cell r="AB538" t="str">
            <v/>
          </cell>
          <cell r="AC538" t="e">
            <v>#N/A</v>
          </cell>
          <cell r="AD538">
            <v>451</v>
          </cell>
          <cell r="AE538" t="e">
            <v>#N/A</v>
          </cell>
          <cell r="AF538" t="str">
            <v/>
          </cell>
        </row>
        <row r="539">
          <cell r="Y539">
            <v>523</v>
          </cell>
          <cell r="Z539">
            <v>0.24492563121020794</v>
          </cell>
          <cell r="AA539">
            <v>-0.11672347857437737</v>
          </cell>
          <cell r="AB539" t="str">
            <v/>
          </cell>
          <cell r="AC539" t="e">
            <v>#N/A</v>
          </cell>
          <cell r="AD539">
            <v>452</v>
          </cell>
          <cell r="AE539" t="e">
            <v>#N/A</v>
          </cell>
          <cell r="AF539" t="str">
            <v/>
          </cell>
        </row>
        <row r="540">
          <cell r="Y540">
            <v>524</v>
          </cell>
          <cell r="Z540">
            <v>0.4961352851241827</v>
          </cell>
          <cell r="AA540">
            <v>-1.6374956832224477E-3</v>
          </cell>
          <cell r="AB540" t="str">
            <v/>
          </cell>
          <cell r="AC540" t="e">
            <v>#N/A</v>
          </cell>
          <cell r="AD540">
            <v>453</v>
          </cell>
          <cell r="AE540" t="e">
            <v>#N/A</v>
          </cell>
          <cell r="AF540" t="str">
            <v/>
          </cell>
        </row>
        <row r="541">
          <cell r="Y541">
            <v>525</v>
          </cell>
          <cell r="Z541">
            <v>0.30100053362548351</v>
          </cell>
          <cell r="AA541">
            <v>-8.8153821194591683E-2</v>
          </cell>
          <cell r="AB541" t="str">
            <v/>
          </cell>
          <cell r="AC541" t="e">
            <v>#N/A</v>
          </cell>
          <cell r="AD541">
            <v>454</v>
          </cell>
          <cell r="AE541" t="e">
            <v>#N/A</v>
          </cell>
          <cell r="AF541" t="str">
            <v/>
          </cell>
        </row>
        <row r="542">
          <cell r="Y542">
            <v>526</v>
          </cell>
          <cell r="Z542">
            <v>0.24926177226006985</v>
          </cell>
          <cell r="AA542">
            <v>-0.11440256084281117</v>
          </cell>
          <cell r="AB542" t="str">
            <v/>
          </cell>
          <cell r="AC542" t="e">
            <v>#N/A</v>
          </cell>
          <cell r="AD542">
            <v>455</v>
          </cell>
          <cell r="AE542" t="e">
            <v>#N/A</v>
          </cell>
          <cell r="AF542" t="str">
            <v/>
          </cell>
        </row>
        <row r="543">
          <cell r="Y543">
            <v>527</v>
          </cell>
          <cell r="Z543">
            <v>0.96300373785197735</v>
          </cell>
          <cell r="AA543">
            <v>0.30200059064869084</v>
          </cell>
          <cell r="AB543" t="str">
            <v/>
          </cell>
          <cell r="AC543" t="e">
            <v>#N/A</v>
          </cell>
          <cell r="AD543">
            <v>456</v>
          </cell>
          <cell r="AE543" t="e">
            <v>#N/A</v>
          </cell>
          <cell r="AF543" t="str">
            <v/>
          </cell>
        </row>
        <row r="544">
          <cell r="Y544">
            <v>528</v>
          </cell>
          <cell r="Z544">
            <v>0.8975683655589819</v>
          </cell>
          <cell r="AA544">
            <v>0.21430020571830527</v>
          </cell>
          <cell r="AB544" t="str">
            <v/>
          </cell>
          <cell r="AC544" t="e">
            <v>#N/A</v>
          </cell>
          <cell r="AD544">
            <v>457</v>
          </cell>
          <cell r="AE544" t="e">
            <v>#N/A</v>
          </cell>
          <cell r="AF544" t="str">
            <v/>
          </cell>
        </row>
        <row r="545">
          <cell r="Y545">
            <v>529</v>
          </cell>
          <cell r="Z545">
            <v>0.32397857122123241</v>
          </cell>
          <cell r="AA545">
            <v>-7.7179824359207852E-2</v>
          </cell>
          <cell r="AB545" t="str">
            <v/>
          </cell>
          <cell r="AC545" t="e">
            <v>#N/A</v>
          </cell>
          <cell r="AD545">
            <v>458</v>
          </cell>
          <cell r="AE545" t="e">
            <v>#N/A</v>
          </cell>
          <cell r="AF545" t="str">
            <v/>
          </cell>
        </row>
        <row r="546">
          <cell r="Y546">
            <v>530</v>
          </cell>
          <cell r="Z546">
            <v>0.92393375001847744</v>
          </cell>
          <cell r="AA546">
            <v>0.24205886544054803</v>
          </cell>
          <cell r="AB546" t="str">
            <v/>
          </cell>
          <cell r="AC546" t="e">
            <v>#N/A</v>
          </cell>
          <cell r="AD546">
            <v>459</v>
          </cell>
          <cell r="AE546" t="e">
            <v>#N/A</v>
          </cell>
          <cell r="AF546" t="str">
            <v/>
          </cell>
        </row>
        <row r="547">
          <cell r="Y547">
            <v>531</v>
          </cell>
          <cell r="Z547">
            <v>0.51132352463901043</v>
          </cell>
          <cell r="AA547">
            <v>4.7983935915951598E-3</v>
          </cell>
          <cell r="AB547" t="str">
            <v/>
          </cell>
          <cell r="AC547" t="e">
            <v>#N/A</v>
          </cell>
          <cell r="AD547">
            <v>460</v>
          </cell>
          <cell r="AE547" t="e">
            <v>#N/A</v>
          </cell>
          <cell r="AF547" t="str">
            <v/>
          </cell>
        </row>
        <row r="548">
          <cell r="Y548">
            <v>532</v>
          </cell>
          <cell r="Z548">
            <v>0.89359592460095882</v>
          </cell>
          <cell r="AA548">
            <v>0.2105922959854063</v>
          </cell>
          <cell r="AB548" t="str">
            <v/>
          </cell>
          <cell r="AC548" t="e">
            <v>#N/A</v>
          </cell>
          <cell r="AD548">
            <v>461</v>
          </cell>
          <cell r="AE548" t="e">
            <v>#N/A</v>
          </cell>
          <cell r="AF548" t="str">
            <v/>
          </cell>
        </row>
        <row r="549">
          <cell r="Y549">
            <v>533</v>
          </cell>
          <cell r="Z549">
            <v>0.86275660805404186</v>
          </cell>
          <cell r="AA549">
            <v>0.18471492698556152</v>
          </cell>
          <cell r="AB549" t="str">
            <v/>
          </cell>
          <cell r="AC549" t="e">
            <v>#N/A</v>
          </cell>
          <cell r="AD549">
            <v>462</v>
          </cell>
          <cell r="AE549" t="e">
            <v>#N/A</v>
          </cell>
          <cell r="AF549" t="str">
            <v/>
          </cell>
        </row>
        <row r="550">
          <cell r="Y550">
            <v>534</v>
          </cell>
          <cell r="Z550">
            <v>0.29637632332742214</v>
          </cell>
          <cell r="AA550">
            <v>-9.0406380038832418E-2</v>
          </cell>
          <cell r="AB550" t="str">
            <v/>
          </cell>
          <cell r="AC550" t="e">
            <v>#N/A</v>
          </cell>
          <cell r="AD550">
            <v>463</v>
          </cell>
          <cell r="AE550" t="e">
            <v>#N/A</v>
          </cell>
          <cell r="AF550" t="str">
            <v/>
          </cell>
        </row>
        <row r="551">
          <cell r="Y551">
            <v>535</v>
          </cell>
          <cell r="Z551">
            <v>8.6166424676775932E-2</v>
          </cell>
          <cell r="AA551">
            <v>-0.23068420296388559</v>
          </cell>
          <cell r="AB551" t="str">
            <v/>
          </cell>
          <cell r="AC551" t="e">
            <v>#N/A</v>
          </cell>
          <cell r="AD551">
            <v>464</v>
          </cell>
          <cell r="AE551" t="e">
            <v>#N/A</v>
          </cell>
          <cell r="AF551" t="str">
            <v/>
          </cell>
        </row>
        <row r="552">
          <cell r="Y552">
            <v>536</v>
          </cell>
          <cell r="Z552">
            <v>0.36693128012120724</v>
          </cell>
          <cell r="AA552">
            <v>-5.7469135343813982E-2</v>
          </cell>
          <cell r="AB552" t="str">
            <v/>
          </cell>
          <cell r="AC552" t="e">
            <v>#N/A</v>
          </cell>
          <cell r="AD552">
            <v>465</v>
          </cell>
          <cell r="AE552" t="e">
            <v>#N/A</v>
          </cell>
          <cell r="AF552" t="str">
            <v/>
          </cell>
        </row>
        <row r="553">
          <cell r="Y553">
            <v>537</v>
          </cell>
          <cell r="Z553">
            <v>0.57131871394813061</v>
          </cell>
          <cell r="AA553">
            <v>3.0380338599879108E-2</v>
          </cell>
          <cell r="AB553" t="str">
            <v/>
          </cell>
          <cell r="AC553" t="e">
            <v>#N/A</v>
          </cell>
          <cell r="AD553">
            <v>466</v>
          </cell>
          <cell r="AE553" t="e">
            <v>#N/A</v>
          </cell>
          <cell r="AF553" t="str">
            <v/>
          </cell>
        </row>
        <row r="554">
          <cell r="Y554">
            <v>538</v>
          </cell>
          <cell r="Z554">
            <v>0.5666245874017477</v>
          </cell>
          <cell r="AA554">
            <v>2.836118471763811E-2</v>
          </cell>
          <cell r="AB554" t="str">
            <v/>
          </cell>
          <cell r="AC554" t="e">
            <v>#N/A</v>
          </cell>
          <cell r="AD554">
            <v>467</v>
          </cell>
          <cell r="AE554" t="e">
            <v>#N/A</v>
          </cell>
          <cell r="AF554" t="str">
            <v/>
          </cell>
        </row>
        <row r="555">
          <cell r="Y555">
            <v>539</v>
          </cell>
          <cell r="Z555">
            <v>0.24013711325824261</v>
          </cell>
          <cell r="AA555">
            <v>-0.11931238233923849</v>
          </cell>
          <cell r="AB555" t="str">
            <v/>
          </cell>
          <cell r="AC555" t="e">
            <v>#N/A</v>
          </cell>
          <cell r="AD555">
            <v>468</v>
          </cell>
          <cell r="AE555" t="e">
            <v>#N/A</v>
          </cell>
          <cell r="AF555" t="str">
            <v/>
          </cell>
        </row>
        <row r="556">
          <cell r="Y556">
            <v>540</v>
          </cell>
          <cell r="Z556">
            <v>0.25436489842832088</v>
          </cell>
          <cell r="AA556">
            <v>-0.11169842884155556</v>
          </cell>
          <cell r="AB556" t="str">
            <v/>
          </cell>
          <cell r="AC556" t="e">
            <v>#N/A</v>
          </cell>
          <cell r="AD556">
            <v>469</v>
          </cell>
          <cell r="AE556" t="e">
            <v>#N/A</v>
          </cell>
          <cell r="AF556" t="str">
            <v/>
          </cell>
        </row>
        <row r="557">
          <cell r="Y557">
            <v>541</v>
          </cell>
          <cell r="Z557">
            <v>0.2910268884152174</v>
          </cell>
          <cell r="AA557">
            <v>-9.3032428919740062E-2</v>
          </cell>
          <cell r="AB557" t="str">
            <v/>
          </cell>
          <cell r="AC557" t="e">
            <v>#N/A</v>
          </cell>
          <cell r="AD557">
            <v>470</v>
          </cell>
          <cell r="AE557" t="e">
            <v>#N/A</v>
          </cell>
          <cell r="AF557" t="str">
            <v/>
          </cell>
        </row>
        <row r="558">
          <cell r="Y558">
            <v>542</v>
          </cell>
          <cell r="Z558">
            <v>0.66750172339379787</v>
          </cell>
          <cell r="AA558">
            <v>7.3194596924745794E-2</v>
          </cell>
          <cell r="AB558" t="str">
            <v/>
          </cell>
          <cell r="AC558" t="e">
            <v>#N/A</v>
          </cell>
          <cell r="AD558">
            <v>471</v>
          </cell>
          <cell r="AE558" t="e">
            <v>#N/A</v>
          </cell>
          <cell r="AF558" t="str">
            <v/>
          </cell>
        </row>
        <row r="559">
          <cell r="Y559">
            <v>543</v>
          </cell>
          <cell r="Z559">
            <v>0.9114603828638792</v>
          </cell>
          <cell r="AA559">
            <v>0.22815832232382183</v>
          </cell>
          <cell r="AB559" t="str">
            <v/>
          </cell>
          <cell r="AC559" t="e">
            <v>#N/A</v>
          </cell>
          <cell r="AD559">
            <v>472</v>
          </cell>
          <cell r="AE559" t="e">
            <v>#N/A</v>
          </cell>
          <cell r="AF559" t="str">
            <v/>
          </cell>
        </row>
        <row r="560">
          <cell r="Y560">
            <v>544</v>
          </cell>
          <cell r="Z560">
            <v>0.67762376926839352</v>
          </cell>
          <cell r="AA560">
            <v>7.7934093862991632E-2</v>
          </cell>
          <cell r="AB560" t="str">
            <v/>
          </cell>
          <cell r="AC560" t="e">
            <v>#N/A</v>
          </cell>
          <cell r="AD560">
            <v>473</v>
          </cell>
          <cell r="AE560" t="e">
            <v>#N/A</v>
          </cell>
          <cell r="AF560" t="str">
            <v/>
          </cell>
        </row>
        <row r="561">
          <cell r="Y561">
            <v>545</v>
          </cell>
          <cell r="Z561">
            <v>0.50179293565452099</v>
          </cell>
          <cell r="AA561">
            <v>7.596649301868458E-4</v>
          </cell>
          <cell r="AB561" t="str">
            <v/>
          </cell>
          <cell r="AC561" t="e">
            <v>#N/A</v>
          </cell>
          <cell r="AD561">
            <v>474</v>
          </cell>
          <cell r="AE561" t="e">
            <v>#N/A</v>
          </cell>
          <cell r="AF561" t="str">
            <v/>
          </cell>
        </row>
        <row r="562">
          <cell r="Y562">
            <v>546</v>
          </cell>
          <cell r="Z562">
            <v>0.8798533733934164</v>
          </cell>
          <cell r="AA562">
            <v>0.19848517360288376</v>
          </cell>
          <cell r="AB562" t="str">
            <v/>
          </cell>
          <cell r="AC562" t="e">
            <v>#N/A</v>
          </cell>
          <cell r="AD562">
            <v>475</v>
          </cell>
          <cell r="AE562" t="e">
            <v>#N/A</v>
          </cell>
          <cell r="AF562" t="str">
            <v/>
          </cell>
        </row>
        <row r="563">
          <cell r="Y563">
            <v>547</v>
          </cell>
          <cell r="Z563">
            <v>0.17202801816165447</v>
          </cell>
          <cell r="AA563">
            <v>-0.15993385880354899</v>
          </cell>
          <cell r="AB563" t="str">
            <v/>
          </cell>
          <cell r="AC563" t="e">
            <v>#N/A</v>
          </cell>
          <cell r="AD563">
            <v>476</v>
          </cell>
          <cell r="AE563" t="e">
            <v>#N/A</v>
          </cell>
          <cell r="AF563" t="str">
            <v/>
          </cell>
        </row>
        <row r="564">
          <cell r="Y564">
            <v>548</v>
          </cell>
          <cell r="Z564">
            <v>0.41798078082501888</v>
          </cell>
          <cell r="AA564">
            <v>-3.4999839412518566E-2</v>
          </cell>
          <cell r="AB564" t="str">
            <v/>
          </cell>
          <cell r="AC564" t="e">
            <v>#N/A</v>
          </cell>
          <cell r="AD564">
            <v>477</v>
          </cell>
          <cell r="AE564" t="e">
            <v>#N/A</v>
          </cell>
          <cell r="AF564" t="str">
            <v/>
          </cell>
        </row>
        <row r="565">
          <cell r="Y565">
            <v>549</v>
          </cell>
          <cell r="Z565">
            <v>0.24200033955276012</v>
          </cell>
          <cell r="AA565">
            <v>-0.11830173671095633</v>
          </cell>
          <cell r="AB565" t="str">
            <v/>
          </cell>
          <cell r="AC565" t="e">
            <v>#N/A</v>
          </cell>
          <cell r="AD565">
            <v>478</v>
          </cell>
          <cell r="AE565" t="e">
            <v>#N/A</v>
          </cell>
          <cell r="AF565" t="str">
            <v/>
          </cell>
        </row>
        <row r="566">
          <cell r="Y566">
            <v>550</v>
          </cell>
          <cell r="Z566">
            <v>0.54153201542794704</v>
          </cell>
          <cell r="AA566">
            <v>1.7628918502364428E-2</v>
          </cell>
          <cell r="AB566" t="str">
            <v/>
          </cell>
          <cell r="AC566" t="e">
            <v>#N/A</v>
          </cell>
          <cell r="AD566">
            <v>479</v>
          </cell>
          <cell r="AE566" t="e">
            <v>#N/A</v>
          </cell>
          <cell r="AF566" t="str">
            <v/>
          </cell>
        </row>
        <row r="567">
          <cell r="Y567">
            <v>551</v>
          </cell>
          <cell r="Z567">
            <v>0.19419567100703716</v>
          </cell>
          <cell r="AA567">
            <v>-0.14579559034300649</v>
          </cell>
          <cell r="AB567" t="str">
            <v/>
          </cell>
          <cell r="AC567" t="e">
            <v>#N/A</v>
          </cell>
          <cell r="AD567">
            <v>480</v>
          </cell>
          <cell r="AE567" t="e">
            <v>#N/A</v>
          </cell>
          <cell r="AF567" t="str">
            <v/>
          </cell>
        </row>
        <row r="568">
          <cell r="Y568">
            <v>552</v>
          </cell>
          <cell r="Z568">
            <v>0.23461409471929073</v>
          </cell>
          <cell r="AA568">
            <v>-0.12233361224485137</v>
          </cell>
          <cell r="AB568" t="str">
            <v/>
          </cell>
          <cell r="AC568" t="e">
            <v>#N/A</v>
          </cell>
          <cell r="AD568">
            <v>481</v>
          </cell>
          <cell r="AE568" t="e">
            <v>#N/A</v>
          </cell>
          <cell r="AF568" t="str">
            <v/>
          </cell>
        </row>
        <row r="569">
          <cell r="Y569">
            <v>553</v>
          </cell>
          <cell r="Z569">
            <v>0.99717613868415356</v>
          </cell>
          <cell r="AA569">
            <v>0.46780343355526988</v>
          </cell>
          <cell r="AB569" t="str">
            <v/>
          </cell>
          <cell r="AC569" t="e">
            <v>#N/A</v>
          </cell>
          <cell r="AD569">
            <v>482</v>
          </cell>
          <cell r="AE569" t="e">
            <v>#N/A</v>
          </cell>
          <cell r="AF569" t="str">
            <v/>
          </cell>
        </row>
        <row r="570">
          <cell r="Y570">
            <v>554</v>
          </cell>
          <cell r="Z570">
            <v>0.35013133846223354</v>
          </cell>
          <cell r="AA570">
            <v>-6.5071114369829833E-2</v>
          </cell>
          <cell r="AB570" t="str">
            <v/>
          </cell>
          <cell r="AC570" t="e">
            <v>#N/A</v>
          </cell>
          <cell r="AD570">
            <v>483</v>
          </cell>
          <cell r="AE570" t="e">
            <v>#N/A</v>
          </cell>
          <cell r="AF570" t="str">
            <v/>
          </cell>
        </row>
        <row r="571">
          <cell r="Y571">
            <v>555</v>
          </cell>
          <cell r="Z571">
            <v>0.93632973544299603</v>
          </cell>
          <cell r="AA571">
            <v>0.25771687640899454</v>
          </cell>
          <cell r="AB571" t="str">
            <v/>
          </cell>
          <cell r="AC571" t="e">
            <v>#N/A</v>
          </cell>
          <cell r="AD571">
            <v>484</v>
          </cell>
          <cell r="AE571" t="e">
            <v>#N/A</v>
          </cell>
          <cell r="AF571" t="str">
            <v/>
          </cell>
        </row>
        <row r="572">
          <cell r="Y572">
            <v>556</v>
          </cell>
          <cell r="Z572">
            <v>0.52671652100980282</v>
          </cell>
          <cell r="AA572">
            <v>1.1328197791261818E-2</v>
          </cell>
          <cell r="AB572" t="str">
            <v/>
          </cell>
          <cell r="AC572" t="e">
            <v>#N/A</v>
          </cell>
          <cell r="AD572">
            <v>485</v>
          </cell>
          <cell r="AE572" t="e">
            <v>#N/A</v>
          </cell>
          <cell r="AF572" t="str">
            <v/>
          </cell>
        </row>
        <row r="573">
          <cell r="Y573">
            <v>557</v>
          </cell>
          <cell r="Z573">
            <v>5.7412801310420036E-2</v>
          </cell>
          <cell r="AA573">
            <v>-0.26653955901218768</v>
          </cell>
          <cell r="AB573" t="str">
            <v/>
          </cell>
          <cell r="AC573" t="e">
            <v>#N/A</v>
          </cell>
          <cell r="AD573">
            <v>486</v>
          </cell>
          <cell r="AE573" t="e">
            <v>#N/A</v>
          </cell>
          <cell r="AF573" t="str">
            <v/>
          </cell>
        </row>
        <row r="574">
          <cell r="Y574">
            <v>558</v>
          </cell>
          <cell r="Z574">
            <v>0.75947061739861965</v>
          </cell>
          <cell r="AA574">
            <v>0.11909925523611468</v>
          </cell>
          <cell r="AB574" t="str">
            <v/>
          </cell>
          <cell r="AC574" t="e">
            <v>#N/A</v>
          </cell>
          <cell r="AD574">
            <v>487</v>
          </cell>
          <cell r="AE574" t="e">
            <v>#N/A</v>
          </cell>
          <cell r="AF574" t="str">
            <v/>
          </cell>
        </row>
        <row r="575">
          <cell r="Y575">
            <v>559</v>
          </cell>
          <cell r="Z575">
            <v>4.7104222699999809E-2</v>
          </cell>
          <cell r="AA575">
            <v>-0.2828907138316083</v>
          </cell>
          <cell r="AB575" t="str">
            <v/>
          </cell>
          <cell r="AC575" t="e">
            <v>#N/A</v>
          </cell>
          <cell r="AD575">
            <v>488</v>
          </cell>
          <cell r="AE575" t="e">
            <v>#N/A</v>
          </cell>
          <cell r="AF575" t="str">
            <v/>
          </cell>
        </row>
        <row r="576">
          <cell r="Y576">
            <v>560</v>
          </cell>
          <cell r="Z576">
            <v>0.83935489319264889</v>
          </cell>
          <cell r="AA576">
            <v>0.16764649000402981</v>
          </cell>
          <cell r="AB576" t="str">
            <v/>
          </cell>
          <cell r="AC576" t="e">
            <v>#N/A</v>
          </cell>
          <cell r="AD576">
            <v>489</v>
          </cell>
          <cell r="AE576" t="e">
            <v>#N/A</v>
          </cell>
          <cell r="AF576" t="str">
            <v/>
          </cell>
        </row>
        <row r="577">
          <cell r="Y577">
            <v>561</v>
          </cell>
          <cell r="Z577">
            <v>0.84354010038077831</v>
          </cell>
          <cell r="AA577">
            <v>0.17057145638022408</v>
          </cell>
          <cell r="AB577" t="str">
            <v/>
          </cell>
          <cell r="AC577" t="e">
            <v>#N/A</v>
          </cell>
          <cell r="AD577">
            <v>490</v>
          </cell>
          <cell r="AE577" t="e">
            <v>#N/A</v>
          </cell>
          <cell r="AF577" t="str">
            <v/>
          </cell>
        </row>
        <row r="578">
          <cell r="Y578">
            <v>562</v>
          </cell>
          <cell r="Z578">
            <v>0.96982908807694912</v>
          </cell>
          <cell r="AA578">
            <v>0.31748856137371939</v>
          </cell>
          <cell r="AB578" t="str">
            <v/>
          </cell>
          <cell r="AC578" t="e">
            <v>#N/A</v>
          </cell>
          <cell r="AD578">
            <v>491</v>
          </cell>
          <cell r="AE578" t="e">
            <v>#N/A</v>
          </cell>
          <cell r="AF578" t="str">
            <v/>
          </cell>
        </row>
        <row r="579">
          <cell r="Y579">
            <v>563</v>
          </cell>
          <cell r="Z579">
            <v>0.48854763619601727</v>
          </cell>
          <cell r="AA579">
            <v>-4.8530046763230151E-3</v>
          </cell>
          <cell r="AB579" t="str">
            <v/>
          </cell>
          <cell r="AC579" t="e">
            <v>#N/A</v>
          </cell>
          <cell r="AD579">
            <v>492</v>
          </cell>
          <cell r="AE579" t="e">
            <v>#N/A</v>
          </cell>
          <cell r="AF579" t="str">
            <v/>
          </cell>
        </row>
        <row r="580">
          <cell r="Y580">
            <v>564</v>
          </cell>
          <cell r="Z580">
            <v>0.71307944320142269</v>
          </cell>
          <cell r="AA580">
            <v>9.5063547481540653E-2</v>
          </cell>
          <cell r="AB580" t="str">
            <v/>
          </cell>
          <cell r="AC580" t="e">
            <v>#N/A</v>
          </cell>
          <cell r="AD580">
            <v>493</v>
          </cell>
          <cell r="AE580" t="e">
            <v>#N/A</v>
          </cell>
          <cell r="AF580" t="str">
            <v/>
          </cell>
        </row>
        <row r="581">
          <cell r="Y581">
            <v>565</v>
          </cell>
          <cell r="Z581">
            <v>0.70204698853194714</v>
          </cell>
          <cell r="AA581">
            <v>8.9636554001842131E-2</v>
          </cell>
          <cell r="AB581" t="str">
            <v/>
          </cell>
          <cell r="AC581" t="e">
            <v>#N/A</v>
          </cell>
          <cell r="AD581">
            <v>494</v>
          </cell>
          <cell r="AE581" t="e">
            <v>#N/A</v>
          </cell>
          <cell r="AF581" t="str">
            <v/>
          </cell>
        </row>
        <row r="582">
          <cell r="Y582">
            <v>566</v>
          </cell>
          <cell r="Z582">
            <v>1.1930322274565697E-2</v>
          </cell>
          <cell r="AA582">
            <v>-0.38190251128719072</v>
          </cell>
          <cell r="AB582" t="str">
            <v/>
          </cell>
          <cell r="AC582" t="e">
            <v>#N/A</v>
          </cell>
          <cell r="AD582">
            <v>495</v>
          </cell>
          <cell r="AE582" t="e">
            <v>#N/A</v>
          </cell>
          <cell r="AF582" t="str">
            <v/>
          </cell>
        </row>
        <row r="583">
          <cell r="Y583">
            <v>567</v>
          </cell>
          <cell r="Z583">
            <v>0.37783984653651714</v>
          </cell>
          <cell r="AA583">
            <v>-5.259548324679636E-2</v>
          </cell>
          <cell r="AB583" t="str">
            <v/>
          </cell>
          <cell r="AC583" t="e">
            <v>#N/A</v>
          </cell>
          <cell r="AD583">
            <v>496</v>
          </cell>
          <cell r="AE583" t="e">
            <v>#N/A</v>
          </cell>
          <cell r="AF583" t="str">
            <v/>
          </cell>
        </row>
        <row r="584">
          <cell r="Y584">
            <v>568</v>
          </cell>
          <cell r="Z584">
            <v>0.37728317640721798</v>
          </cell>
          <cell r="AA584">
            <v>-5.2843098361452123E-2</v>
          </cell>
          <cell r="AB584" t="str">
            <v/>
          </cell>
          <cell r="AC584" t="e">
            <v>#N/A</v>
          </cell>
          <cell r="AD584">
            <v>497</v>
          </cell>
          <cell r="AE584" t="e">
            <v>#N/A</v>
          </cell>
          <cell r="AF584" t="str">
            <v/>
          </cell>
        </row>
        <row r="585">
          <cell r="Y585">
            <v>569</v>
          </cell>
          <cell r="Z585">
            <v>0.66875347308814526</v>
          </cell>
          <cell r="AA585">
            <v>7.3777526296779458E-2</v>
          </cell>
          <cell r="AB585" t="str">
            <v/>
          </cell>
          <cell r="AC585" t="e">
            <v>#N/A</v>
          </cell>
          <cell r="AD585">
            <v>498</v>
          </cell>
          <cell r="AE585" t="e">
            <v>#N/A</v>
          </cell>
          <cell r="AF585" t="str">
            <v/>
          </cell>
        </row>
        <row r="586">
          <cell r="Y586">
            <v>570</v>
          </cell>
          <cell r="Z586">
            <v>0.42467660270631313</v>
          </cell>
          <cell r="AA586">
            <v>-3.210635445469142E-2</v>
          </cell>
          <cell r="AB586" t="str">
            <v/>
          </cell>
          <cell r="AC586" t="e">
            <v>#N/A</v>
          </cell>
          <cell r="AD586">
            <v>499</v>
          </cell>
          <cell r="AE586" t="e">
            <v>#N/A</v>
          </cell>
          <cell r="AF586" t="str">
            <v/>
          </cell>
        </row>
        <row r="587">
          <cell r="Y587">
            <v>571</v>
          </cell>
          <cell r="Z587">
            <v>0.54785896651446819</v>
          </cell>
          <cell r="AA587">
            <v>2.0326609342243604E-2</v>
          </cell>
          <cell r="AB587" t="str">
            <v/>
          </cell>
          <cell r="AC587" t="e">
            <v>#N/A</v>
          </cell>
          <cell r="AD587">
            <v>500</v>
          </cell>
          <cell r="AE587" t="e">
            <v>#N/A</v>
          </cell>
          <cell r="AF587" t="str">
            <v/>
          </cell>
        </row>
        <row r="588">
          <cell r="Y588">
            <v>572</v>
          </cell>
          <cell r="Z588">
            <v>0.7873112466186285</v>
          </cell>
          <cell r="AA588">
            <v>0.13473898822127442</v>
          </cell>
          <cell r="AB588" t="str">
            <v/>
          </cell>
          <cell r="AC588" t="e">
            <v>#N/A</v>
          </cell>
          <cell r="AD588">
            <v>501</v>
          </cell>
          <cell r="AE588" t="e">
            <v>#N/A</v>
          </cell>
          <cell r="AF588" t="str">
            <v/>
          </cell>
        </row>
        <row r="589">
          <cell r="Y589">
            <v>573</v>
          </cell>
          <cell r="Z589">
            <v>0.70123249106109142</v>
          </cell>
          <cell r="AA589">
            <v>8.9239599583648313E-2</v>
          </cell>
          <cell r="AB589" t="str">
            <v/>
          </cell>
          <cell r="AC589" t="e">
            <v>#N/A</v>
          </cell>
          <cell r="AD589">
            <v>502</v>
          </cell>
          <cell r="AE589" t="e">
            <v>#N/A</v>
          </cell>
          <cell r="AF589" t="str">
            <v/>
          </cell>
        </row>
        <row r="590">
          <cell r="Y590">
            <v>574</v>
          </cell>
          <cell r="Z590">
            <v>2.6633298024535179E-2</v>
          </cell>
          <cell r="AA590">
            <v>-0.32669493457670434</v>
          </cell>
          <cell r="AB590" t="str">
            <v/>
          </cell>
          <cell r="AC590" t="e">
            <v>#N/A</v>
          </cell>
          <cell r="AD590">
            <v>503</v>
          </cell>
          <cell r="AE590" t="e">
            <v>#N/A</v>
          </cell>
          <cell r="AF590" t="str">
            <v/>
          </cell>
        </row>
        <row r="591">
          <cell r="Y591">
            <v>575</v>
          </cell>
          <cell r="Z591">
            <v>0.32647822611033916</v>
          </cell>
          <cell r="AA591">
            <v>-7.6006216827163908E-2</v>
          </cell>
          <cell r="AB591" t="str">
            <v/>
          </cell>
          <cell r="AC591" t="e">
            <v>#N/A</v>
          </cell>
          <cell r="AD591">
            <v>504</v>
          </cell>
          <cell r="AE591" t="e">
            <v>#N/A</v>
          </cell>
          <cell r="AF591" t="str">
            <v/>
          </cell>
        </row>
        <row r="592">
          <cell r="Y592">
            <v>576</v>
          </cell>
          <cell r="Z592">
            <v>0.50532033108174801</v>
          </cell>
          <cell r="AA592">
            <v>2.2542778563664858E-3</v>
          </cell>
          <cell r="AB592" t="str">
            <v/>
          </cell>
          <cell r="AC592" t="e">
            <v>#N/A</v>
          </cell>
          <cell r="AD592">
            <v>505</v>
          </cell>
          <cell r="AE592" t="e">
            <v>#N/A</v>
          </cell>
          <cell r="AF592" t="str">
            <v/>
          </cell>
        </row>
        <row r="593">
          <cell r="Y593">
            <v>577</v>
          </cell>
          <cell r="Z593">
            <v>0.87998178415000439</v>
          </cell>
          <cell r="AA593">
            <v>0.19859362604877623</v>
          </cell>
          <cell r="AB593" t="str">
            <v/>
          </cell>
          <cell r="AC593" t="e">
            <v>#N/A</v>
          </cell>
          <cell r="AD593">
            <v>506</v>
          </cell>
          <cell r="AE593" t="e">
            <v>#N/A</v>
          </cell>
          <cell r="AF593" t="str">
            <v/>
          </cell>
        </row>
        <row r="594">
          <cell r="Y594">
            <v>578</v>
          </cell>
          <cell r="Z594">
            <v>0.28126323781907558</v>
          </cell>
          <cell r="AA594">
            <v>-9.7884569389797393E-2</v>
          </cell>
          <cell r="AB594" t="str">
            <v/>
          </cell>
          <cell r="AC594" t="e">
            <v>#N/A</v>
          </cell>
          <cell r="AD594">
            <v>507</v>
          </cell>
          <cell r="AE594" t="e">
            <v>#N/A</v>
          </cell>
          <cell r="AF594" t="str">
            <v/>
          </cell>
        </row>
        <row r="595">
          <cell r="Y595">
            <v>579</v>
          </cell>
          <cell r="Z595">
            <v>3.4612847492098808E-2</v>
          </cell>
          <cell r="AA595">
            <v>-0.30711958326194633</v>
          </cell>
          <cell r="AB595" t="str">
            <v/>
          </cell>
          <cell r="AC595" t="e">
            <v>#N/A</v>
          </cell>
          <cell r="AD595">
            <v>508</v>
          </cell>
          <cell r="AE595" t="e">
            <v>#N/A</v>
          </cell>
          <cell r="AF595" t="str">
            <v/>
          </cell>
        </row>
        <row r="596">
          <cell r="Y596">
            <v>580</v>
          </cell>
          <cell r="Z596">
            <v>0.92488800548017025</v>
          </cell>
          <cell r="AA596">
            <v>0.24319157330177829</v>
          </cell>
          <cell r="AB596" t="str">
            <v/>
          </cell>
          <cell r="AC596" t="e">
            <v>#N/A</v>
          </cell>
          <cell r="AD596">
            <v>509</v>
          </cell>
          <cell r="AE596" t="e">
            <v>#N/A</v>
          </cell>
          <cell r="AF596" t="str">
            <v/>
          </cell>
        </row>
        <row r="597">
          <cell r="Y597">
            <v>581</v>
          </cell>
          <cell r="Z597">
            <v>7.8345773741602898E-2</v>
          </cell>
          <cell r="AA597">
            <v>-0.23939616501497457</v>
          </cell>
          <cell r="AB597" t="str">
            <v/>
          </cell>
          <cell r="AC597" t="e">
            <v>#N/A</v>
          </cell>
          <cell r="AD597">
            <v>510</v>
          </cell>
          <cell r="AE597" t="e">
            <v>#N/A</v>
          </cell>
          <cell r="AF597" t="str">
            <v/>
          </cell>
        </row>
        <row r="598">
          <cell r="Y598">
            <v>582</v>
          </cell>
          <cell r="Z598">
            <v>0.7559110876172781</v>
          </cell>
          <cell r="AA598">
            <v>0.11717386236777032</v>
          </cell>
          <cell r="AB598" t="str">
            <v/>
          </cell>
          <cell r="AC598" t="e">
            <v>#N/A</v>
          </cell>
          <cell r="AD598">
            <v>511</v>
          </cell>
          <cell r="AE598" t="e">
            <v>#N/A</v>
          </cell>
          <cell r="AF598" t="str">
            <v/>
          </cell>
        </row>
        <row r="599">
          <cell r="Y599">
            <v>583</v>
          </cell>
          <cell r="Z599">
            <v>0.70301692001521587</v>
          </cell>
          <cell r="AA599">
            <v>9.0109906867781114E-2</v>
          </cell>
          <cell r="AB599" t="str">
            <v/>
          </cell>
          <cell r="AC599" t="e">
            <v>#N/A</v>
          </cell>
          <cell r="AD599">
            <v>512</v>
          </cell>
          <cell r="AE599" t="e">
            <v>#N/A</v>
          </cell>
          <cell r="AF599" t="str">
            <v/>
          </cell>
        </row>
        <row r="600">
          <cell r="Y600">
            <v>584</v>
          </cell>
          <cell r="Z600">
            <v>0.33937211893498898</v>
          </cell>
          <cell r="AA600">
            <v>-7.0008747720193887E-2</v>
          </cell>
          <cell r="AB600" t="str">
            <v/>
          </cell>
          <cell r="AC600" t="e">
            <v>#N/A</v>
          </cell>
          <cell r="AD600">
            <v>513</v>
          </cell>
          <cell r="AE600" t="e">
            <v>#N/A</v>
          </cell>
          <cell r="AF600" t="str">
            <v/>
          </cell>
        </row>
        <row r="601">
          <cell r="Y601">
            <v>585</v>
          </cell>
          <cell r="Z601">
            <v>0.60118743591010571</v>
          </cell>
          <cell r="AA601">
            <v>4.3343201248764035E-2</v>
          </cell>
          <cell r="AB601" t="str">
            <v/>
          </cell>
          <cell r="AC601" t="e">
            <v>#N/A</v>
          </cell>
          <cell r="AD601">
            <v>514</v>
          </cell>
          <cell r="AE601" t="e">
            <v>#N/A</v>
          </cell>
          <cell r="AF601" t="str">
            <v/>
          </cell>
        </row>
        <row r="602">
          <cell r="Y602">
            <v>586</v>
          </cell>
          <cell r="Z602">
            <v>0.17453772388398647</v>
          </cell>
          <cell r="AA602">
            <v>-0.15827780571284447</v>
          </cell>
          <cell r="AB602" t="str">
            <v/>
          </cell>
          <cell r="AC602" t="e">
            <v>#N/A</v>
          </cell>
          <cell r="AD602">
            <v>515</v>
          </cell>
          <cell r="AE602" t="e">
            <v>#N/A</v>
          </cell>
          <cell r="AF602" t="str">
            <v/>
          </cell>
        </row>
        <row r="603">
          <cell r="Y603">
            <v>587</v>
          </cell>
          <cell r="Z603">
            <v>0.50783027522265911</v>
          </cell>
          <cell r="AA603">
            <v>3.3178811629216189E-3</v>
          </cell>
          <cell r="AB603" t="str">
            <v/>
          </cell>
          <cell r="AC603" t="e">
            <v>#N/A</v>
          </cell>
          <cell r="AD603">
            <v>516</v>
          </cell>
          <cell r="AE603" t="e">
            <v>#N/A</v>
          </cell>
          <cell r="AF603" t="str">
            <v/>
          </cell>
        </row>
        <row r="604">
          <cell r="Y604">
            <v>588</v>
          </cell>
          <cell r="Z604">
            <v>0.35402016900479794</v>
          </cell>
          <cell r="AA604">
            <v>-6.3300240002828981E-2</v>
          </cell>
          <cell r="AB604" t="str">
            <v/>
          </cell>
          <cell r="AC604" t="e">
            <v>#N/A</v>
          </cell>
          <cell r="AD604">
            <v>517</v>
          </cell>
          <cell r="AE604" t="e">
            <v>#N/A</v>
          </cell>
          <cell r="AF604" t="str">
            <v/>
          </cell>
        </row>
        <row r="605">
          <cell r="Y605">
            <v>589</v>
          </cell>
          <cell r="Z605">
            <v>0.29231017641723156</v>
          </cell>
          <cell r="AA605">
            <v>-9.2400433835569951E-2</v>
          </cell>
          <cell r="AB605" t="str">
            <v/>
          </cell>
          <cell r="AC605" t="e">
            <v>#N/A</v>
          </cell>
          <cell r="AD605">
            <v>518</v>
          </cell>
          <cell r="AE605" t="e">
            <v>#N/A</v>
          </cell>
          <cell r="AF605" t="str">
            <v/>
          </cell>
        </row>
        <row r="606">
          <cell r="Y606">
            <v>590</v>
          </cell>
          <cell r="Z606">
            <v>0.56420460902154446</v>
          </cell>
          <cell r="AA606">
            <v>2.7321840698398905E-2</v>
          </cell>
          <cell r="AB606" t="str">
            <v/>
          </cell>
          <cell r="AC606" t="e">
            <v>#N/A</v>
          </cell>
          <cell r="AD606">
            <v>519</v>
          </cell>
          <cell r="AE606" t="e">
            <v>#N/A</v>
          </cell>
          <cell r="AF606" t="str">
            <v/>
          </cell>
        </row>
        <row r="607">
          <cell r="Y607">
            <v>591</v>
          </cell>
          <cell r="Z607">
            <v>0.42487536184489727</v>
          </cell>
          <cell r="AA607">
            <v>-3.2020611886218769E-2</v>
          </cell>
          <cell r="AB607" t="str">
            <v/>
          </cell>
          <cell r="AC607" t="e">
            <v>#N/A</v>
          </cell>
          <cell r="AD607">
            <v>520</v>
          </cell>
          <cell r="AE607" t="e">
            <v>#N/A</v>
          </cell>
          <cell r="AF607" t="str">
            <v/>
          </cell>
        </row>
        <row r="608">
          <cell r="Y608">
            <v>592</v>
          </cell>
          <cell r="Z608">
            <v>0.14182867668569088</v>
          </cell>
          <cell r="AA608">
            <v>-0.1812246618363792</v>
          </cell>
          <cell r="AB608" t="str">
            <v/>
          </cell>
          <cell r="AC608" t="e">
            <v>#N/A</v>
          </cell>
          <cell r="AD608">
            <v>521</v>
          </cell>
          <cell r="AE608" t="e">
            <v>#N/A</v>
          </cell>
          <cell r="AF608" t="str">
            <v/>
          </cell>
        </row>
        <row r="609">
          <cell r="Y609">
            <v>593</v>
          </cell>
          <cell r="Z609">
            <v>0.61062970571219921</v>
          </cell>
          <cell r="AA609">
            <v>4.7491016158664086E-2</v>
          </cell>
          <cell r="AB609" t="str">
            <v/>
          </cell>
          <cell r="AC609" t="e">
            <v>#N/A</v>
          </cell>
          <cell r="AD609">
            <v>522</v>
          </cell>
          <cell r="AE609" t="e">
            <v>#N/A</v>
          </cell>
          <cell r="AF609" t="str">
            <v/>
          </cell>
        </row>
        <row r="610">
          <cell r="Y610">
            <v>594</v>
          </cell>
          <cell r="Z610">
            <v>0.9953081663697958</v>
          </cell>
          <cell r="AA610">
            <v>0.43909996252257416</v>
          </cell>
          <cell r="AB610" t="str">
            <v/>
          </cell>
          <cell r="AC610" t="e">
            <v>#N/A</v>
          </cell>
          <cell r="AD610">
            <v>523</v>
          </cell>
          <cell r="AE610" t="e">
            <v>#N/A</v>
          </cell>
          <cell r="AF610" t="str">
            <v/>
          </cell>
        </row>
        <row r="611">
          <cell r="Y611">
            <v>595</v>
          </cell>
          <cell r="Z611">
            <v>0.6027041207998991</v>
          </cell>
          <cell r="AA611">
            <v>4.4007631113299729E-2</v>
          </cell>
          <cell r="AB611" t="str">
            <v/>
          </cell>
          <cell r="AC611" t="e">
            <v>#N/A</v>
          </cell>
          <cell r="AD611">
            <v>524</v>
          </cell>
          <cell r="AE611" t="e">
            <v>#N/A</v>
          </cell>
          <cell r="AF611" t="str">
            <v/>
          </cell>
        </row>
        <row r="612">
          <cell r="Y612">
            <v>596</v>
          </cell>
          <cell r="Z612">
            <v>4.3152561411261559E-2</v>
          </cell>
          <cell r="AA612">
            <v>-0.28992489007213273</v>
          </cell>
          <cell r="AB612" t="str">
            <v/>
          </cell>
          <cell r="AC612" t="e">
            <v>#N/A</v>
          </cell>
          <cell r="AD612">
            <v>525</v>
          </cell>
          <cell r="AE612" t="e">
            <v>#N/A</v>
          </cell>
          <cell r="AF612" t="str">
            <v/>
          </cell>
        </row>
        <row r="613">
          <cell r="Y613">
            <v>597</v>
          </cell>
          <cell r="Z613">
            <v>0.17509591393172741</v>
          </cell>
          <cell r="AA613">
            <v>-0.15791154049210193</v>
          </cell>
          <cell r="AB613" t="str">
            <v/>
          </cell>
          <cell r="AC613" t="e">
            <v>#N/A</v>
          </cell>
          <cell r="AD613">
            <v>526</v>
          </cell>
          <cell r="AE613" t="e">
            <v>#N/A</v>
          </cell>
          <cell r="AF613" t="str">
            <v/>
          </cell>
        </row>
        <row r="614">
          <cell r="Y614">
            <v>598</v>
          </cell>
          <cell r="Z614">
            <v>0.41556415520608425</v>
          </cell>
          <cell r="AA614">
            <v>-3.6046622225989658E-2</v>
          </cell>
          <cell r="AB614" t="str">
            <v/>
          </cell>
          <cell r="AC614" t="e">
            <v>#N/A</v>
          </cell>
          <cell r="AD614">
            <v>527</v>
          </cell>
          <cell r="AE614" t="e">
            <v>#N/A</v>
          </cell>
          <cell r="AF614" t="str">
            <v/>
          </cell>
        </row>
        <row r="615">
          <cell r="Y615">
            <v>599</v>
          </cell>
          <cell r="Z615">
            <v>0.95439486019313335</v>
          </cell>
          <cell r="AA615">
            <v>0.28550117850466283</v>
          </cell>
          <cell r="AB615" t="str">
            <v/>
          </cell>
          <cell r="AC615" t="e">
            <v>#N/A</v>
          </cell>
          <cell r="AD615">
            <v>528</v>
          </cell>
          <cell r="AE615" t="e">
            <v>#N/A</v>
          </cell>
          <cell r="AF615" t="str">
            <v/>
          </cell>
        </row>
        <row r="616">
          <cell r="Y616">
            <v>600</v>
          </cell>
          <cell r="Z616">
            <v>9.0645160526037216E-3</v>
          </cell>
          <cell r="AA616">
            <v>-0.39941519264483777</v>
          </cell>
          <cell r="AB616" t="str">
            <v/>
          </cell>
          <cell r="AC616" t="e">
            <v>#N/A</v>
          </cell>
          <cell r="AD616">
            <v>529</v>
          </cell>
          <cell r="AE616" t="e">
            <v>#N/A</v>
          </cell>
          <cell r="AF616" t="str">
            <v/>
          </cell>
        </row>
        <row r="617">
          <cell r="Y617">
            <v>601</v>
          </cell>
          <cell r="Z617">
            <v>0.2783647459000349</v>
          </cell>
          <cell r="AA617">
            <v>-9.9340484505789237E-2</v>
          </cell>
          <cell r="AB617" t="str">
            <v/>
          </cell>
          <cell r="AC617" t="e">
            <v>#N/A</v>
          </cell>
          <cell r="AD617">
            <v>530</v>
          </cell>
          <cell r="AE617" t="e">
            <v>#N/A</v>
          </cell>
          <cell r="AF617" t="str">
            <v/>
          </cell>
        </row>
        <row r="618">
          <cell r="Y618">
            <v>602</v>
          </cell>
          <cell r="Z618">
            <v>7.7742045745253563E-2</v>
          </cell>
          <cell r="AA618">
            <v>-0.24009558683891041</v>
          </cell>
          <cell r="AB618" t="str">
            <v/>
          </cell>
          <cell r="AC618" t="e">
            <v>#N/A</v>
          </cell>
          <cell r="AD618">
            <v>531</v>
          </cell>
          <cell r="AE618" t="e">
            <v>#N/A</v>
          </cell>
          <cell r="AF618" t="str">
            <v/>
          </cell>
        </row>
        <row r="619">
          <cell r="Y619">
            <v>603</v>
          </cell>
          <cell r="Z619">
            <v>0.46809913031756878</v>
          </cell>
          <cell r="AA619">
            <v>-1.353075568339443E-2</v>
          </cell>
          <cell r="AB619" t="str">
            <v/>
          </cell>
          <cell r="AC619" t="e">
            <v>#N/A</v>
          </cell>
          <cell r="AD619">
            <v>532</v>
          </cell>
          <cell r="AE619" t="e">
            <v>#N/A</v>
          </cell>
          <cell r="AF619" t="str">
            <v/>
          </cell>
        </row>
        <row r="620">
          <cell r="Y620">
            <v>604</v>
          </cell>
          <cell r="Z620">
            <v>0.38846438191831112</v>
          </cell>
          <cell r="AA620">
            <v>-4.7890434518313311E-2</v>
          </cell>
          <cell r="AB620" t="str">
            <v/>
          </cell>
          <cell r="AC620" t="e">
            <v>#N/A</v>
          </cell>
          <cell r="AD620">
            <v>533</v>
          </cell>
          <cell r="AE620" t="e">
            <v>#N/A</v>
          </cell>
          <cell r="AF620" t="str">
            <v/>
          </cell>
        </row>
        <row r="621">
          <cell r="Y621">
            <v>605</v>
          </cell>
          <cell r="Z621">
            <v>0.86922007612884045</v>
          </cell>
          <cell r="AA621">
            <v>0.18977295760269303</v>
          </cell>
          <cell r="AB621" t="str">
            <v/>
          </cell>
          <cell r="AC621" t="e">
            <v>#N/A</v>
          </cell>
          <cell r="AD621">
            <v>534</v>
          </cell>
          <cell r="AE621" t="e">
            <v>#N/A</v>
          </cell>
          <cell r="AF621" t="str">
            <v/>
          </cell>
        </row>
        <row r="622">
          <cell r="Y622">
            <v>606</v>
          </cell>
          <cell r="Z622">
            <v>6.1149394139647484E-2</v>
          </cell>
          <cell r="AA622">
            <v>-0.26118584601476236</v>
          </cell>
          <cell r="AB622" t="str">
            <v/>
          </cell>
          <cell r="AC622" t="e">
            <v>#N/A</v>
          </cell>
          <cell r="AD622">
            <v>535</v>
          </cell>
          <cell r="AE622" t="e">
            <v>#N/A</v>
          </cell>
          <cell r="AF622" t="str">
            <v/>
          </cell>
        </row>
        <row r="623">
          <cell r="Y623">
            <v>607</v>
          </cell>
          <cell r="Z623">
            <v>0.73633859865367413</v>
          </cell>
          <cell r="AA623">
            <v>0.10684407299209643</v>
          </cell>
          <cell r="AB623" t="str">
            <v/>
          </cell>
          <cell r="AC623" t="e">
            <v>#N/A</v>
          </cell>
          <cell r="AD623">
            <v>536</v>
          </cell>
          <cell r="AE623" t="e">
            <v>#N/A</v>
          </cell>
          <cell r="AF623" t="str">
            <v/>
          </cell>
        </row>
        <row r="624">
          <cell r="Y624">
            <v>608</v>
          </cell>
          <cell r="Z624">
            <v>0.5589385237544775</v>
          </cell>
          <cell r="AA624">
            <v>2.5063647416652738E-2</v>
          </cell>
          <cell r="AB624" t="str">
            <v/>
          </cell>
          <cell r="AC624" t="e">
            <v>#N/A</v>
          </cell>
          <cell r="AD624">
            <v>537</v>
          </cell>
          <cell r="AE624" t="e">
            <v>#N/A</v>
          </cell>
          <cell r="AF624" t="str">
            <v/>
          </cell>
        </row>
        <row r="625">
          <cell r="Y625">
            <v>609</v>
          </cell>
          <cell r="Z625">
            <v>0.50374558381736279</v>
          </cell>
          <cell r="AA625">
            <v>1.587017854038241E-3</v>
          </cell>
          <cell r="AB625" t="str">
            <v/>
          </cell>
          <cell r="AC625" t="e">
            <v>#N/A</v>
          </cell>
          <cell r="AD625">
            <v>538</v>
          </cell>
          <cell r="AE625" t="e">
            <v>#N/A</v>
          </cell>
          <cell r="AF625" t="str">
            <v/>
          </cell>
        </row>
        <row r="626">
          <cell r="Y626">
            <v>610</v>
          </cell>
          <cell r="Z626">
            <v>0.38686621747910976</v>
          </cell>
          <cell r="AA626">
            <v>-4.8595722072907618E-2</v>
          </cell>
          <cell r="AB626" t="str">
            <v/>
          </cell>
          <cell r="AC626" t="e">
            <v>#N/A</v>
          </cell>
          <cell r="AD626">
            <v>539</v>
          </cell>
          <cell r="AE626" t="e">
            <v>#N/A</v>
          </cell>
          <cell r="AF626" t="str">
            <v/>
          </cell>
        </row>
        <row r="627">
          <cell r="Y627">
            <v>611</v>
          </cell>
          <cell r="Z627">
            <v>0.20405192486941814</v>
          </cell>
          <cell r="AA627">
            <v>-0.13982824422322129</v>
          </cell>
          <cell r="AB627" t="str">
            <v/>
          </cell>
          <cell r="AC627" t="e">
            <v>#N/A</v>
          </cell>
          <cell r="AD627">
            <v>540</v>
          </cell>
          <cell r="AE627" t="e">
            <v>#N/A</v>
          </cell>
          <cell r="AF627" t="str">
            <v/>
          </cell>
        </row>
        <row r="628">
          <cell r="Y628">
            <v>612</v>
          </cell>
          <cell r="Z628">
            <v>0.90136920474469662</v>
          </cell>
          <cell r="AA628">
            <v>0.21794714892348024</v>
          </cell>
          <cell r="AB628" t="str">
            <v/>
          </cell>
          <cell r="AC628" t="e">
            <v>#N/A</v>
          </cell>
          <cell r="AD628">
            <v>541</v>
          </cell>
          <cell r="AE628" t="e">
            <v>#N/A</v>
          </cell>
          <cell r="AF628" t="str">
            <v/>
          </cell>
        </row>
        <row r="629">
          <cell r="Y629">
            <v>613</v>
          </cell>
          <cell r="Z629">
            <v>0.76524662785232067</v>
          </cell>
          <cell r="AA629">
            <v>0.12225694575565849</v>
          </cell>
          <cell r="AB629" t="str">
            <v/>
          </cell>
          <cell r="AC629" t="e">
            <v>#N/A</v>
          </cell>
          <cell r="AD629">
            <v>542</v>
          </cell>
          <cell r="AE629" t="e">
            <v>#N/A</v>
          </cell>
          <cell r="AF629" t="str">
            <v/>
          </cell>
        </row>
        <row r="630">
          <cell r="Y630">
            <v>614</v>
          </cell>
          <cell r="Z630">
            <v>0.22672936879098415</v>
          </cell>
          <cell r="AA630">
            <v>-0.12671588285175622</v>
          </cell>
          <cell r="AB630" t="str">
            <v/>
          </cell>
          <cell r="AC630" t="e">
            <v>#N/A</v>
          </cell>
          <cell r="AD630">
            <v>543</v>
          </cell>
          <cell r="AE630" t="e">
            <v>#N/A</v>
          </cell>
          <cell r="AF630" t="str">
            <v/>
          </cell>
        </row>
        <row r="631">
          <cell r="Y631">
            <v>615</v>
          </cell>
          <cell r="Z631">
            <v>0.63539163582026958</v>
          </cell>
          <cell r="AA631">
            <v>5.8513011703448539E-2</v>
          </cell>
          <cell r="AB631" t="str">
            <v/>
          </cell>
          <cell r="AC631" t="e">
            <v>#N/A</v>
          </cell>
          <cell r="AD631">
            <v>544</v>
          </cell>
          <cell r="AE631" t="e">
            <v>#N/A</v>
          </cell>
          <cell r="AF631" t="str">
            <v/>
          </cell>
        </row>
        <row r="632">
          <cell r="Y632">
            <v>616</v>
          </cell>
          <cell r="Z632">
            <v>0.61829396151006222</v>
          </cell>
          <cell r="AA632">
            <v>5.0878822022792987E-2</v>
          </cell>
          <cell r="AB632" t="str">
            <v/>
          </cell>
          <cell r="AC632" t="e">
            <v>#N/A</v>
          </cell>
          <cell r="AD632">
            <v>545</v>
          </cell>
          <cell r="AE632" t="e">
            <v>#N/A</v>
          </cell>
          <cell r="AF632" t="str">
            <v/>
          </cell>
        </row>
        <row r="633">
          <cell r="Y633">
            <v>617</v>
          </cell>
          <cell r="Z633">
            <v>0.65292212180793285</v>
          </cell>
          <cell r="AA633">
            <v>6.6466595657491551E-2</v>
          </cell>
          <cell r="AB633" t="str">
            <v/>
          </cell>
          <cell r="AC633" t="e">
            <v>#N/A</v>
          </cell>
          <cell r="AD633">
            <v>546</v>
          </cell>
          <cell r="AE633" t="e">
            <v>#N/A</v>
          </cell>
          <cell r="AF633" t="str">
            <v/>
          </cell>
        </row>
        <row r="634">
          <cell r="Y634">
            <v>618</v>
          </cell>
          <cell r="Z634">
            <v>0.7060669120401144</v>
          </cell>
          <cell r="AA634">
            <v>9.1603024783285802E-2</v>
          </cell>
          <cell r="AB634" t="str">
            <v/>
          </cell>
          <cell r="AC634" t="e">
            <v>#N/A</v>
          </cell>
          <cell r="AD634">
            <v>547</v>
          </cell>
          <cell r="AE634" t="e">
            <v>#N/A</v>
          </cell>
          <cell r="AF634" t="str">
            <v/>
          </cell>
        </row>
        <row r="635">
          <cell r="Y635">
            <v>619</v>
          </cell>
          <cell r="Z635">
            <v>0.2992710005491972</v>
          </cell>
          <cell r="AA635">
            <v>-8.8994463399997045E-2</v>
          </cell>
          <cell r="AB635" t="str">
            <v/>
          </cell>
          <cell r="AC635" t="e">
            <v>#N/A</v>
          </cell>
          <cell r="AD635">
            <v>548</v>
          </cell>
          <cell r="AE635" t="e">
            <v>#N/A</v>
          </cell>
          <cell r="AF635" t="str">
            <v/>
          </cell>
        </row>
        <row r="636">
          <cell r="Y636">
            <v>620</v>
          </cell>
          <cell r="Z636">
            <v>0.89601497910916805</v>
          </cell>
          <cell r="AA636">
            <v>0.21283805851074294</v>
          </cell>
          <cell r="AB636" t="str">
            <v/>
          </cell>
          <cell r="AC636" t="e">
            <v>#N/A</v>
          </cell>
          <cell r="AD636">
            <v>549</v>
          </cell>
          <cell r="AE636" t="e">
            <v>#N/A</v>
          </cell>
          <cell r="AF636" t="str">
            <v/>
          </cell>
        </row>
        <row r="637">
          <cell r="Y637">
            <v>621</v>
          </cell>
          <cell r="Z637">
            <v>0.43928640894591808</v>
          </cell>
          <cell r="AA637">
            <v>-2.5824308859275166E-2</v>
          </cell>
          <cell r="AB637" t="str">
            <v/>
          </cell>
          <cell r="AC637" t="e">
            <v>#N/A</v>
          </cell>
          <cell r="AD637">
            <v>550</v>
          </cell>
          <cell r="AE637" t="e">
            <v>#N/A</v>
          </cell>
          <cell r="AF637" t="str">
            <v/>
          </cell>
        </row>
        <row r="638">
          <cell r="Y638">
            <v>622</v>
          </cell>
          <cell r="Z638">
            <v>0.80018249712884426</v>
          </cell>
          <cell r="AA638">
            <v>0.14237016867438268</v>
          </cell>
          <cell r="AB638" t="str">
            <v/>
          </cell>
          <cell r="AC638" t="e">
            <v>#N/A</v>
          </cell>
          <cell r="AD638">
            <v>551</v>
          </cell>
          <cell r="AE638" t="e">
            <v>#N/A</v>
          </cell>
          <cell r="AF638" t="str">
            <v/>
          </cell>
        </row>
        <row r="639">
          <cell r="Y639">
            <v>623</v>
          </cell>
          <cell r="Z639">
            <v>0.37366090528666973</v>
          </cell>
          <cell r="AA639">
            <v>-5.4457137783816223E-2</v>
          </cell>
          <cell r="AB639" t="str">
            <v/>
          </cell>
          <cell r="AC639" t="e">
            <v>#N/A</v>
          </cell>
          <cell r="AD639">
            <v>552</v>
          </cell>
          <cell r="AE639" t="e">
            <v>#N/A</v>
          </cell>
          <cell r="AF639" t="str">
            <v/>
          </cell>
        </row>
        <row r="640">
          <cell r="Y640">
            <v>624</v>
          </cell>
          <cell r="Z640">
            <v>0.91045846603810787</v>
          </cell>
          <cell r="AA640">
            <v>0.22710708327861234</v>
          </cell>
          <cell r="AB640" t="str">
            <v/>
          </cell>
          <cell r="AC640" t="e">
            <v>#N/A</v>
          </cell>
          <cell r="AD640">
            <v>553</v>
          </cell>
          <cell r="AE640" t="e">
            <v>#N/A</v>
          </cell>
          <cell r="AF640" t="str">
            <v/>
          </cell>
        </row>
        <row r="641">
          <cell r="Y641">
            <v>625</v>
          </cell>
          <cell r="Z641">
            <v>0.49634113721549511</v>
          </cell>
          <cell r="AA641">
            <v>-1.5502727859985172E-3</v>
          </cell>
          <cell r="AB641" t="str">
            <v/>
          </cell>
          <cell r="AC641" t="e">
            <v>#N/A</v>
          </cell>
          <cell r="AD641">
            <v>554</v>
          </cell>
          <cell r="AE641" t="e">
            <v>#N/A</v>
          </cell>
          <cell r="AF641" t="str">
            <v/>
          </cell>
        </row>
        <row r="642">
          <cell r="Y642">
            <v>626</v>
          </cell>
          <cell r="Z642">
            <v>0.82458973489701748</v>
          </cell>
          <cell r="AA642">
            <v>0.1577055999933788</v>
          </cell>
          <cell r="AB642" t="str">
            <v/>
          </cell>
          <cell r="AC642" t="e">
            <v>#N/A</v>
          </cell>
          <cell r="AD642">
            <v>555</v>
          </cell>
          <cell r="AE642" t="e">
            <v>#N/A</v>
          </cell>
          <cell r="AF642" t="str">
            <v/>
          </cell>
        </row>
        <row r="643">
          <cell r="Y643">
            <v>627</v>
          </cell>
          <cell r="Z643">
            <v>6.8636728450655937E-2</v>
          </cell>
          <cell r="AA643">
            <v>-0.25118346416041964</v>
          </cell>
          <cell r="AB643" t="str">
            <v/>
          </cell>
          <cell r="AC643" t="e">
            <v>#N/A</v>
          </cell>
          <cell r="AD643">
            <v>556</v>
          </cell>
          <cell r="AE643" t="e">
            <v>#N/A</v>
          </cell>
          <cell r="AF643" t="str">
            <v/>
          </cell>
        </row>
        <row r="644">
          <cell r="Y644">
            <v>628</v>
          </cell>
          <cell r="Z644">
            <v>0.17678402923047543</v>
          </cell>
          <cell r="AA644">
            <v>-0.15680834045840372</v>
          </cell>
          <cell r="AB644" t="str">
            <v/>
          </cell>
          <cell r="AC644" t="e">
            <v>#N/A</v>
          </cell>
          <cell r="AD644">
            <v>557</v>
          </cell>
          <cell r="AE644" t="e">
            <v>#N/A</v>
          </cell>
          <cell r="AF644" t="str">
            <v/>
          </cell>
        </row>
        <row r="645">
          <cell r="Y645">
            <v>629</v>
          </cell>
          <cell r="Z645">
            <v>0.59049713425338268</v>
          </cell>
          <cell r="AA645">
            <v>3.8678311270281755E-2</v>
          </cell>
          <cell r="AB645" t="str">
            <v/>
          </cell>
          <cell r="AC645" t="e">
            <v>#N/A</v>
          </cell>
          <cell r="AD645">
            <v>558</v>
          </cell>
          <cell r="AE645" t="e">
            <v>#N/A</v>
          </cell>
          <cell r="AF645" t="str">
            <v/>
          </cell>
        </row>
        <row r="646">
          <cell r="Y646">
            <v>630</v>
          </cell>
          <cell r="Z646">
            <v>1.8996572121977806E-2</v>
          </cell>
          <cell r="AA646">
            <v>-0.35072696215679439</v>
          </cell>
          <cell r="AB646" t="str">
            <v/>
          </cell>
          <cell r="AC646" t="e">
            <v>#N/A</v>
          </cell>
          <cell r="AD646">
            <v>559</v>
          </cell>
          <cell r="AE646" t="e">
            <v>#N/A</v>
          </cell>
          <cell r="AF646" t="str">
            <v/>
          </cell>
        </row>
        <row r="647">
          <cell r="Y647">
            <v>631</v>
          </cell>
          <cell r="Z647">
            <v>0.96817521564662457</v>
          </cell>
          <cell r="AA647">
            <v>0.31348911025581738</v>
          </cell>
          <cell r="AB647" t="str">
            <v/>
          </cell>
          <cell r="AC647" t="e">
            <v>#N/A</v>
          </cell>
          <cell r="AD647">
            <v>560</v>
          </cell>
          <cell r="AE647" t="e">
            <v>#N/A</v>
          </cell>
          <cell r="AF647" t="str">
            <v/>
          </cell>
        </row>
        <row r="648">
          <cell r="Y648">
            <v>632</v>
          </cell>
          <cell r="Z648">
            <v>0.74274404905736446</v>
          </cell>
          <cell r="AA648">
            <v>0.11017910299032237</v>
          </cell>
          <cell r="AB648" t="str">
            <v/>
          </cell>
          <cell r="AC648" t="e">
            <v>#N/A</v>
          </cell>
          <cell r="AD648">
            <v>561</v>
          </cell>
          <cell r="AE648" t="e">
            <v>#N/A</v>
          </cell>
          <cell r="AF648" t="str">
            <v/>
          </cell>
        </row>
        <row r="649">
          <cell r="Y649">
            <v>633</v>
          </cell>
          <cell r="Z649">
            <v>0.14624628238379955</v>
          </cell>
          <cell r="AA649">
            <v>-0.1779335945046866</v>
          </cell>
          <cell r="AB649" t="str">
            <v/>
          </cell>
          <cell r="AC649" t="e">
            <v>#N/A</v>
          </cell>
          <cell r="AD649">
            <v>562</v>
          </cell>
          <cell r="AE649" t="e">
            <v>#N/A</v>
          </cell>
          <cell r="AF649" t="str">
            <v/>
          </cell>
        </row>
        <row r="650">
          <cell r="Y650">
            <v>634</v>
          </cell>
          <cell r="Z650">
            <v>0.72503966651856899</v>
          </cell>
          <cell r="AA650">
            <v>0.10105999766717222</v>
          </cell>
          <cell r="AB650" t="str">
            <v/>
          </cell>
          <cell r="AC650" t="e">
            <v>#N/A</v>
          </cell>
          <cell r="AD650">
            <v>563</v>
          </cell>
          <cell r="AE650" t="e">
            <v>#N/A</v>
          </cell>
          <cell r="AF650" t="str">
            <v/>
          </cell>
        </row>
        <row r="651">
          <cell r="Y651">
            <v>635</v>
          </cell>
          <cell r="Z651">
            <v>9.0701354667544365E-2</v>
          </cell>
          <cell r="AA651">
            <v>-0.22590103419770891</v>
          </cell>
          <cell r="AB651" t="str">
            <v/>
          </cell>
          <cell r="AC651" t="e">
            <v>#N/A</v>
          </cell>
          <cell r="AD651">
            <v>564</v>
          </cell>
          <cell r="AE651" t="e">
            <v>#N/A</v>
          </cell>
          <cell r="AF651" t="str">
            <v/>
          </cell>
        </row>
        <row r="652">
          <cell r="Y652">
            <v>636</v>
          </cell>
          <cell r="Z652">
            <v>0.72579305432736874</v>
          </cell>
          <cell r="AA652">
            <v>0.10144193269752959</v>
          </cell>
          <cell r="AB652" t="str">
            <v/>
          </cell>
          <cell r="AC652" t="e">
            <v>#N/A</v>
          </cell>
          <cell r="AD652">
            <v>565</v>
          </cell>
          <cell r="AE652" t="e">
            <v>#N/A</v>
          </cell>
          <cell r="AF652" t="str">
            <v/>
          </cell>
        </row>
        <row r="653">
          <cell r="Y653">
            <v>637</v>
          </cell>
          <cell r="Z653">
            <v>0.97858339361846447</v>
          </cell>
          <cell r="AA653">
            <v>0.34234371001149783</v>
          </cell>
          <cell r="AB653" t="str">
            <v/>
          </cell>
          <cell r="AC653" t="e">
            <v>#N/A</v>
          </cell>
          <cell r="AD653">
            <v>566</v>
          </cell>
          <cell r="AE653" t="e">
            <v>#N/A</v>
          </cell>
          <cell r="AF653" t="str">
            <v/>
          </cell>
        </row>
        <row r="654">
          <cell r="Y654">
            <v>638</v>
          </cell>
          <cell r="Z654">
            <v>0.65776876173913479</v>
          </cell>
          <cell r="AA654">
            <v>6.8690972583130477E-2</v>
          </cell>
          <cell r="AB654" t="str">
            <v/>
          </cell>
          <cell r="AC654" t="e">
            <v>#N/A</v>
          </cell>
          <cell r="AD654">
            <v>567</v>
          </cell>
          <cell r="AE654" t="e">
            <v>#N/A</v>
          </cell>
          <cell r="AF654" t="str">
            <v/>
          </cell>
        </row>
        <row r="655">
          <cell r="Y655">
            <v>639</v>
          </cell>
          <cell r="Z655">
            <v>0.16838525049388409</v>
          </cell>
          <cell r="AA655">
            <v>-0.16236526482826424</v>
          </cell>
          <cell r="AB655" t="str">
            <v/>
          </cell>
          <cell r="AC655" t="e">
            <v>#N/A</v>
          </cell>
          <cell r="AD655">
            <v>568</v>
          </cell>
          <cell r="AE655" t="e">
            <v>#N/A</v>
          </cell>
          <cell r="AF655" t="str">
            <v/>
          </cell>
        </row>
        <row r="656">
          <cell r="Y656">
            <v>640</v>
          </cell>
          <cell r="Z656">
            <v>0.69394709728658199</v>
          </cell>
          <cell r="AA656">
            <v>8.5710449084217405E-2</v>
          </cell>
          <cell r="AB656" t="str">
            <v/>
          </cell>
          <cell r="AC656" t="e">
            <v>#N/A</v>
          </cell>
          <cell r="AD656">
            <v>569</v>
          </cell>
          <cell r="AE656" t="e">
            <v>#N/A</v>
          </cell>
          <cell r="AF656" t="str">
            <v/>
          </cell>
        </row>
        <row r="657">
          <cell r="Y657">
            <v>641</v>
          </cell>
          <cell r="Z657">
            <v>0.99417808465659618</v>
          </cell>
          <cell r="AA657">
            <v>0.42642403044131721</v>
          </cell>
          <cell r="AB657" t="str">
            <v/>
          </cell>
          <cell r="AC657" t="e">
            <v>#N/A</v>
          </cell>
          <cell r="AD657">
            <v>570</v>
          </cell>
          <cell r="AE657" t="e">
            <v>#N/A</v>
          </cell>
          <cell r="AF657" t="str">
            <v/>
          </cell>
        </row>
        <row r="658">
          <cell r="Y658">
            <v>642</v>
          </cell>
          <cell r="Z658">
            <v>0.77088106237351894</v>
          </cell>
          <cell r="AA658">
            <v>0.12537889710839403</v>
          </cell>
          <cell r="AB658" t="str">
            <v/>
          </cell>
          <cell r="AC658" t="e">
            <v>#N/A</v>
          </cell>
          <cell r="AD658">
            <v>571</v>
          </cell>
          <cell r="AE658" t="e">
            <v>#N/A</v>
          </cell>
          <cell r="AF658" t="str">
            <v/>
          </cell>
        </row>
        <row r="659">
          <cell r="Y659">
            <v>643</v>
          </cell>
          <cell r="Z659">
            <v>0.64518900029361248</v>
          </cell>
          <cell r="AA659">
            <v>6.2940970695198883E-2</v>
          </cell>
          <cell r="AB659" t="str">
            <v/>
          </cell>
          <cell r="AC659" t="e">
            <v>#N/A</v>
          </cell>
          <cell r="AD659">
            <v>572</v>
          </cell>
          <cell r="AE659" t="e">
            <v>#N/A</v>
          </cell>
          <cell r="AF659" t="str">
            <v/>
          </cell>
        </row>
        <row r="660">
          <cell r="Y660">
            <v>644</v>
          </cell>
          <cell r="Z660">
            <v>0.39039312861859798</v>
          </cell>
          <cell r="AA660">
            <v>-4.7040365079245992E-2</v>
          </cell>
          <cell r="AB660" t="str">
            <v/>
          </cell>
          <cell r="AC660" t="e">
            <v>#N/A</v>
          </cell>
          <cell r="AD660">
            <v>573</v>
          </cell>
          <cell r="AE660" t="e">
            <v>#N/A</v>
          </cell>
          <cell r="AF660" t="str">
            <v/>
          </cell>
        </row>
        <row r="661">
          <cell r="Y661">
            <v>645</v>
          </cell>
          <cell r="Z661">
            <v>0.36129665188491344</v>
          </cell>
          <cell r="AA661">
            <v>-6.0005114436232541E-2</v>
          </cell>
          <cell r="AB661" t="str">
            <v/>
          </cell>
          <cell r="AC661" t="e">
            <v>#N/A</v>
          </cell>
          <cell r="AD661">
            <v>574</v>
          </cell>
          <cell r="AE661" t="e">
            <v>#N/A</v>
          </cell>
          <cell r="AF661" t="str">
            <v/>
          </cell>
        </row>
        <row r="662">
          <cell r="Y662">
            <v>646</v>
          </cell>
          <cell r="Z662">
            <v>0.21570560894906521</v>
          </cell>
          <cell r="AA662">
            <v>-0.1329899327821501</v>
          </cell>
          <cell r="AB662" t="str">
            <v/>
          </cell>
          <cell r="AC662" t="e">
            <v>#N/A</v>
          </cell>
          <cell r="AD662">
            <v>575</v>
          </cell>
          <cell r="AE662" t="e">
            <v>#N/A</v>
          </cell>
          <cell r="AF662" t="str">
            <v/>
          </cell>
        </row>
        <row r="663">
          <cell r="Y663">
            <v>647</v>
          </cell>
          <cell r="Z663">
            <v>0.8936635684221983</v>
          </cell>
          <cell r="AA663">
            <v>0.2106545896433622</v>
          </cell>
          <cell r="AB663" t="str">
            <v/>
          </cell>
          <cell r="AC663" t="e">
            <v>#N/A</v>
          </cell>
          <cell r="AD663">
            <v>576</v>
          </cell>
          <cell r="AE663" t="e">
            <v>#N/A</v>
          </cell>
          <cell r="AF663" t="str">
            <v/>
          </cell>
        </row>
        <row r="664">
          <cell r="Y664">
            <v>648</v>
          </cell>
          <cell r="Z664">
            <v>0.30184837244451046</v>
          </cell>
          <cell r="AA664">
            <v>-8.7742524167529728E-2</v>
          </cell>
          <cell r="AB664" t="str">
            <v/>
          </cell>
          <cell r="AC664" t="e">
            <v>#N/A</v>
          </cell>
          <cell r="AD664">
            <v>577</v>
          </cell>
          <cell r="AE664" t="e">
            <v>#N/A</v>
          </cell>
          <cell r="AF664" t="str">
            <v/>
          </cell>
        </row>
        <row r="665">
          <cell r="Y665">
            <v>649</v>
          </cell>
          <cell r="Z665">
            <v>0.648473946377635</v>
          </cell>
          <cell r="AA665">
            <v>6.4435185018275581E-2</v>
          </cell>
          <cell r="AB665" t="str">
            <v/>
          </cell>
          <cell r="AC665" t="e">
            <v>#N/A</v>
          </cell>
          <cell r="AD665">
            <v>578</v>
          </cell>
          <cell r="AE665" t="e">
            <v>#N/A</v>
          </cell>
          <cell r="AF665" t="str">
            <v/>
          </cell>
        </row>
        <row r="666">
          <cell r="Y666">
            <v>650</v>
          </cell>
          <cell r="Z666">
            <v>0.89393765293061733</v>
          </cell>
          <cell r="AA666">
            <v>0.21090728926374372</v>
          </cell>
          <cell r="AB666" t="str">
            <v/>
          </cell>
          <cell r="AC666" t="e">
            <v>#N/A</v>
          </cell>
          <cell r="AD666">
            <v>579</v>
          </cell>
          <cell r="AE666" t="e">
            <v>#N/A</v>
          </cell>
          <cell r="AF666" t="str">
            <v/>
          </cell>
        </row>
        <row r="667">
          <cell r="Y667">
            <v>651</v>
          </cell>
          <cell r="Z667">
            <v>0.15049566142261028</v>
          </cell>
          <cell r="AA667">
            <v>-0.17483027794317474</v>
          </cell>
          <cell r="AB667" t="str">
            <v/>
          </cell>
          <cell r="AC667" t="e">
            <v>#N/A</v>
          </cell>
          <cell r="AD667">
            <v>580</v>
          </cell>
          <cell r="AE667" t="e">
            <v>#N/A</v>
          </cell>
          <cell r="AF667" t="str">
            <v/>
          </cell>
        </row>
        <row r="668">
          <cell r="Y668">
            <v>652</v>
          </cell>
          <cell r="Z668">
            <v>0.57066970132291317</v>
          </cell>
          <cell r="AA668">
            <v>3.0100917362333272E-2</v>
          </cell>
          <cell r="AB668" t="str">
            <v/>
          </cell>
          <cell r="AC668" t="e">
            <v>#N/A</v>
          </cell>
          <cell r="AD668">
            <v>581</v>
          </cell>
          <cell r="AE668" t="e">
            <v>#N/A</v>
          </cell>
          <cell r="AF668" t="str">
            <v/>
          </cell>
        </row>
        <row r="669">
          <cell r="Y669">
            <v>653</v>
          </cell>
          <cell r="Z669">
            <v>0.43193524889647961</v>
          </cell>
          <cell r="AA669">
            <v>-2.8980220002246985E-2</v>
          </cell>
          <cell r="AB669" t="str">
            <v/>
          </cell>
          <cell r="AC669" t="e">
            <v>#N/A</v>
          </cell>
          <cell r="AD669">
            <v>582</v>
          </cell>
          <cell r="AE669" t="e">
            <v>#N/A</v>
          </cell>
          <cell r="AF669" t="str">
            <v/>
          </cell>
        </row>
        <row r="670">
          <cell r="Y670">
            <v>654</v>
          </cell>
          <cell r="Z670">
            <v>0.10412303172051907</v>
          </cell>
          <cell r="AA670">
            <v>-0.21270892247158762</v>
          </cell>
          <cell r="AB670" t="str">
            <v/>
          </cell>
          <cell r="AC670" t="e">
            <v>#N/A</v>
          </cell>
          <cell r="AD670">
            <v>583</v>
          </cell>
          <cell r="AE670" t="e">
            <v>#N/A</v>
          </cell>
          <cell r="AF670" t="str">
            <v/>
          </cell>
        </row>
        <row r="671">
          <cell r="Y671">
            <v>655</v>
          </cell>
          <cell r="Z671">
            <v>0.67080460302531719</v>
          </cell>
          <cell r="AA671">
            <v>7.4734624567691171E-2</v>
          </cell>
          <cell r="AB671" t="str">
            <v/>
          </cell>
          <cell r="AC671" t="e">
            <v>#N/A</v>
          </cell>
          <cell r="AD671">
            <v>584</v>
          </cell>
          <cell r="AE671" t="e">
            <v>#N/A</v>
          </cell>
          <cell r="AF671" t="str">
            <v/>
          </cell>
        </row>
        <row r="672">
          <cell r="Y672">
            <v>656</v>
          </cell>
          <cell r="Z672">
            <v>0.75071301124989986</v>
          </cell>
          <cell r="AA672">
            <v>0.11438912703085914</v>
          </cell>
          <cell r="AB672" t="str">
            <v/>
          </cell>
          <cell r="AC672" t="e">
            <v>#N/A</v>
          </cell>
          <cell r="AD672">
            <v>585</v>
          </cell>
          <cell r="AE672" t="e">
            <v>#N/A</v>
          </cell>
          <cell r="AF672" t="str">
            <v/>
          </cell>
        </row>
        <row r="673">
          <cell r="Y673">
            <v>657</v>
          </cell>
          <cell r="Z673">
            <v>0.87176814489066601</v>
          </cell>
          <cell r="AA673">
            <v>0.19181436080902992</v>
          </cell>
          <cell r="AB673" t="str">
            <v/>
          </cell>
          <cell r="AC673" t="e">
            <v>#N/A</v>
          </cell>
          <cell r="AD673">
            <v>586</v>
          </cell>
          <cell r="AE673" t="e">
            <v>#N/A</v>
          </cell>
          <cell r="AF673" t="str">
            <v/>
          </cell>
        </row>
        <row r="674">
          <cell r="Y674">
            <v>658</v>
          </cell>
          <cell r="Z674">
            <v>0.78189254365861416</v>
          </cell>
          <cell r="AA674">
            <v>0.13160755433618077</v>
          </cell>
          <cell r="AB674" t="str">
            <v/>
          </cell>
          <cell r="AC674" t="e">
            <v>#N/A</v>
          </cell>
          <cell r="AD674">
            <v>587</v>
          </cell>
          <cell r="AE674" t="e">
            <v>#N/A</v>
          </cell>
          <cell r="AF674" t="str">
            <v/>
          </cell>
        </row>
        <row r="675">
          <cell r="Y675">
            <v>659</v>
          </cell>
          <cell r="Z675">
            <v>0.60118920914828777</v>
          </cell>
          <cell r="AA675">
            <v>4.3343977676679794E-2</v>
          </cell>
          <cell r="AB675" t="str">
            <v/>
          </cell>
          <cell r="AC675" t="e">
            <v>#N/A</v>
          </cell>
          <cell r="AD675">
            <v>588</v>
          </cell>
          <cell r="AE675" t="e">
            <v>#N/A</v>
          </cell>
          <cell r="AF675" t="str">
            <v/>
          </cell>
        </row>
        <row r="676">
          <cell r="Y676">
            <v>660</v>
          </cell>
          <cell r="Z676">
            <v>0.90694259665906429</v>
          </cell>
          <cell r="AA676">
            <v>0.22348586591660896</v>
          </cell>
          <cell r="AB676" t="str">
            <v/>
          </cell>
          <cell r="AC676" t="e">
            <v>#N/A</v>
          </cell>
          <cell r="AD676">
            <v>589</v>
          </cell>
          <cell r="AE676" t="e">
            <v>#N/A</v>
          </cell>
          <cell r="AF676" t="str">
            <v/>
          </cell>
        </row>
        <row r="677">
          <cell r="Y677">
            <v>661</v>
          </cell>
          <cell r="Z677">
            <v>0.75684439949691296</v>
          </cell>
          <cell r="AA677">
            <v>0.11767722325455135</v>
          </cell>
          <cell r="AB677" t="str">
            <v/>
          </cell>
          <cell r="AC677" t="e">
            <v>#N/A</v>
          </cell>
          <cell r="AD677">
            <v>590</v>
          </cell>
          <cell r="AE677" t="e">
            <v>#N/A</v>
          </cell>
          <cell r="AF677" t="str">
            <v/>
          </cell>
        </row>
        <row r="678">
          <cell r="Y678">
            <v>662</v>
          </cell>
          <cell r="Z678">
            <v>0.83394632302224636</v>
          </cell>
          <cell r="AA678">
            <v>0.16393928782473843</v>
          </cell>
          <cell r="AB678" t="str">
            <v/>
          </cell>
          <cell r="AC678" t="e">
            <v>#N/A</v>
          </cell>
          <cell r="AD678">
            <v>591</v>
          </cell>
          <cell r="AE678" t="e">
            <v>#N/A</v>
          </cell>
          <cell r="AF678" t="str">
            <v/>
          </cell>
        </row>
        <row r="679">
          <cell r="Y679">
            <v>663</v>
          </cell>
          <cell r="Z679">
            <v>7.1524662896990776E-2</v>
          </cell>
          <cell r="AA679">
            <v>-0.24755066950646462</v>
          </cell>
          <cell r="AB679" t="str">
            <v/>
          </cell>
          <cell r="AC679" t="e">
            <v>#N/A</v>
          </cell>
          <cell r="AD679">
            <v>592</v>
          </cell>
          <cell r="AE679" t="e">
            <v>#N/A</v>
          </cell>
          <cell r="AF679" t="str">
            <v/>
          </cell>
        </row>
        <row r="680">
          <cell r="Y680">
            <v>664</v>
          </cell>
          <cell r="Z680">
            <v>0.55879052542150021</v>
          </cell>
          <cell r="AA680">
            <v>2.5000249500605202E-2</v>
          </cell>
          <cell r="AB680" t="str">
            <v/>
          </cell>
          <cell r="AC680" t="e">
            <v>#N/A</v>
          </cell>
          <cell r="AD680">
            <v>593</v>
          </cell>
          <cell r="AE680" t="e">
            <v>#N/A</v>
          </cell>
          <cell r="AF680" t="str">
            <v/>
          </cell>
        </row>
        <row r="681">
          <cell r="Y681">
            <v>665</v>
          </cell>
          <cell r="Z681">
            <v>0.5184918325394392</v>
          </cell>
          <cell r="AA681">
            <v>7.8377511100884596E-3</v>
          </cell>
          <cell r="AB681" t="str">
            <v/>
          </cell>
          <cell r="AC681" t="e">
            <v>#N/A</v>
          </cell>
          <cell r="AD681">
            <v>594</v>
          </cell>
          <cell r="AE681" t="e">
            <v>#N/A</v>
          </cell>
          <cell r="AF681" t="str">
            <v/>
          </cell>
        </row>
        <row r="682">
          <cell r="Y682">
            <v>666</v>
          </cell>
          <cell r="Z682">
            <v>6.5788215026259422E-2</v>
          </cell>
          <cell r="AA682">
            <v>-0.25488405854260593</v>
          </cell>
          <cell r="AB682" t="str">
            <v/>
          </cell>
          <cell r="AC682" t="e">
            <v>#N/A</v>
          </cell>
          <cell r="AD682">
            <v>595</v>
          </cell>
          <cell r="AE682" t="e">
            <v>#N/A</v>
          </cell>
          <cell r="AF682" t="str">
            <v/>
          </cell>
        </row>
        <row r="683">
          <cell r="Y683">
            <v>667</v>
          </cell>
          <cell r="Z683">
            <v>5.5093895643949509E-3</v>
          </cell>
          <cell r="AA683">
            <v>-0.42969378285583931</v>
          </cell>
          <cell r="AB683" t="str">
            <v/>
          </cell>
          <cell r="AC683" t="e">
            <v>#N/A</v>
          </cell>
          <cell r="AD683">
            <v>596</v>
          </cell>
          <cell r="AE683" t="e">
            <v>#N/A</v>
          </cell>
          <cell r="AF683" t="str">
            <v/>
          </cell>
        </row>
        <row r="684">
          <cell r="Y684">
            <v>668</v>
          </cell>
          <cell r="Z684">
            <v>0.96726601384580135</v>
          </cell>
          <cell r="AA684">
            <v>0.31136312204414274</v>
          </cell>
          <cell r="AB684" t="str">
            <v/>
          </cell>
          <cell r="AC684" t="e">
            <v>#N/A</v>
          </cell>
          <cell r="AD684">
            <v>597</v>
          </cell>
          <cell r="AE684" t="e">
            <v>#N/A</v>
          </cell>
          <cell r="AF684" t="str">
            <v/>
          </cell>
        </row>
        <row r="685">
          <cell r="Y685">
            <v>669</v>
          </cell>
          <cell r="Z685">
            <v>0.71291619352996349</v>
          </cell>
          <cell r="AA685">
            <v>9.4982538551826395E-2</v>
          </cell>
          <cell r="AB685" t="str">
            <v/>
          </cell>
          <cell r="AC685" t="e">
            <v>#N/A</v>
          </cell>
          <cell r="AD685">
            <v>598</v>
          </cell>
          <cell r="AE685" t="e">
            <v>#N/A</v>
          </cell>
          <cell r="AF685" t="str">
            <v/>
          </cell>
        </row>
        <row r="686">
          <cell r="Y686">
            <v>670</v>
          </cell>
          <cell r="Z686">
            <v>0.20321015082299709</v>
          </cell>
          <cell r="AA686">
            <v>-0.14033103120177709</v>
          </cell>
          <cell r="AB686" t="str">
            <v/>
          </cell>
          <cell r="AC686" t="e">
            <v>#N/A</v>
          </cell>
          <cell r="AD686">
            <v>599</v>
          </cell>
          <cell r="AE686" t="e">
            <v>#N/A</v>
          </cell>
          <cell r="AF686" t="str">
            <v/>
          </cell>
        </row>
        <row r="687">
          <cell r="Y687">
            <v>671</v>
          </cell>
          <cell r="Z687">
            <v>0.14996193163096905</v>
          </cell>
          <cell r="AA687">
            <v>-0.17521681816560852</v>
          </cell>
          <cell r="AB687" t="str">
            <v/>
          </cell>
          <cell r="AC687" t="e">
            <v>#N/A</v>
          </cell>
          <cell r="AD687">
            <v>600</v>
          </cell>
          <cell r="AE687" t="e">
            <v>#N/A</v>
          </cell>
          <cell r="AF687" t="str">
            <v/>
          </cell>
        </row>
        <row r="688">
          <cell r="Y688">
            <v>672</v>
          </cell>
          <cell r="Z688">
            <v>0.26581480167806149</v>
          </cell>
          <cell r="AA688">
            <v>-0.10573223528336995</v>
          </cell>
          <cell r="AB688" t="str">
            <v/>
          </cell>
          <cell r="AC688" t="e">
            <v>#N/A</v>
          </cell>
          <cell r="AD688">
            <v>601</v>
          </cell>
          <cell r="AE688" t="e">
            <v>#N/A</v>
          </cell>
          <cell r="AF688" t="str">
            <v/>
          </cell>
        </row>
        <row r="689">
          <cell r="Y689">
            <v>673</v>
          </cell>
          <cell r="Z689">
            <v>0.47237303666770458</v>
          </cell>
          <cell r="AA689">
            <v>-1.1714847182059576E-2</v>
          </cell>
          <cell r="AB689" t="str">
            <v/>
          </cell>
          <cell r="AC689" t="e">
            <v>#N/A</v>
          </cell>
          <cell r="AD689">
            <v>602</v>
          </cell>
          <cell r="AE689" t="e">
            <v>#N/A</v>
          </cell>
          <cell r="AF689" t="str">
            <v/>
          </cell>
        </row>
        <row r="690">
          <cell r="Y690">
            <v>674</v>
          </cell>
          <cell r="Z690">
            <v>0.50752652250230312</v>
          </cell>
          <cell r="AA690">
            <v>3.1891580454435574E-3</v>
          </cell>
          <cell r="AB690" t="str">
            <v/>
          </cell>
          <cell r="AC690" t="e">
            <v>#N/A</v>
          </cell>
          <cell r="AD690">
            <v>603</v>
          </cell>
          <cell r="AE690" t="e">
            <v>#N/A</v>
          </cell>
          <cell r="AF690" t="str">
            <v/>
          </cell>
        </row>
        <row r="691">
          <cell r="Y691">
            <v>675</v>
          </cell>
          <cell r="Z691">
            <v>0.82286782376468182</v>
          </cell>
          <cell r="AA691">
            <v>0.15658165294727394</v>
          </cell>
          <cell r="AB691" t="str">
            <v/>
          </cell>
          <cell r="AC691" t="e">
            <v>#N/A</v>
          </cell>
          <cell r="AD691">
            <v>604</v>
          </cell>
          <cell r="AE691" t="e">
            <v>#N/A</v>
          </cell>
          <cell r="AF691" t="str">
            <v/>
          </cell>
        </row>
        <row r="692">
          <cell r="Y692">
            <v>676</v>
          </cell>
          <cell r="Z692">
            <v>0.93492852710187435</v>
          </cell>
          <cell r="AA692">
            <v>0.25583468966989859</v>
          </cell>
          <cell r="AB692" t="str">
            <v/>
          </cell>
          <cell r="AC692" t="e">
            <v>#N/A</v>
          </cell>
          <cell r="AD692">
            <v>605</v>
          </cell>
          <cell r="AE692" t="e">
            <v>#N/A</v>
          </cell>
          <cell r="AF692" t="str">
            <v/>
          </cell>
        </row>
        <row r="693">
          <cell r="Y693">
            <v>677</v>
          </cell>
          <cell r="Z693">
            <v>0.42508959583938122</v>
          </cell>
          <cell r="AA693">
            <v>-3.1928202855214471E-2</v>
          </cell>
          <cell r="AB693" t="str">
            <v/>
          </cell>
          <cell r="AC693" t="e">
            <v>#N/A</v>
          </cell>
          <cell r="AD693">
            <v>606</v>
          </cell>
          <cell r="AE693" t="e">
            <v>#N/A</v>
          </cell>
          <cell r="AF693" t="str">
            <v/>
          </cell>
        </row>
        <row r="694">
          <cell r="Y694">
            <v>678</v>
          </cell>
          <cell r="Z694">
            <v>0.48455855809152126</v>
          </cell>
          <cell r="AA694">
            <v>-6.5441349575541454E-3</v>
          </cell>
          <cell r="AB694" t="str">
            <v/>
          </cell>
          <cell r="AC694" t="e">
            <v>#N/A</v>
          </cell>
          <cell r="AD694">
            <v>607</v>
          </cell>
          <cell r="AE694" t="e">
            <v>#N/A</v>
          </cell>
          <cell r="AF694" t="str">
            <v/>
          </cell>
        </row>
        <row r="695">
          <cell r="Y695">
            <v>679</v>
          </cell>
          <cell r="Z695">
            <v>0.88017646782100201</v>
          </cell>
          <cell r="AA695">
            <v>0.19875820701177496</v>
          </cell>
          <cell r="AB695" t="str">
            <v/>
          </cell>
          <cell r="AC695" t="e">
            <v>#N/A</v>
          </cell>
          <cell r="AD695">
            <v>608</v>
          </cell>
          <cell r="AE695" t="e">
            <v>#N/A</v>
          </cell>
          <cell r="AF695" t="str">
            <v/>
          </cell>
        </row>
        <row r="696">
          <cell r="Y696">
            <v>680</v>
          </cell>
          <cell r="Z696">
            <v>0.1205041017383337</v>
          </cell>
          <cell r="AA696">
            <v>-0.19818368873786119</v>
          </cell>
          <cell r="AB696" t="str">
            <v/>
          </cell>
          <cell r="AC696" t="e">
            <v>#N/A</v>
          </cell>
          <cell r="AD696">
            <v>609</v>
          </cell>
          <cell r="AE696" t="e">
            <v>#N/A</v>
          </cell>
          <cell r="AF696" t="str">
            <v/>
          </cell>
        </row>
        <row r="697">
          <cell r="Y697">
            <v>681</v>
          </cell>
          <cell r="Z697">
            <v>0.58393665961921215</v>
          </cell>
          <cell r="AA697">
            <v>3.5830283749237364E-2</v>
          </cell>
          <cell r="AB697" t="str">
            <v/>
          </cell>
          <cell r="AC697" t="e">
            <v>#N/A</v>
          </cell>
          <cell r="AD697">
            <v>610</v>
          </cell>
          <cell r="AE697" t="e">
            <v>#N/A</v>
          </cell>
          <cell r="AF697" t="str">
            <v/>
          </cell>
        </row>
        <row r="698">
          <cell r="Y698">
            <v>682</v>
          </cell>
          <cell r="Z698">
            <v>0.18736869655549526</v>
          </cell>
          <cell r="AA698">
            <v>-0.15003761371443936</v>
          </cell>
          <cell r="AB698" t="str">
            <v/>
          </cell>
          <cell r="AC698" t="e">
            <v>#N/A</v>
          </cell>
          <cell r="AD698">
            <v>611</v>
          </cell>
          <cell r="AE698" t="e">
            <v>#N/A</v>
          </cell>
          <cell r="AF698" t="str">
            <v/>
          </cell>
        </row>
        <row r="699">
          <cell r="Y699">
            <v>683</v>
          </cell>
          <cell r="Z699">
            <v>0.40134800784289837</v>
          </cell>
          <cell r="AA699">
            <v>-4.2233961409577338E-2</v>
          </cell>
          <cell r="AB699" t="str">
            <v/>
          </cell>
          <cell r="AC699" t="e">
            <v>#N/A</v>
          </cell>
          <cell r="AD699">
            <v>612</v>
          </cell>
          <cell r="AE699" t="e">
            <v>#N/A</v>
          </cell>
          <cell r="AF699" t="str">
            <v/>
          </cell>
        </row>
        <row r="700">
          <cell r="Y700">
            <v>684</v>
          </cell>
          <cell r="Z700">
            <v>0.29595308564603329</v>
          </cell>
          <cell r="AA700">
            <v>-9.0613346981274906E-2</v>
          </cell>
          <cell r="AB700" t="str">
            <v/>
          </cell>
          <cell r="AC700" t="e">
            <v>#N/A</v>
          </cell>
          <cell r="AD700">
            <v>613</v>
          </cell>
          <cell r="AE700" t="e">
            <v>#N/A</v>
          </cell>
          <cell r="AF700" t="str">
            <v/>
          </cell>
        </row>
        <row r="701">
          <cell r="Y701">
            <v>685</v>
          </cell>
          <cell r="Z701">
            <v>0.70385044626891613</v>
          </cell>
          <cell r="AA701">
            <v>9.0517255486859322E-2</v>
          </cell>
          <cell r="AB701" t="str">
            <v/>
          </cell>
          <cell r="AC701" t="e">
            <v>#N/A</v>
          </cell>
          <cell r="AD701">
            <v>614</v>
          </cell>
          <cell r="AE701" t="e">
            <v>#N/A</v>
          </cell>
          <cell r="AF701" t="str">
            <v/>
          </cell>
        </row>
        <row r="702">
          <cell r="Y702">
            <v>686</v>
          </cell>
          <cell r="Z702">
            <v>0.61274496279656887</v>
          </cell>
          <cell r="AA702">
            <v>4.842405422271151E-2</v>
          </cell>
          <cell r="AB702" t="str">
            <v/>
          </cell>
          <cell r="AC702" t="e">
            <v>#N/A</v>
          </cell>
          <cell r="AD702">
            <v>615</v>
          </cell>
          <cell r="AE702" t="e">
            <v>#N/A</v>
          </cell>
          <cell r="AF702" t="str">
            <v/>
          </cell>
        </row>
        <row r="703">
          <cell r="Y703">
            <v>687</v>
          </cell>
          <cell r="Z703">
            <v>0.59365020506083965</v>
          </cell>
          <cell r="AA703">
            <v>4.0050986435778139E-2</v>
          </cell>
          <cell r="AB703" t="str">
            <v/>
          </cell>
          <cell r="AC703" t="e">
            <v>#N/A</v>
          </cell>
          <cell r="AD703">
            <v>616</v>
          </cell>
          <cell r="AE703" t="e">
            <v>#N/A</v>
          </cell>
          <cell r="AF703" t="str">
            <v/>
          </cell>
        </row>
        <row r="704">
          <cell r="Y704">
            <v>688</v>
          </cell>
          <cell r="Z704">
            <v>0.76806106232106686</v>
          </cell>
          <cell r="AA704">
            <v>0.12381109997862043</v>
          </cell>
          <cell r="AB704" t="str">
            <v/>
          </cell>
          <cell r="AC704" t="e">
            <v>#N/A</v>
          </cell>
          <cell r="AD704">
            <v>617</v>
          </cell>
          <cell r="AE704" t="e">
            <v>#N/A</v>
          </cell>
          <cell r="AF704" t="str">
            <v/>
          </cell>
        </row>
        <row r="705">
          <cell r="Y705">
            <v>689</v>
          </cell>
          <cell r="Z705">
            <v>0.60800447873771191</v>
          </cell>
          <cell r="AA705">
            <v>4.6335036445969063E-2</v>
          </cell>
          <cell r="AB705" t="str">
            <v/>
          </cell>
          <cell r="AC705" t="e">
            <v>#N/A</v>
          </cell>
          <cell r="AD705">
            <v>618</v>
          </cell>
          <cell r="AE705" t="e">
            <v>#N/A</v>
          </cell>
          <cell r="AF705" t="str">
            <v/>
          </cell>
        </row>
        <row r="706">
          <cell r="Y706">
            <v>690</v>
          </cell>
          <cell r="Z706">
            <v>0.69143534265458584</v>
          </cell>
          <cell r="AA706">
            <v>8.450240574410918E-2</v>
          </cell>
          <cell r="AB706" t="str">
            <v/>
          </cell>
          <cell r="AC706" t="e">
            <v>#N/A</v>
          </cell>
          <cell r="AD706">
            <v>619</v>
          </cell>
          <cell r="AE706" t="e">
            <v>#N/A</v>
          </cell>
          <cell r="AF706" t="str">
            <v/>
          </cell>
        </row>
        <row r="707">
          <cell r="Y707">
            <v>691</v>
          </cell>
          <cell r="Z707">
            <v>0.41520531289279461</v>
          </cell>
          <cell r="AA707">
            <v>-3.6202174929325773E-2</v>
          </cell>
          <cell r="AB707" t="str">
            <v/>
          </cell>
          <cell r="AC707" t="e">
            <v>#N/A</v>
          </cell>
          <cell r="AD707">
            <v>620</v>
          </cell>
          <cell r="AE707" t="e">
            <v>#N/A</v>
          </cell>
          <cell r="AF707" t="str">
            <v/>
          </cell>
        </row>
        <row r="708">
          <cell r="Y708">
            <v>692</v>
          </cell>
          <cell r="Z708">
            <v>0.52659701369702816</v>
          </cell>
          <cell r="AA708">
            <v>1.1277449509402579E-2</v>
          </cell>
          <cell r="AB708" t="str">
            <v/>
          </cell>
          <cell r="AC708" t="e">
            <v>#N/A</v>
          </cell>
          <cell r="AD708">
            <v>621</v>
          </cell>
          <cell r="AE708" t="e">
            <v>#N/A</v>
          </cell>
          <cell r="AF708" t="str">
            <v/>
          </cell>
        </row>
        <row r="709">
          <cell r="Y709">
            <v>693</v>
          </cell>
          <cell r="Z709">
            <v>0.98273145966231823</v>
          </cell>
          <cell r="AA709">
            <v>0.357288060895596</v>
          </cell>
          <cell r="AB709" t="str">
            <v/>
          </cell>
          <cell r="AC709" t="e">
            <v>#N/A</v>
          </cell>
          <cell r="AD709">
            <v>622</v>
          </cell>
          <cell r="AE709" t="e">
            <v>#N/A</v>
          </cell>
          <cell r="AF709" t="str">
            <v/>
          </cell>
        </row>
        <row r="710">
          <cell r="Y710">
            <v>694</v>
          </cell>
          <cell r="Z710">
            <v>0.37213215790688992</v>
          </cell>
          <cell r="AA710">
            <v>-5.5139813094570278E-2</v>
          </cell>
          <cell r="AB710" t="str">
            <v/>
          </cell>
          <cell r="AC710" t="e">
            <v>#N/A</v>
          </cell>
          <cell r="AD710">
            <v>623</v>
          </cell>
          <cell r="AE710" t="e">
            <v>#N/A</v>
          </cell>
          <cell r="AF710" t="str">
            <v/>
          </cell>
        </row>
        <row r="711">
          <cell r="Y711">
            <v>695</v>
          </cell>
          <cell r="Z711">
            <v>0.41678695194423199</v>
          </cell>
          <cell r="AA711">
            <v>-3.5516786717225149E-2</v>
          </cell>
          <cell r="AB711" t="str">
            <v/>
          </cell>
          <cell r="AC711" t="e">
            <v>#N/A</v>
          </cell>
          <cell r="AD711">
            <v>624</v>
          </cell>
          <cell r="AE711" t="e">
            <v>#N/A</v>
          </cell>
          <cell r="AF711" t="str">
            <v/>
          </cell>
        </row>
        <row r="712">
          <cell r="Y712">
            <v>696</v>
          </cell>
          <cell r="Z712">
            <v>0.93767269514501095</v>
          </cell>
          <cell r="AA712">
            <v>0.25955131178598995</v>
          </cell>
          <cell r="AB712" t="str">
            <v/>
          </cell>
          <cell r="AC712" t="e">
            <v>#N/A</v>
          </cell>
          <cell r="AD712">
            <v>625</v>
          </cell>
          <cell r="AE712" t="e">
            <v>#N/A</v>
          </cell>
          <cell r="AF712" t="str">
            <v/>
          </cell>
        </row>
        <row r="713">
          <cell r="Y713">
            <v>697</v>
          </cell>
          <cell r="Z713">
            <v>0.14119514636695385</v>
          </cell>
          <cell r="AA713">
            <v>-0.18170228864107196</v>
          </cell>
          <cell r="AB713" t="str">
            <v/>
          </cell>
          <cell r="AC713" t="e">
            <v>#N/A</v>
          </cell>
          <cell r="AD713">
            <v>626</v>
          </cell>
          <cell r="AE713" t="e">
            <v>#N/A</v>
          </cell>
          <cell r="AF713" t="str">
            <v/>
          </cell>
        </row>
        <row r="714">
          <cell r="Y714">
            <v>698</v>
          </cell>
          <cell r="Z714">
            <v>0.29920644126832485</v>
          </cell>
          <cell r="AA714">
            <v>-8.9025885063736737E-2</v>
          </cell>
          <cell r="AB714" t="str">
            <v/>
          </cell>
          <cell r="AC714" t="e">
            <v>#N/A</v>
          </cell>
          <cell r="AD714">
            <v>627</v>
          </cell>
          <cell r="AE714" t="e">
            <v>#N/A</v>
          </cell>
          <cell r="AF714" t="str">
            <v/>
          </cell>
        </row>
        <row r="715">
          <cell r="Y715">
            <v>699</v>
          </cell>
          <cell r="Z715">
            <v>0.30236698500812054</v>
          </cell>
          <cell r="AA715">
            <v>-8.7491194834005276E-2</v>
          </cell>
          <cell r="AB715" t="str">
            <v/>
          </cell>
          <cell r="AC715" t="e">
            <v>#N/A</v>
          </cell>
          <cell r="AD715">
            <v>628</v>
          </cell>
          <cell r="AE715" t="e">
            <v>#N/A</v>
          </cell>
          <cell r="AF715" t="str">
            <v/>
          </cell>
        </row>
        <row r="716">
          <cell r="Y716">
            <v>700</v>
          </cell>
          <cell r="Z716">
            <v>0.78085201047360897</v>
          </cell>
          <cell r="AA716">
            <v>0.13101140488851279</v>
          </cell>
          <cell r="AB716" t="str">
            <v/>
          </cell>
          <cell r="AC716" t="e">
            <v>#N/A</v>
          </cell>
          <cell r="AD716">
            <v>629</v>
          </cell>
          <cell r="AE716" t="e">
            <v>#N/A</v>
          </cell>
          <cell r="AF716" t="str">
            <v/>
          </cell>
        </row>
        <row r="717">
          <cell r="Y717">
            <v>701</v>
          </cell>
          <cell r="Z717">
            <v>0.25581222586333752</v>
          </cell>
          <cell r="AA717">
            <v>-0.11093669898891453</v>
          </cell>
          <cell r="AB717" t="str">
            <v/>
          </cell>
          <cell r="AC717" t="e">
            <v>#N/A</v>
          </cell>
          <cell r="AD717">
            <v>630</v>
          </cell>
          <cell r="AE717" t="e">
            <v>#N/A</v>
          </cell>
          <cell r="AF717" t="str">
            <v/>
          </cell>
        </row>
        <row r="718">
          <cell r="Y718">
            <v>702</v>
          </cell>
          <cell r="Z718">
            <v>0.5841923113912344</v>
          </cell>
          <cell r="AA718">
            <v>3.5941071581933305E-2</v>
          </cell>
          <cell r="AB718" t="str">
            <v/>
          </cell>
          <cell r="AC718" t="e">
            <v>#N/A</v>
          </cell>
          <cell r="AD718">
            <v>631</v>
          </cell>
          <cell r="AE718" t="e">
            <v>#N/A</v>
          </cell>
          <cell r="AF718" t="str">
            <v/>
          </cell>
        </row>
        <row r="719">
          <cell r="Y719">
            <v>703</v>
          </cell>
          <cell r="Z719">
            <v>0.70841239206492901</v>
          </cell>
          <cell r="AA719">
            <v>9.2756125678076021E-2</v>
          </cell>
          <cell r="AB719" t="str">
            <v/>
          </cell>
          <cell r="AC719" t="e">
            <v>#N/A</v>
          </cell>
          <cell r="AD719">
            <v>632</v>
          </cell>
          <cell r="AE719" t="e">
            <v>#N/A</v>
          </cell>
          <cell r="AF719" t="str">
            <v/>
          </cell>
        </row>
        <row r="720">
          <cell r="Y720">
            <v>704</v>
          </cell>
          <cell r="Z720">
            <v>0.13001038692891598</v>
          </cell>
          <cell r="AA720">
            <v>-0.19038655180265113</v>
          </cell>
          <cell r="AB720" t="str">
            <v/>
          </cell>
          <cell r="AC720" t="e">
            <v>#N/A</v>
          </cell>
          <cell r="AD720">
            <v>633</v>
          </cell>
          <cell r="AE720" t="e">
            <v>#N/A</v>
          </cell>
          <cell r="AF720" t="str">
            <v/>
          </cell>
        </row>
        <row r="721">
          <cell r="Y721">
            <v>705</v>
          </cell>
          <cell r="Z721">
            <v>0.55942418985068798</v>
          </cell>
          <cell r="AA721">
            <v>2.527171659673362E-2</v>
          </cell>
          <cell r="AB721" t="str">
            <v/>
          </cell>
          <cell r="AC721" t="e">
            <v>#N/A</v>
          </cell>
          <cell r="AD721">
            <v>634</v>
          </cell>
          <cell r="AE721" t="e">
            <v>#N/A</v>
          </cell>
          <cell r="AF721" t="str">
            <v/>
          </cell>
        </row>
        <row r="722">
          <cell r="Y722">
            <v>706</v>
          </cell>
          <cell r="Z722">
            <v>0.1710213478654623</v>
          </cell>
          <cell r="AA722">
            <v>-0.16060244873515456</v>
          </cell>
          <cell r="AB722" t="str">
            <v/>
          </cell>
          <cell r="AC722" t="e">
            <v>#N/A</v>
          </cell>
          <cell r="AD722">
            <v>635</v>
          </cell>
          <cell r="AE722" t="e">
            <v>#N/A</v>
          </cell>
          <cell r="AF722" t="str">
            <v/>
          </cell>
        </row>
        <row r="723">
          <cell r="Y723">
            <v>707</v>
          </cell>
          <cell r="Z723">
            <v>0.70193214528262615</v>
          </cell>
          <cell r="AA723">
            <v>8.9580553968758692E-2</v>
          </cell>
          <cell r="AB723" t="str">
            <v/>
          </cell>
          <cell r="AC723" t="e">
            <v>#N/A</v>
          </cell>
          <cell r="AD723">
            <v>636</v>
          </cell>
          <cell r="AE723" t="e">
            <v>#N/A</v>
          </cell>
          <cell r="AF723" t="str">
            <v/>
          </cell>
        </row>
        <row r="724">
          <cell r="Y724">
            <v>708</v>
          </cell>
          <cell r="Z724">
            <v>0.57794415019452572</v>
          </cell>
          <cell r="AA724">
            <v>3.3237700955450214E-2</v>
          </cell>
          <cell r="AB724" t="str">
            <v/>
          </cell>
          <cell r="AC724" t="e">
            <v>#N/A</v>
          </cell>
          <cell r="AD724">
            <v>637</v>
          </cell>
          <cell r="AE724" t="e">
            <v>#N/A</v>
          </cell>
          <cell r="AF724" t="str">
            <v/>
          </cell>
        </row>
        <row r="725">
          <cell r="Y725">
            <v>709</v>
          </cell>
          <cell r="Z725">
            <v>1.5219209715723991E-2</v>
          </cell>
          <cell r="AA725">
            <v>-0.36583989151378249</v>
          </cell>
          <cell r="AB725" t="str">
            <v/>
          </cell>
          <cell r="AC725" t="e">
            <v>#N/A</v>
          </cell>
          <cell r="AD725">
            <v>638</v>
          </cell>
          <cell r="AE725" t="e">
            <v>#N/A</v>
          </cell>
          <cell r="AF725" t="str">
            <v/>
          </cell>
        </row>
        <row r="726">
          <cell r="Y726">
            <v>710</v>
          </cell>
          <cell r="Z726">
            <v>0.29500696621835232</v>
          </cell>
          <cell r="AA726">
            <v>-9.1076500018352685E-2</v>
          </cell>
          <cell r="AB726" t="str">
            <v/>
          </cell>
          <cell r="AC726" t="e">
            <v>#N/A</v>
          </cell>
          <cell r="AD726">
            <v>639</v>
          </cell>
          <cell r="AE726" t="e">
            <v>#N/A</v>
          </cell>
          <cell r="AF726" t="str">
            <v/>
          </cell>
        </row>
        <row r="727">
          <cell r="Y727">
            <v>711</v>
          </cell>
          <cell r="Z727">
            <v>0.49727408401668072</v>
          </cell>
          <cell r="AA727">
            <v>-1.1549728026207442E-3</v>
          </cell>
          <cell r="AB727" t="str">
            <v/>
          </cell>
          <cell r="AC727" t="e">
            <v>#N/A</v>
          </cell>
          <cell r="AD727">
            <v>640</v>
          </cell>
          <cell r="AE727" t="e">
            <v>#N/A</v>
          </cell>
          <cell r="AF727" t="str">
            <v/>
          </cell>
        </row>
        <row r="728">
          <cell r="Y728">
            <v>712</v>
          </cell>
          <cell r="Z728">
            <v>0.30472989939153194</v>
          </cell>
          <cell r="AA728">
            <v>-8.634851613637376E-2</v>
          </cell>
          <cell r="AB728" t="str">
            <v/>
          </cell>
          <cell r="AC728" t="e">
            <v>#N/A</v>
          </cell>
          <cell r="AD728">
            <v>641</v>
          </cell>
          <cell r="AE728" t="e">
            <v>#N/A</v>
          </cell>
          <cell r="AF728" t="str">
            <v/>
          </cell>
        </row>
        <row r="729">
          <cell r="Y729">
            <v>713</v>
          </cell>
          <cell r="Z729">
            <v>0.9554040115326643</v>
          </cell>
          <cell r="AA729">
            <v>0.28729759903474406</v>
          </cell>
          <cell r="AB729" t="str">
            <v/>
          </cell>
          <cell r="AC729" t="e">
            <v>#N/A</v>
          </cell>
          <cell r="AD729">
            <v>642</v>
          </cell>
          <cell r="AE729" t="e">
            <v>#N/A</v>
          </cell>
          <cell r="AF729" t="str">
            <v/>
          </cell>
        </row>
        <row r="730">
          <cell r="Y730">
            <v>714</v>
          </cell>
          <cell r="Z730">
            <v>0.53557879291474819</v>
          </cell>
          <cell r="AA730">
            <v>1.509468467905677E-2</v>
          </cell>
          <cell r="AB730" t="str">
            <v/>
          </cell>
          <cell r="AC730" t="e">
            <v>#N/A</v>
          </cell>
          <cell r="AD730">
            <v>643</v>
          </cell>
          <cell r="AE730" t="e">
            <v>#N/A</v>
          </cell>
          <cell r="AF730" t="str">
            <v/>
          </cell>
        </row>
        <row r="731">
          <cell r="Y731">
            <v>715</v>
          </cell>
          <cell r="Z731">
            <v>0.89167178981006145</v>
          </cell>
          <cell r="AA731">
            <v>0.20883218845686302</v>
          </cell>
          <cell r="AB731" t="str">
            <v/>
          </cell>
          <cell r="AC731" t="e">
            <v>#N/A</v>
          </cell>
          <cell r="AD731">
            <v>644</v>
          </cell>
          <cell r="AE731" t="e">
            <v>#N/A</v>
          </cell>
          <cell r="AF731" t="str">
            <v/>
          </cell>
        </row>
        <row r="732">
          <cell r="Y732">
            <v>716</v>
          </cell>
          <cell r="Z732">
            <v>0.4898338820785284</v>
          </cell>
          <cell r="AA732">
            <v>-4.3078251344251884E-3</v>
          </cell>
          <cell r="AB732" t="str">
            <v/>
          </cell>
          <cell r="AC732" t="e">
            <v>#N/A</v>
          </cell>
          <cell r="AD732">
            <v>645</v>
          </cell>
          <cell r="AE732" t="e">
            <v>#N/A</v>
          </cell>
          <cell r="AF732" t="str">
            <v/>
          </cell>
        </row>
        <row r="733">
          <cell r="Y733">
            <v>717</v>
          </cell>
          <cell r="Z733">
            <v>0.18862575106322765</v>
          </cell>
          <cell r="AA733">
            <v>-0.14924947657864426</v>
          </cell>
          <cell r="AB733" t="str">
            <v/>
          </cell>
          <cell r="AC733" t="e">
            <v>#N/A</v>
          </cell>
          <cell r="AD733">
            <v>646</v>
          </cell>
          <cell r="AE733" t="e">
            <v>#N/A</v>
          </cell>
          <cell r="AF733" t="str">
            <v/>
          </cell>
        </row>
        <row r="734">
          <cell r="Y734">
            <v>718</v>
          </cell>
          <cell r="Z734">
            <v>0.96276704035699368</v>
          </cell>
          <cell r="AA734">
            <v>0.30150709411570431</v>
          </cell>
          <cell r="AB734" t="str">
            <v/>
          </cell>
          <cell r="AC734" t="e">
            <v>#N/A</v>
          </cell>
          <cell r="AD734">
            <v>647</v>
          </cell>
          <cell r="AE734" t="e">
            <v>#N/A</v>
          </cell>
          <cell r="AF734" t="str">
            <v/>
          </cell>
        </row>
        <row r="735">
          <cell r="Y735">
            <v>719</v>
          </cell>
          <cell r="Z735">
            <v>0.91954146139323711</v>
          </cell>
          <cell r="AA735">
            <v>0.23698021687353321</v>
          </cell>
          <cell r="AB735" t="str">
            <v/>
          </cell>
          <cell r="AC735" t="e">
            <v>#N/A</v>
          </cell>
          <cell r="AD735">
            <v>648</v>
          </cell>
          <cell r="AE735" t="e">
            <v>#N/A</v>
          </cell>
          <cell r="AF735" t="str">
            <v/>
          </cell>
        </row>
        <row r="736">
          <cell r="Y736">
            <v>720</v>
          </cell>
          <cell r="Z736">
            <v>0.56797136925160885</v>
          </cell>
          <cell r="AA736">
            <v>2.894006935340426E-2</v>
          </cell>
          <cell r="AB736" t="str">
            <v/>
          </cell>
          <cell r="AC736" t="e">
            <v>#N/A</v>
          </cell>
          <cell r="AD736">
            <v>649</v>
          </cell>
          <cell r="AE736" t="e">
            <v>#N/A</v>
          </cell>
          <cell r="AF736" t="str">
            <v/>
          </cell>
        </row>
        <row r="737">
          <cell r="Y737">
            <v>721</v>
          </cell>
          <cell r="Z737">
            <v>7.6143888756632805E-2</v>
          </cell>
          <cell r="AA737">
            <v>-0.2419671847489307</v>
          </cell>
          <cell r="AB737" t="str">
            <v/>
          </cell>
          <cell r="AC737" t="e">
            <v>#N/A</v>
          </cell>
          <cell r="AD737">
            <v>650</v>
          </cell>
          <cell r="AE737" t="e">
            <v>#N/A</v>
          </cell>
          <cell r="AF737" t="str">
            <v/>
          </cell>
        </row>
        <row r="738">
          <cell r="Y738">
            <v>722</v>
          </cell>
          <cell r="Z738">
            <v>0.87743688188493252</v>
          </cell>
          <cell r="AA738">
            <v>0.19645930910083995</v>
          </cell>
          <cell r="AB738" t="str">
            <v/>
          </cell>
          <cell r="AC738" t="e">
            <v>#N/A</v>
          </cell>
          <cell r="AD738">
            <v>651</v>
          </cell>
          <cell r="AE738" t="e">
            <v>#N/A</v>
          </cell>
          <cell r="AF738" t="str">
            <v/>
          </cell>
        </row>
        <row r="739">
          <cell r="Y739">
            <v>723</v>
          </cell>
          <cell r="Z739">
            <v>0.22552878968417645</v>
          </cell>
          <cell r="AA739">
            <v>-0.12739061672048077</v>
          </cell>
          <cell r="AB739" t="str">
            <v/>
          </cell>
          <cell r="AC739" t="e">
            <v>#N/A</v>
          </cell>
          <cell r="AD739">
            <v>652</v>
          </cell>
          <cell r="AE739" t="e">
            <v>#N/A</v>
          </cell>
          <cell r="AF739" t="str">
            <v/>
          </cell>
        </row>
        <row r="740">
          <cell r="Y740">
            <v>724</v>
          </cell>
          <cell r="Z740">
            <v>0.82871603034436703</v>
          </cell>
          <cell r="AA740">
            <v>0.16042778392987214</v>
          </cell>
          <cell r="AB740" t="str">
            <v/>
          </cell>
          <cell r="AC740" t="e">
            <v>#N/A</v>
          </cell>
          <cell r="AD740">
            <v>653</v>
          </cell>
          <cell r="AE740" t="e">
            <v>#N/A</v>
          </cell>
          <cell r="AF740" t="str">
            <v/>
          </cell>
        </row>
        <row r="741">
          <cell r="Y741">
            <v>725</v>
          </cell>
          <cell r="Z741">
            <v>7.6752064749598503E-2</v>
          </cell>
          <cell r="AA741">
            <v>-0.24125146285944105</v>
          </cell>
          <cell r="AB741" t="str">
            <v/>
          </cell>
          <cell r="AC741" t="e">
            <v>#N/A</v>
          </cell>
          <cell r="AD741">
            <v>654</v>
          </cell>
          <cell r="AE741" t="e">
            <v>#N/A</v>
          </cell>
          <cell r="AF741" t="str">
            <v/>
          </cell>
        </row>
        <row r="742">
          <cell r="Y742">
            <v>726</v>
          </cell>
          <cell r="Z742">
            <v>0.64527282677590847</v>
          </cell>
          <cell r="AA742">
            <v>6.2979039029597353E-2</v>
          </cell>
          <cell r="AB742" t="str">
            <v/>
          </cell>
          <cell r="AC742" t="e">
            <v>#N/A</v>
          </cell>
          <cell r="AD742">
            <v>655</v>
          </cell>
          <cell r="AE742" t="e">
            <v>#N/A</v>
          </cell>
          <cell r="AF742" t="str">
            <v/>
          </cell>
        </row>
        <row r="743">
          <cell r="Y743">
            <v>727</v>
          </cell>
          <cell r="Z743">
            <v>0.6563058327883482</v>
          </cell>
          <cell r="AA743">
            <v>6.801832122711203E-2</v>
          </cell>
          <cell r="AB743" t="str">
            <v/>
          </cell>
          <cell r="AC743" t="e">
            <v>#N/A</v>
          </cell>
          <cell r="AD743">
            <v>656</v>
          </cell>
          <cell r="AE743" t="e">
            <v>#N/A</v>
          </cell>
          <cell r="AF743" t="str">
            <v/>
          </cell>
        </row>
        <row r="744">
          <cell r="Y744">
            <v>728</v>
          </cell>
          <cell r="Z744">
            <v>0.85985930822789669</v>
          </cell>
          <cell r="AA744">
            <v>0.18250048874243197</v>
          </cell>
          <cell r="AB744" t="str">
            <v/>
          </cell>
          <cell r="AC744" t="e">
            <v>#N/A</v>
          </cell>
          <cell r="AD744">
            <v>657</v>
          </cell>
          <cell r="AE744" t="e">
            <v>#N/A</v>
          </cell>
          <cell r="AF744" t="str">
            <v/>
          </cell>
        </row>
        <row r="745">
          <cell r="Y745">
            <v>729</v>
          </cell>
          <cell r="Z745">
            <v>0.2604499738663435</v>
          </cell>
          <cell r="AA745">
            <v>-0.10851083870477321</v>
          </cell>
          <cell r="AB745" t="str">
            <v/>
          </cell>
          <cell r="AC745" t="e">
            <v>#N/A</v>
          </cell>
          <cell r="AD745">
            <v>658</v>
          </cell>
          <cell r="AE745" t="e">
            <v>#N/A</v>
          </cell>
          <cell r="AF745" t="str">
            <v/>
          </cell>
        </row>
        <row r="746">
          <cell r="Y746">
            <v>730</v>
          </cell>
          <cell r="Z746">
            <v>0.12451309524476528</v>
          </cell>
          <cell r="AA746">
            <v>-0.19484488811503656</v>
          </cell>
          <cell r="AB746" t="str">
            <v/>
          </cell>
          <cell r="AC746" t="e">
            <v>#N/A</v>
          </cell>
          <cell r="AD746">
            <v>659</v>
          </cell>
          <cell r="AE746" t="e">
            <v>#N/A</v>
          </cell>
          <cell r="AF746" t="str">
            <v/>
          </cell>
        </row>
        <row r="747">
          <cell r="Y747">
            <v>731</v>
          </cell>
          <cell r="Z747">
            <v>0.57111789099872112</v>
          </cell>
          <cell r="AA747">
            <v>3.0293868893977706E-2</v>
          </cell>
          <cell r="AB747" t="str">
            <v/>
          </cell>
          <cell r="AC747" t="e">
            <v>#N/A</v>
          </cell>
          <cell r="AD747">
            <v>660</v>
          </cell>
          <cell r="AE747" t="e">
            <v>#N/A</v>
          </cell>
          <cell r="AF747" t="str">
            <v/>
          </cell>
        </row>
        <row r="748">
          <cell r="Y748">
            <v>732</v>
          </cell>
          <cell r="Z748">
            <v>0.33451979421079159</v>
          </cell>
          <cell r="AA748">
            <v>-7.2255024348517882E-2</v>
          </cell>
          <cell r="AB748" t="str">
            <v/>
          </cell>
          <cell r="AC748" t="e">
            <v>#N/A</v>
          </cell>
          <cell r="AD748">
            <v>661</v>
          </cell>
          <cell r="AE748" t="e">
            <v>#N/A</v>
          </cell>
          <cell r="AF748" t="str">
            <v/>
          </cell>
        </row>
        <row r="749">
          <cell r="Y749">
            <v>733</v>
          </cell>
          <cell r="Z749">
            <v>0.29086524061858654</v>
          </cell>
          <cell r="AA749">
            <v>-9.3112129530005819E-2</v>
          </cell>
          <cell r="AB749" t="str">
            <v/>
          </cell>
          <cell r="AC749" t="e">
            <v>#N/A</v>
          </cell>
          <cell r="AD749">
            <v>662</v>
          </cell>
          <cell r="AE749" t="e">
            <v>#N/A</v>
          </cell>
          <cell r="AF749" t="str">
            <v/>
          </cell>
        </row>
        <row r="750">
          <cell r="Y750">
            <v>734</v>
          </cell>
          <cell r="Z750">
            <v>0.1874339934438467</v>
          </cell>
          <cell r="AA750">
            <v>-0.14999659416833505</v>
          </cell>
          <cell r="AB750" t="str">
            <v/>
          </cell>
          <cell r="AC750" t="e">
            <v>#N/A</v>
          </cell>
          <cell r="AD750">
            <v>663</v>
          </cell>
          <cell r="AE750" t="e">
            <v>#N/A</v>
          </cell>
          <cell r="AF750" t="str">
            <v/>
          </cell>
        </row>
        <row r="751">
          <cell r="Y751">
            <v>735</v>
          </cell>
          <cell r="Z751">
            <v>0.37108038179576397</v>
          </cell>
          <cell r="AA751">
            <v>-5.5610014915172007E-2</v>
          </cell>
          <cell r="AB751" t="str">
            <v/>
          </cell>
          <cell r="AC751" t="e">
            <v>#N/A</v>
          </cell>
          <cell r="AD751">
            <v>664</v>
          </cell>
          <cell r="AE751" t="e">
            <v>#N/A</v>
          </cell>
          <cell r="AF751" t="str">
            <v/>
          </cell>
        </row>
        <row r="752">
          <cell r="Y752">
            <v>736</v>
          </cell>
          <cell r="Z752">
            <v>0.64200260303914547</v>
          </cell>
          <cell r="AA752">
            <v>6.1496268414933504E-2</v>
          </cell>
          <cell r="AB752" t="str">
            <v/>
          </cell>
          <cell r="AC752" t="e">
            <v>#N/A</v>
          </cell>
          <cell r="AD752">
            <v>665</v>
          </cell>
          <cell r="AE752" t="e">
            <v>#N/A</v>
          </cell>
          <cell r="AF752" t="str">
            <v/>
          </cell>
        </row>
        <row r="753">
          <cell r="Y753">
            <v>737</v>
          </cell>
          <cell r="Z753">
            <v>0.37642529420554638</v>
          </cell>
          <cell r="AA753">
            <v>-5.3224919431881339E-2</v>
          </cell>
          <cell r="AB753" t="str">
            <v/>
          </cell>
          <cell r="AC753" t="e">
            <v>#N/A</v>
          </cell>
          <cell r="AD753">
            <v>666</v>
          </cell>
          <cell r="AE753" t="e">
            <v>#N/A</v>
          </cell>
          <cell r="AF753" t="str">
            <v/>
          </cell>
        </row>
        <row r="754">
          <cell r="Y754">
            <v>738</v>
          </cell>
          <cell r="Z754">
            <v>0.83558428846299648</v>
          </cell>
          <cell r="AA754">
            <v>0.16505361794770684</v>
          </cell>
          <cell r="AB754" t="str">
            <v/>
          </cell>
          <cell r="AC754" t="e">
            <v>#N/A</v>
          </cell>
          <cell r="AD754">
            <v>667</v>
          </cell>
          <cell r="AE754" t="e">
            <v>#N/A</v>
          </cell>
          <cell r="AF754" t="str">
            <v/>
          </cell>
        </row>
        <row r="755">
          <cell r="Y755">
            <v>739</v>
          </cell>
          <cell r="Z755">
            <v>0.74722571484744549</v>
          </cell>
          <cell r="AA755">
            <v>0.11253819547500021</v>
          </cell>
          <cell r="AB755" t="str">
            <v/>
          </cell>
          <cell r="AC755" t="e">
            <v>#N/A</v>
          </cell>
          <cell r="AD755">
            <v>668</v>
          </cell>
          <cell r="AE755" t="e">
            <v>#N/A</v>
          </cell>
          <cell r="AF755" t="str">
            <v/>
          </cell>
        </row>
        <row r="756">
          <cell r="Y756">
            <v>740</v>
          </cell>
          <cell r="Z756">
            <v>0.86240874789655209</v>
          </cell>
          <cell r="AA756">
            <v>0.18444738043408052</v>
          </cell>
          <cell r="AB756" t="str">
            <v/>
          </cell>
          <cell r="AC756" t="e">
            <v>#N/A</v>
          </cell>
          <cell r="AD756">
            <v>669</v>
          </cell>
          <cell r="AE756" t="e">
            <v>#N/A</v>
          </cell>
          <cell r="AF756" t="str">
            <v/>
          </cell>
        </row>
        <row r="757">
          <cell r="Y757">
            <v>741</v>
          </cell>
          <cell r="Z757">
            <v>0.69027924351394176</v>
          </cell>
          <cell r="AA757">
            <v>8.3947823913484404E-2</v>
          </cell>
          <cell r="AB757" t="str">
            <v/>
          </cell>
          <cell r="AC757" t="e">
            <v>#N/A</v>
          </cell>
          <cell r="AD757">
            <v>670</v>
          </cell>
          <cell r="AE757" t="e">
            <v>#N/A</v>
          </cell>
          <cell r="AF757" t="str">
            <v/>
          </cell>
        </row>
        <row r="758">
          <cell r="Y758">
            <v>742</v>
          </cell>
          <cell r="Z758">
            <v>0.40876958332955837</v>
          </cell>
          <cell r="AA758">
            <v>-3.899731159890775E-2</v>
          </cell>
          <cell r="AB758" t="str">
            <v/>
          </cell>
          <cell r="AC758" t="e">
            <v>#N/A</v>
          </cell>
          <cell r="AD758">
            <v>671</v>
          </cell>
          <cell r="AE758" t="e">
            <v>#N/A</v>
          </cell>
          <cell r="AF758" t="str">
            <v/>
          </cell>
        </row>
        <row r="759">
          <cell r="Y759">
            <v>743</v>
          </cell>
          <cell r="Z759">
            <v>0.14730016700923443</v>
          </cell>
          <cell r="AA759">
            <v>-0.17715837380695215</v>
          </cell>
          <cell r="AB759" t="str">
            <v/>
          </cell>
          <cell r="AC759" t="e">
            <v>#N/A</v>
          </cell>
          <cell r="AD759">
            <v>672</v>
          </cell>
          <cell r="AE759" t="e">
            <v>#N/A</v>
          </cell>
          <cell r="AF759" t="str">
            <v/>
          </cell>
        </row>
        <row r="760">
          <cell r="Y760">
            <v>744</v>
          </cell>
          <cell r="Z760">
            <v>0.58499451540410519</v>
          </cell>
          <cell r="AA760">
            <v>3.6288810750620543E-2</v>
          </cell>
          <cell r="AB760" t="str">
            <v/>
          </cell>
          <cell r="AC760" t="e">
            <v>#N/A</v>
          </cell>
          <cell r="AD760">
            <v>673</v>
          </cell>
          <cell r="AE760" t="e">
            <v>#N/A</v>
          </cell>
          <cell r="AF760" t="str">
            <v/>
          </cell>
        </row>
        <row r="761">
          <cell r="Y761">
            <v>745</v>
          </cell>
          <cell r="Z761">
            <v>0.75896975211799145</v>
          </cell>
          <cell r="AA761">
            <v>0.11882740086959295</v>
          </cell>
          <cell r="AB761" t="str">
            <v/>
          </cell>
          <cell r="AC761" t="e">
            <v>#N/A</v>
          </cell>
          <cell r="AD761">
            <v>674</v>
          </cell>
          <cell r="AE761" t="e">
            <v>#N/A</v>
          </cell>
          <cell r="AF761" t="str">
            <v/>
          </cell>
        </row>
        <row r="762">
          <cell r="Y762">
            <v>746</v>
          </cell>
          <cell r="Z762">
            <v>0.38778669200837612</v>
          </cell>
          <cell r="AA762">
            <v>-4.8189404011250381E-2</v>
          </cell>
          <cell r="AB762" t="str">
            <v/>
          </cell>
          <cell r="AC762" t="e">
            <v>#N/A</v>
          </cell>
          <cell r="AD762">
            <v>675</v>
          </cell>
          <cell r="AE762" t="e">
            <v>#N/A</v>
          </cell>
          <cell r="AF762" t="str">
            <v/>
          </cell>
        </row>
        <row r="763">
          <cell r="Y763">
            <v>747</v>
          </cell>
          <cell r="Z763">
            <v>0.96131075732409954</v>
          </cell>
          <cell r="AA763">
            <v>0.2985259785190113</v>
          </cell>
          <cell r="AB763" t="str">
            <v/>
          </cell>
          <cell r="AC763" t="e">
            <v>#N/A</v>
          </cell>
          <cell r="AD763">
            <v>676</v>
          </cell>
          <cell r="AE763" t="e">
            <v>#N/A</v>
          </cell>
          <cell r="AF763" t="str">
            <v/>
          </cell>
        </row>
        <row r="764">
          <cell r="Y764">
            <v>748</v>
          </cell>
          <cell r="Z764">
            <v>7.0280840620398521E-2</v>
          </cell>
          <cell r="AA764">
            <v>-0.24910120531930119</v>
          </cell>
          <cell r="AB764" t="str">
            <v/>
          </cell>
          <cell r="AC764" t="e">
            <v>#N/A</v>
          </cell>
          <cell r="AD764">
            <v>677</v>
          </cell>
          <cell r="AE764" t="e">
            <v>#N/A</v>
          </cell>
          <cell r="AF764" t="str">
            <v/>
          </cell>
        </row>
        <row r="765">
          <cell r="Y765">
            <v>749</v>
          </cell>
          <cell r="Z765">
            <v>0.31985491327941418</v>
          </cell>
          <cell r="AA765">
            <v>-7.912411019684952E-2</v>
          </cell>
          <cell r="AB765" t="str">
            <v/>
          </cell>
          <cell r="AC765" t="e">
            <v>#N/A</v>
          </cell>
          <cell r="AD765">
            <v>678</v>
          </cell>
          <cell r="AE765" t="e">
            <v>#N/A</v>
          </cell>
          <cell r="AF765" t="str">
            <v/>
          </cell>
        </row>
        <row r="766">
          <cell r="Y766">
            <v>750</v>
          </cell>
          <cell r="Z766">
            <v>0.29090801440179348</v>
          </cell>
          <cell r="AA766">
            <v>-9.3091037859254225E-2</v>
          </cell>
          <cell r="AB766" t="str">
            <v/>
          </cell>
          <cell r="AC766" t="e">
            <v>#N/A</v>
          </cell>
          <cell r="AD766">
            <v>679</v>
          </cell>
          <cell r="AE766" t="e">
            <v>#N/A</v>
          </cell>
          <cell r="AF766" t="str">
            <v/>
          </cell>
        </row>
        <row r="767">
          <cell r="Y767">
            <v>751</v>
          </cell>
          <cell r="Z767">
            <v>0.92582212202250957</v>
          </cell>
          <cell r="AA767">
            <v>0.24431105494939198</v>
          </cell>
          <cell r="AB767" t="str">
            <v/>
          </cell>
          <cell r="AC767" t="e">
            <v>#N/A</v>
          </cell>
          <cell r="AD767">
            <v>680</v>
          </cell>
          <cell r="AE767" t="e">
            <v>#N/A</v>
          </cell>
          <cell r="AF767" t="str">
            <v/>
          </cell>
        </row>
        <row r="768">
          <cell r="Y768">
            <v>752</v>
          </cell>
          <cell r="Z768">
            <v>0.25591268204152584</v>
          </cell>
          <cell r="AA768">
            <v>-0.11088391249938438</v>
          </cell>
          <cell r="AB768" t="str">
            <v/>
          </cell>
          <cell r="AC768" t="e">
            <v>#N/A</v>
          </cell>
          <cell r="AD768">
            <v>681</v>
          </cell>
          <cell r="AE768" t="e">
            <v>#N/A</v>
          </cell>
          <cell r="AF768" t="str">
            <v/>
          </cell>
        </row>
        <row r="769">
          <cell r="Y769">
            <v>753</v>
          </cell>
          <cell r="Z769">
            <v>0.1472801249474287</v>
          </cell>
          <cell r="AA769">
            <v>-0.17717308167102772</v>
          </cell>
          <cell r="AB769" t="str">
            <v/>
          </cell>
          <cell r="AC769" t="e">
            <v>#N/A</v>
          </cell>
          <cell r="AD769">
            <v>682</v>
          </cell>
          <cell r="AE769" t="e">
            <v>#N/A</v>
          </cell>
          <cell r="AF769" t="str">
            <v/>
          </cell>
        </row>
        <row r="770">
          <cell r="Y770">
            <v>754</v>
          </cell>
          <cell r="Z770">
            <v>0.1641159113496542</v>
          </cell>
          <cell r="AA770">
            <v>-0.16525835356178434</v>
          </cell>
          <cell r="AB770" t="str">
            <v/>
          </cell>
          <cell r="AC770" t="e">
            <v>#N/A</v>
          </cell>
          <cell r="AD770">
            <v>683</v>
          </cell>
          <cell r="AE770" t="e">
            <v>#N/A</v>
          </cell>
          <cell r="AF770" t="str">
            <v/>
          </cell>
        </row>
        <row r="771">
          <cell r="Y771">
            <v>755</v>
          </cell>
          <cell r="Z771">
            <v>0.24700338952243328</v>
          </cell>
          <cell r="AA771">
            <v>-0.11560863988639788</v>
          </cell>
          <cell r="AB771" t="str">
            <v/>
          </cell>
          <cell r="AC771" t="e">
            <v>#N/A</v>
          </cell>
          <cell r="AD771">
            <v>684</v>
          </cell>
          <cell r="AE771" t="e">
            <v>#N/A</v>
          </cell>
          <cell r="AF771" t="str">
            <v/>
          </cell>
        </row>
        <row r="772">
          <cell r="Y772">
            <v>756</v>
          </cell>
          <cell r="Z772">
            <v>0.10626839660108089</v>
          </cell>
          <cell r="AA772">
            <v>-0.2107172723916291</v>
          </cell>
          <cell r="AB772" t="str">
            <v/>
          </cell>
          <cell r="AC772" t="e">
            <v>#N/A</v>
          </cell>
          <cell r="AD772">
            <v>685</v>
          </cell>
          <cell r="AE772" t="e">
            <v>#N/A</v>
          </cell>
          <cell r="AF772" t="str">
            <v/>
          </cell>
        </row>
        <row r="773">
          <cell r="Y773">
            <v>757</v>
          </cell>
          <cell r="Z773">
            <v>0.34749996475875378</v>
          </cell>
          <cell r="AA773">
            <v>-6.6273427305607785E-2</v>
          </cell>
          <cell r="AB773" t="str">
            <v/>
          </cell>
          <cell r="AC773" t="e">
            <v>#N/A</v>
          </cell>
          <cell r="AD773">
            <v>686</v>
          </cell>
          <cell r="AE773" t="e">
            <v>#N/A</v>
          </cell>
          <cell r="AF773" t="str">
            <v/>
          </cell>
        </row>
        <row r="774">
          <cell r="Y774">
            <v>758</v>
          </cell>
          <cell r="Z774">
            <v>0.16508707962930202</v>
          </cell>
          <cell r="AA774">
            <v>-0.16459601200790278</v>
          </cell>
          <cell r="AB774" t="str">
            <v/>
          </cell>
          <cell r="AC774" t="e">
            <v>#N/A</v>
          </cell>
          <cell r="AD774">
            <v>687</v>
          </cell>
          <cell r="AE774" t="e">
            <v>#N/A</v>
          </cell>
          <cell r="AF774" t="str">
            <v/>
          </cell>
        </row>
        <row r="775">
          <cell r="Y775">
            <v>759</v>
          </cell>
          <cell r="Z775">
            <v>0.94242505542933941</v>
          </cell>
          <cell r="AA775">
            <v>0.26630164874716233</v>
          </cell>
          <cell r="AB775" t="str">
            <v/>
          </cell>
          <cell r="AC775" t="e">
            <v>#N/A</v>
          </cell>
          <cell r="AD775">
            <v>688</v>
          </cell>
          <cell r="AE775" t="e">
            <v>#N/A</v>
          </cell>
          <cell r="AF775" t="str">
            <v/>
          </cell>
        </row>
        <row r="776">
          <cell r="Y776">
            <v>760</v>
          </cell>
          <cell r="Z776">
            <v>0.80581911467015743</v>
          </cell>
          <cell r="AA776">
            <v>0.14580467814289655</v>
          </cell>
          <cell r="AB776" t="str">
            <v/>
          </cell>
          <cell r="AC776" t="e">
            <v>#N/A</v>
          </cell>
          <cell r="AD776">
            <v>689</v>
          </cell>
          <cell r="AE776" t="e">
            <v>#N/A</v>
          </cell>
          <cell r="AF776" t="str">
            <v/>
          </cell>
        </row>
        <row r="777">
          <cell r="Y777">
            <v>761</v>
          </cell>
          <cell r="Z777">
            <v>0.62235006503760815</v>
          </cell>
          <cell r="AA777">
            <v>5.2679946015809179E-2</v>
          </cell>
          <cell r="AB777" t="str">
            <v/>
          </cell>
          <cell r="AC777" t="e">
            <v>#N/A</v>
          </cell>
          <cell r="AD777">
            <v>690</v>
          </cell>
          <cell r="AE777" t="e">
            <v>#N/A</v>
          </cell>
          <cell r="AF777" t="str">
            <v/>
          </cell>
        </row>
        <row r="778">
          <cell r="Y778">
            <v>762</v>
          </cell>
          <cell r="Z778">
            <v>0.74092692695558071</v>
          </cell>
          <cell r="AA778">
            <v>0.10922870000879327</v>
          </cell>
          <cell r="AB778" t="str">
            <v/>
          </cell>
          <cell r="AC778" t="e">
            <v>#N/A</v>
          </cell>
          <cell r="AD778">
            <v>691</v>
          </cell>
          <cell r="AE778" t="e">
            <v>#N/A</v>
          </cell>
          <cell r="AF778" t="str">
            <v/>
          </cell>
        </row>
        <row r="779">
          <cell r="Y779">
            <v>763</v>
          </cell>
          <cell r="Z779">
            <v>0.90160585753619671</v>
          </cell>
          <cell r="AA779">
            <v>0.21817759213434926</v>
          </cell>
          <cell r="AB779" t="str">
            <v/>
          </cell>
          <cell r="AC779" t="e">
            <v>#N/A</v>
          </cell>
          <cell r="AD779">
            <v>692</v>
          </cell>
          <cell r="AE779" t="e">
            <v>#N/A</v>
          </cell>
          <cell r="AF779" t="str">
            <v/>
          </cell>
        </row>
        <row r="780">
          <cell r="Y780">
            <v>764</v>
          </cell>
          <cell r="Z780">
            <v>0.29623811505734921</v>
          </cell>
          <cell r="AA780">
            <v>-9.0473950178781168E-2</v>
          </cell>
          <cell r="AB780" t="str">
            <v/>
          </cell>
          <cell r="AC780" t="e">
            <v>#N/A</v>
          </cell>
          <cell r="AD780">
            <v>693</v>
          </cell>
          <cell r="AE780" t="e">
            <v>#N/A</v>
          </cell>
          <cell r="AF780" t="str">
            <v/>
          </cell>
        </row>
        <row r="781">
          <cell r="Y781">
            <v>765</v>
          </cell>
          <cell r="Z781">
            <v>1.6689877957105637E-3</v>
          </cell>
          <cell r="AA781">
            <v>-0.49606626954296934</v>
          </cell>
          <cell r="AB781" t="str">
            <v/>
          </cell>
          <cell r="AC781" t="e">
            <v>#N/A</v>
          </cell>
          <cell r="AD781">
            <v>694</v>
          </cell>
          <cell r="AE781" t="e">
            <v>#N/A</v>
          </cell>
          <cell r="AF781" t="str">
            <v/>
          </cell>
        </row>
        <row r="782">
          <cell r="Y782">
            <v>766</v>
          </cell>
          <cell r="Z782">
            <v>0.89965394698083401</v>
          </cell>
          <cell r="AA782">
            <v>0.21628887161613602</v>
          </cell>
          <cell r="AB782" t="str">
            <v/>
          </cell>
          <cell r="AC782" t="e">
            <v>#N/A</v>
          </cell>
          <cell r="AD782">
            <v>695</v>
          </cell>
          <cell r="AE782" t="e">
            <v>#N/A</v>
          </cell>
          <cell r="AF782" t="str">
            <v/>
          </cell>
        </row>
        <row r="783">
          <cell r="Y783">
            <v>767</v>
          </cell>
          <cell r="Z783">
            <v>0.16530965082347393</v>
          </cell>
          <cell r="AA783">
            <v>-0.16444457303194532</v>
          </cell>
          <cell r="AB783" t="str">
            <v/>
          </cell>
          <cell r="AC783" t="e">
            <v>#N/A</v>
          </cell>
          <cell r="AD783">
            <v>696</v>
          </cell>
          <cell r="AE783" t="e">
            <v>#N/A</v>
          </cell>
          <cell r="AF783" t="str">
            <v/>
          </cell>
        </row>
        <row r="784">
          <cell r="Y784">
            <v>768</v>
          </cell>
          <cell r="Z784">
            <v>0.65726020000874996</v>
          </cell>
          <cell r="AA784">
            <v>6.8457014248044901E-2</v>
          </cell>
          <cell r="AB784" t="str">
            <v/>
          </cell>
          <cell r="AC784" t="e">
            <v>#N/A</v>
          </cell>
          <cell r="AD784">
            <v>697</v>
          </cell>
          <cell r="AE784" t="e">
            <v>#N/A</v>
          </cell>
          <cell r="AF784" t="str">
            <v/>
          </cell>
        </row>
        <row r="785">
          <cell r="Y785">
            <v>769</v>
          </cell>
          <cell r="Z785">
            <v>0.54447009973227978</v>
          </cell>
          <cell r="AA785">
            <v>1.888106129216988E-2</v>
          </cell>
          <cell r="AB785" t="str">
            <v/>
          </cell>
          <cell r="AC785" t="e">
            <v>#N/A</v>
          </cell>
          <cell r="AD785">
            <v>698</v>
          </cell>
          <cell r="AE785" t="e">
            <v>#N/A</v>
          </cell>
          <cell r="AF785" t="str">
            <v/>
          </cell>
        </row>
        <row r="786">
          <cell r="Y786">
            <v>770</v>
          </cell>
          <cell r="Z786">
            <v>7.5434094294905663E-2</v>
          </cell>
          <cell r="AA786">
            <v>-0.24280801892652784</v>
          </cell>
          <cell r="AB786" t="str">
            <v/>
          </cell>
          <cell r="AC786" t="e">
            <v>#N/A</v>
          </cell>
          <cell r="AD786">
            <v>699</v>
          </cell>
          <cell r="AE786" t="e">
            <v>#N/A</v>
          </cell>
          <cell r="AF786" t="str">
            <v/>
          </cell>
        </row>
        <row r="787">
          <cell r="Y787">
            <v>771</v>
          </cell>
          <cell r="Z787">
            <v>0.92359228245913982</v>
          </cell>
          <cell r="AA787">
            <v>0.24165617003238898</v>
          </cell>
          <cell r="AB787" t="str">
            <v/>
          </cell>
          <cell r="AC787" t="e">
            <v>#N/A</v>
          </cell>
          <cell r="AD787">
            <v>700</v>
          </cell>
          <cell r="AE787" t="e">
            <v>#N/A</v>
          </cell>
          <cell r="AF787" t="str">
            <v/>
          </cell>
        </row>
        <row r="788">
          <cell r="Y788">
            <v>772</v>
          </cell>
          <cell r="Z788">
            <v>0.83129107020795345</v>
          </cell>
          <cell r="AA788">
            <v>0.16214786382605348</v>
          </cell>
          <cell r="AB788" t="str">
            <v/>
          </cell>
          <cell r="AC788" t="e">
            <v>#N/A</v>
          </cell>
          <cell r="AD788">
            <v>701</v>
          </cell>
          <cell r="AE788" t="e">
            <v>#N/A</v>
          </cell>
          <cell r="AF788" t="str">
            <v/>
          </cell>
        </row>
        <row r="789">
          <cell r="Y789">
            <v>773</v>
          </cell>
          <cell r="Z789">
            <v>0.50886344723403454</v>
          </cell>
          <cell r="AA789">
            <v>3.7557295318909043E-3</v>
          </cell>
          <cell r="AB789" t="str">
            <v/>
          </cell>
          <cell r="AC789" t="e">
            <v>#N/A</v>
          </cell>
          <cell r="AD789">
            <v>702</v>
          </cell>
          <cell r="AE789" t="e">
            <v>#N/A</v>
          </cell>
          <cell r="AF789" t="str">
            <v/>
          </cell>
        </row>
        <row r="790">
          <cell r="Y790">
            <v>774</v>
          </cell>
          <cell r="Z790">
            <v>8.7565159425139427E-2</v>
          </cell>
          <cell r="AA790">
            <v>-0.22918928598827165</v>
          </cell>
          <cell r="AB790" t="str">
            <v/>
          </cell>
          <cell r="AC790" t="e">
            <v>#N/A</v>
          </cell>
          <cell r="AD790">
            <v>703</v>
          </cell>
          <cell r="AE790" t="e">
            <v>#N/A</v>
          </cell>
          <cell r="AF790" t="str">
            <v/>
          </cell>
        </row>
        <row r="791">
          <cell r="Y791">
            <v>775</v>
          </cell>
          <cell r="Z791">
            <v>0.73259846679866314</v>
          </cell>
          <cell r="AA791">
            <v>0.10491589856533885</v>
          </cell>
          <cell r="AB791" t="str">
            <v/>
          </cell>
          <cell r="AC791" t="e">
            <v>#N/A</v>
          </cell>
          <cell r="AD791">
            <v>704</v>
          </cell>
          <cell r="AE791" t="e">
            <v>#N/A</v>
          </cell>
          <cell r="AF791" t="str">
            <v/>
          </cell>
        </row>
        <row r="792">
          <cell r="Y792">
            <v>776</v>
          </cell>
          <cell r="Z792">
            <v>0.19176669977605343</v>
          </cell>
          <cell r="AA792">
            <v>-0.14729422248963633</v>
          </cell>
          <cell r="AB792" t="str">
            <v/>
          </cell>
          <cell r="AC792" t="e">
            <v>#N/A</v>
          </cell>
          <cell r="AD792">
            <v>705</v>
          </cell>
          <cell r="AE792" t="e">
            <v>#N/A</v>
          </cell>
          <cell r="AF792" t="str">
            <v/>
          </cell>
        </row>
        <row r="793">
          <cell r="Y793">
            <v>777</v>
          </cell>
          <cell r="Z793">
            <v>0.4907276313751936</v>
          </cell>
          <cell r="AA793">
            <v>-3.9290332850281124E-3</v>
          </cell>
          <cell r="AB793" t="str">
            <v/>
          </cell>
          <cell r="AC793" t="e">
            <v>#N/A</v>
          </cell>
          <cell r="AD793">
            <v>706</v>
          </cell>
          <cell r="AE793" t="e">
            <v>#N/A</v>
          </cell>
          <cell r="AF793" t="str">
            <v/>
          </cell>
        </row>
        <row r="794">
          <cell r="Y794">
            <v>778</v>
          </cell>
          <cell r="Z794">
            <v>0.69321114383637905</v>
          </cell>
          <cell r="AA794">
            <v>8.5356036976348443E-2</v>
          </cell>
          <cell r="AB794" t="str">
            <v/>
          </cell>
          <cell r="AC794" t="e">
            <v>#N/A</v>
          </cell>
          <cell r="AD794">
            <v>707</v>
          </cell>
          <cell r="AE794" t="e">
            <v>#N/A</v>
          </cell>
          <cell r="AF794" t="str">
            <v/>
          </cell>
        </row>
        <row r="795">
          <cell r="Y795">
            <v>779</v>
          </cell>
          <cell r="Z795">
            <v>0.45010866038501263</v>
          </cell>
          <cell r="AA795">
            <v>-2.1194241119575831E-2</v>
          </cell>
          <cell r="AB795" t="str">
            <v/>
          </cell>
          <cell r="AC795" t="e">
            <v>#N/A</v>
          </cell>
          <cell r="AD795">
            <v>708</v>
          </cell>
          <cell r="AE795" t="e">
            <v>#N/A</v>
          </cell>
          <cell r="AF795" t="str">
            <v/>
          </cell>
        </row>
        <row r="796">
          <cell r="Y796">
            <v>780</v>
          </cell>
          <cell r="Z796">
            <v>0.45526271127164364</v>
          </cell>
          <cell r="AA796">
            <v>-1.8994981370018316E-2</v>
          </cell>
          <cell r="AB796" t="str">
            <v/>
          </cell>
          <cell r="AC796" t="e">
            <v>#N/A</v>
          </cell>
          <cell r="AD796">
            <v>709</v>
          </cell>
          <cell r="AE796" t="e">
            <v>#N/A</v>
          </cell>
          <cell r="AF796" t="str">
            <v/>
          </cell>
        </row>
        <row r="797">
          <cell r="Y797">
            <v>781</v>
          </cell>
          <cell r="Z797">
            <v>3.11316829174757E-2</v>
          </cell>
          <cell r="AA797">
            <v>-0.31514375297619596</v>
          </cell>
          <cell r="AB797" t="str">
            <v/>
          </cell>
          <cell r="AC797" t="e">
            <v>#N/A</v>
          </cell>
          <cell r="AD797">
            <v>710</v>
          </cell>
          <cell r="AE797" t="e">
            <v>#N/A</v>
          </cell>
          <cell r="AF797" t="str">
            <v/>
          </cell>
        </row>
        <row r="798">
          <cell r="Y798">
            <v>782</v>
          </cell>
          <cell r="Z798">
            <v>0.23388663493096828</v>
          </cell>
          <cell r="AA798">
            <v>-0.12273445878450073</v>
          </cell>
          <cell r="AB798" t="str">
            <v/>
          </cell>
          <cell r="AC798" t="e">
            <v>#N/A</v>
          </cell>
          <cell r="AD798">
            <v>711</v>
          </cell>
          <cell r="AE798" t="e">
            <v>#N/A</v>
          </cell>
          <cell r="AF798" t="str">
            <v/>
          </cell>
        </row>
        <row r="799">
          <cell r="Y799">
            <v>783</v>
          </cell>
          <cell r="Z799">
            <v>0.38983593694865704</v>
          </cell>
          <cell r="AA799">
            <v>-4.7285816764255501E-2</v>
          </cell>
          <cell r="AB799" t="str">
            <v/>
          </cell>
          <cell r="AC799" t="e">
            <v>#N/A</v>
          </cell>
          <cell r="AD799">
            <v>712</v>
          </cell>
          <cell r="AE799" t="e">
            <v>#N/A</v>
          </cell>
          <cell r="AF799" t="str">
            <v/>
          </cell>
        </row>
        <row r="800">
          <cell r="Y800">
            <v>784</v>
          </cell>
          <cell r="Z800">
            <v>0.43735375069081783</v>
          </cell>
          <cell r="AA800">
            <v>-2.6653097665686659E-2</v>
          </cell>
          <cell r="AB800" t="str">
            <v/>
          </cell>
          <cell r="AC800" t="e">
            <v>#N/A</v>
          </cell>
          <cell r="AD800">
            <v>713</v>
          </cell>
          <cell r="AE800" t="e">
            <v>#N/A</v>
          </cell>
          <cell r="AF800" t="str">
            <v/>
          </cell>
        </row>
        <row r="801">
          <cell r="Y801">
            <v>785</v>
          </cell>
          <cell r="Z801">
            <v>0.1925069373100996</v>
          </cell>
          <cell r="AA801">
            <v>-0.14683628668360366</v>
          </cell>
          <cell r="AB801" t="str">
            <v/>
          </cell>
          <cell r="AC801" t="e">
            <v>#N/A</v>
          </cell>
          <cell r="AD801">
            <v>714</v>
          </cell>
          <cell r="AE801" t="e">
            <v>#N/A</v>
          </cell>
          <cell r="AF801" t="str">
            <v/>
          </cell>
        </row>
        <row r="802">
          <cell r="Y802">
            <v>786</v>
          </cell>
          <cell r="Z802">
            <v>0.87569118104875088</v>
          </cell>
          <cell r="AA802">
            <v>0.19501317853663239</v>
          </cell>
          <cell r="AB802" t="str">
            <v/>
          </cell>
          <cell r="AC802" t="e">
            <v>#N/A</v>
          </cell>
          <cell r="AD802">
            <v>715</v>
          </cell>
          <cell r="AE802" t="e">
            <v>#N/A</v>
          </cell>
          <cell r="AF802" t="str">
            <v/>
          </cell>
        </row>
        <row r="803">
          <cell r="Y803">
            <v>787</v>
          </cell>
          <cell r="Z803">
            <v>0.19447286240756512</v>
          </cell>
          <cell r="AA803">
            <v>-0.14562529664341667</v>
          </cell>
          <cell r="AB803" t="str">
            <v/>
          </cell>
          <cell r="AC803" t="e">
            <v>#N/A</v>
          </cell>
          <cell r="AD803">
            <v>716</v>
          </cell>
          <cell r="AE803" t="e">
            <v>#N/A</v>
          </cell>
          <cell r="AF803" t="str">
            <v/>
          </cell>
        </row>
        <row r="804">
          <cell r="Y804">
            <v>788</v>
          </cell>
          <cell r="Z804">
            <v>0.15222286246716976</v>
          </cell>
          <cell r="AA804">
            <v>-0.17358561629849059</v>
          </cell>
          <cell r="AB804" t="str">
            <v/>
          </cell>
          <cell r="AC804" t="e">
            <v>#N/A</v>
          </cell>
          <cell r="AD804">
            <v>717</v>
          </cell>
          <cell r="AE804" t="e">
            <v>#N/A</v>
          </cell>
          <cell r="AF804" t="str">
            <v/>
          </cell>
        </row>
        <row r="805">
          <cell r="Y805">
            <v>789</v>
          </cell>
          <cell r="Z805">
            <v>0.60356890968978405</v>
          </cell>
          <cell r="AA805">
            <v>4.4386782095521431E-2</v>
          </cell>
          <cell r="AB805" t="str">
            <v/>
          </cell>
          <cell r="AC805" t="e">
            <v>#N/A</v>
          </cell>
          <cell r="AD805">
            <v>718</v>
          </cell>
          <cell r="AE805" t="e">
            <v>#N/A</v>
          </cell>
          <cell r="AF805" t="str">
            <v/>
          </cell>
        </row>
        <row r="806">
          <cell r="Y806">
            <v>790</v>
          </cell>
          <cell r="Z806">
            <v>0.94329366646707058</v>
          </cell>
          <cell r="AA806">
            <v>0.26758236138781188</v>
          </cell>
          <cell r="AB806" t="str">
            <v/>
          </cell>
          <cell r="AC806" t="e">
            <v>#N/A</v>
          </cell>
          <cell r="AD806">
            <v>719</v>
          </cell>
          <cell r="AE806" t="e">
            <v>#N/A</v>
          </cell>
          <cell r="AF806" t="str">
            <v/>
          </cell>
        </row>
        <row r="807">
          <cell r="Y807">
            <v>791</v>
          </cell>
          <cell r="Z807">
            <v>0.92748836986720562</v>
          </cell>
          <cell r="AA807">
            <v>0.2463349854562612</v>
          </cell>
          <cell r="AB807" t="str">
            <v/>
          </cell>
          <cell r="AC807" t="e">
            <v>#N/A</v>
          </cell>
          <cell r="AD807">
            <v>720</v>
          </cell>
          <cell r="AE807" t="e">
            <v>#N/A</v>
          </cell>
          <cell r="AF807" t="str">
            <v/>
          </cell>
        </row>
        <row r="808">
          <cell r="Y808">
            <v>792</v>
          </cell>
          <cell r="Z808">
            <v>0.75602086447179317</v>
          </cell>
          <cell r="AA808">
            <v>0.11723301407892017</v>
          </cell>
          <cell r="AB808" t="str">
            <v/>
          </cell>
          <cell r="AC808" t="e">
            <v>#N/A</v>
          </cell>
          <cell r="AD808">
            <v>721</v>
          </cell>
          <cell r="AE808" t="e">
            <v>#N/A</v>
          </cell>
          <cell r="AF808" t="str">
            <v/>
          </cell>
        </row>
        <row r="809">
          <cell r="Y809">
            <v>793</v>
          </cell>
          <cell r="Z809">
            <v>0.4729891698807478</v>
          </cell>
          <cell r="AA809">
            <v>-1.1453179290353201E-2</v>
          </cell>
          <cell r="AB809" t="str">
            <v/>
          </cell>
          <cell r="AC809" t="e">
            <v>#N/A</v>
          </cell>
          <cell r="AD809">
            <v>722</v>
          </cell>
          <cell r="AE809" t="e">
            <v>#N/A</v>
          </cell>
          <cell r="AF809" t="str">
            <v/>
          </cell>
        </row>
        <row r="810">
          <cell r="Y810">
            <v>794</v>
          </cell>
          <cell r="Z810">
            <v>0.84766668640077114</v>
          </cell>
          <cell r="AA810">
            <v>0.17350634260785722</v>
          </cell>
          <cell r="AB810" t="str">
            <v/>
          </cell>
          <cell r="AC810" t="e">
            <v>#N/A</v>
          </cell>
          <cell r="AD810">
            <v>723</v>
          </cell>
          <cell r="AE810" t="e">
            <v>#N/A</v>
          </cell>
          <cell r="AF810" t="str">
            <v/>
          </cell>
        </row>
        <row r="811">
          <cell r="Y811">
            <v>795</v>
          </cell>
          <cell r="Z811">
            <v>0.88367463462054729</v>
          </cell>
          <cell r="AA811">
            <v>0.20174820243321584</v>
          </cell>
          <cell r="AB811" t="str">
            <v/>
          </cell>
          <cell r="AC811" t="e">
            <v>#N/A</v>
          </cell>
          <cell r="AD811">
            <v>724</v>
          </cell>
          <cell r="AE811" t="e">
            <v>#N/A</v>
          </cell>
          <cell r="AF811" t="str">
            <v/>
          </cell>
        </row>
        <row r="812">
          <cell r="Y812">
            <v>796</v>
          </cell>
          <cell r="Z812">
            <v>0.83397572301328182</v>
          </cell>
          <cell r="AA812">
            <v>0.16395922622736472</v>
          </cell>
          <cell r="AB812" t="str">
            <v/>
          </cell>
          <cell r="AC812" t="e">
            <v>#N/A</v>
          </cell>
          <cell r="AD812">
            <v>725</v>
          </cell>
          <cell r="AE812" t="e">
            <v>#N/A</v>
          </cell>
          <cell r="AF812" t="str">
            <v/>
          </cell>
        </row>
        <row r="813">
          <cell r="Y813">
            <v>797</v>
          </cell>
          <cell r="Z813">
            <v>7.1817217394709587E-2</v>
          </cell>
          <cell r="AA813">
            <v>-0.24718898500059455</v>
          </cell>
          <cell r="AB813" t="str">
            <v/>
          </cell>
          <cell r="AC813" t="e">
            <v>#N/A</v>
          </cell>
          <cell r="AD813">
            <v>726</v>
          </cell>
          <cell r="AE813" t="e">
            <v>#N/A</v>
          </cell>
          <cell r="AF813" t="str">
            <v/>
          </cell>
        </row>
        <row r="814">
          <cell r="Y814">
            <v>798</v>
          </cell>
          <cell r="Z814">
            <v>0.10757092200219631</v>
          </cell>
          <cell r="AA814">
            <v>-0.20952220962257637</v>
          </cell>
          <cell r="AB814" t="str">
            <v/>
          </cell>
          <cell r="AC814" t="e">
            <v>#N/A</v>
          </cell>
          <cell r="AD814">
            <v>727</v>
          </cell>
          <cell r="AE814" t="e">
            <v>#N/A</v>
          </cell>
          <cell r="AF814" t="str">
            <v/>
          </cell>
        </row>
        <row r="815">
          <cell r="Y815">
            <v>799</v>
          </cell>
          <cell r="Z815">
            <v>0.61844394914805889</v>
          </cell>
          <cell r="AA815">
            <v>5.0945320434821889E-2</v>
          </cell>
          <cell r="AB815" t="str">
            <v/>
          </cell>
          <cell r="AC815" t="e">
            <v>#N/A</v>
          </cell>
          <cell r="AD815">
            <v>728</v>
          </cell>
          <cell r="AE815" t="e">
            <v>#N/A</v>
          </cell>
          <cell r="AF815" t="str">
            <v/>
          </cell>
        </row>
        <row r="816">
          <cell r="Y816">
            <v>800</v>
          </cell>
          <cell r="Z816">
            <v>0.53125192783772945</v>
          </cell>
          <cell r="AA816">
            <v>1.3254936184161036E-2</v>
          </cell>
          <cell r="AB816" t="str">
            <v/>
          </cell>
          <cell r="AC816" t="e">
            <v>#N/A</v>
          </cell>
          <cell r="AD816">
            <v>729</v>
          </cell>
          <cell r="AE816" t="e">
            <v>#N/A</v>
          </cell>
          <cell r="AF816" t="str">
            <v/>
          </cell>
        </row>
        <row r="817">
          <cell r="Y817">
            <v>801</v>
          </cell>
          <cell r="Z817">
            <v>0.18465235643088818</v>
          </cell>
          <cell r="AA817">
            <v>-0.15175192661412015</v>
          </cell>
          <cell r="AB817" t="str">
            <v/>
          </cell>
          <cell r="AC817" t="e">
            <v>#N/A</v>
          </cell>
          <cell r="AD817">
            <v>730</v>
          </cell>
          <cell r="AE817" t="e">
            <v>#N/A</v>
          </cell>
          <cell r="AF817" t="str">
            <v/>
          </cell>
        </row>
        <row r="818">
          <cell r="Y818">
            <v>802</v>
          </cell>
          <cell r="Z818">
            <v>0.96478951536118984</v>
          </cell>
          <cell r="AA818">
            <v>0.30580949269681656</v>
          </cell>
          <cell r="AB818" t="str">
            <v/>
          </cell>
          <cell r="AC818" t="e">
            <v>#N/A</v>
          </cell>
          <cell r="AD818">
            <v>731</v>
          </cell>
          <cell r="AE818" t="e">
            <v>#N/A</v>
          </cell>
          <cell r="AF818" t="str">
            <v/>
          </cell>
        </row>
        <row r="819">
          <cell r="Y819">
            <v>803</v>
          </cell>
          <cell r="Z819">
            <v>0.69587559811770916</v>
          </cell>
          <cell r="AA819">
            <v>8.6640949982431215E-2</v>
          </cell>
          <cell r="AB819" t="str">
            <v/>
          </cell>
          <cell r="AC819" t="e">
            <v>#N/A</v>
          </cell>
          <cell r="AD819">
            <v>732</v>
          </cell>
          <cell r="AE819" t="e">
            <v>#N/A</v>
          </cell>
          <cell r="AF819" t="str">
            <v/>
          </cell>
        </row>
        <row r="820">
          <cell r="Y820">
            <v>804</v>
          </cell>
          <cell r="Z820">
            <v>2.755986712872982E-2</v>
          </cell>
          <cell r="AA820">
            <v>-0.32418954442673487</v>
          </cell>
          <cell r="AB820" t="str">
            <v/>
          </cell>
          <cell r="AC820" t="e">
            <v>#N/A</v>
          </cell>
          <cell r="AD820">
            <v>733</v>
          </cell>
          <cell r="AE820" t="e">
            <v>#N/A</v>
          </cell>
          <cell r="AF820" t="str">
            <v/>
          </cell>
        </row>
        <row r="821">
          <cell r="Y821">
            <v>805</v>
          </cell>
          <cell r="Z821">
            <v>2.9565570876002312E-2</v>
          </cell>
          <cell r="AA821">
            <v>-0.31899789911172594</v>
          </cell>
          <cell r="AB821" t="str">
            <v/>
          </cell>
          <cell r="AC821" t="e">
            <v>#N/A</v>
          </cell>
          <cell r="AD821">
            <v>734</v>
          </cell>
          <cell r="AE821" t="e">
            <v>#N/A</v>
          </cell>
          <cell r="AF821" t="str">
            <v/>
          </cell>
        </row>
        <row r="822">
          <cell r="Y822">
            <v>806</v>
          </cell>
          <cell r="Z822">
            <v>9.3112444505095482E-2</v>
          </cell>
          <cell r="AA822">
            <v>-0.22342998733615332</v>
          </cell>
          <cell r="AB822" t="str">
            <v/>
          </cell>
          <cell r="AC822" t="e">
            <v>#N/A</v>
          </cell>
          <cell r="AD822">
            <v>735</v>
          </cell>
          <cell r="AE822" t="e">
            <v>#N/A</v>
          </cell>
          <cell r="AF822" t="str">
            <v/>
          </cell>
        </row>
        <row r="823">
          <cell r="Y823">
            <v>807</v>
          </cell>
          <cell r="Z823">
            <v>0.65551273338496685</v>
          </cell>
          <cell r="AA823">
            <v>6.765410639636274E-2</v>
          </cell>
          <cell r="AB823" t="str">
            <v/>
          </cell>
          <cell r="AC823" t="e">
            <v>#N/A</v>
          </cell>
          <cell r="AD823">
            <v>736</v>
          </cell>
          <cell r="AE823" t="e">
            <v>#N/A</v>
          </cell>
          <cell r="AF823" t="str">
            <v/>
          </cell>
        </row>
        <row r="824">
          <cell r="Y824">
            <v>808</v>
          </cell>
          <cell r="Z824">
            <v>0.85551520250737667</v>
          </cell>
          <cell r="AA824">
            <v>0.17923773742266716</v>
          </cell>
          <cell r="AB824" t="str">
            <v/>
          </cell>
          <cell r="AC824" t="e">
            <v>#N/A</v>
          </cell>
          <cell r="AD824">
            <v>737</v>
          </cell>
          <cell r="AE824" t="e">
            <v>#N/A</v>
          </cell>
          <cell r="AF824" t="str">
            <v/>
          </cell>
        </row>
        <row r="825">
          <cell r="Y825">
            <v>809</v>
          </cell>
          <cell r="Z825">
            <v>0.14677139930427074</v>
          </cell>
          <cell r="AA825">
            <v>-0.17754686007865383</v>
          </cell>
          <cell r="AB825" t="str">
            <v/>
          </cell>
          <cell r="AC825" t="e">
            <v>#N/A</v>
          </cell>
          <cell r="AD825">
            <v>738</v>
          </cell>
          <cell r="AE825" t="e">
            <v>#N/A</v>
          </cell>
          <cell r="AF825" t="str">
            <v/>
          </cell>
        </row>
        <row r="826">
          <cell r="Y826">
            <v>810</v>
          </cell>
          <cell r="Z826">
            <v>0.90107089839875698</v>
          </cell>
          <cell r="AA826">
            <v>0.21765724579221821</v>
          </cell>
          <cell r="AB826" t="str">
            <v/>
          </cell>
          <cell r="AC826" t="e">
            <v>#N/A</v>
          </cell>
          <cell r="AD826">
            <v>739</v>
          </cell>
          <cell r="AE826" t="e">
            <v>#N/A</v>
          </cell>
          <cell r="AF826" t="str">
            <v/>
          </cell>
        </row>
        <row r="827">
          <cell r="Y827">
            <v>811</v>
          </cell>
          <cell r="Z827">
            <v>0.69790924899280071</v>
          </cell>
          <cell r="AA827">
            <v>8.7625038878418493E-2</v>
          </cell>
          <cell r="AB827" t="str">
            <v/>
          </cell>
          <cell r="AC827" t="e">
            <v>#N/A</v>
          </cell>
          <cell r="AD827">
            <v>740</v>
          </cell>
          <cell r="AE827" t="e">
            <v>#N/A</v>
          </cell>
          <cell r="AF827" t="str">
            <v/>
          </cell>
        </row>
        <row r="828">
          <cell r="Y828">
            <v>812</v>
          </cell>
          <cell r="Z828">
            <v>0.56274824403226376</v>
          </cell>
          <cell r="AA828">
            <v>2.6696854061123598E-2</v>
          </cell>
          <cell r="AB828" t="str">
            <v/>
          </cell>
          <cell r="AC828" t="e">
            <v>#N/A</v>
          </cell>
          <cell r="AD828">
            <v>741</v>
          </cell>
          <cell r="AE828" t="e">
            <v>#N/A</v>
          </cell>
          <cell r="AF828" t="str">
            <v/>
          </cell>
        </row>
        <row r="829">
          <cell r="Y829">
            <v>813</v>
          </cell>
          <cell r="Z829">
            <v>0.75604980997741222</v>
          </cell>
          <cell r="AA829">
            <v>0.11724861334856147</v>
          </cell>
          <cell r="AB829" t="str">
            <v/>
          </cell>
          <cell r="AC829" t="e">
            <v>#N/A</v>
          </cell>
          <cell r="AD829">
            <v>742</v>
          </cell>
          <cell r="AE829" t="e">
            <v>#N/A</v>
          </cell>
          <cell r="AF829" t="str">
            <v/>
          </cell>
        </row>
        <row r="830">
          <cell r="Y830">
            <v>814</v>
          </cell>
          <cell r="Z830">
            <v>0.92842165194451809</v>
          </cell>
          <cell r="AA830">
            <v>0.24748421374078361</v>
          </cell>
          <cell r="AB830" t="str">
            <v/>
          </cell>
          <cell r="AC830" t="e">
            <v>#N/A</v>
          </cell>
          <cell r="AD830">
            <v>743</v>
          </cell>
          <cell r="AE830" t="e">
            <v>#N/A</v>
          </cell>
          <cell r="AF830" t="str">
            <v/>
          </cell>
        </row>
        <row r="831">
          <cell r="Y831">
            <v>815</v>
          </cell>
          <cell r="Z831">
            <v>0.5889266561716795</v>
          </cell>
          <cell r="AA831">
            <v>3.799556682427753E-2</v>
          </cell>
          <cell r="AB831" t="str">
            <v/>
          </cell>
          <cell r="AC831" t="e">
            <v>#N/A</v>
          </cell>
          <cell r="AD831">
            <v>744</v>
          </cell>
          <cell r="AE831" t="e">
            <v>#N/A</v>
          </cell>
          <cell r="AF831" t="str">
            <v/>
          </cell>
        </row>
        <row r="832">
          <cell r="Y832">
            <v>816</v>
          </cell>
          <cell r="Z832">
            <v>0.21776332519948483</v>
          </cell>
          <cell r="AA832">
            <v>-0.13180507674162023</v>
          </cell>
          <cell r="AB832" t="str">
            <v/>
          </cell>
          <cell r="AC832" t="e">
            <v>#N/A</v>
          </cell>
          <cell r="AD832">
            <v>745</v>
          </cell>
          <cell r="AE832" t="e">
            <v>#N/A</v>
          </cell>
          <cell r="AF832" t="str">
            <v/>
          </cell>
        </row>
        <row r="833">
          <cell r="Y833">
            <v>817</v>
          </cell>
          <cell r="Z833">
            <v>8.29180758446455E-2</v>
          </cell>
          <cell r="AA833">
            <v>-0.23422736515860826</v>
          </cell>
          <cell r="AB833" t="str">
            <v/>
          </cell>
          <cell r="AC833" t="e">
            <v>#N/A</v>
          </cell>
          <cell r="AD833">
            <v>746</v>
          </cell>
          <cell r="AE833" t="e">
            <v>#N/A</v>
          </cell>
          <cell r="AF833" t="str">
            <v/>
          </cell>
        </row>
        <row r="834">
          <cell r="Y834">
            <v>818</v>
          </cell>
          <cell r="Z834">
            <v>0.83638144098222256</v>
          </cell>
          <cell r="AA834">
            <v>0.16559853468086211</v>
          </cell>
          <cell r="AB834" t="str">
            <v/>
          </cell>
          <cell r="AC834" t="e">
            <v>#N/A</v>
          </cell>
          <cell r="AD834">
            <v>747</v>
          </cell>
          <cell r="AE834" t="e">
            <v>#N/A</v>
          </cell>
          <cell r="AF834" t="str">
            <v/>
          </cell>
        </row>
        <row r="835">
          <cell r="Y835">
            <v>819</v>
          </cell>
          <cell r="Z835">
            <v>0.28278095833957195</v>
          </cell>
          <cell r="AA835">
            <v>-9.7125110808321591E-2</v>
          </cell>
          <cell r="AB835" t="str">
            <v/>
          </cell>
          <cell r="AC835" t="e">
            <v>#N/A</v>
          </cell>
          <cell r="AD835">
            <v>748</v>
          </cell>
          <cell r="AE835" t="e">
            <v>#N/A</v>
          </cell>
          <cell r="AF835" t="str">
            <v/>
          </cell>
        </row>
        <row r="836">
          <cell r="Y836">
            <v>820</v>
          </cell>
          <cell r="Z836">
            <v>0.25954817794263363</v>
          </cell>
          <cell r="AA836">
            <v>-0.10898077720008548</v>
          </cell>
          <cell r="AB836" t="str">
            <v/>
          </cell>
          <cell r="AC836" t="e">
            <v>#N/A</v>
          </cell>
          <cell r="AD836">
            <v>749</v>
          </cell>
          <cell r="AE836" t="e">
            <v>#N/A</v>
          </cell>
          <cell r="AF836" t="str">
            <v/>
          </cell>
        </row>
        <row r="837">
          <cell r="Y837">
            <v>821</v>
          </cell>
          <cell r="Z837">
            <v>0.15355264954268932</v>
          </cell>
          <cell r="AA837">
            <v>-0.17263371600864369</v>
          </cell>
          <cell r="AB837" t="str">
            <v/>
          </cell>
          <cell r="AC837" t="e">
            <v>#N/A</v>
          </cell>
          <cell r="AD837">
            <v>750</v>
          </cell>
          <cell r="AE837" t="e">
            <v>#N/A</v>
          </cell>
          <cell r="AF837" t="str">
            <v/>
          </cell>
        </row>
        <row r="838">
          <cell r="Y838">
            <v>822</v>
          </cell>
          <cell r="Z838">
            <v>0.49161133728921413</v>
          </cell>
          <cell r="AA838">
            <v>-3.5545174619774386E-3</v>
          </cell>
          <cell r="AB838" t="str">
            <v/>
          </cell>
          <cell r="AC838" t="e">
            <v>#N/A</v>
          </cell>
          <cell r="AD838">
            <v>751</v>
          </cell>
          <cell r="AE838" t="e">
            <v>#N/A</v>
          </cell>
          <cell r="AF838" t="str">
            <v/>
          </cell>
        </row>
        <row r="839">
          <cell r="Y839">
            <v>823</v>
          </cell>
          <cell r="Z839">
            <v>0.76383952610194683</v>
          </cell>
          <cell r="AA839">
            <v>0.1214837988500642</v>
          </cell>
          <cell r="AB839" t="str">
            <v/>
          </cell>
          <cell r="AC839" t="e">
            <v>#N/A</v>
          </cell>
          <cell r="AD839">
            <v>752</v>
          </cell>
          <cell r="AE839" t="e">
            <v>#N/A</v>
          </cell>
          <cell r="AF839" t="str">
            <v/>
          </cell>
        </row>
        <row r="840">
          <cell r="Y840">
            <v>824</v>
          </cell>
          <cell r="Z840">
            <v>0.19093330763280392</v>
          </cell>
          <cell r="AA840">
            <v>-0.147811084085748</v>
          </cell>
          <cell r="AB840" t="str">
            <v/>
          </cell>
          <cell r="AC840" t="e">
            <v>#N/A</v>
          </cell>
          <cell r="AD840">
            <v>753</v>
          </cell>
          <cell r="AE840" t="e">
            <v>#N/A</v>
          </cell>
          <cell r="AF840" t="str">
            <v/>
          </cell>
        </row>
        <row r="841">
          <cell r="Y841">
            <v>825</v>
          </cell>
          <cell r="Z841">
            <v>0.55846103839576244</v>
          </cell>
          <cell r="AA841">
            <v>2.4859120048511516E-2</v>
          </cell>
          <cell r="AB841" t="str">
            <v/>
          </cell>
          <cell r="AC841" t="e">
            <v>#N/A</v>
          </cell>
          <cell r="AD841">
            <v>754</v>
          </cell>
          <cell r="AE841" t="e">
            <v>#N/A</v>
          </cell>
          <cell r="AF841" t="str">
            <v/>
          </cell>
        </row>
        <row r="842">
          <cell r="Y842">
            <v>826</v>
          </cell>
          <cell r="Z842">
            <v>0.64395112358033657</v>
          </cell>
          <cell r="AA842">
            <v>6.2379180899124927E-2</v>
          </cell>
          <cell r="AB842" t="str">
            <v/>
          </cell>
          <cell r="AC842" t="e">
            <v>#N/A</v>
          </cell>
          <cell r="AD842">
            <v>755</v>
          </cell>
          <cell r="AE842" t="e">
            <v>#N/A</v>
          </cell>
          <cell r="AF842" t="str">
            <v/>
          </cell>
        </row>
        <row r="843">
          <cell r="Y843">
            <v>827</v>
          </cell>
          <cell r="Z843">
            <v>0.60716797225177288</v>
          </cell>
          <cell r="AA843">
            <v>4.5967150625602637E-2</v>
          </cell>
          <cell r="AB843" t="str">
            <v/>
          </cell>
          <cell r="AC843" t="e">
            <v>#N/A</v>
          </cell>
          <cell r="AD843">
            <v>756</v>
          </cell>
          <cell r="AE843" t="e">
            <v>#N/A</v>
          </cell>
          <cell r="AF843" t="str">
            <v/>
          </cell>
        </row>
        <row r="844">
          <cell r="Y844">
            <v>828</v>
          </cell>
          <cell r="Z844">
            <v>0.61570136807858944</v>
          </cell>
          <cell r="AA844">
            <v>4.9730605569284728E-2</v>
          </cell>
          <cell r="AB844" t="str">
            <v/>
          </cell>
          <cell r="AC844" t="e">
            <v>#N/A</v>
          </cell>
          <cell r="AD844">
            <v>757</v>
          </cell>
          <cell r="AE844" t="e">
            <v>#N/A</v>
          </cell>
          <cell r="AF844" t="str">
            <v/>
          </cell>
        </row>
        <row r="845">
          <cell r="Y845">
            <v>829</v>
          </cell>
          <cell r="Z845">
            <v>0.68490367941558361</v>
          </cell>
          <cell r="AA845">
            <v>8.1380870558063256E-2</v>
          </cell>
          <cell r="AB845" t="str">
            <v/>
          </cell>
          <cell r="AC845" t="e">
            <v>#N/A</v>
          </cell>
          <cell r="AD845">
            <v>758</v>
          </cell>
          <cell r="AE845" t="e">
            <v>#N/A</v>
          </cell>
          <cell r="AF845" t="str">
            <v/>
          </cell>
        </row>
        <row r="846">
          <cell r="Y846">
            <v>830</v>
          </cell>
          <cell r="Z846">
            <v>0.69790366850793362</v>
          </cell>
          <cell r="AA846">
            <v>8.7622334414794931E-2</v>
          </cell>
          <cell r="AB846" t="str">
            <v/>
          </cell>
          <cell r="AC846" t="e">
            <v>#N/A</v>
          </cell>
          <cell r="AD846">
            <v>759</v>
          </cell>
          <cell r="AE846" t="e">
            <v>#N/A</v>
          </cell>
          <cell r="AF846" t="str">
            <v/>
          </cell>
        </row>
        <row r="847">
          <cell r="Y847">
            <v>831</v>
          </cell>
          <cell r="Z847">
            <v>0.75782702676951885</v>
          </cell>
          <cell r="AA847">
            <v>0.11820831154269285</v>
          </cell>
          <cell r="AB847" t="str">
            <v/>
          </cell>
          <cell r="AC847" t="e">
            <v>#N/A</v>
          </cell>
          <cell r="AD847">
            <v>760</v>
          </cell>
          <cell r="AE847" t="e">
            <v>#N/A</v>
          </cell>
          <cell r="AF847" t="str">
            <v/>
          </cell>
        </row>
        <row r="848">
          <cell r="Y848">
            <v>832</v>
          </cell>
          <cell r="Z848">
            <v>0.11944653652608395</v>
          </cell>
          <cell r="AA848">
            <v>-0.19907744708023281</v>
          </cell>
          <cell r="AB848" t="str">
            <v/>
          </cell>
          <cell r="AC848" t="e">
            <v>#N/A</v>
          </cell>
          <cell r="AD848">
            <v>761</v>
          </cell>
          <cell r="AE848" t="e">
            <v>#N/A</v>
          </cell>
          <cell r="AF848" t="str">
            <v/>
          </cell>
        </row>
        <row r="849">
          <cell r="Y849">
            <v>833</v>
          </cell>
          <cell r="Z849">
            <v>0.91806581430137157</v>
          </cell>
          <cell r="AA849">
            <v>0.23532110550299778</v>
          </cell>
          <cell r="AB849" t="str">
            <v/>
          </cell>
          <cell r="AC849" t="e">
            <v>#N/A</v>
          </cell>
          <cell r="AD849">
            <v>762</v>
          </cell>
          <cell r="AE849" t="e">
            <v>#N/A</v>
          </cell>
          <cell r="AF849" t="str">
            <v/>
          </cell>
        </row>
        <row r="850">
          <cell r="Y850">
            <v>834</v>
          </cell>
          <cell r="Z850">
            <v>7.7869301661849022E-2</v>
          </cell>
          <cell r="AA850">
            <v>-0.23994781832852563</v>
          </cell>
          <cell r="AB850" t="str">
            <v/>
          </cell>
          <cell r="AC850" t="e">
            <v>#N/A</v>
          </cell>
          <cell r="AD850">
            <v>763</v>
          </cell>
          <cell r="AE850" t="e">
            <v>#N/A</v>
          </cell>
          <cell r="AF850" t="str">
            <v/>
          </cell>
        </row>
        <row r="851">
          <cell r="Y851">
            <v>835</v>
          </cell>
          <cell r="Z851">
            <v>2.8919411823153496E-2</v>
          </cell>
          <cell r="AA851">
            <v>-0.32063758399689768</v>
          </cell>
          <cell r="AB851" t="str">
            <v/>
          </cell>
          <cell r="AC851" t="e">
            <v>#N/A</v>
          </cell>
          <cell r="AD851">
            <v>764</v>
          </cell>
          <cell r="AE851" t="e">
            <v>#N/A</v>
          </cell>
          <cell r="AF851" t="str">
            <v/>
          </cell>
        </row>
        <row r="852">
          <cell r="Y852">
            <v>836</v>
          </cell>
          <cell r="Z852">
            <v>0.49418388865888119</v>
          </cell>
          <cell r="AA852">
            <v>-2.4643591948055334E-3</v>
          </cell>
          <cell r="AB852" t="str">
            <v/>
          </cell>
          <cell r="AC852" t="e">
            <v>#N/A</v>
          </cell>
          <cell r="AD852">
            <v>765</v>
          </cell>
          <cell r="AE852" t="e">
            <v>#N/A</v>
          </cell>
          <cell r="AF852" t="str">
            <v/>
          </cell>
        </row>
        <row r="853">
          <cell r="Y853">
            <v>837</v>
          </cell>
          <cell r="Z853">
            <v>0.31097936443984509</v>
          </cell>
          <cell r="AA853">
            <v>-8.3345093952970781E-2</v>
          </cell>
          <cell r="AB853" t="str">
            <v/>
          </cell>
          <cell r="AC853" t="e">
            <v>#N/A</v>
          </cell>
          <cell r="AD853">
            <v>766</v>
          </cell>
          <cell r="AE853" t="e">
            <v>#N/A</v>
          </cell>
          <cell r="AF853" t="str">
            <v/>
          </cell>
        </row>
        <row r="854">
          <cell r="Y854">
            <v>838</v>
          </cell>
          <cell r="Z854">
            <v>0.68713018856942654</v>
          </cell>
          <cell r="AA854">
            <v>8.2441769217811448E-2</v>
          </cell>
          <cell r="AB854" t="str">
            <v/>
          </cell>
          <cell r="AC854" t="e">
            <v>#N/A</v>
          </cell>
          <cell r="AD854">
            <v>767</v>
          </cell>
          <cell r="AE854" t="e">
            <v>#N/A</v>
          </cell>
          <cell r="AF854" t="str">
            <v/>
          </cell>
        </row>
        <row r="855">
          <cell r="Y855">
            <v>839</v>
          </cell>
          <cell r="Z855">
            <v>0.81838671676814556</v>
          </cell>
          <cell r="AA855">
            <v>0.15368861408503676</v>
          </cell>
          <cell r="AB855" t="str">
            <v/>
          </cell>
          <cell r="AC855" t="e">
            <v>#N/A</v>
          </cell>
          <cell r="AD855">
            <v>768</v>
          </cell>
          <cell r="AE855" t="e">
            <v>#N/A</v>
          </cell>
          <cell r="AF855" t="str">
            <v/>
          </cell>
        </row>
        <row r="856">
          <cell r="Y856">
            <v>840</v>
          </cell>
          <cell r="Z856">
            <v>0.80670877359807491</v>
          </cell>
          <cell r="AA856">
            <v>0.14635227200836837</v>
          </cell>
          <cell r="AB856" t="str">
            <v/>
          </cell>
          <cell r="AC856" t="e">
            <v>#N/A</v>
          </cell>
          <cell r="AD856">
            <v>769</v>
          </cell>
          <cell r="AE856" t="e">
            <v>#N/A</v>
          </cell>
          <cell r="AF856" t="str">
            <v/>
          </cell>
        </row>
        <row r="857">
          <cell r="Y857">
            <v>841</v>
          </cell>
          <cell r="Z857">
            <v>0.22319480590522289</v>
          </cell>
          <cell r="AA857">
            <v>-0.12870817931582554</v>
          </cell>
          <cell r="AB857" t="str">
            <v/>
          </cell>
          <cell r="AC857" t="e">
            <v>#N/A</v>
          </cell>
          <cell r="AD857">
            <v>770</v>
          </cell>
          <cell r="AE857" t="e">
            <v>#N/A</v>
          </cell>
          <cell r="AF857" t="str">
            <v/>
          </cell>
        </row>
        <row r="858">
          <cell r="Y858">
            <v>842</v>
          </cell>
          <cell r="Z858">
            <v>0.96058470569550991</v>
          </cell>
          <cell r="AA858">
            <v>0.29707373864598935</v>
          </cell>
          <cell r="AB858" t="str">
            <v/>
          </cell>
          <cell r="AC858" t="e">
            <v>#N/A</v>
          </cell>
          <cell r="AD858">
            <v>771</v>
          </cell>
          <cell r="AE858" t="e">
            <v>#N/A</v>
          </cell>
          <cell r="AF858" t="str">
            <v/>
          </cell>
        </row>
        <row r="859">
          <cell r="Y859">
            <v>843</v>
          </cell>
          <cell r="Z859">
            <v>0.5445562731474638</v>
          </cell>
          <cell r="AA859">
            <v>1.8917801694295761E-2</v>
          </cell>
          <cell r="AB859" t="str">
            <v/>
          </cell>
          <cell r="AC859" t="e">
            <v>#N/A</v>
          </cell>
          <cell r="AD859">
            <v>772</v>
          </cell>
          <cell r="AE859" t="e">
            <v>#N/A</v>
          </cell>
          <cell r="AF859" t="str">
            <v/>
          </cell>
        </row>
        <row r="860">
          <cell r="Y860">
            <v>844</v>
          </cell>
          <cell r="Z860">
            <v>0.81070618890225887</v>
          </cell>
          <cell r="AA860">
            <v>0.14883193988767107</v>
          </cell>
          <cell r="AB860" t="str">
            <v/>
          </cell>
          <cell r="AC860" t="e">
            <v>#N/A</v>
          </cell>
          <cell r="AD860">
            <v>773</v>
          </cell>
          <cell r="AE860" t="e">
            <v>#N/A</v>
          </cell>
          <cell r="AF860" t="str">
            <v/>
          </cell>
        </row>
        <row r="861">
          <cell r="Y861">
            <v>845</v>
          </cell>
          <cell r="Z861">
            <v>0.42820304445922375</v>
          </cell>
          <cell r="AA861">
            <v>-3.0586290399535004E-2</v>
          </cell>
          <cell r="AB861" t="str">
            <v/>
          </cell>
          <cell r="AC861" t="e">
            <v>#N/A</v>
          </cell>
          <cell r="AD861">
            <v>774</v>
          </cell>
          <cell r="AE861" t="e">
            <v>#N/A</v>
          </cell>
          <cell r="AF861" t="str">
            <v/>
          </cell>
        </row>
        <row r="862">
          <cell r="Y862">
            <v>846</v>
          </cell>
          <cell r="Z862">
            <v>1.1231815442442894E-2</v>
          </cell>
          <cell r="AA862">
            <v>-0.38580204506999732</v>
          </cell>
          <cell r="AB862" t="str">
            <v/>
          </cell>
          <cell r="AC862" t="e">
            <v>#N/A</v>
          </cell>
          <cell r="AD862">
            <v>775</v>
          </cell>
          <cell r="AE862" t="e">
            <v>#N/A</v>
          </cell>
          <cell r="AF862" t="str">
            <v/>
          </cell>
        </row>
        <row r="863">
          <cell r="Y863">
            <v>847</v>
          </cell>
          <cell r="Z863">
            <v>0.30043802969157696</v>
          </cell>
          <cell r="AA863">
            <v>-8.8426986910660893E-2</v>
          </cell>
          <cell r="AB863" t="str">
            <v/>
          </cell>
          <cell r="AC863" t="e">
            <v>#N/A</v>
          </cell>
          <cell r="AD863">
            <v>776</v>
          </cell>
          <cell r="AE863" t="e">
            <v>#N/A</v>
          </cell>
          <cell r="AF863" t="str">
            <v/>
          </cell>
        </row>
        <row r="864">
          <cell r="Y864">
            <v>848</v>
          </cell>
          <cell r="Z864">
            <v>0.20261015556752682</v>
          </cell>
          <cell r="AA864">
            <v>-0.14069016420391911</v>
          </cell>
          <cell r="AB864" t="str">
            <v/>
          </cell>
          <cell r="AC864" t="e">
            <v>#N/A</v>
          </cell>
          <cell r="AD864">
            <v>777</v>
          </cell>
          <cell r="AE864" t="e">
            <v>#N/A</v>
          </cell>
          <cell r="AF864" t="str">
            <v/>
          </cell>
        </row>
        <row r="865">
          <cell r="Y865">
            <v>849</v>
          </cell>
          <cell r="Z865">
            <v>0.1896072905510664</v>
          </cell>
          <cell r="AA865">
            <v>-0.14863632838170213</v>
          </cell>
          <cell r="AB865" t="str">
            <v/>
          </cell>
          <cell r="AC865" t="e">
            <v>#N/A</v>
          </cell>
          <cell r="AD865">
            <v>778</v>
          </cell>
          <cell r="AE865" t="e">
            <v>#N/A</v>
          </cell>
          <cell r="AF865" t="str">
            <v/>
          </cell>
        </row>
        <row r="866">
          <cell r="Y866">
            <v>850</v>
          </cell>
          <cell r="Z866">
            <v>0.37040544115006924</v>
          </cell>
          <cell r="AA866">
            <v>-5.5911977140401262E-2</v>
          </cell>
          <cell r="AB866" t="str">
            <v/>
          </cell>
          <cell r="AC866" t="e">
            <v>#N/A</v>
          </cell>
          <cell r="AD866">
            <v>779</v>
          </cell>
          <cell r="AE866" t="e">
            <v>#N/A</v>
          </cell>
          <cell r="AF866" t="str">
            <v/>
          </cell>
        </row>
        <row r="867">
          <cell r="Y867">
            <v>851</v>
          </cell>
          <cell r="Z867">
            <v>0.22677142731845379</v>
          </cell>
          <cell r="AA867">
            <v>-0.1266922822940893</v>
          </cell>
          <cell r="AB867" t="str">
            <v/>
          </cell>
          <cell r="AC867" t="e">
            <v>#N/A</v>
          </cell>
          <cell r="AD867">
            <v>780</v>
          </cell>
          <cell r="AE867" t="e">
            <v>#N/A</v>
          </cell>
          <cell r="AF867" t="str">
            <v/>
          </cell>
        </row>
        <row r="868">
          <cell r="Y868">
            <v>852</v>
          </cell>
          <cell r="Z868">
            <v>0.2212130930274725</v>
          </cell>
          <cell r="AA868">
            <v>-0.12983304927155992</v>
          </cell>
          <cell r="AB868" t="str">
            <v/>
          </cell>
          <cell r="AC868" t="e">
            <v>#N/A</v>
          </cell>
          <cell r="AD868">
            <v>781</v>
          </cell>
          <cell r="AE868" t="e">
            <v>#N/A</v>
          </cell>
          <cell r="AF868" t="str">
            <v/>
          </cell>
        </row>
        <row r="869">
          <cell r="Y869">
            <v>853</v>
          </cell>
          <cell r="Z869">
            <v>0.8060449343174696</v>
          </cell>
          <cell r="AA869">
            <v>0.14594352729564991</v>
          </cell>
          <cell r="AB869" t="str">
            <v/>
          </cell>
          <cell r="AC869" t="e">
            <v>#N/A</v>
          </cell>
          <cell r="AD869">
            <v>782</v>
          </cell>
          <cell r="AE869" t="e">
            <v>#N/A</v>
          </cell>
          <cell r="AF869" t="str">
            <v/>
          </cell>
        </row>
        <row r="870">
          <cell r="Y870">
            <v>854</v>
          </cell>
          <cell r="Z870">
            <v>0.82175884209573269</v>
          </cell>
          <cell r="AA870">
            <v>0.15586143594241941</v>
          </cell>
          <cell r="AB870" t="str">
            <v/>
          </cell>
          <cell r="AC870" t="e">
            <v>#N/A</v>
          </cell>
          <cell r="AD870">
            <v>783</v>
          </cell>
          <cell r="AE870" t="e">
            <v>#N/A</v>
          </cell>
          <cell r="AF870" t="str">
            <v/>
          </cell>
        </row>
        <row r="871">
          <cell r="Y871">
            <v>855</v>
          </cell>
          <cell r="Z871">
            <v>0.10382227413356304</v>
          </cell>
          <cell r="AA871">
            <v>-0.21299049962994782</v>
          </cell>
          <cell r="AB871" t="str">
            <v/>
          </cell>
          <cell r="AC871" t="e">
            <v>#N/A</v>
          </cell>
          <cell r="AD871">
            <v>784</v>
          </cell>
          <cell r="AE871" t="e">
            <v>#N/A</v>
          </cell>
          <cell r="AF871" t="str">
            <v/>
          </cell>
        </row>
        <row r="872">
          <cell r="Y872">
            <v>856</v>
          </cell>
          <cell r="Z872">
            <v>9.1025194153189659E-2</v>
          </cell>
          <cell r="AA872">
            <v>-0.22556633338620105</v>
          </cell>
          <cell r="AB872" t="str">
            <v/>
          </cell>
          <cell r="AC872" t="e">
            <v>#N/A</v>
          </cell>
          <cell r="AD872">
            <v>785</v>
          </cell>
          <cell r="AE872" t="e">
            <v>#N/A</v>
          </cell>
          <cell r="AF872" t="str">
            <v/>
          </cell>
        </row>
        <row r="873">
          <cell r="Y873">
            <v>857</v>
          </cell>
          <cell r="Z873">
            <v>0.12485942058265209</v>
          </cell>
          <cell r="AA873">
            <v>-0.19456001286822799</v>
          </cell>
          <cell r="AB873" t="str">
            <v/>
          </cell>
          <cell r="AC873" t="e">
            <v>#N/A</v>
          </cell>
          <cell r="AD873">
            <v>786</v>
          </cell>
          <cell r="AE873" t="e">
            <v>#N/A</v>
          </cell>
          <cell r="AF873" t="str">
            <v/>
          </cell>
        </row>
        <row r="874">
          <cell r="Y874">
            <v>858</v>
          </cell>
          <cell r="Z874">
            <v>0.828998988494277</v>
          </cell>
          <cell r="AA874">
            <v>0.16061598121899312</v>
          </cell>
          <cell r="AB874" t="str">
            <v/>
          </cell>
          <cell r="AC874" t="e">
            <v>#N/A</v>
          </cell>
          <cell r="AD874">
            <v>787</v>
          </cell>
          <cell r="AE874" t="e">
            <v>#N/A</v>
          </cell>
          <cell r="AF874" t="str">
            <v/>
          </cell>
        </row>
        <row r="875">
          <cell r="Y875">
            <v>859</v>
          </cell>
          <cell r="Z875">
            <v>0.66192962042987347</v>
          </cell>
          <cell r="AA875">
            <v>7.0610130334868612E-2</v>
          </cell>
          <cell r="AB875" t="str">
            <v/>
          </cell>
          <cell r="AC875" t="e">
            <v>#N/A</v>
          </cell>
          <cell r="AD875">
            <v>788</v>
          </cell>
          <cell r="AE875" t="e">
            <v>#N/A</v>
          </cell>
          <cell r="AF875" t="str">
            <v/>
          </cell>
        </row>
        <row r="876">
          <cell r="Y876">
            <v>860</v>
          </cell>
          <cell r="Z876">
            <v>0.80938380025327206</v>
          </cell>
          <cell r="AA876">
            <v>0.14800811456501178</v>
          </cell>
          <cell r="AB876" t="str">
            <v/>
          </cell>
          <cell r="AC876" t="e">
            <v>#N/A</v>
          </cell>
          <cell r="AD876">
            <v>789</v>
          </cell>
          <cell r="AE876" t="e">
            <v>#N/A</v>
          </cell>
          <cell r="AF876" t="str">
            <v/>
          </cell>
        </row>
        <row r="877">
          <cell r="Y877">
            <v>861</v>
          </cell>
          <cell r="Z877">
            <v>0.52452212385833263</v>
          </cell>
          <cell r="AA877">
            <v>1.0396514218101253E-2</v>
          </cell>
          <cell r="AB877" t="str">
            <v/>
          </cell>
          <cell r="AC877" t="e">
            <v>#N/A</v>
          </cell>
          <cell r="AD877">
            <v>790</v>
          </cell>
          <cell r="AE877" t="e">
            <v>#N/A</v>
          </cell>
          <cell r="AF877" t="str">
            <v/>
          </cell>
        </row>
        <row r="878">
          <cell r="Y878">
            <v>862</v>
          </cell>
          <cell r="Z878">
            <v>5.7370936498045921E-2</v>
          </cell>
          <cell r="AA878">
            <v>-0.26660107244063264</v>
          </cell>
          <cell r="AB878" t="str">
            <v/>
          </cell>
          <cell r="AC878" t="e">
            <v>#N/A</v>
          </cell>
          <cell r="AD878">
            <v>791</v>
          </cell>
          <cell r="AE878" t="e">
            <v>#N/A</v>
          </cell>
          <cell r="AF878" t="str">
            <v/>
          </cell>
        </row>
        <row r="879">
          <cell r="Y879">
            <v>863</v>
          </cell>
          <cell r="Z879">
            <v>0.11080263368785381</v>
          </cell>
          <cell r="AA879">
            <v>-0.20660146015781186</v>
          </cell>
          <cell r="AB879" t="str">
            <v/>
          </cell>
          <cell r="AC879" t="e">
            <v>#N/A</v>
          </cell>
          <cell r="AD879">
            <v>792</v>
          </cell>
          <cell r="AE879" t="e">
            <v>#N/A</v>
          </cell>
          <cell r="AF879" t="str">
            <v/>
          </cell>
        </row>
        <row r="880">
          <cell r="Y880">
            <v>864</v>
          </cell>
          <cell r="Z880">
            <v>0.77731277607381344</v>
          </cell>
          <cell r="AA880">
            <v>0.12899575103644978</v>
          </cell>
          <cell r="AB880" t="str">
            <v/>
          </cell>
          <cell r="AC880" t="e">
            <v>#N/A</v>
          </cell>
          <cell r="AD880">
            <v>793</v>
          </cell>
          <cell r="AE880" t="e">
            <v>#N/A</v>
          </cell>
          <cell r="AF880" t="str">
            <v/>
          </cell>
        </row>
        <row r="881">
          <cell r="Y881">
            <v>865</v>
          </cell>
          <cell r="Z881">
            <v>0.86580422334372997</v>
          </cell>
          <cell r="AA881">
            <v>0.18707898961402711</v>
          </cell>
          <cell r="AB881" t="str">
            <v/>
          </cell>
          <cell r="AC881" t="e">
            <v>#N/A</v>
          </cell>
          <cell r="AD881">
            <v>794</v>
          </cell>
          <cell r="AE881" t="e">
            <v>#N/A</v>
          </cell>
          <cell r="AF881" t="str">
            <v/>
          </cell>
        </row>
        <row r="882">
          <cell r="Y882">
            <v>866</v>
          </cell>
          <cell r="Z882">
            <v>0.4888922031968832</v>
          </cell>
          <cell r="AA882">
            <v>-4.7069541056930881E-3</v>
          </cell>
          <cell r="AB882" t="str">
            <v/>
          </cell>
          <cell r="AC882" t="e">
            <v>#N/A</v>
          </cell>
          <cell r="AD882">
            <v>795</v>
          </cell>
          <cell r="AE882" t="e">
            <v>#N/A</v>
          </cell>
          <cell r="AF882" t="str">
            <v/>
          </cell>
        </row>
        <row r="883">
          <cell r="Y883">
            <v>867</v>
          </cell>
          <cell r="Z883">
            <v>0.38756747357547283</v>
          </cell>
          <cell r="AA883">
            <v>-4.8286146588704913E-2</v>
          </cell>
          <cell r="AB883" t="str">
            <v/>
          </cell>
          <cell r="AC883" t="e">
            <v>#N/A</v>
          </cell>
          <cell r="AD883">
            <v>796</v>
          </cell>
          <cell r="AE883" t="e">
            <v>#N/A</v>
          </cell>
          <cell r="AF883" t="str">
            <v/>
          </cell>
        </row>
        <row r="884">
          <cell r="Y884">
            <v>868</v>
          </cell>
          <cell r="Z884">
            <v>0.77413188479840755</v>
          </cell>
          <cell r="AA884">
            <v>0.12719970799785851</v>
          </cell>
          <cell r="AB884" t="str">
            <v/>
          </cell>
          <cell r="AC884" t="e">
            <v>#N/A</v>
          </cell>
          <cell r="AD884">
            <v>797</v>
          </cell>
          <cell r="AE884" t="e">
            <v>#N/A</v>
          </cell>
          <cell r="AF884" t="str">
            <v/>
          </cell>
        </row>
        <row r="885">
          <cell r="Y885">
            <v>869</v>
          </cell>
          <cell r="Z885">
            <v>0.91169857792556286</v>
          </cell>
          <cell r="AA885">
            <v>0.22840954546548919</v>
          </cell>
          <cell r="AB885" t="str">
            <v/>
          </cell>
          <cell r="AC885" t="e">
            <v>#N/A</v>
          </cell>
          <cell r="AD885">
            <v>798</v>
          </cell>
          <cell r="AE885" t="e">
            <v>#N/A</v>
          </cell>
          <cell r="AF885" t="str">
            <v/>
          </cell>
        </row>
        <row r="886">
          <cell r="Y886">
            <v>870</v>
          </cell>
          <cell r="Z886">
            <v>0.63133714161813259</v>
          </cell>
          <cell r="AA886">
            <v>5.6692421025860751E-2</v>
          </cell>
          <cell r="AB886" t="str">
            <v/>
          </cell>
          <cell r="AC886" t="e">
            <v>#N/A</v>
          </cell>
          <cell r="AD886">
            <v>799</v>
          </cell>
          <cell r="AE886" t="e">
            <v>#N/A</v>
          </cell>
          <cell r="AF886" t="str">
            <v/>
          </cell>
        </row>
        <row r="887">
          <cell r="Y887">
            <v>871</v>
          </cell>
          <cell r="Z887">
            <v>0.62356416694819927</v>
          </cell>
          <cell r="AA887">
            <v>5.3220227221272683E-2</v>
          </cell>
          <cell r="AB887" t="str">
            <v/>
          </cell>
          <cell r="AC887" t="e">
            <v>#N/A</v>
          </cell>
          <cell r="AD887">
            <v>800</v>
          </cell>
          <cell r="AE887" t="e">
            <v>#N/A</v>
          </cell>
          <cell r="AF887" t="str">
            <v/>
          </cell>
        </row>
        <row r="888">
          <cell r="Y888">
            <v>872</v>
          </cell>
          <cell r="Z888">
            <v>0.77581616304814816</v>
          </cell>
          <cell r="AA888">
            <v>0.12814890867411449</v>
          </cell>
          <cell r="AB888" t="str">
            <v/>
          </cell>
          <cell r="AC888" t="e">
            <v>#N/A</v>
          </cell>
          <cell r="AD888">
            <v>801</v>
          </cell>
          <cell r="AE888" t="e">
            <v>#N/A</v>
          </cell>
          <cell r="AF888" t="str">
            <v/>
          </cell>
        </row>
        <row r="889">
          <cell r="Y889">
            <v>873</v>
          </cell>
          <cell r="Z889">
            <v>0.71609160117805004</v>
          </cell>
          <cell r="AA889">
            <v>9.6562213474310418E-2</v>
          </cell>
          <cell r="AB889" t="str">
            <v/>
          </cell>
          <cell r="AC889" t="e">
            <v>#N/A</v>
          </cell>
          <cell r="AD889">
            <v>802</v>
          </cell>
          <cell r="AE889" t="e">
            <v>#N/A</v>
          </cell>
          <cell r="AF889" t="str">
            <v/>
          </cell>
        </row>
        <row r="890">
          <cell r="Y890">
            <v>874</v>
          </cell>
          <cell r="Z890">
            <v>0.32097131572663784</v>
          </cell>
          <cell r="AA890">
            <v>-7.8596708028277104E-2</v>
          </cell>
          <cell r="AB890" t="str">
            <v/>
          </cell>
          <cell r="AC890" t="e">
            <v>#N/A</v>
          </cell>
          <cell r="AD890">
            <v>803</v>
          </cell>
          <cell r="AE890" t="e">
            <v>#N/A</v>
          </cell>
          <cell r="AF890" t="str">
            <v/>
          </cell>
        </row>
        <row r="891">
          <cell r="Y891">
            <v>875</v>
          </cell>
          <cell r="Z891">
            <v>0.32989348284900188</v>
          </cell>
          <cell r="AA891">
            <v>-7.4408616226816743E-2</v>
          </cell>
          <cell r="AB891" t="str">
            <v/>
          </cell>
          <cell r="AC891" t="e">
            <v>#N/A</v>
          </cell>
          <cell r="AD891">
            <v>804</v>
          </cell>
          <cell r="AE891" t="e">
            <v>#N/A</v>
          </cell>
          <cell r="AF891" t="str">
            <v/>
          </cell>
        </row>
        <row r="892">
          <cell r="Y892">
            <v>876</v>
          </cell>
          <cell r="Z892">
            <v>0.11710529588162899</v>
          </cell>
          <cell r="AA892">
            <v>-0.20107611459085686</v>
          </cell>
          <cell r="AB892" t="str">
            <v/>
          </cell>
          <cell r="AC892" t="e">
            <v>#N/A</v>
          </cell>
          <cell r="AD892">
            <v>805</v>
          </cell>
          <cell r="AE892" t="e">
            <v>#N/A</v>
          </cell>
          <cell r="AF892" t="str">
            <v/>
          </cell>
        </row>
        <row r="893">
          <cell r="Y893">
            <v>877</v>
          </cell>
          <cell r="Z893">
            <v>0.48118513636291027</v>
          </cell>
          <cell r="AA893">
            <v>-7.9747683877821971E-3</v>
          </cell>
          <cell r="AB893" t="str">
            <v/>
          </cell>
          <cell r="AC893" t="e">
            <v>#N/A</v>
          </cell>
          <cell r="AD893">
            <v>806</v>
          </cell>
          <cell r="AE893" t="e">
            <v>#N/A</v>
          </cell>
          <cell r="AF893" t="str">
            <v/>
          </cell>
        </row>
        <row r="894">
          <cell r="Y894">
            <v>878</v>
          </cell>
          <cell r="Z894">
            <v>0.6190358754247427</v>
          </cell>
          <cell r="AA894">
            <v>5.120783353358057E-2</v>
          </cell>
          <cell r="AB894" t="str">
            <v/>
          </cell>
          <cell r="AC894" t="e">
            <v>#N/A</v>
          </cell>
          <cell r="AD894">
            <v>807</v>
          </cell>
          <cell r="AE894" t="e">
            <v>#N/A</v>
          </cell>
          <cell r="AF894" t="str">
            <v/>
          </cell>
        </row>
        <row r="895">
          <cell r="Y895">
            <v>879</v>
          </cell>
          <cell r="Z895">
            <v>0.80171380750834942</v>
          </cell>
          <cell r="AA895">
            <v>0.14329736929682324</v>
          </cell>
          <cell r="AB895" t="str">
            <v/>
          </cell>
          <cell r="AC895" t="e">
            <v>#N/A</v>
          </cell>
          <cell r="AD895">
            <v>808</v>
          </cell>
          <cell r="AE895" t="e">
            <v>#N/A</v>
          </cell>
          <cell r="AF895" t="str">
            <v/>
          </cell>
        </row>
        <row r="896">
          <cell r="Y896">
            <v>880</v>
          </cell>
          <cell r="Z896">
            <v>0.49736299179494381</v>
          </cell>
          <cell r="AA896">
            <v>-1.1173019473067829E-3</v>
          </cell>
          <cell r="AB896" t="str">
            <v/>
          </cell>
          <cell r="AC896" t="e">
            <v>#N/A</v>
          </cell>
          <cell r="AD896">
            <v>809</v>
          </cell>
          <cell r="AE896" t="e">
            <v>#N/A</v>
          </cell>
          <cell r="AF896" t="str">
            <v/>
          </cell>
        </row>
        <row r="897">
          <cell r="Y897">
            <v>881</v>
          </cell>
          <cell r="Z897">
            <v>0.3836683314293623</v>
          </cell>
          <cell r="AA897">
            <v>-5.0009542083366984E-2</v>
          </cell>
          <cell r="AB897" t="str">
            <v/>
          </cell>
          <cell r="AC897" t="e">
            <v>#N/A</v>
          </cell>
          <cell r="AD897">
            <v>810</v>
          </cell>
          <cell r="AE897" t="e">
            <v>#N/A</v>
          </cell>
          <cell r="AF897" t="str">
            <v/>
          </cell>
        </row>
        <row r="898">
          <cell r="Y898">
            <v>882</v>
          </cell>
          <cell r="Z898">
            <v>0.30198193155229092</v>
          </cell>
          <cell r="AA898">
            <v>-8.7677780403926431E-2</v>
          </cell>
          <cell r="AB898" t="str">
            <v/>
          </cell>
          <cell r="AC898" t="e">
            <v>#N/A</v>
          </cell>
          <cell r="AD898">
            <v>811</v>
          </cell>
          <cell r="AE898" t="e">
            <v>#N/A</v>
          </cell>
          <cell r="AF898" t="str">
            <v/>
          </cell>
        </row>
        <row r="899">
          <cell r="Y899">
            <v>883</v>
          </cell>
          <cell r="Z899">
            <v>0.24128801934421062</v>
          </cell>
          <cell r="AA899">
            <v>-0.11868761015011088</v>
          </cell>
          <cell r="AB899" t="str">
            <v/>
          </cell>
          <cell r="AC899" t="e">
            <v>#N/A</v>
          </cell>
          <cell r="AD899">
            <v>812</v>
          </cell>
          <cell r="AE899" t="e">
            <v>#N/A</v>
          </cell>
          <cell r="AF899" t="str">
            <v/>
          </cell>
        </row>
        <row r="900">
          <cell r="Y900">
            <v>884</v>
          </cell>
          <cell r="Z900">
            <v>0.33018635772168636</v>
          </cell>
          <cell r="AA900">
            <v>-7.4271925170783473E-2</v>
          </cell>
          <cell r="AB900" t="str">
            <v/>
          </cell>
          <cell r="AC900" t="e">
            <v>#N/A</v>
          </cell>
          <cell r="AD900">
            <v>813</v>
          </cell>
          <cell r="AE900" t="e">
            <v>#N/A</v>
          </cell>
          <cell r="AF900" t="str">
            <v/>
          </cell>
        </row>
        <row r="901">
          <cell r="Y901">
            <v>885</v>
          </cell>
          <cell r="Z901">
            <v>0.86963951401412487</v>
          </cell>
          <cell r="AA901">
            <v>0.1901070879307169</v>
          </cell>
          <cell r="AB901" t="str">
            <v/>
          </cell>
          <cell r="AC901" t="e">
            <v>#N/A</v>
          </cell>
          <cell r="AD901">
            <v>814</v>
          </cell>
          <cell r="AE901" t="e">
            <v>#N/A</v>
          </cell>
          <cell r="AF901" t="str">
            <v/>
          </cell>
        </row>
        <row r="902">
          <cell r="Y902">
            <v>886</v>
          </cell>
          <cell r="Z902">
            <v>0.44545493088662624</v>
          </cell>
          <cell r="AA902">
            <v>-2.3183087986462129E-2</v>
          </cell>
          <cell r="AB902" t="str">
            <v/>
          </cell>
          <cell r="AC902" t="e">
            <v>#N/A</v>
          </cell>
          <cell r="AD902">
            <v>815</v>
          </cell>
          <cell r="AE902" t="e">
            <v>#N/A</v>
          </cell>
          <cell r="AF902" t="str">
            <v/>
          </cell>
        </row>
        <row r="903">
          <cell r="Y903">
            <v>887</v>
          </cell>
          <cell r="Z903">
            <v>9.9780363962054253E-2</v>
          </cell>
          <cell r="AA903">
            <v>-0.21683346352382368</v>
          </cell>
          <cell r="AB903" t="str">
            <v/>
          </cell>
          <cell r="AC903" t="e">
            <v>#N/A</v>
          </cell>
          <cell r="AD903">
            <v>816</v>
          </cell>
          <cell r="AE903" t="e">
            <v>#N/A</v>
          </cell>
          <cell r="AF903" t="str">
            <v/>
          </cell>
        </row>
        <row r="904">
          <cell r="Y904">
            <v>888</v>
          </cell>
          <cell r="Z904">
            <v>0.9367652740329504</v>
          </cell>
          <cell r="AA904">
            <v>0.25830847698239212</v>
          </cell>
          <cell r="AB904" t="str">
            <v/>
          </cell>
          <cell r="AC904" t="e">
            <v>#N/A</v>
          </cell>
          <cell r="AD904">
            <v>817</v>
          </cell>
          <cell r="AE904" t="e">
            <v>#N/A</v>
          </cell>
          <cell r="AF904" t="str">
            <v/>
          </cell>
        </row>
        <row r="905">
          <cell r="Y905">
            <v>889</v>
          </cell>
          <cell r="Z905">
            <v>0.91827806644141674</v>
          </cell>
          <cell r="AA905">
            <v>0.23555835136202077</v>
          </cell>
          <cell r="AB905" t="str">
            <v/>
          </cell>
          <cell r="AC905" t="e">
            <v>#N/A</v>
          </cell>
          <cell r="AD905">
            <v>818</v>
          </cell>
          <cell r="AE905" t="e">
            <v>#N/A</v>
          </cell>
          <cell r="AF905" t="str">
            <v/>
          </cell>
        </row>
        <row r="906">
          <cell r="Y906">
            <v>890</v>
          </cell>
          <cell r="Z906">
            <v>0.60202903114259243</v>
          </cell>
          <cell r="AA906">
            <v>4.3711804227258746E-2</v>
          </cell>
          <cell r="AB906" t="str">
            <v/>
          </cell>
          <cell r="AC906" t="e">
            <v>#N/A</v>
          </cell>
          <cell r="AD906">
            <v>819</v>
          </cell>
          <cell r="AE906" t="e">
            <v>#N/A</v>
          </cell>
          <cell r="AF906" t="str">
            <v/>
          </cell>
        </row>
        <row r="907">
          <cell r="Y907">
            <v>891</v>
          </cell>
          <cell r="Z907">
            <v>0.13780332915484905</v>
          </cell>
          <cell r="AA907">
            <v>-0.18428449401655383</v>
          </cell>
          <cell r="AB907" t="str">
            <v/>
          </cell>
          <cell r="AC907" t="e">
            <v>#N/A</v>
          </cell>
          <cell r="AD907">
            <v>820</v>
          </cell>
          <cell r="AE907" t="e">
            <v>#N/A</v>
          </cell>
          <cell r="AF907" t="str">
            <v/>
          </cell>
        </row>
        <row r="908">
          <cell r="Y908">
            <v>892</v>
          </cell>
          <cell r="Z908">
            <v>8.2991769537329674E-2</v>
          </cell>
          <cell r="AA908">
            <v>-0.23414583764260358</v>
          </cell>
          <cell r="AB908" t="str">
            <v/>
          </cell>
          <cell r="AC908" t="e">
            <v>#N/A</v>
          </cell>
          <cell r="AD908">
            <v>821</v>
          </cell>
          <cell r="AE908" t="e">
            <v>#N/A</v>
          </cell>
          <cell r="AF908" t="str">
            <v/>
          </cell>
        </row>
        <row r="909">
          <cell r="Y909">
            <v>893</v>
          </cell>
          <cell r="Z909">
            <v>0.77426630072295666</v>
          </cell>
          <cell r="AA909">
            <v>0.12727531263611674</v>
          </cell>
          <cell r="AB909" t="str">
            <v/>
          </cell>
          <cell r="AC909" t="e">
            <v>#N/A</v>
          </cell>
          <cell r="AD909">
            <v>822</v>
          </cell>
          <cell r="AE909" t="e">
            <v>#N/A</v>
          </cell>
          <cell r="AF909" t="str">
            <v/>
          </cell>
        </row>
        <row r="910">
          <cell r="Y910">
            <v>894</v>
          </cell>
          <cell r="Z910">
            <v>7.2691475972533226E-2</v>
          </cell>
          <cell r="AA910">
            <v>-0.24611483046502008</v>
          </cell>
          <cell r="AB910" t="str">
            <v/>
          </cell>
          <cell r="AC910" t="e">
            <v>#N/A</v>
          </cell>
          <cell r="AD910">
            <v>823</v>
          </cell>
          <cell r="AE910" t="e">
            <v>#N/A</v>
          </cell>
          <cell r="AF910" t="str">
            <v/>
          </cell>
        </row>
        <row r="911">
          <cell r="Y911">
            <v>895</v>
          </cell>
          <cell r="Z911">
            <v>0.70471451990306377</v>
          </cell>
          <cell r="AA911">
            <v>9.0940088480311085E-2</v>
          </cell>
          <cell r="AB911" t="str">
            <v/>
          </cell>
          <cell r="AC911" t="e">
            <v>#N/A</v>
          </cell>
          <cell r="AD911">
            <v>824</v>
          </cell>
          <cell r="AE911" t="e">
            <v>#N/A</v>
          </cell>
          <cell r="AF911" t="str">
            <v/>
          </cell>
        </row>
        <row r="912">
          <cell r="Y912">
            <v>896</v>
          </cell>
          <cell r="Z912">
            <v>0.36031939648091793</v>
          </cell>
          <cell r="AA912">
            <v>-6.0446309752620025E-2</v>
          </cell>
          <cell r="AB912" t="str">
            <v/>
          </cell>
          <cell r="AC912" t="e">
            <v>#N/A</v>
          </cell>
          <cell r="AD912">
            <v>825</v>
          </cell>
          <cell r="AE912" t="e">
            <v>#N/A</v>
          </cell>
          <cell r="AF912" t="str">
            <v/>
          </cell>
        </row>
        <row r="913">
          <cell r="Y913">
            <v>897</v>
          </cell>
          <cell r="Z913">
            <v>0.64896133355796337</v>
          </cell>
          <cell r="AA913">
            <v>6.4657308225803026E-2</v>
          </cell>
          <cell r="AB913" t="str">
            <v/>
          </cell>
          <cell r="AC913" t="e">
            <v>#N/A</v>
          </cell>
          <cell r="AD913">
            <v>826</v>
          </cell>
          <cell r="AE913" t="e">
            <v>#N/A</v>
          </cell>
          <cell r="AF913" t="str">
            <v/>
          </cell>
        </row>
        <row r="914">
          <cell r="Y914">
            <v>898</v>
          </cell>
          <cell r="Z914">
            <v>0.77207696996629238</v>
          </cell>
          <cell r="AA914">
            <v>0.12604703266251993</v>
          </cell>
          <cell r="AB914" t="str">
            <v/>
          </cell>
          <cell r="AC914" t="e">
            <v>#N/A</v>
          </cell>
          <cell r="AD914">
            <v>827</v>
          </cell>
          <cell r="AE914" t="e">
            <v>#N/A</v>
          </cell>
          <cell r="AF914" t="str">
            <v/>
          </cell>
        </row>
        <row r="915">
          <cell r="Y915">
            <v>899</v>
          </cell>
          <cell r="Z915">
            <v>0.73666353337466717</v>
          </cell>
          <cell r="AA915">
            <v>0.10701224332859961</v>
          </cell>
          <cell r="AB915" t="str">
            <v/>
          </cell>
          <cell r="AC915" t="e">
            <v>#N/A</v>
          </cell>
          <cell r="AD915">
            <v>828</v>
          </cell>
          <cell r="AE915" t="e">
            <v>#N/A</v>
          </cell>
          <cell r="AF915" t="str">
            <v/>
          </cell>
        </row>
        <row r="916">
          <cell r="Y916">
            <v>900</v>
          </cell>
          <cell r="Z916">
            <v>0.91037260554730892</v>
          </cell>
          <cell r="AA916">
            <v>0.22701740394344355</v>
          </cell>
          <cell r="AB916" t="str">
            <v/>
          </cell>
          <cell r="AC916" t="e">
            <v>#N/A</v>
          </cell>
          <cell r="AD916">
            <v>829</v>
          </cell>
          <cell r="AE916" t="e">
            <v>#N/A</v>
          </cell>
          <cell r="AF916" t="str">
            <v/>
          </cell>
        </row>
        <row r="917">
          <cell r="Y917">
            <v>901</v>
          </cell>
          <cell r="Z917">
            <v>0.89031696133315563</v>
          </cell>
          <cell r="AA917">
            <v>0.20760631303828661</v>
          </cell>
          <cell r="AB917" t="str">
            <v/>
          </cell>
          <cell r="AC917" t="e">
            <v>#N/A</v>
          </cell>
          <cell r="AD917">
            <v>830</v>
          </cell>
          <cell r="AE917" t="e">
            <v>#N/A</v>
          </cell>
          <cell r="AF917" t="str">
            <v/>
          </cell>
        </row>
        <row r="918">
          <cell r="Y918">
            <v>902</v>
          </cell>
          <cell r="Z918">
            <v>0.18745205365121365</v>
          </cell>
          <cell r="AA918">
            <v>-0.14998525029418591</v>
          </cell>
          <cell r="AB918" t="str">
            <v/>
          </cell>
          <cell r="AC918" t="e">
            <v>#N/A</v>
          </cell>
          <cell r="AD918">
            <v>831</v>
          </cell>
          <cell r="AE918" t="e">
            <v>#N/A</v>
          </cell>
          <cell r="AF918" t="str">
            <v/>
          </cell>
        </row>
        <row r="919">
          <cell r="Y919">
            <v>903</v>
          </cell>
          <cell r="Z919">
            <v>0.97338883392512798</v>
          </cell>
          <cell r="AA919">
            <v>0.32675566237771719</v>
          </cell>
          <cell r="AB919" t="str">
            <v/>
          </cell>
          <cell r="AC919" t="e">
            <v>#N/A</v>
          </cell>
          <cell r="AD919">
            <v>832</v>
          </cell>
          <cell r="AE919" t="e">
            <v>#N/A</v>
          </cell>
          <cell r="AF919" t="str">
            <v/>
          </cell>
        </row>
        <row r="920">
          <cell r="Y920">
            <v>904</v>
          </cell>
          <cell r="Z920">
            <v>0.9933061208575964</v>
          </cell>
          <cell r="AA920">
            <v>0.41806135475175155</v>
          </cell>
          <cell r="AB920" t="str">
            <v/>
          </cell>
          <cell r="AC920" t="e">
            <v>#N/A</v>
          </cell>
          <cell r="AD920">
            <v>833</v>
          </cell>
          <cell r="AE920" t="e">
            <v>#N/A</v>
          </cell>
          <cell r="AF920" t="str">
            <v/>
          </cell>
        </row>
        <row r="921">
          <cell r="Y921">
            <v>905</v>
          </cell>
          <cell r="Z921">
            <v>0.12155553512275219</v>
          </cell>
          <cell r="AA921">
            <v>-0.19730057160132003</v>
          </cell>
          <cell r="AB921" t="str">
            <v/>
          </cell>
          <cell r="AC921" t="e">
            <v>#N/A</v>
          </cell>
          <cell r="AD921">
            <v>834</v>
          </cell>
          <cell r="AE921" t="e">
            <v>#N/A</v>
          </cell>
          <cell r="AF921" t="str">
            <v/>
          </cell>
        </row>
        <row r="922">
          <cell r="Y922">
            <v>906</v>
          </cell>
          <cell r="Z922">
            <v>0.93144947849214077</v>
          </cell>
          <cell r="AA922">
            <v>0.25129370083501895</v>
          </cell>
          <cell r="AB922" t="str">
            <v/>
          </cell>
          <cell r="AC922" t="e">
            <v>#N/A</v>
          </cell>
          <cell r="AD922">
            <v>835</v>
          </cell>
          <cell r="AE922" t="e">
            <v>#N/A</v>
          </cell>
          <cell r="AF922" t="str">
            <v/>
          </cell>
        </row>
        <row r="923">
          <cell r="Y923">
            <v>907</v>
          </cell>
          <cell r="Z923">
            <v>0.89376462809741497</v>
          </cell>
          <cell r="AA923">
            <v>0.21074770952698121</v>
          </cell>
          <cell r="AB923" t="str">
            <v/>
          </cell>
          <cell r="AC923" t="e">
            <v>#N/A</v>
          </cell>
          <cell r="AD923">
            <v>836</v>
          </cell>
          <cell r="AE923" t="e">
            <v>#N/A</v>
          </cell>
          <cell r="AF923" t="str">
            <v/>
          </cell>
        </row>
        <row r="924">
          <cell r="Y924">
            <v>908</v>
          </cell>
          <cell r="Z924">
            <v>0.89991431497037411</v>
          </cell>
          <cell r="AA924">
            <v>0.21653925010267938</v>
          </cell>
          <cell r="AB924" t="str">
            <v/>
          </cell>
          <cell r="AC924" t="e">
            <v>#N/A</v>
          </cell>
          <cell r="AD924">
            <v>837</v>
          </cell>
          <cell r="AE924" t="e">
            <v>#N/A</v>
          </cell>
          <cell r="AF924" t="str">
            <v/>
          </cell>
        </row>
        <row r="925">
          <cell r="Y925">
            <v>909</v>
          </cell>
          <cell r="Z925">
            <v>0.84858983568847179</v>
          </cell>
          <cell r="AA925">
            <v>0.17417008932187558</v>
          </cell>
          <cell r="AB925" t="str">
            <v/>
          </cell>
          <cell r="AC925" t="e">
            <v>#N/A</v>
          </cell>
          <cell r="AD925">
            <v>838</v>
          </cell>
          <cell r="AE925" t="e">
            <v>#N/A</v>
          </cell>
          <cell r="AF925" t="str">
            <v/>
          </cell>
        </row>
        <row r="926">
          <cell r="Y926">
            <v>910</v>
          </cell>
          <cell r="Z926">
            <v>0.3885525818914175</v>
          </cell>
          <cell r="AA926">
            <v>-4.7851535278494499E-2</v>
          </cell>
          <cell r="AB926" t="str">
            <v/>
          </cell>
          <cell r="AC926" t="e">
            <v>#N/A</v>
          </cell>
          <cell r="AD926">
            <v>839</v>
          </cell>
          <cell r="AE926" t="e">
            <v>#N/A</v>
          </cell>
          <cell r="AF926" t="str">
            <v/>
          </cell>
        </row>
        <row r="927">
          <cell r="Y927">
            <v>911</v>
          </cell>
          <cell r="Z927">
            <v>0.87009773962199688</v>
          </cell>
          <cell r="AA927">
            <v>0.19047296824344467</v>
          </cell>
          <cell r="AB927" t="str">
            <v/>
          </cell>
          <cell r="AC927" t="e">
            <v>#N/A</v>
          </cell>
          <cell r="AD927">
            <v>840</v>
          </cell>
          <cell r="AE927" t="e">
            <v>#N/A</v>
          </cell>
          <cell r="AF927" t="str">
            <v/>
          </cell>
        </row>
        <row r="928">
          <cell r="Y928">
            <v>912</v>
          </cell>
          <cell r="Z928">
            <v>0.7074905838817358</v>
          </cell>
          <cell r="AA928">
            <v>9.2302428011240292E-2</v>
          </cell>
          <cell r="AB928" t="str">
            <v/>
          </cell>
          <cell r="AC928" t="e">
            <v>#N/A</v>
          </cell>
          <cell r="AD928">
            <v>841</v>
          </cell>
          <cell r="AE928" t="e">
            <v>#N/A</v>
          </cell>
          <cell r="AF928" t="str">
            <v/>
          </cell>
        </row>
        <row r="929">
          <cell r="Y929">
            <v>913</v>
          </cell>
          <cell r="Z929">
            <v>3.6194948479533195E-2</v>
          </cell>
          <cell r="AA929">
            <v>-0.30369066629845975</v>
          </cell>
          <cell r="AB929" t="str">
            <v/>
          </cell>
          <cell r="AC929" t="e">
            <v>#N/A</v>
          </cell>
          <cell r="AD929">
            <v>842</v>
          </cell>
          <cell r="AE929" t="e">
            <v>#N/A</v>
          </cell>
          <cell r="AF929" t="str">
            <v/>
          </cell>
        </row>
        <row r="930">
          <cell r="Y930">
            <v>914</v>
          </cell>
          <cell r="Z930">
            <v>0.9553296621888876</v>
          </cell>
          <cell r="AA930">
            <v>0.28716413703351806</v>
          </cell>
          <cell r="AB930" t="str">
            <v/>
          </cell>
          <cell r="AC930" t="e">
            <v>#N/A</v>
          </cell>
          <cell r="AD930">
            <v>843</v>
          </cell>
          <cell r="AE930" t="e">
            <v>#N/A</v>
          </cell>
          <cell r="AF930" t="str">
            <v/>
          </cell>
        </row>
        <row r="931">
          <cell r="Y931">
            <v>915</v>
          </cell>
          <cell r="Z931">
            <v>4.1174484416842461E-2</v>
          </cell>
          <cell r="AA931">
            <v>-0.29364317822688585</v>
          </cell>
          <cell r="AB931" t="str">
            <v/>
          </cell>
          <cell r="AC931" t="e">
            <v>#N/A</v>
          </cell>
          <cell r="AD931">
            <v>844</v>
          </cell>
          <cell r="AE931" t="e">
            <v>#N/A</v>
          </cell>
          <cell r="AF931" t="str">
            <v/>
          </cell>
        </row>
        <row r="932">
          <cell r="Y932">
            <v>916</v>
          </cell>
          <cell r="Z932">
            <v>0.37943672202527523</v>
          </cell>
          <cell r="AA932">
            <v>-5.1885793199791537E-2</v>
          </cell>
          <cell r="AB932" t="str">
            <v/>
          </cell>
          <cell r="AC932" t="e">
            <v>#N/A</v>
          </cell>
          <cell r="AD932">
            <v>845</v>
          </cell>
          <cell r="AE932" t="e">
            <v>#N/A</v>
          </cell>
          <cell r="AF932" t="str">
            <v/>
          </cell>
        </row>
        <row r="933">
          <cell r="Y933">
            <v>917</v>
          </cell>
          <cell r="Z933">
            <v>0.15293013863265514</v>
          </cell>
          <cell r="AA933">
            <v>-0.17307864409961726</v>
          </cell>
          <cell r="AB933" t="str">
            <v/>
          </cell>
          <cell r="AC933" t="e">
            <v>#N/A</v>
          </cell>
          <cell r="AD933">
            <v>846</v>
          </cell>
          <cell r="AE933" t="e">
            <v>#N/A</v>
          </cell>
          <cell r="AF933" t="str">
            <v/>
          </cell>
        </row>
        <row r="934">
          <cell r="Y934">
            <v>918</v>
          </cell>
          <cell r="Z934">
            <v>0.3744183536618948</v>
          </cell>
          <cell r="AA934">
            <v>-5.4119222187635832E-2</v>
          </cell>
          <cell r="AB934" t="str">
            <v/>
          </cell>
          <cell r="AC934" t="e">
            <v>#N/A</v>
          </cell>
          <cell r="AD934">
            <v>847</v>
          </cell>
          <cell r="AE934" t="e">
            <v>#N/A</v>
          </cell>
          <cell r="AF934" t="str">
            <v/>
          </cell>
        </row>
        <row r="935">
          <cell r="Y935">
            <v>919</v>
          </cell>
          <cell r="Z935">
            <v>0.40405754558742046</v>
          </cell>
          <cell r="AA935">
            <v>-4.1050562379392662E-2</v>
          </cell>
          <cell r="AB935" t="str">
            <v/>
          </cell>
          <cell r="AC935" t="e">
            <v>#N/A</v>
          </cell>
          <cell r="AD935">
            <v>848</v>
          </cell>
          <cell r="AE935" t="e">
            <v>#N/A</v>
          </cell>
          <cell r="AF935" t="str">
            <v/>
          </cell>
        </row>
        <row r="936">
          <cell r="Y936">
            <v>920</v>
          </cell>
          <cell r="Z936">
            <v>0.70862229727208614</v>
          </cell>
          <cell r="AA936">
            <v>9.2859530663375697E-2</v>
          </cell>
          <cell r="AB936" t="str">
            <v/>
          </cell>
          <cell r="AC936" t="e">
            <v>#N/A</v>
          </cell>
          <cell r="AD936">
            <v>849</v>
          </cell>
          <cell r="AE936" t="e">
            <v>#N/A</v>
          </cell>
          <cell r="AF936" t="str">
            <v/>
          </cell>
        </row>
        <row r="937">
          <cell r="Y937">
            <v>921</v>
          </cell>
          <cell r="Z937">
            <v>0.18481072597205639</v>
          </cell>
          <cell r="AA937">
            <v>-0.15165154987685434</v>
          </cell>
          <cell r="AB937" t="str">
            <v/>
          </cell>
          <cell r="AC937" t="e">
            <v>#N/A</v>
          </cell>
          <cell r="AD937">
            <v>850</v>
          </cell>
          <cell r="AE937" t="e">
            <v>#N/A</v>
          </cell>
          <cell r="AF937" t="str">
            <v/>
          </cell>
        </row>
        <row r="938">
          <cell r="Y938">
            <v>922</v>
          </cell>
          <cell r="Z938">
            <v>0.66226000152528286</v>
          </cell>
          <cell r="AA938">
            <v>7.0762903091579399E-2</v>
          </cell>
          <cell r="AB938" t="str">
            <v/>
          </cell>
          <cell r="AC938" t="e">
            <v>#N/A</v>
          </cell>
          <cell r="AD938">
            <v>851</v>
          </cell>
          <cell r="AE938" t="e">
            <v>#N/A</v>
          </cell>
          <cell r="AF938" t="str">
            <v/>
          </cell>
        </row>
        <row r="939">
          <cell r="Y939">
            <v>923</v>
          </cell>
          <cell r="Z939">
            <v>0.62463284842669964</v>
          </cell>
          <cell r="AA939">
            <v>5.3696245811119273E-2</v>
          </cell>
          <cell r="AB939" t="str">
            <v/>
          </cell>
          <cell r="AC939" t="e">
            <v>#N/A</v>
          </cell>
          <cell r="AD939">
            <v>852</v>
          </cell>
          <cell r="AE939" t="e">
            <v>#N/A</v>
          </cell>
          <cell r="AF939" t="str">
            <v/>
          </cell>
        </row>
        <row r="940">
          <cell r="Y940">
            <v>924</v>
          </cell>
          <cell r="Z940">
            <v>0.60449402593076229</v>
          </cell>
          <cell r="AA940">
            <v>4.4792629953142683E-2</v>
          </cell>
          <cell r="AB940" t="str">
            <v/>
          </cell>
          <cell r="AC940" t="e">
            <v>#N/A</v>
          </cell>
          <cell r="AD940">
            <v>853</v>
          </cell>
          <cell r="AE940" t="e">
            <v>#N/A</v>
          </cell>
          <cell r="AF940" t="str">
            <v/>
          </cell>
        </row>
        <row r="941">
          <cell r="Y941">
            <v>925</v>
          </cell>
          <cell r="Z941">
            <v>0.11772996000945568</v>
          </cell>
          <cell r="AA941">
            <v>-0.20054010789840745</v>
          </cell>
          <cell r="AB941" t="str">
            <v/>
          </cell>
          <cell r="AC941" t="e">
            <v>#N/A</v>
          </cell>
          <cell r="AD941">
            <v>854</v>
          </cell>
          <cell r="AE941" t="e">
            <v>#N/A</v>
          </cell>
          <cell r="AF941" t="str">
            <v/>
          </cell>
        </row>
        <row r="942">
          <cell r="Y942">
            <v>926</v>
          </cell>
          <cell r="Z942">
            <v>0.13058403693139553</v>
          </cell>
          <cell r="AA942">
            <v>-0.18992891162766426</v>
          </cell>
          <cell r="AB942" t="str">
            <v/>
          </cell>
          <cell r="AC942" t="e">
            <v>#N/A</v>
          </cell>
          <cell r="AD942">
            <v>855</v>
          </cell>
          <cell r="AE942" t="e">
            <v>#N/A</v>
          </cell>
          <cell r="AF942" t="str">
            <v/>
          </cell>
        </row>
        <row r="943">
          <cell r="Y943">
            <v>927</v>
          </cell>
          <cell r="Z943">
            <v>6.6906435415148735E-2</v>
          </cell>
          <cell r="AA943">
            <v>-0.2534168422488573</v>
          </cell>
          <cell r="AB943" t="str">
            <v/>
          </cell>
          <cell r="AC943" t="e">
            <v>#N/A</v>
          </cell>
          <cell r="AD943">
            <v>856</v>
          </cell>
          <cell r="AE943" t="e">
            <v>#N/A</v>
          </cell>
          <cell r="AF943" t="str">
            <v/>
          </cell>
        </row>
        <row r="944">
          <cell r="Y944">
            <v>928</v>
          </cell>
          <cell r="Z944">
            <v>0.22393514774739742</v>
          </cell>
          <cell r="AA944">
            <v>-0.12828940356391344</v>
          </cell>
          <cell r="AB944" t="str">
            <v/>
          </cell>
          <cell r="AC944" t="e">
            <v>#N/A</v>
          </cell>
          <cell r="AD944">
            <v>857</v>
          </cell>
          <cell r="AE944" t="e">
            <v>#N/A</v>
          </cell>
          <cell r="AF944" t="str">
            <v/>
          </cell>
        </row>
        <row r="945">
          <cell r="Y945">
            <v>929</v>
          </cell>
          <cell r="Z945">
            <v>0.38863089494407177</v>
          </cell>
          <cell r="AA945">
            <v>-4.7816998636649226E-2</v>
          </cell>
          <cell r="AB945" t="str">
            <v/>
          </cell>
          <cell r="AC945" t="e">
            <v>#N/A</v>
          </cell>
          <cell r="AD945">
            <v>858</v>
          </cell>
          <cell r="AE945" t="e">
            <v>#N/A</v>
          </cell>
          <cell r="AF945" t="str">
            <v/>
          </cell>
        </row>
        <row r="946">
          <cell r="Y946">
            <v>930</v>
          </cell>
          <cell r="Z946">
            <v>1.642351970076561E-3</v>
          </cell>
          <cell r="AA946">
            <v>-0.49690952317182047</v>
          </cell>
          <cell r="AB946" t="str">
            <v/>
          </cell>
          <cell r="AC946" t="e">
            <v>#N/A</v>
          </cell>
          <cell r="AD946">
            <v>859</v>
          </cell>
          <cell r="AE946" t="e">
            <v>#N/A</v>
          </cell>
          <cell r="AF946" t="str">
            <v/>
          </cell>
        </row>
        <row r="947">
          <cell r="Y947">
            <v>931</v>
          </cell>
          <cell r="Z947">
            <v>0.5410513412207365</v>
          </cell>
          <cell r="AA947">
            <v>1.7424160271321983E-2</v>
          </cell>
          <cell r="AB947" t="str">
            <v/>
          </cell>
          <cell r="AC947" t="e">
            <v>#N/A</v>
          </cell>
          <cell r="AD947">
            <v>860</v>
          </cell>
          <cell r="AE947" t="e">
            <v>#N/A</v>
          </cell>
          <cell r="AF947" t="str">
            <v/>
          </cell>
        </row>
        <row r="948">
          <cell r="Y948">
            <v>932</v>
          </cell>
          <cell r="Z948">
            <v>0.44587480090558529</v>
          </cell>
          <cell r="AA948">
            <v>-2.3003522046107679E-2</v>
          </cell>
          <cell r="AB948" t="str">
            <v/>
          </cell>
          <cell r="AC948" t="e">
            <v>#N/A</v>
          </cell>
          <cell r="AD948">
            <v>861</v>
          </cell>
          <cell r="AE948" t="e">
            <v>#N/A</v>
          </cell>
          <cell r="AF948" t="str">
            <v/>
          </cell>
        </row>
        <row r="949">
          <cell r="Y949">
            <v>933</v>
          </cell>
          <cell r="Z949">
            <v>0.80542826466262341</v>
          </cell>
          <cell r="AA949">
            <v>0.14556458939999917</v>
          </cell>
          <cell r="AB949" t="str">
            <v/>
          </cell>
          <cell r="AC949" t="e">
            <v>#N/A</v>
          </cell>
          <cell r="AD949">
            <v>862</v>
          </cell>
          <cell r="AE949" t="e">
            <v>#N/A</v>
          </cell>
          <cell r="AF949" t="str">
            <v/>
          </cell>
        </row>
        <row r="950">
          <cell r="Y950">
            <v>934</v>
          </cell>
          <cell r="Z950">
            <v>0.1171936746686697</v>
          </cell>
          <cell r="AA950">
            <v>-0.20100015645966698</v>
          </cell>
          <cell r="AB950" t="str">
            <v/>
          </cell>
          <cell r="AC950" t="e">
            <v>#N/A</v>
          </cell>
          <cell r="AD950">
            <v>863</v>
          </cell>
          <cell r="AE950" t="e">
            <v>#N/A</v>
          </cell>
          <cell r="AF950" t="str">
            <v/>
          </cell>
        </row>
        <row r="951">
          <cell r="Y951">
            <v>935</v>
          </cell>
          <cell r="Z951">
            <v>0.27020446769893169</v>
          </cell>
          <cell r="AA951">
            <v>-0.10347979424228886</v>
          </cell>
          <cell r="AB951" t="str">
            <v/>
          </cell>
          <cell r="AC951" t="e">
            <v>#N/A</v>
          </cell>
          <cell r="AD951">
            <v>864</v>
          </cell>
          <cell r="AE951" t="e">
            <v>#N/A</v>
          </cell>
          <cell r="AF951" t="str">
            <v/>
          </cell>
        </row>
        <row r="952">
          <cell r="Y952">
            <v>936</v>
          </cell>
          <cell r="Z952">
            <v>0.18964739702641964</v>
          </cell>
          <cell r="AA952">
            <v>-0.14861131626153931</v>
          </cell>
          <cell r="AB952" t="str">
            <v/>
          </cell>
          <cell r="AC952" t="e">
            <v>#N/A</v>
          </cell>
          <cell r="AD952">
            <v>865</v>
          </cell>
          <cell r="AE952" t="e">
            <v>#N/A</v>
          </cell>
          <cell r="AF952" t="str">
            <v/>
          </cell>
        </row>
        <row r="953">
          <cell r="Y953">
            <v>937</v>
          </cell>
          <cell r="Z953">
            <v>0.43568035773932934</v>
          </cell>
          <cell r="AA953">
            <v>-2.7371222042447081E-2</v>
          </cell>
          <cell r="AB953" t="str">
            <v/>
          </cell>
          <cell r="AC953" t="e">
            <v>#N/A</v>
          </cell>
          <cell r="AD953">
            <v>866</v>
          </cell>
          <cell r="AE953" t="e">
            <v>#N/A</v>
          </cell>
          <cell r="AF953" t="str">
            <v/>
          </cell>
        </row>
        <row r="954">
          <cell r="Y954">
            <v>938</v>
          </cell>
          <cell r="Z954">
            <v>0.2412379439920187</v>
          </cell>
          <cell r="AA954">
            <v>-0.11871475990222329</v>
          </cell>
          <cell r="AB954" t="str">
            <v/>
          </cell>
          <cell r="AC954" t="e">
            <v>#N/A</v>
          </cell>
          <cell r="AD954">
            <v>867</v>
          </cell>
          <cell r="AE954" t="e">
            <v>#N/A</v>
          </cell>
          <cell r="AF954" t="str">
            <v/>
          </cell>
        </row>
        <row r="955">
          <cell r="Y955">
            <v>939</v>
          </cell>
          <cell r="Z955">
            <v>0.57601345889270306</v>
          </cell>
          <cell r="AA955">
            <v>3.2404103943465469E-2</v>
          </cell>
          <cell r="AB955" t="str">
            <v/>
          </cell>
          <cell r="AC955" t="e">
            <v>#N/A</v>
          </cell>
          <cell r="AD955">
            <v>868</v>
          </cell>
          <cell r="AE955" t="e">
            <v>#N/A</v>
          </cell>
          <cell r="AF955" t="str">
            <v/>
          </cell>
        </row>
        <row r="956">
          <cell r="Y956">
            <v>940</v>
          </cell>
          <cell r="Z956">
            <v>7.7101996168494225E-2</v>
          </cell>
          <cell r="AA956">
            <v>-0.24084160456024006</v>
          </cell>
          <cell r="AB956" t="str">
            <v/>
          </cell>
          <cell r="AC956" t="e">
            <v>#N/A</v>
          </cell>
          <cell r="AD956">
            <v>869</v>
          </cell>
          <cell r="AE956" t="e">
            <v>#N/A</v>
          </cell>
          <cell r="AF956" t="str">
            <v/>
          </cell>
        </row>
        <row r="957">
          <cell r="Y957">
            <v>941</v>
          </cell>
          <cell r="Z957">
            <v>0.96401089243590832</v>
          </cell>
          <cell r="AA957">
            <v>0.30412975096245359</v>
          </cell>
          <cell r="AB957" t="str">
            <v/>
          </cell>
          <cell r="AC957" t="e">
            <v>#N/A</v>
          </cell>
          <cell r="AD957">
            <v>870</v>
          </cell>
          <cell r="AE957" t="e">
            <v>#N/A</v>
          </cell>
          <cell r="AF957" t="str">
            <v/>
          </cell>
        </row>
        <row r="958">
          <cell r="Y958">
            <v>942</v>
          </cell>
          <cell r="Z958">
            <v>0.45650068484246731</v>
          </cell>
          <cell r="AA958">
            <v>-1.8467224366508717E-2</v>
          </cell>
          <cell r="AB958" t="str">
            <v/>
          </cell>
          <cell r="AC958" t="e">
            <v>#N/A</v>
          </cell>
          <cell r="AD958">
            <v>871</v>
          </cell>
          <cell r="AE958" t="e">
            <v>#N/A</v>
          </cell>
          <cell r="AF958" t="str">
            <v/>
          </cell>
        </row>
        <row r="959">
          <cell r="Y959">
            <v>943</v>
          </cell>
          <cell r="Z959">
            <v>0.78293357603251934</v>
          </cell>
          <cell r="AA959">
            <v>0.13220563252009701</v>
          </cell>
          <cell r="AB959" t="str">
            <v/>
          </cell>
          <cell r="AC959" t="e">
            <v>#N/A</v>
          </cell>
          <cell r="AD959">
            <v>872</v>
          </cell>
          <cell r="AE959" t="e">
            <v>#N/A</v>
          </cell>
          <cell r="AF959" t="str">
            <v/>
          </cell>
        </row>
        <row r="960">
          <cell r="Y960">
            <v>944</v>
          </cell>
          <cell r="Z960">
            <v>0.93846168182790279</v>
          </cell>
          <cell r="AA960">
            <v>0.26064345568521102</v>
          </cell>
          <cell r="AB960" t="str">
            <v/>
          </cell>
          <cell r="AC960" t="e">
            <v>#N/A</v>
          </cell>
          <cell r="AD960">
            <v>873</v>
          </cell>
          <cell r="AE960" t="e">
            <v>#N/A</v>
          </cell>
          <cell r="AF960" t="str">
            <v/>
          </cell>
        </row>
        <row r="961">
          <cell r="Y961">
            <v>945</v>
          </cell>
          <cell r="Z961">
            <v>1.8280891701579094E-2</v>
          </cell>
          <cell r="AA961">
            <v>-0.35337995222678364</v>
          </cell>
          <cell r="AB961" t="str">
            <v/>
          </cell>
          <cell r="AC961" t="e">
            <v>#N/A</v>
          </cell>
          <cell r="AD961">
            <v>874</v>
          </cell>
          <cell r="AE961" t="e">
            <v>#N/A</v>
          </cell>
          <cell r="AF961" t="str">
            <v/>
          </cell>
        </row>
        <row r="962">
          <cell r="Y962">
            <v>946</v>
          </cell>
          <cell r="Z962">
            <v>0.15466738305985928</v>
          </cell>
          <cell r="AA962">
            <v>-0.17183995544612768</v>
          </cell>
          <cell r="AB962" t="str">
            <v/>
          </cell>
          <cell r="AC962" t="e">
            <v>#N/A</v>
          </cell>
          <cell r="AD962">
            <v>875</v>
          </cell>
          <cell r="AE962" t="e">
            <v>#N/A</v>
          </cell>
          <cell r="AF962" t="str">
            <v/>
          </cell>
        </row>
        <row r="963">
          <cell r="Y963">
            <v>947</v>
          </cell>
          <cell r="Z963">
            <v>0.8412745725363493</v>
          </cell>
          <cell r="AA963">
            <v>0.1689818376924806</v>
          </cell>
          <cell r="AB963" t="str">
            <v/>
          </cell>
          <cell r="AC963" t="e">
            <v>#N/A</v>
          </cell>
          <cell r="AD963">
            <v>876</v>
          </cell>
          <cell r="AE963" t="e">
            <v>#N/A</v>
          </cell>
          <cell r="AF963" t="str">
            <v/>
          </cell>
        </row>
        <row r="964">
          <cell r="Y964">
            <v>948</v>
          </cell>
          <cell r="Z964">
            <v>0.6619329359382391</v>
          </cell>
          <cell r="AA964">
            <v>7.061166318478844E-2</v>
          </cell>
          <cell r="AB964" t="str">
            <v/>
          </cell>
          <cell r="AC964" t="e">
            <v>#N/A</v>
          </cell>
          <cell r="AD964">
            <v>877</v>
          </cell>
          <cell r="AE964" t="e">
            <v>#N/A</v>
          </cell>
          <cell r="AF964" t="str">
            <v/>
          </cell>
        </row>
        <row r="965">
          <cell r="Y965">
            <v>949</v>
          </cell>
          <cell r="Z965">
            <v>0.96451055817306042</v>
          </cell>
          <cell r="AA965">
            <v>0.30520422289216775</v>
          </cell>
          <cell r="AB965" t="str">
            <v/>
          </cell>
          <cell r="AC965" t="e">
            <v>#N/A</v>
          </cell>
          <cell r="AD965">
            <v>878</v>
          </cell>
          <cell r="AE965" t="e">
            <v>#N/A</v>
          </cell>
          <cell r="AF965" t="str">
            <v/>
          </cell>
        </row>
        <row r="966">
          <cell r="Y966">
            <v>950</v>
          </cell>
          <cell r="Z966">
            <v>0.12036786042153835</v>
          </cell>
          <cell r="AA966">
            <v>-0.1982985165884659</v>
          </cell>
          <cell r="AB966" t="str">
            <v/>
          </cell>
          <cell r="AC966" t="e">
            <v>#N/A</v>
          </cell>
          <cell r="AD966">
            <v>879</v>
          </cell>
          <cell r="AE966" t="e">
            <v>#N/A</v>
          </cell>
          <cell r="AF966" t="str">
            <v/>
          </cell>
        </row>
        <row r="967">
          <cell r="Y967">
            <v>951</v>
          </cell>
          <cell r="Z967">
            <v>0.16899756900966167</v>
          </cell>
          <cell r="AA967">
            <v>-0.161954223684352</v>
          </cell>
          <cell r="AB967" t="str">
            <v/>
          </cell>
          <cell r="AC967" t="e">
            <v>#N/A</v>
          </cell>
          <cell r="AD967">
            <v>880</v>
          </cell>
          <cell r="AE967" t="e">
            <v>#N/A</v>
          </cell>
          <cell r="AF967" t="str">
            <v/>
          </cell>
        </row>
        <row r="968">
          <cell r="Y968">
            <v>952</v>
          </cell>
          <cell r="Z968">
            <v>0.88706501387059689</v>
          </cell>
          <cell r="AA968">
            <v>0.20470757764191527</v>
          </cell>
          <cell r="AB968" t="str">
            <v/>
          </cell>
          <cell r="AC968" t="e">
            <v>#N/A</v>
          </cell>
          <cell r="AD968">
            <v>881</v>
          </cell>
          <cell r="AE968" t="e">
            <v>#N/A</v>
          </cell>
          <cell r="AF968" t="str">
            <v/>
          </cell>
        </row>
        <row r="969">
          <cell r="Y969">
            <v>953</v>
          </cell>
          <cell r="Z969">
            <v>0.67055114917457104</v>
          </cell>
          <cell r="AA969">
            <v>7.4616228724273356E-2</v>
          </cell>
          <cell r="AB969" t="str">
            <v/>
          </cell>
          <cell r="AC969" t="e">
            <v>#N/A</v>
          </cell>
          <cell r="AD969">
            <v>882</v>
          </cell>
          <cell r="AE969" t="e">
            <v>#N/A</v>
          </cell>
          <cell r="AF969" t="str">
            <v/>
          </cell>
        </row>
        <row r="970">
          <cell r="Y970">
            <v>954</v>
          </cell>
          <cell r="Z970">
            <v>0.20891064964234829</v>
          </cell>
          <cell r="AA970">
            <v>-0.13694995385806219</v>
          </cell>
          <cell r="AB970" t="str">
            <v/>
          </cell>
          <cell r="AC970" t="e">
            <v>#N/A</v>
          </cell>
          <cell r="AD970">
            <v>883</v>
          </cell>
          <cell r="AE970" t="e">
            <v>#N/A</v>
          </cell>
          <cell r="AF970" t="str">
            <v/>
          </cell>
        </row>
        <row r="971">
          <cell r="Y971">
            <v>955</v>
          </cell>
          <cell r="Z971">
            <v>0.21226192824542522</v>
          </cell>
          <cell r="AA971">
            <v>-0.13498760952273278</v>
          </cell>
          <cell r="AB971" t="str">
            <v/>
          </cell>
          <cell r="AC971" t="e">
            <v>#N/A</v>
          </cell>
          <cell r="AD971">
            <v>884</v>
          </cell>
          <cell r="AE971" t="e">
            <v>#N/A</v>
          </cell>
          <cell r="AF971" t="str">
            <v/>
          </cell>
        </row>
        <row r="972">
          <cell r="Y972">
            <v>956</v>
          </cell>
          <cell r="Z972">
            <v>4.1859319433569908E-2</v>
          </cell>
          <cell r="AA972">
            <v>-0.29233980918284463</v>
          </cell>
          <cell r="AB972" t="str">
            <v/>
          </cell>
          <cell r="AC972" t="e">
            <v>#N/A</v>
          </cell>
          <cell r="AD972">
            <v>885</v>
          </cell>
          <cell r="AE972" t="e">
            <v>#N/A</v>
          </cell>
          <cell r="AF972" t="str">
            <v/>
          </cell>
        </row>
        <row r="973">
          <cell r="Y973">
            <v>957</v>
          </cell>
          <cell r="Z973">
            <v>0.7385068517178297</v>
          </cell>
          <cell r="AA973">
            <v>0.10796826988104673</v>
          </cell>
          <cell r="AB973" t="str">
            <v/>
          </cell>
          <cell r="AC973" t="e">
            <v>#N/A</v>
          </cell>
          <cell r="AD973">
            <v>886</v>
          </cell>
          <cell r="AE973" t="e">
            <v>#N/A</v>
          </cell>
          <cell r="AF973" t="str">
            <v/>
          </cell>
        </row>
        <row r="974">
          <cell r="Y974">
            <v>958</v>
          </cell>
          <cell r="Z974">
            <v>0.11776736937463284</v>
          </cell>
          <cell r="AA974">
            <v>-0.2005080719385669</v>
          </cell>
          <cell r="AB974" t="str">
            <v/>
          </cell>
          <cell r="AC974" t="e">
            <v>#N/A</v>
          </cell>
          <cell r="AD974">
            <v>887</v>
          </cell>
          <cell r="AE974" t="e">
            <v>#N/A</v>
          </cell>
          <cell r="AF974" t="str">
            <v/>
          </cell>
        </row>
        <row r="975">
          <cell r="Y975">
            <v>959</v>
          </cell>
          <cell r="Z975">
            <v>0.2247221302241087</v>
          </cell>
          <cell r="AA975">
            <v>-0.12784510712697081</v>
          </cell>
          <cell r="AB975" t="str">
            <v/>
          </cell>
          <cell r="AC975" t="e">
            <v>#N/A</v>
          </cell>
          <cell r="AD975">
            <v>888</v>
          </cell>
          <cell r="AE975" t="e">
            <v>#N/A</v>
          </cell>
          <cell r="AF975" t="str">
            <v/>
          </cell>
        </row>
        <row r="976">
          <cell r="Y976">
            <v>960</v>
          </cell>
          <cell r="Z976">
            <v>0.22362877987325191</v>
          </cell>
          <cell r="AA976">
            <v>-0.12846260548336549</v>
          </cell>
          <cell r="AB976" t="str">
            <v/>
          </cell>
          <cell r="AC976" t="e">
            <v>#N/A</v>
          </cell>
          <cell r="AD976">
            <v>889</v>
          </cell>
          <cell r="AE976" t="e">
            <v>#N/A</v>
          </cell>
          <cell r="AF976" t="str">
            <v/>
          </cell>
        </row>
        <row r="977">
          <cell r="Y977">
            <v>961</v>
          </cell>
          <cell r="Z977">
            <v>0.70590665750205517</v>
          </cell>
          <cell r="AA977">
            <v>9.1524395326276611E-2</v>
          </cell>
          <cell r="AB977" t="str">
            <v/>
          </cell>
          <cell r="AC977" t="e">
            <v>#N/A</v>
          </cell>
          <cell r="AD977">
            <v>890</v>
          </cell>
          <cell r="AE977" t="e">
            <v>#N/A</v>
          </cell>
          <cell r="AF977" t="str">
            <v/>
          </cell>
        </row>
        <row r="978">
          <cell r="Y978">
            <v>962</v>
          </cell>
          <cell r="Z978">
            <v>0.75180709920823574</v>
          </cell>
          <cell r="AA978">
            <v>0.11497265712377207</v>
          </cell>
          <cell r="AB978" t="str">
            <v/>
          </cell>
          <cell r="AC978" t="e">
            <v>#N/A</v>
          </cell>
          <cell r="AD978">
            <v>891</v>
          </cell>
          <cell r="AE978" t="e">
            <v>#N/A</v>
          </cell>
          <cell r="AF978" t="str">
            <v/>
          </cell>
        </row>
        <row r="979">
          <cell r="Y979">
            <v>963</v>
          </cell>
          <cell r="Z979">
            <v>0.76557464711368084</v>
          </cell>
          <cell r="AA979">
            <v>0.12243754703190798</v>
          </cell>
          <cell r="AB979" t="str">
            <v/>
          </cell>
          <cell r="AC979" t="e">
            <v>#N/A</v>
          </cell>
          <cell r="AD979">
            <v>892</v>
          </cell>
          <cell r="AE979" t="e">
            <v>#N/A</v>
          </cell>
          <cell r="AF979" t="str">
            <v/>
          </cell>
        </row>
        <row r="980">
          <cell r="Y980">
            <v>964</v>
          </cell>
          <cell r="Z980">
            <v>0.42360722087323666</v>
          </cell>
          <cell r="AA980">
            <v>-3.2567816754660507E-2</v>
          </cell>
          <cell r="AB980" t="str">
            <v/>
          </cell>
          <cell r="AC980" t="e">
            <v>#N/A</v>
          </cell>
          <cell r="AD980">
            <v>893</v>
          </cell>
          <cell r="AE980" t="e">
            <v>#N/A</v>
          </cell>
          <cell r="AF980" t="str">
            <v/>
          </cell>
        </row>
        <row r="981">
          <cell r="Y981">
            <v>965</v>
          </cell>
          <cell r="Z981">
            <v>0.71562623791396618</v>
          </cell>
          <cell r="AA981">
            <v>9.6330183727948257E-2</v>
          </cell>
          <cell r="AB981" t="str">
            <v/>
          </cell>
          <cell r="AC981" t="e">
            <v>#N/A</v>
          </cell>
          <cell r="AD981">
            <v>894</v>
          </cell>
          <cell r="AE981" t="e">
            <v>#N/A</v>
          </cell>
          <cell r="AF981" t="str">
            <v/>
          </cell>
        </row>
        <row r="982">
          <cell r="Y982">
            <v>966</v>
          </cell>
          <cell r="Z982">
            <v>0.68228075467050076</v>
          </cell>
          <cell r="AA982">
            <v>8.0135181561838117E-2</v>
          </cell>
          <cell r="AB982" t="str">
            <v/>
          </cell>
          <cell r="AC982" t="e">
            <v>#N/A</v>
          </cell>
          <cell r="AD982">
            <v>895</v>
          </cell>
          <cell r="AE982" t="e">
            <v>#N/A</v>
          </cell>
          <cell r="AF982" t="str">
            <v/>
          </cell>
        </row>
        <row r="983">
          <cell r="Y983">
            <v>967</v>
          </cell>
          <cell r="Z983">
            <v>0.4163548182696104</v>
          </cell>
          <cell r="AA983">
            <v>-3.5703989282812355E-2</v>
          </cell>
          <cell r="AB983" t="str">
            <v/>
          </cell>
          <cell r="AC983" t="e">
            <v>#N/A</v>
          </cell>
          <cell r="AD983">
            <v>896</v>
          </cell>
          <cell r="AE983" t="e">
            <v>#N/A</v>
          </cell>
          <cell r="AF983" t="str">
            <v/>
          </cell>
        </row>
        <row r="984">
          <cell r="Y984">
            <v>968</v>
          </cell>
          <cell r="Z984">
            <v>0.59530874155461788</v>
          </cell>
          <cell r="AA984">
            <v>4.0774078541102036E-2</v>
          </cell>
          <cell r="AB984" t="str">
            <v/>
          </cell>
          <cell r="AC984" t="e">
            <v>#N/A</v>
          </cell>
          <cell r="AD984">
            <v>897</v>
          </cell>
          <cell r="AE984" t="e">
            <v>#N/A</v>
          </cell>
          <cell r="AF984" t="str">
            <v/>
          </cell>
        </row>
        <row r="985">
          <cell r="Y985">
            <v>969</v>
          </cell>
          <cell r="Z985">
            <v>0.15455981902778149</v>
          </cell>
          <cell r="AA985">
            <v>-0.17191638256993508</v>
          </cell>
          <cell r="AB985" t="str">
            <v/>
          </cell>
          <cell r="AC985" t="e">
            <v>#N/A</v>
          </cell>
          <cell r="AD985">
            <v>898</v>
          </cell>
          <cell r="AE985" t="e">
            <v>#N/A</v>
          </cell>
          <cell r="AF985" t="str">
            <v/>
          </cell>
        </row>
        <row r="986">
          <cell r="Y986">
            <v>970</v>
          </cell>
          <cell r="Z986">
            <v>0.19955546222627163</v>
          </cell>
          <cell r="AA986">
            <v>-0.14252852867630059</v>
          </cell>
          <cell r="AB986" t="str">
            <v/>
          </cell>
          <cell r="AC986" t="e">
            <v>#N/A</v>
          </cell>
          <cell r="AD986">
            <v>899</v>
          </cell>
          <cell r="AE986" t="e">
            <v>#N/A</v>
          </cell>
          <cell r="AF986" t="str">
            <v/>
          </cell>
        </row>
        <row r="987">
          <cell r="Y987">
            <v>971</v>
          </cell>
          <cell r="Z987">
            <v>0.21648372523486614</v>
          </cell>
          <cell r="AA987">
            <v>-0.13254111921604891</v>
          </cell>
          <cell r="AB987" t="str">
            <v/>
          </cell>
          <cell r="AC987" t="e">
            <v>#N/A</v>
          </cell>
          <cell r="AD987">
            <v>900</v>
          </cell>
          <cell r="AE987" t="e">
            <v>#N/A</v>
          </cell>
          <cell r="AF987" t="str">
            <v/>
          </cell>
        </row>
        <row r="988">
          <cell r="Y988">
            <v>972</v>
          </cell>
          <cell r="Z988">
            <v>6.6637089475989342E-2</v>
          </cell>
          <cell r="AA988">
            <v>-0.25376850499946657</v>
          </cell>
          <cell r="AB988" t="str">
            <v/>
          </cell>
          <cell r="AC988" t="e">
            <v>#N/A</v>
          </cell>
          <cell r="AD988">
            <v>901</v>
          </cell>
          <cell r="AE988" t="e">
            <v>#N/A</v>
          </cell>
          <cell r="AF988" t="str">
            <v/>
          </cell>
        </row>
        <row r="989">
          <cell r="Y989">
            <v>973</v>
          </cell>
          <cell r="Z989">
            <v>0.76104205660521984</v>
          </cell>
          <cell r="AA989">
            <v>0.11995419273581129</v>
          </cell>
          <cell r="AB989" t="str">
            <v/>
          </cell>
          <cell r="AC989" t="e">
            <v>#N/A</v>
          </cell>
          <cell r="AD989">
            <v>902</v>
          </cell>
          <cell r="AE989" t="e">
            <v>#N/A</v>
          </cell>
          <cell r="AF989" t="str">
            <v/>
          </cell>
        </row>
        <row r="990">
          <cell r="Y990">
            <v>974</v>
          </cell>
          <cell r="Z990">
            <v>0.45959893427789211</v>
          </cell>
          <cell r="AA990">
            <v>-1.714719568884971E-2</v>
          </cell>
          <cell r="AB990" t="str">
            <v/>
          </cell>
          <cell r="AC990" t="e">
            <v>#N/A</v>
          </cell>
          <cell r="AD990">
            <v>903</v>
          </cell>
          <cell r="AE990" t="e">
            <v>#N/A</v>
          </cell>
          <cell r="AF990" t="str">
            <v/>
          </cell>
        </row>
        <row r="991">
          <cell r="Y991">
            <v>975</v>
          </cell>
          <cell r="Z991">
            <v>0.3175650667399168</v>
          </cell>
          <cell r="AA991">
            <v>-8.02082836899808E-2</v>
          </cell>
          <cell r="AB991" t="str">
            <v/>
          </cell>
          <cell r="AC991" t="e">
            <v>#N/A</v>
          </cell>
          <cell r="AD991">
            <v>904</v>
          </cell>
          <cell r="AE991" t="e">
            <v>#N/A</v>
          </cell>
          <cell r="AF991" t="str">
            <v/>
          </cell>
        </row>
        <row r="992">
          <cell r="Y992">
            <v>976</v>
          </cell>
          <cell r="Z992">
            <v>0.79574503563344479</v>
          </cell>
          <cell r="AA992">
            <v>0.13970715499357012</v>
          </cell>
          <cell r="AB992" t="str">
            <v/>
          </cell>
          <cell r="AC992" t="e">
            <v>#N/A</v>
          </cell>
          <cell r="AD992">
            <v>905</v>
          </cell>
          <cell r="AE992" t="e">
            <v>#N/A</v>
          </cell>
          <cell r="AF992" t="str">
            <v/>
          </cell>
        </row>
        <row r="993">
          <cell r="Y993">
            <v>977</v>
          </cell>
          <cell r="Z993">
            <v>0.70101991109549999</v>
          </cell>
          <cell r="AA993">
            <v>8.9136077394841737E-2</v>
          </cell>
          <cell r="AB993" t="str">
            <v/>
          </cell>
          <cell r="AC993" t="e">
            <v>#N/A</v>
          </cell>
          <cell r="AD993">
            <v>906</v>
          </cell>
          <cell r="AE993" t="e">
            <v>#N/A</v>
          </cell>
          <cell r="AF993" t="str">
            <v/>
          </cell>
        </row>
        <row r="994">
          <cell r="Y994">
            <v>978</v>
          </cell>
          <cell r="Z994">
            <v>0.22421384416520596</v>
          </cell>
          <cell r="AA994">
            <v>-0.12813196233554777</v>
          </cell>
          <cell r="AB994" t="str">
            <v/>
          </cell>
          <cell r="AC994" t="e">
            <v>#N/A</v>
          </cell>
          <cell r="AD994">
            <v>907</v>
          </cell>
          <cell r="AE994" t="e">
            <v>#N/A</v>
          </cell>
          <cell r="AF994" t="str">
            <v/>
          </cell>
        </row>
        <row r="995">
          <cell r="Y995">
            <v>979</v>
          </cell>
          <cell r="Z995">
            <v>0.35643203370273113</v>
          </cell>
          <cell r="AA995">
            <v>-6.2205431173468495E-2</v>
          </cell>
          <cell r="AB995" t="str">
            <v/>
          </cell>
          <cell r="AC995" t="e">
            <v>#N/A</v>
          </cell>
          <cell r="AD995">
            <v>908</v>
          </cell>
          <cell r="AE995" t="e">
            <v>#N/A</v>
          </cell>
          <cell r="AF995" t="str">
            <v/>
          </cell>
        </row>
        <row r="996">
          <cell r="Y996">
            <v>980</v>
          </cell>
          <cell r="Z996">
            <v>0.97064374946057796</v>
          </cell>
          <cell r="AA996">
            <v>0.31952578038074309</v>
          </cell>
          <cell r="AB996" t="str">
            <v/>
          </cell>
          <cell r="AC996" t="e">
            <v>#N/A</v>
          </cell>
          <cell r="AD996">
            <v>909</v>
          </cell>
          <cell r="AE996" t="e">
            <v>#N/A</v>
          </cell>
          <cell r="AF996" t="str">
            <v/>
          </cell>
        </row>
        <row r="997">
          <cell r="Y997">
            <v>981</v>
          </cell>
          <cell r="Z997">
            <v>0.11297452263534069</v>
          </cell>
          <cell r="AA997">
            <v>-0.20467270492087164</v>
          </cell>
          <cell r="AB997" t="str">
            <v/>
          </cell>
          <cell r="AC997" t="e">
            <v>#N/A</v>
          </cell>
          <cell r="AD997">
            <v>910</v>
          </cell>
          <cell r="AE997" t="e">
            <v>#N/A</v>
          </cell>
          <cell r="AF997" t="str">
            <v/>
          </cell>
        </row>
        <row r="998">
          <cell r="Y998">
            <v>982</v>
          </cell>
          <cell r="Z998">
            <v>0.69502220116555691</v>
          </cell>
          <cell r="AA998">
            <v>8.6228864065090116E-2</v>
          </cell>
          <cell r="AB998" t="str">
            <v/>
          </cell>
          <cell r="AC998" t="e">
            <v>#N/A</v>
          </cell>
          <cell r="AD998">
            <v>911</v>
          </cell>
          <cell r="AE998" t="e">
            <v>#N/A</v>
          </cell>
          <cell r="AF998" t="str">
            <v/>
          </cell>
        </row>
        <row r="999">
          <cell r="Y999">
            <v>983</v>
          </cell>
          <cell r="Z999">
            <v>4.6944184228777885E-2</v>
          </cell>
          <cell r="AA999">
            <v>-0.28316619461862941</v>
          </cell>
          <cell r="AB999" t="str">
            <v/>
          </cell>
          <cell r="AC999" t="e">
            <v>#N/A</v>
          </cell>
          <cell r="AD999">
            <v>912</v>
          </cell>
          <cell r="AE999" t="e">
            <v>#N/A</v>
          </cell>
          <cell r="AF999" t="str">
            <v/>
          </cell>
        </row>
        <row r="1000">
          <cell r="Y1000">
            <v>984</v>
          </cell>
          <cell r="Z1000">
            <v>0.45256217382848263</v>
          </cell>
          <cell r="AA1000">
            <v>-2.0146889826662892E-2</v>
          </cell>
          <cell r="AB1000" t="str">
            <v/>
          </cell>
          <cell r="AC1000" t="e">
            <v>#N/A</v>
          </cell>
          <cell r="AD1000">
            <v>913</v>
          </cell>
          <cell r="AE1000" t="e">
            <v>#N/A</v>
          </cell>
          <cell r="AF1000" t="str">
            <v/>
          </cell>
        </row>
        <row r="1001">
          <cell r="Y1001">
            <v>985</v>
          </cell>
          <cell r="Z1001">
            <v>0.62159308604896069</v>
          </cell>
          <cell r="AA1001">
            <v>5.2343359258724582E-2</v>
          </cell>
          <cell r="AB1001" t="str">
            <v/>
          </cell>
          <cell r="AC1001" t="e">
            <v>#N/A</v>
          </cell>
          <cell r="AD1001">
            <v>914</v>
          </cell>
          <cell r="AE1001" t="e">
            <v>#N/A</v>
          </cell>
          <cell r="AF1001" t="str">
            <v/>
          </cell>
        </row>
        <row r="1002">
          <cell r="Y1002">
            <v>986</v>
          </cell>
          <cell r="Z1002">
            <v>0.94119972549378872</v>
          </cell>
          <cell r="AA1002">
            <v>0.2645205662121255</v>
          </cell>
          <cell r="AB1002" t="str">
            <v/>
          </cell>
          <cell r="AC1002" t="e">
            <v>#N/A</v>
          </cell>
          <cell r="AD1002">
            <v>915</v>
          </cell>
          <cell r="AE1002" t="e">
            <v>#N/A</v>
          </cell>
          <cell r="AF1002" t="str">
            <v/>
          </cell>
        </row>
        <row r="1003">
          <cell r="Y1003">
            <v>987</v>
          </cell>
          <cell r="Z1003">
            <v>0.49053431861102581</v>
          </cell>
          <cell r="AA1003">
            <v>-4.0109620168016693E-3</v>
          </cell>
          <cell r="AB1003" t="str">
            <v/>
          </cell>
          <cell r="AC1003" t="e">
            <v>#N/A</v>
          </cell>
          <cell r="AD1003">
            <v>916</v>
          </cell>
          <cell r="AE1003" t="e">
            <v>#N/A</v>
          </cell>
          <cell r="AF1003" t="str">
            <v/>
          </cell>
        </row>
        <row r="1004">
          <cell r="Y1004">
            <v>988</v>
          </cell>
          <cell r="Z1004">
            <v>0.56305640004575253</v>
          </cell>
          <cell r="AA1004">
            <v>2.6829065863458651E-2</v>
          </cell>
          <cell r="AB1004" t="str">
            <v/>
          </cell>
          <cell r="AC1004" t="e">
            <v>#N/A</v>
          </cell>
          <cell r="AD1004">
            <v>917</v>
          </cell>
          <cell r="AE1004" t="e">
            <v>#N/A</v>
          </cell>
          <cell r="AF1004" t="str">
            <v/>
          </cell>
        </row>
        <row r="1005">
          <cell r="Y1005">
            <v>989</v>
          </cell>
          <cell r="Z1005">
            <v>0.32019072584807873</v>
          </cell>
          <cell r="AA1005">
            <v>-7.8965387446822993E-2</v>
          </cell>
          <cell r="AB1005" t="str">
            <v/>
          </cell>
          <cell r="AC1005" t="e">
            <v>#N/A</v>
          </cell>
          <cell r="AD1005">
            <v>918</v>
          </cell>
          <cell r="AE1005" t="e">
            <v>#N/A</v>
          </cell>
          <cell r="AF1005" t="str">
            <v/>
          </cell>
        </row>
        <row r="1006">
          <cell r="Y1006">
            <v>990</v>
          </cell>
          <cell r="Z1006">
            <v>0.42096022330224514</v>
          </cell>
          <cell r="AA1006">
            <v>-3.3711108114676258E-2</v>
          </cell>
          <cell r="AB1006" t="str">
            <v/>
          </cell>
          <cell r="AC1006" t="e">
            <v>#N/A</v>
          </cell>
          <cell r="AD1006">
            <v>919</v>
          </cell>
          <cell r="AE1006" t="e">
            <v>#N/A</v>
          </cell>
          <cell r="AF1006" t="str">
            <v/>
          </cell>
        </row>
        <row r="1007">
          <cell r="Y1007">
            <v>991</v>
          </cell>
          <cell r="Z1007">
            <v>0.70550535432994366</v>
          </cell>
          <cell r="AA1007">
            <v>9.1327581315960984E-2</v>
          </cell>
          <cell r="AB1007" t="str">
            <v/>
          </cell>
          <cell r="AC1007" t="e">
            <v>#N/A</v>
          </cell>
          <cell r="AD1007">
            <v>920</v>
          </cell>
          <cell r="AE1007" t="e">
            <v>#N/A</v>
          </cell>
          <cell r="AF1007" t="str">
            <v/>
          </cell>
        </row>
        <row r="1008">
          <cell r="Y1008">
            <v>992</v>
          </cell>
          <cell r="Z1008">
            <v>0.71486904285848141</v>
          </cell>
          <cell r="AA1008">
            <v>9.5953034217156716E-2</v>
          </cell>
          <cell r="AB1008" t="str">
            <v/>
          </cell>
          <cell r="AC1008" t="e">
            <v>#N/A</v>
          </cell>
          <cell r="AD1008">
            <v>921</v>
          </cell>
          <cell r="AE1008" t="e">
            <v>#N/A</v>
          </cell>
          <cell r="AF1008" t="str">
            <v/>
          </cell>
        </row>
        <row r="1009">
          <cell r="Y1009">
            <v>993</v>
          </cell>
          <cell r="Z1009">
            <v>0.72188237123191357</v>
          </cell>
          <cell r="AA1009">
            <v>9.9464951766656373E-2</v>
          </cell>
          <cell r="AB1009" t="str">
            <v/>
          </cell>
          <cell r="AC1009" t="e">
            <v>#N/A</v>
          </cell>
          <cell r="AD1009">
            <v>922</v>
          </cell>
          <cell r="AE1009" t="e">
            <v>#N/A</v>
          </cell>
          <cell r="AF1009" t="str">
            <v/>
          </cell>
        </row>
        <row r="1010">
          <cell r="Y1010">
            <v>994</v>
          </cell>
          <cell r="Z1010">
            <v>9.678996168076992E-2</v>
          </cell>
          <cell r="AA1010">
            <v>-0.21975048599934105</v>
          </cell>
          <cell r="AB1010" t="str">
            <v/>
          </cell>
          <cell r="AC1010" t="e">
            <v>#N/A</v>
          </cell>
          <cell r="AD1010">
            <v>923</v>
          </cell>
          <cell r="AE1010" t="e">
            <v>#N/A</v>
          </cell>
          <cell r="AF1010" t="str">
            <v/>
          </cell>
        </row>
        <row r="1011">
          <cell r="Y1011">
            <v>995</v>
          </cell>
          <cell r="Z1011">
            <v>0.87507720105350018</v>
          </cell>
          <cell r="AA1011">
            <v>0.19450793980839567</v>
          </cell>
          <cell r="AB1011" t="str">
            <v/>
          </cell>
          <cell r="AC1011" t="e">
            <v>#N/A</v>
          </cell>
          <cell r="AD1011">
            <v>924</v>
          </cell>
          <cell r="AE1011" t="e">
            <v>#N/A</v>
          </cell>
          <cell r="AF1011" t="str">
            <v/>
          </cell>
        </row>
        <row r="1012">
          <cell r="Y1012">
            <v>996</v>
          </cell>
          <cell r="Z1012">
            <v>0.38653861545026302</v>
          </cell>
          <cell r="AA1012">
            <v>-4.8740400600331885E-2</v>
          </cell>
          <cell r="AB1012" t="str">
            <v/>
          </cell>
          <cell r="AC1012" t="e">
            <v>#N/A</v>
          </cell>
          <cell r="AD1012">
            <v>925</v>
          </cell>
          <cell r="AE1012" t="e">
            <v>#N/A</v>
          </cell>
          <cell r="AF1012" t="str">
            <v/>
          </cell>
        </row>
        <row r="1013">
          <cell r="Y1013">
            <v>997</v>
          </cell>
          <cell r="Z1013">
            <v>0.17950463108718395</v>
          </cell>
          <cell r="AA1013">
            <v>-0.15504431893210771</v>
          </cell>
          <cell r="AB1013" t="str">
            <v/>
          </cell>
          <cell r="AC1013" t="e">
            <v>#N/A</v>
          </cell>
          <cell r="AD1013">
            <v>926</v>
          </cell>
          <cell r="AE1013" t="e">
            <v>#N/A</v>
          </cell>
          <cell r="AF1013" t="str">
            <v/>
          </cell>
        </row>
        <row r="1014">
          <cell r="Y1014">
            <v>998</v>
          </cell>
          <cell r="Z1014">
            <v>0.64443204365670681</v>
          </cell>
          <cell r="AA1014">
            <v>6.2597356309125871E-2</v>
          </cell>
          <cell r="AB1014" t="str">
            <v/>
          </cell>
          <cell r="AC1014" t="e">
            <v>#N/A</v>
          </cell>
          <cell r="AD1014">
            <v>927</v>
          </cell>
          <cell r="AE1014" t="e">
            <v>#N/A</v>
          </cell>
          <cell r="AF1014" t="str">
            <v/>
          </cell>
        </row>
        <row r="1015">
          <cell r="Y1015">
            <v>999</v>
          </cell>
          <cell r="Z1015">
            <v>0.81418363563716412</v>
          </cell>
          <cell r="AA1015">
            <v>0.15101540627250015</v>
          </cell>
          <cell r="AB1015" t="str">
            <v/>
          </cell>
          <cell r="AC1015" t="e">
            <v>#N/A</v>
          </cell>
          <cell r="AD1015">
            <v>928</v>
          </cell>
          <cell r="AE1015" t="e">
            <v>#N/A</v>
          </cell>
          <cell r="AF1015" t="str">
            <v/>
          </cell>
        </row>
        <row r="1016">
          <cell r="Y1016">
            <v>1000</v>
          </cell>
          <cell r="Z1016">
            <v>0.94075890444219112</v>
          </cell>
          <cell r="AA1016">
            <v>0.26388693566137</v>
          </cell>
          <cell r="AB1016" t="str">
            <v/>
          </cell>
          <cell r="AC1016" t="e">
            <v>#N/A</v>
          </cell>
          <cell r="AD1016">
            <v>929</v>
          </cell>
          <cell r="AE1016" t="e">
            <v>#N/A</v>
          </cell>
          <cell r="AF1016" t="str">
            <v/>
          </cell>
        </row>
      </sheetData>
      <sheetData sheetId="2"/>
      <sheetData sheetId="3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Two proportions"/>
    </sheetNames>
    <sheetDataSet>
      <sheetData sheetId="0" refreshError="1"/>
      <sheetData sheetId="1">
        <row r="4">
          <cell r="G4" t="str">
            <v>Probe duration</v>
          </cell>
        </row>
        <row r="6">
          <cell r="G6" t="str">
            <v>20 ms</v>
          </cell>
          <cell r="I6" t="str">
            <v>10 ms</v>
          </cell>
        </row>
        <row r="8">
          <cell r="E8" t="str">
            <v>Error</v>
          </cell>
        </row>
        <row r="9">
          <cell r="B9" t="str">
            <v>Accuracy</v>
          </cell>
        </row>
        <row r="11">
          <cell r="E11" t="str">
            <v>Correct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"/>
      <sheetName val="One Group"/>
      <sheetName val="One Group Repeated"/>
      <sheetName val="Two Independent Groups"/>
      <sheetName val="Star Games"/>
      <sheetName val="Two Independent Groups Repeated"/>
      <sheetName val="Paired Data"/>
      <sheetName val="ROI, Two Independent Groups"/>
      <sheetName val="NHST Outcomes"/>
      <sheetName val="MA thinking"/>
    </sheetNames>
    <sheetDataSet>
      <sheetData sheetId="0" refreshError="1"/>
      <sheetData sheetId="1" refreshError="1">
        <row r="3">
          <cell r="K3">
            <v>60</v>
          </cell>
        </row>
        <row r="4">
          <cell r="K4">
            <v>30</v>
          </cell>
        </row>
        <row r="7">
          <cell r="I7">
            <v>15</v>
          </cell>
        </row>
      </sheetData>
      <sheetData sheetId="2" refreshError="1">
        <row r="3">
          <cell r="K3">
            <v>60</v>
          </cell>
        </row>
        <row r="4">
          <cell r="K4">
            <v>30</v>
          </cell>
        </row>
        <row r="13">
          <cell r="F13">
            <v>15</v>
          </cell>
        </row>
      </sheetData>
      <sheetData sheetId="3" refreshError="1"/>
      <sheetData sheetId="4" refreshError="1"/>
      <sheetData sheetId="5" refreshError="1"/>
      <sheetData sheetId="6" refreshError="1">
        <row r="3">
          <cell r="K3">
            <v>40</v>
          </cell>
        </row>
        <row r="5">
          <cell r="K5">
            <v>30</v>
          </cell>
        </row>
        <row r="6">
          <cell r="K6">
            <v>15</v>
          </cell>
        </row>
        <row r="8">
          <cell r="K8">
            <v>10</v>
          </cell>
        </row>
        <row r="11">
          <cell r="H11">
            <v>15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Ijumping"/>
      <sheetName val="Simulate One"/>
      <sheetName val="Data One"/>
      <sheetName val="Simulate Two"/>
      <sheetName val="Data Two"/>
      <sheetName val="Simulate Paired"/>
      <sheetName val="Data Paired"/>
      <sheetName val="Two proportions"/>
      <sheetName val="Helen Lab Data"/>
      <sheetName val="MA Original units"/>
      <sheetName val="MA  Standardised units"/>
    </sheetNames>
    <sheetDataSet>
      <sheetData sheetId="0" refreshError="1"/>
      <sheetData sheetId="1">
        <row r="27">
          <cell r="G27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Ijumping"/>
      <sheetName val="Simulate One"/>
      <sheetName val="Data One"/>
      <sheetName val="Simulate Two"/>
      <sheetName val="Data Two"/>
      <sheetName val="Simulate Paired"/>
      <sheetName val="Data Paired"/>
      <sheetName val="Two proportions"/>
      <sheetName val="Helen Lab Data"/>
      <sheetName val="MA Original units"/>
      <sheetName val="MA  Standardised units"/>
    </sheetNames>
    <sheetDataSet>
      <sheetData sheetId="0" refreshError="1"/>
      <sheetData sheetId="1">
        <row r="27">
          <cell r="G27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"/>
      <sheetName val="Two Independent Groups"/>
      <sheetName val="Star Games"/>
      <sheetName val="Two Independent Groups Repeated"/>
      <sheetName val="Paired Data"/>
      <sheetName val="IBITwo-18.4.1b"/>
    </sheetNames>
    <sheetDataSet>
      <sheetData sheetId="0"/>
      <sheetData sheetId="1"/>
      <sheetData sheetId="2"/>
      <sheetData sheetId="3"/>
      <sheetData sheetId="4">
        <row r="3">
          <cell r="K3">
            <v>40</v>
          </cell>
        </row>
        <row r="5">
          <cell r="K5">
            <v>30</v>
          </cell>
        </row>
        <row r="6">
          <cell r="K6">
            <v>15</v>
          </cell>
        </row>
        <row r="8">
          <cell r="K8">
            <v>10</v>
          </cell>
        </row>
        <row r="11">
          <cell r="H11">
            <v>15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tiny.cc/itnsroutledg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9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13" Type="http://schemas.openxmlformats.org/officeDocument/2006/relationships/ctrlProp" Target="../ctrlProps/ctrlProp51.xml"/><Relationship Id="rId18" Type="http://schemas.openxmlformats.org/officeDocument/2006/relationships/ctrlProp" Target="../ctrlProps/ctrlProp56.xml"/><Relationship Id="rId26" Type="http://schemas.openxmlformats.org/officeDocument/2006/relationships/ctrlProp" Target="../ctrlProps/ctrlProp64.xml"/><Relationship Id="rId39" Type="http://schemas.openxmlformats.org/officeDocument/2006/relationships/ctrlProp" Target="../ctrlProps/ctrlProp7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9.xml"/><Relationship Id="rId34" Type="http://schemas.openxmlformats.org/officeDocument/2006/relationships/ctrlProp" Target="../ctrlProps/ctrlProp72.xml"/><Relationship Id="rId42" Type="http://schemas.openxmlformats.org/officeDocument/2006/relationships/ctrlProp" Target="../ctrlProps/ctrlProp80.x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17" Type="http://schemas.openxmlformats.org/officeDocument/2006/relationships/ctrlProp" Target="../ctrlProps/ctrlProp55.xml"/><Relationship Id="rId25" Type="http://schemas.openxmlformats.org/officeDocument/2006/relationships/ctrlProp" Target="../ctrlProps/ctrlProp63.xml"/><Relationship Id="rId33" Type="http://schemas.openxmlformats.org/officeDocument/2006/relationships/ctrlProp" Target="../ctrlProps/ctrlProp71.xml"/><Relationship Id="rId38" Type="http://schemas.openxmlformats.org/officeDocument/2006/relationships/ctrlProp" Target="../ctrlProps/ctrlProp76.xml"/><Relationship Id="rId46" Type="http://schemas.openxmlformats.org/officeDocument/2006/relationships/comments" Target="../comments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54.xml"/><Relationship Id="rId20" Type="http://schemas.openxmlformats.org/officeDocument/2006/relationships/ctrlProp" Target="../ctrlProps/ctrlProp58.xml"/><Relationship Id="rId29" Type="http://schemas.openxmlformats.org/officeDocument/2006/relationships/ctrlProp" Target="../ctrlProps/ctrlProp67.xml"/><Relationship Id="rId41" Type="http://schemas.openxmlformats.org/officeDocument/2006/relationships/ctrlProp" Target="../ctrlProps/ctrlProp7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24" Type="http://schemas.openxmlformats.org/officeDocument/2006/relationships/ctrlProp" Target="../ctrlProps/ctrlProp62.xml"/><Relationship Id="rId32" Type="http://schemas.openxmlformats.org/officeDocument/2006/relationships/ctrlProp" Target="../ctrlProps/ctrlProp70.xml"/><Relationship Id="rId37" Type="http://schemas.openxmlformats.org/officeDocument/2006/relationships/ctrlProp" Target="../ctrlProps/ctrlProp75.xml"/><Relationship Id="rId40" Type="http://schemas.openxmlformats.org/officeDocument/2006/relationships/ctrlProp" Target="../ctrlProps/ctrlProp78.xml"/><Relationship Id="rId45" Type="http://schemas.openxmlformats.org/officeDocument/2006/relationships/ctrlProp" Target="../ctrlProps/ctrlProp83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53.xml"/><Relationship Id="rId23" Type="http://schemas.openxmlformats.org/officeDocument/2006/relationships/ctrlProp" Target="../ctrlProps/ctrlProp61.xml"/><Relationship Id="rId28" Type="http://schemas.openxmlformats.org/officeDocument/2006/relationships/ctrlProp" Target="../ctrlProps/ctrlProp66.xml"/><Relationship Id="rId36" Type="http://schemas.openxmlformats.org/officeDocument/2006/relationships/ctrlProp" Target="../ctrlProps/ctrlProp74.xml"/><Relationship Id="rId10" Type="http://schemas.openxmlformats.org/officeDocument/2006/relationships/ctrlProp" Target="../ctrlProps/ctrlProp48.xml"/><Relationship Id="rId19" Type="http://schemas.openxmlformats.org/officeDocument/2006/relationships/ctrlProp" Target="../ctrlProps/ctrlProp57.xml"/><Relationship Id="rId31" Type="http://schemas.openxmlformats.org/officeDocument/2006/relationships/ctrlProp" Target="../ctrlProps/ctrlProp69.xml"/><Relationship Id="rId44" Type="http://schemas.openxmlformats.org/officeDocument/2006/relationships/ctrlProp" Target="../ctrlProps/ctrlProp82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7.xml"/><Relationship Id="rId14" Type="http://schemas.openxmlformats.org/officeDocument/2006/relationships/ctrlProp" Target="../ctrlProps/ctrlProp52.xml"/><Relationship Id="rId22" Type="http://schemas.openxmlformats.org/officeDocument/2006/relationships/ctrlProp" Target="../ctrlProps/ctrlProp60.xml"/><Relationship Id="rId27" Type="http://schemas.openxmlformats.org/officeDocument/2006/relationships/ctrlProp" Target="../ctrlProps/ctrlProp65.xml"/><Relationship Id="rId30" Type="http://schemas.openxmlformats.org/officeDocument/2006/relationships/ctrlProp" Target="../ctrlProps/ctrlProp68.xml"/><Relationship Id="rId35" Type="http://schemas.openxmlformats.org/officeDocument/2006/relationships/ctrlProp" Target="../ctrlProps/ctrlProp73.xml"/><Relationship Id="rId43" Type="http://schemas.openxmlformats.org/officeDocument/2006/relationships/ctrlProp" Target="../ctrlProps/ctrlProp8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13" Type="http://schemas.openxmlformats.org/officeDocument/2006/relationships/ctrlProp" Target="../ctrlProps/ctrlProp9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5.xml"/><Relationship Id="rId12" Type="http://schemas.openxmlformats.org/officeDocument/2006/relationships/ctrlProp" Target="../ctrlProps/ctrlProp90.xml"/><Relationship Id="rId17" Type="http://schemas.openxmlformats.org/officeDocument/2006/relationships/comments" Target="../comments4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9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93.xml"/><Relationship Id="rId10" Type="http://schemas.openxmlformats.org/officeDocument/2006/relationships/ctrlProp" Target="../ctrlProps/ctrlProp88.xml"/><Relationship Id="rId4" Type="http://schemas.openxmlformats.org/officeDocument/2006/relationships/oleObject" Target="../embeddings/oleObject2.bin"/><Relationship Id="rId9" Type="http://schemas.openxmlformats.org/officeDocument/2006/relationships/ctrlProp" Target="../ctrlProps/ctrlProp87.xml"/><Relationship Id="rId14" Type="http://schemas.openxmlformats.org/officeDocument/2006/relationships/ctrlProp" Target="../ctrlProps/ctrlProp9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26" Type="http://schemas.openxmlformats.org/officeDocument/2006/relationships/ctrlProp" Target="../ctrlProps/ctrlProp117.xml"/><Relationship Id="rId39" Type="http://schemas.openxmlformats.org/officeDocument/2006/relationships/ctrlProp" Target="../ctrlProps/ctrlProp13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12.xml"/><Relationship Id="rId34" Type="http://schemas.openxmlformats.org/officeDocument/2006/relationships/ctrlProp" Target="../ctrlProps/ctrlProp125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29" Type="http://schemas.openxmlformats.org/officeDocument/2006/relationships/ctrlProp" Target="../ctrlProps/ctrlProp12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ctrlProp" Target="../ctrlProps/ctrlProp115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40" Type="http://schemas.openxmlformats.org/officeDocument/2006/relationships/comments" Target="../comments5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31" Type="http://schemas.openxmlformats.org/officeDocument/2006/relationships/ctrlProp" Target="../ctrlProps/ctrlProp12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T750"/>
  <sheetViews>
    <sheetView showGridLines="0" showRowColHeaders="0" tabSelected="1" zoomScale="120" workbookViewId="0">
      <selection activeCell="B2" sqref="B2"/>
    </sheetView>
  </sheetViews>
  <sheetFormatPr defaultRowHeight="11.25" x14ac:dyDescent="0.2"/>
  <cols>
    <col min="1" max="1" width="4.28515625" style="873" customWidth="1"/>
    <col min="2" max="2" width="5.7109375" style="873" customWidth="1"/>
    <col min="3" max="3" width="3.7109375" style="873" customWidth="1"/>
    <col min="4" max="4" width="6" style="873" customWidth="1"/>
    <col min="5" max="5" width="4.28515625" style="873" customWidth="1"/>
    <col min="6" max="7" width="2.85546875" style="873" customWidth="1"/>
    <col min="8" max="8" width="5.5703125" style="873" customWidth="1"/>
    <col min="9" max="9" width="5.7109375" style="873" customWidth="1"/>
    <col min="10" max="10" width="10.7109375" style="873" customWidth="1"/>
    <col min="11" max="11" width="5.7109375" style="873" customWidth="1"/>
    <col min="12" max="12" width="3.5703125" style="873" customWidth="1"/>
    <col min="13" max="13" width="7" style="873" customWidth="1"/>
    <col min="14" max="14" width="9.140625" style="873"/>
    <col min="15" max="15" width="25.85546875" style="873" customWidth="1"/>
    <col min="16" max="16" width="18.28515625" style="873" customWidth="1"/>
    <col min="17" max="17" width="11.28515625" style="873" customWidth="1"/>
    <col min="18" max="18" width="14" style="873" customWidth="1"/>
    <col min="19" max="19" width="12.28515625" style="873" customWidth="1"/>
    <col min="20" max="16384" width="9.140625" style="873"/>
  </cols>
  <sheetData>
    <row r="2" spans="1:20" ht="20.25" x14ac:dyDescent="0.3">
      <c r="F2" s="874" t="s">
        <v>252</v>
      </c>
    </row>
    <row r="3" spans="1:20" ht="15.75" x14ac:dyDescent="0.25">
      <c r="F3" s="875" t="s">
        <v>914</v>
      </c>
      <c r="L3" s="876" t="s">
        <v>472</v>
      </c>
      <c r="T3" s="877"/>
    </row>
    <row r="4" spans="1:20" ht="12" customHeight="1" x14ac:dyDescent="0.25">
      <c r="T4" s="877"/>
    </row>
    <row r="5" spans="1:20" s="878" customFormat="1" ht="12" customHeight="1" x14ac:dyDescent="0.25">
      <c r="T5" s="877"/>
    </row>
    <row r="6" spans="1:20" s="878" customFormat="1" ht="12" customHeight="1" x14ac:dyDescent="0.25">
      <c r="K6" s="879" t="s">
        <v>908</v>
      </c>
      <c r="L6" s="879"/>
      <c r="M6" s="879"/>
      <c r="T6" s="877"/>
    </row>
    <row r="7" spans="1:20" s="878" customFormat="1" ht="12" customHeight="1" x14ac:dyDescent="0.25">
      <c r="K7" s="879"/>
      <c r="L7" s="880" t="s">
        <v>909</v>
      </c>
      <c r="M7" s="879"/>
      <c r="T7" s="877"/>
    </row>
    <row r="8" spans="1:20" s="878" customFormat="1" ht="12" customHeight="1" x14ac:dyDescent="0.25">
      <c r="K8" s="879"/>
      <c r="L8" s="879" t="s">
        <v>915</v>
      </c>
      <c r="T8" s="877"/>
    </row>
    <row r="9" spans="1:20" s="878" customFormat="1" ht="12" customHeight="1" x14ac:dyDescent="0.25">
      <c r="K9" s="881"/>
      <c r="L9" s="881"/>
      <c r="M9" s="882" t="s">
        <v>910</v>
      </c>
      <c r="T9" s="877"/>
    </row>
    <row r="10" spans="1:20" s="878" customFormat="1" ht="12" customHeight="1" x14ac:dyDescent="0.25">
      <c r="K10" s="881"/>
      <c r="L10" s="881"/>
      <c r="M10" s="881"/>
      <c r="T10" s="877"/>
    </row>
    <row r="11" spans="1:20" s="878" customFormat="1" ht="12" customHeight="1" x14ac:dyDescent="0.25">
      <c r="K11" s="881"/>
      <c r="L11" s="881"/>
      <c r="M11" s="881"/>
      <c r="T11" s="877"/>
    </row>
    <row r="12" spans="1:20" s="878" customFormat="1" ht="12" customHeight="1" x14ac:dyDescent="0.25">
      <c r="K12" s="881"/>
      <c r="L12" s="883"/>
      <c r="M12" s="883"/>
      <c r="T12" s="877"/>
    </row>
    <row r="13" spans="1:20" s="878" customFormat="1" ht="12" customHeight="1" x14ac:dyDescent="0.25">
      <c r="B13" s="884"/>
      <c r="C13" s="884"/>
      <c r="D13" s="884"/>
      <c r="E13" s="884"/>
      <c r="F13" s="884"/>
      <c r="G13" s="884"/>
      <c r="H13" s="884"/>
      <c r="I13" s="884"/>
      <c r="J13" s="884"/>
      <c r="K13" s="884"/>
      <c r="L13" s="884"/>
      <c r="M13" s="884"/>
      <c r="N13" s="884"/>
      <c r="O13" s="884"/>
      <c r="P13" s="884"/>
      <c r="Q13" s="884"/>
      <c r="R13" s="884"/>
      <c r="S13" s="884"/>
      <c r="T13" s="877"/>
    </row>
    <row r="14" spans="1:20" s="878" customFormat="1" ht="12" customHeight="1" x14ac:dyDescent="0.25">
      <c r="B14" s="884"/>
      <c r="C14" s="884"/>
      <c r="D14" s="884"/>
      <c r="E14" s="884"/>
      <c r="F14" s="884"/>
      <c r="G14" s="884"/>
      <c r="H14" s="884"/>
      <c r="I14" s="884"/>
      <c r="J14" s="884"/>
      <c r="K14" s="884"/>
      <c r="L14" s="884"/>
      <c r="M14" s="884"/>
      <c r="N14" s="884"/>
      <c r="O14" s="884"/>
      <c r="P14" s="884"/>
      <c r="Q14" s="884"/>
      <c r="R14" s="884"/>
      <c r="S14" s="884"/>
      <c r="T14" s="877"/>
    </row>
    <row r="15" spans="1:20" s="878" customFormat="1" ht="12" customHeight="1" x14ac:dyDescent="0.25">
      <c r="B15" s="878" t="s">
        <v>253</v>
      </c>
      <c r="H15" s="885"/>
      <c r="J15" s="878" t="s">
        <v>183</v>
      </c>
      <c r="O15" s="884"/>
      <c r="P15" s="884"/>
      <c r="Q15" s="884"/>
      <c r="R15" s="884"/>
      <c r="S15" s="884"/>
      <c r="T15" s="877"/>
    </row>
    <row r="16" spans="1:20" s="878" customFormat="1" ht="12" customHeight="1" x14ac:dyDescent="0.2">
      <c r="A16" s="886"/>
      <c r="B16" s="878" t="s">
        <v>911</v>
      </c>
      <c r="H16" s="885"/>
      <c r="I16" s="885"/>
      <c r="J16" s="878" t="s">
        <v>473</v>
      </c>
      <c r="O16" s="884"/>
      <c r="P16" s="884"/>
      <c r="Q16" s="884"/>
      <c r="R16" s="884"/>
      <c r="S16" s="884"/>
    </row>
    <row r="17" spans="1:19" s="878" customFormat="1" ht="12" customHeight="1" x14ac:dyDescent="0.2">
      <c r="A17" s="886"/>
      <c r="B17" s="878" t="s">
        <v>912</v>
      </c>
      <c r="H17" s="885"/>
      <c r="I17" s="885"/>
      <c r="J17" s="878" t="s">
        <v>474</v>
      </c>
      <c r="O17" s="884"/>
      <c r="P17" s="884"/>
      <c r="Q17" s="884"/>
      <c r="R17" s="884"/>
      <c r="S17" s="884"/>
    </row>
    <row r="18" spans="1:19" s="878" customFormat="1" ht="12" customHeight="1" x14ac:dyDescent="0.2">
      <c r="A18" s="886"/>
      <c r="B18" s="878" t="s">
        <v>913</v>
      </c>
      <c r="H18" s="885"/>
      <c r="I18" s="885"/>
      <c r="J18" s="878" t="s">
        <v>475</v>
      </c>
      <c r="O18" s="884"/>
      <c r="P18" s="884"/>
      <c r="Q18" s="884"/>
      <c r="R18" s="884"/>
      <c r="S18" s="884"/>
    </row>
    <row r="19" spans="1:19" s="878" customFormat="1" ht="12" customHeight="1" x14ac:dyDescent="0.2">
      <c r="B19" s="887" t="s">
        <v>254</v>
      </c>
      <c r="H19" s="885"/>
      <c r="I19" s="885"/>
      <c r="J19" s="878" t="s">
        <v>476</v>
      </c>
      <c r="O19" s="884"/>
      <c r="P19" s="884"/>
      <c r="Q19" s="884"/>
      <c r="R19" s="884"/>
      <c r="S19" s="884"/>
    </row>
    <row r="20" spans="1:19" s="878" customFormat="1" ht="7.5" customHeight="1" x14ac:dyDescent="0.2">
      <c r="B20" s="888"/>
      <c r="C20" s="884"/>
      <c r="D20" s="884"/>
      <c r="E20" s="884"/>
      <c r="F20" s="884"/>
      <c r="G20" s="884"/>
      <c r="H20" s="884"/>
      <c r="I20" s="884"/>
      <c r="J20" s="884"/>
      <c r="K20" s="884"/>
      <c r="L20" s="884"/>
    </row>
    <row r="21" spans="1:19" s="878" customFormat="1" ht="7.5" customHeight="1" x14ac:dyDescent="0.2">
      <c r="B21" s="889"/>
    </row>
    <row r="22" spans="1:19" s="878" customFormat="1" ht="12" customHeight="1" x14ac:dyDescent="0.2">
      <c r="A22" s="890"/>
      <c r="B22" s="891" t="s">
        <v>255</v>
      </c>
    </row>
    <row r="23" spans="1:19" s="878" customFormat="1" ht="3" customHeight="1" x14ac:dyDescent="0.2"/>
    <row r="24" spans="1:19" s="878" customFormat="1" ht="12" customHeight="1" x14ac:dyDescent="0.2">
      <c r="B24" s="892"/>
      <c r="C24" s="2" t="s">
        <v>178</v>
      </c>
    </row>
    <row r="25" spans="1:19" s="878" customFormat="1" ht="3" customHeight="1" x14ac:dyDescent="0.2">
      <c r="C25" s="1"/>
    </row>
    <row r="26" spans="1:19" s="878" customFormat="1" ht="12" customHeight="1" x14ac:dyDescent="0.2">
      <c r="B26" s="892"/>
      <c r="C26" s="2" t="s">
        <v>179</v>
      </c>
    </row>
    <row r="27" spans="1:19" s="878" customFormat="1" ht="3" customHeight="1" x14ac:dyDescent="0.2">
      <c r="B27" s="886"/>
      <c r="C27" s="2"/>
    </row>
    <row r="28" spans="1:19" s="878" customFormat="1" ht="12" customHeight="1" x14ac:dyDescent="0.2">
      <c r="B28" s="892"/>
      <c r="C28" s="2" t="s">
        <v>180</v>
      </c>
    </row>
    <row r="29" spans="1:19" s="878" customFormat="1" ht="3" customHeight="1" x14ac:dyDescent="0.2">
      <c r="B29" s="886"/>
      <c r="C29" s="4"/>
    </row>
    <row r="30" spans="1:19" s="878" customFormat="1" ht="12" customHeight="1" x14ac:dyDescent="0.2">
      <c r="B30" s="892"/>
      <c r="C30" s="2" t="s">
        <v>181</v>
      </c>
    </row>
    <row r="31" spans="1:19" ht="3" customHeight="1" x14ac:dyDescent="0.2">
      <c r="C31" s="5"/>
    </row>
    <row r="32" spans="1:19" s="878" customFormat="1" ht="14.25" customHeight="1" x14ac:dyDescent="0.2">
      <c r="B32" s="892"/>
      <c r="C32" s="2" t="s">
        <v>182</v>
      </c>
    </row>
    <row r="33" spans="2:3" ht="3" customHeight="1" x14ac:dyDescent="0.2"/>
    <row r="34" spans="2:3" s="878" customFormat="1" ht="12" customHeight="1" x14ac:dyDescent="0.2">
      <c r="B34" s="886"/>
      <c r="C34" s="887"/>
    </row>
    <row r="35" spans="2:3" ht="3" customHeight="1" x14ac:dyDescent="0.2">
      <c r="B35" s="897"/>
    </row>
    <row r="36" spans="2:3" s="878" customFormat="1" ht="12" customHeight="1" x14ac:dyDescent="0.2">
      <c r="B36" s="886"/>
      <c r="C36" s="893"/>
    </row>
    <row r="37" spans="2:3" ht="3" customHeight="1" x14ac:dyDescent="0.2">
      <c r="B37" s="897"/>
    </row>
    <row r="38" spans="2:3" s="878" customFormat="1" ht="12" customHeight="1" x14ac:dyDescent="0.2">
      <c r="B38" s="886"/>
      <c r="C38" s="893"/>
    </row>
    <row r="39" spans="2:3" ht="3" customHeight="1" x14ac:dyDescent="0.2">
      <c r="B39" s="897"/>
    </row>
    <row r="40" spans="2:3" s="878" customFormat="1" ht="12" customHeight="1" x14ac:dyDescent="0.2">
      <c r="B40" s="886"/>
      <c r="C40" s="887"/>
    </row>
    <row r="41" spans="2:3" ht="3" customHeight="1" x14ac:dyDescent="0.2">
      <c r="B41" s="897"/>
    </row>
    <row r="42" spans="2:3" s="878" customFormat="1" ht="12" customHeight="1" x14ac:dyDescent="0.2">
      <c r="B42" s="886"/>
      <c r="C42" s="893"/>
    </row>
    <row r="43" spans="2:3" ht="3" customHeight="1" x14ac:dyDescent="0.2"/>
    <row r="44" spans="2:3" ht="12" customHeight="1" x14ac:dyDescent="0.2"/>
    <row r="45" spans="2:3" ht="12" customHeight="1" x14ac:dyDescent="0.2"/>
    <row r="46" spans="2:3" ht="12" customHeight="1" x14ac:dyDescent="0.2"/>
    <row r="47" spans="2:3" ht="12" customHeight="1" x14ac:dyDescent="0.2"/>
    <row r="48" spans="2:3" ht="12" customHeight="1" x14ac:dyDescent="0.2"/>
    <row r="49" spans="1:2" s="878" customFormat="1" ht="12" customHeight="1" x14ac:dyDescent="0.2">
      <c r="A49" s="890"/>
      <c r="B49" s="878" t="s">
        <v>477</v>
      </c>
    </row>
    <row r="50" spans="1:2" s="878" customFormat="1" ht="7.5" customHeight="1" x14ac:dyDescent="0.2"/>
    <row r="51" spans="1:2" s="878" customFormat="1" ht="12" customHeight="1" x14ac:dyDescent="0.2">
      <c r="A51" s="894"/>
    </row>
    <row r="52" spans="1:2" s="878" customFormat="1" ht="12" customHeight="1" x14ac:dyDescent="0.2">
      <c r="A52" s="894"/>
    </row>
    <row r="53" spans="1:2" s="878" customFormat="1" ht="12" customHeight="1" x14ac:dyDescent="0.2">
      <c r="A53" s="894"/>
    </row>
    <row r="54" spans="1:2" s="878" customFormat="1" ht="12" customHeight="1" x14ac:dyDescent="0.2">
      <c r="A54" s="894"/>
    </row>
    <row r="55" spans="1:2" s="878" customFormat="1" ht="12" customHeight="1" x14ac:dyDescent="0.2">
      <c r="A55" s="894"/>
    </row>
    <row r="56" spans="1:2" s="878" customFormat="1" ht="12" customHeight="1" x14ac:dyDescent="0.2">
      <c r="A56" s="894"/>
    </row>
    <row r="57" spans="1:2" s="878" customFormat="1" ht="12" customHeight="1" x14ac:dyDescent="0.2">
      <c r="A57" s="894"/>
    </row>
    <row r="58" spans="1:2" s="878" customFormat="1" ht="12" customHeight="1" x14ac:dyDescent="0.2">
      <c r="A58" s="894"/>
    </row>
    <row r="59" spans="1:2" s="878" customFormat="1" ht="12" customHeight="1" x14ac:dyDescent="0.2">
      <c r="A59" s="894"/>
    </row>
    <row r="60" spans="1:2" s="878" customFormat="1" ht="12" customHeight="1" x14ac:dyDescent="0.2">
      <c r="A60" s="894"/>
    </row>
    <row r="61" spans="1:2" s="878" customFormat="1" ht="12" customHeight="1" x14ac:dyDescent="0.2">
      <c r="A61" s="894"/>
    </row>
    <row r="62" spans="1:2" s="878" customFormat="1" ht="12" customHeight="1" x14ac:dyDescent="0.2">
      <c r="A62" s="894"/>
    </row>
    <row r="63" spans="1:2" s="878" customFormat="1" ht="12" customHeight="1" x14ac:dyDescent="0.2">
      <c r="A63" s="894"/>
    </row>
    <row r="64" spans="1:2" s="878" customFormat="1" ht="12" customHeight="1" x14ac:dyDescent="0.2">
      <c r="A64" s="894"/>
    </row>
    <row r="65" spans="1:2" s="878" customFormat="1" ht="12" customHeight="1" x14ac:dyDescent="0.2">
      <c r="A65" s="894"/>
    </row>
    <row r="66" spans="1:2" s="878" customFormat="1" ht="12" customHeight="1" x14ac:dyDescent="0.2">
      <c r="A66" s="894"/>
    </row>
    <row r="67" spans="1:2" s="878" customFormat="1" ht="12" customHeight="1" x14ac:dyDescent="0.2">
      <c r="A67" s="894"/>
    </row>
    <row r="68" spans="1:2" s="878" customFormat="1" ht="12" customHeight="1" x14ac:dyDescent="0.2">
      <c r="A68" s="894"/>
    </row>
    <row r="69" spans="1:2" s="878" customFormat="1" ht="12" customHeight="1" x14ac:dyDescent="0.2">
      <c r="A69" s="894"/>
    </row>
    <row r="70" spans="1:2" s="878" customFormat="1" ht="12" customHeight="1" x14ac:dyDescent="0.2">
      <c r="A70" s="894"/>
    </row>
    <row r="71" spans="1:2" s="878" customFormat="1" ht="12" customHeight="1" x14ac:dyDescent="0.2">
      <c r="A71" s="894"/>
    </row>
    <row r="72" spans="1:2" s="878" customFormat="1" ht="12" customHeight="1" x14ac:dyDescent="0.2">
      <c r="A72" s="894"/>
    </row>
    <row r="73" spans="1:2" s="878" customFormat="1" ht="12" customHeight="1" x14ac:dyDescent="0.2">
      <c r="A73" s="894"/>
    </row>
    <row r="74" spans="1:2" s="878" customFormat="1" ht="12" customHeight="1" x14ac:dyDescent="0.2">
      <c r="A74" s="894"/>
    </row>
    <row r="75" spans="1:2" s="878" customFormat="1" ht="12" customHeight="1" x14ac:dyDescent="0.2">
      <c r="A75" s="894"/>
    </row>
    <row r="76" spans="1:2" s="878" customFormat="1" ht="12" customHeight="1" x14ac:dyDescent="0.25">
      <c r="A76" s="894"/>
      <c r="B76" s="877" t="s">
        <v>478</v>
      </c>
    </row>
    <row r="77" spans="1:2" s="878" customFormat="1" ht="12" customHeight="1" x14ac:dyDescent="0.25">
      <c r="A77" s="894"/>
      <c r="B77" s="877" t="s">
        <v>479</v>
      </c>
    </row>
    <row r="78" spans="1:2" s="878" customFormat="1" ht="12" customHeight="1" x14ac:dyDescent="0.25">
      <c r="A78" s="894"/>
      <c r="B78" s="877"/>
    </row>
    <row r="79" spans="1:2" s="878" customFormat="1" ht="12" customHeight="1" x14ac:dyDescent="0.25">
      <c r="A79" s="894"/>
      <c r="B79" s="877" t="s">
        <v>480</v>
      </c>
    </row>
    <row r="80" spans="1:2" s="878" customFormat="1" ht="12" customHeight="1" x14ac:dyDescent="0.25">
      <c r="A80" s="894"/>
      <c r="B80" s="877" t="s">
        <v>481</v>
      </c>
    </row>
    <row r="81" spans="1:10" s="878" customFormat="1" ht="12" customHeight="1" x14ac:dyDescent="0.25">
      <c r="A81" s="894"/>
      <c r="B81" s="877" t="s">
        <v>482</v>
      </c>
    </row>
    <row r="82" spans="1:10" s="878" customFormat="1" ht="12" customHeight="1" x14ac:dyDescent="0.25">
      <c r="B82" s="877"/>
    </row>
    <row r="83" spans="1:10" s="878" customFormat="1" ht="12" customHeight="1" x14ac:dyDescent="0.25">
      <c r="A83" s="886"/>
      <c r="B83" s="877" t="s">
        <v>483</v>
      </c>
      <c r="C83" s="886"/>
      <c r="D83" s="886"/>
      <c r="E83" s="886"/>
      <c r="F83" s="886"/>
      <c r="G83" s="886"/>
      <c r="H83" s="886"/>
      <c r="I83" s="886"/>
      <c r="J83" s="886"/>
    </row>
    <row r="84" spans="1:10" s="878" customFormat="1" ht="12" customHeight="1" x14ac:dyDescent="0.25">
      <c r="A84" s="886"/>
      <c r="B84" s="877"/>
      <c r="C84" s="886"/>
      <c r="D84" s="886"/>
      <c r="E84" s="886"/>
      <c r="F84" s="886"/>
      <c r="G84" s="886"/>
      <c r="H84" s="886"/>
      <c r="I84" s="886"/>
      <c r="J84" s="886"/>
    </row>
    <row r="85" spans="1:10" s="878" customFormat="1" ht="12" customHeight="1" x14ac:dyDescent="0.25">
      <c r="A85" s="886"/>
      <c r="B85" s="877" t="s">
        <v>484</v>
      </c>
      <c r="C85" s="886"/>
      <c r="D85" s="886"/>
      <c r="E85" s="886"/>
      <c r="F85" s="886"/>
      <c r="G85" s="886"/>
      <c r="H85" s="886"/>
      <c r="I85" s="886"/>
      <c r="J85" s="886"/>
    </row>
    <row r="86" spans="1:10" s="878" customFormat="1" ht="12" customHeight="1" x14ac:dyDescent="0.25">
      <c r="A86" s="886"/>
      <c r="B86" s="877" t="s">
        <v>485</v>
      </c>
      <c r="C86" s="886"/>
      <c r="D86" s="886"/>
      <c r="E86" s="886"/>
      <c r="F86" s="886"/>
      <c r="G86" s="886"/>
      <c r="H86" s="886"/>
      <c r="I86" s="886"/>
      <c r="J86" s="886"/>
    </row>
    <row r="87" spans="1:10" s="878" customFormat="1" ht="12" customHeight="1" x14ac:dyDescent="0.25">
      <c r="A87" s="886"/>
      <c r="B87" s="877"/>
      <c r="C87" s="886"/>
      <c r="D87" s="886"/>
      <c r="E87" s="886"/>
      <c r="F87" s="886"/>
      <c r="G87" s="886"/>
      <c r="H87" s="886"/>
      <c r="I87" s="886"/>
      <c r="J87" s="886"/>
    </row>
    <row r="88" spans="1:10" s="878" customFormat="1" ht="12" customHeight="1" x14ac:dyDescent="0.25">
      <c r="A88" s="886"/>
      <c r="B88" s="877" t="s">
        <v>486</v>
      </c>
      <c r="C88" s="886"/>
      <c r="D88" s="886"/>
      <c r="E88" s="886"/>
      <c r="F88" s="886"/>
      <c r="G88" s="886"/>
      <c r="H88" s="886"/>
      <c r="I88" s="886"/>
      <c r="J88" s="886"/>
    </row>
    <row r="89" spans="1:10" s="878" customFormat="1" ht="12" customHeight="1" x14ac:dyDescent="0.25">
      <c r="A89" s="886"/>
      <c r="B89" s="877" t="s">
        <v>487</v>
      </c>
      <c r="C89" s="886"/>
      <c r="D89" s="886"/>
      <c r="E89" s="886"/>
      <c r="F89" s="886"/>
      <c r="G89" s="886"/>
      <c r="H89" s="886"/>
      <c r="I89" s="886"/>
      <c r="J89" s="886"/>
    </row>
    <row r="90" spans="1:10" s="878" customFormat="1" ht="12" customHeight="1" x14ac:dyDescent="0.25">
      <c r="A90" s="886"/>
      <c r="B90" s="877" t="s">
        <v>488</v>
      </c>
      <c r="C90" s="886"/>
      <c r="D90" s="886"/>
      <c r="E90" s="886"/>
      <c r="F90" s="886"/>
      <c r="G90" s="886"/>
      <c r="H90" s="886"/>
      <c r="I90" s="886"/>
      <c r="J90" s="886"/>
    </row>
    <row r="91" spans="1:10" s="878" customFormat="1" ht="12" customHeight="1" x14ac:dyDescent="0.25">
      <c r="A91" s="886"/>
      <c r="B91" s="877" t="s">
        <v>489</v>
      </c>
      <c r="C91" s="886"/>
      <c r="D91" s="886"/>
      <c r="E91" s="886"/>
      <c r="F91" s="886"/>
      <c r="G91" s="886"/>
      <c r="H91" s="886"/>
      <c r="I91" s="886"/>
      <c r="J91" s="886"/>
    </row>
    <row r="92" spans="1:10" s="878" customFormat="1" ht="12" customHeight="1" x14ac:dyDescent="0.25">
      <c r="A92" s="886"/>
      <c r="B92" s="877" t="s">
        <v>490</v>
      </c>
      <c r="C92" s="886"/>
      <c r="D92" s="895"/>
      <c r="E92" s="886"/>
      <c r="F92" s="886"/>
      <c r="G92" s="886"/>
      <c r="H92" s="886"/>
      <c r="I92" s="886"/>
      <c r="J92" s="886"/>
    </row>
    <row r="93" spans="1:10" s="878" customFormat="1" ht="12" customHeight="1" x14ac:dyDescent="0.25">
      <c r="A93" s="886"/>
      <c r="B93" s="877" t="s">
        <v>491</v>
      </c>
      <c r="C93" s="886"/>
      <c r="D93" s="886"/>
      <c r="E93" s="886"/>
      <c r="F93" s="886"/>
      <c r="G93" s="886"/>
      <c r="H93" s="886"/>
      <c r="I93" s="886"/>
      <c r="J93" s="886"/>
    </row>
    <row r="94" spans="1:10" s="878" customFormat="1" ht="12" customHeight="1" x14ac:dyDescent="0.25">
      <c r="A94" s="886"/>
      <c r="B94" s="877" t="s">
        <v>492</v>
      </c>
      <c r="C94" s="886"/>
      <c r="D94" s="895"/>
      <c r="E94" s="886"/>
      <c r="F94" s="886"/>
      <c r="G94" s="886"/>
      <c r="H94" s="886"/>
      <c r="I94" s="886"/>
      <c r="J94" s="886"/>
    </row>
    <row r="95" spans="1:10" s="878" customFormat="1" ht="12" customHeight="1" x14ac:dyDescent="0.25">
      <c r="A95" s="886"/>
      <c r="B95" s="877" t="s">
        <v>493</v>
      </c>
      <c r="C95" s="886"/>
      <c r="D95" s="886"/>
      <c r="E95" s="886"/>
      <c r="F95" s="886"/>
      <c r="G95" s="886"/>
      <c r="H95" s="886"/>
      <c r="I95" s="886"/>
      <c r="J95" s="886"/>
    </row>
    <row r="96" spans="1:10" s="878" customFormat="1" ht="12" customHeight="1" x14ac:dyDescent="0.25">
      <c r="A96" s="886"/>
      <c r="B96" s="877"/>
      <c r="C96" s="886"/>
      <c r="D96" s="895"/>
      <c r="E96" s="886"/>
      <c r="F96" s="886"/>
      <c r="G96" s="886"/>
      <c r="H96" s="886"/>
      <c r="I96" s="886"/>
      <c r="J96" s="886"/>
    </row>
    <row r="97" spans="1:10" s="878" customFormat="1" ht="12" customHeight="1" x14ac:dyDescent="0.25">
      <c r="A97" s="886"/>
      <c r="B97" s="877" t="s">
        <v>494</v>
      </c>
      <c r="C97" s="886"/>
      <c r="D97" s="886"/>
      <c r="E97" s="886"/>
      <c r="F97" s="886"/>
      <c r="G97" s="886"/>
      <c r="H97" s="886"/>
      <c r="I97" s="886"/>
      <c r="J97" s="886"/>
    </row>
    <row r="98" spans="1:10" s="878" customFormat="1" ht="12" customHeight="1" x14ac:dyDescent="0.25">
      <c r="A98" s="886"/>
      <c r="B98" s="877" t="s">
        <v>495</v>
      </c>
      <c r="C98" s="886"/>
      <c r="D98" s="895"/>
      <c r="E98" s="886"/>
      <c r="F98" s="886"/>
      <c r="G98" s="886"/>
      <c r="H98" s="886"/>
      <c r="I98" s="886"/>
      <c r="J98" s="886"/>
    </row>
    <row r="99" spans="1:10" s="878" customFormat="1" ht="12" customHeight="1" x14ac:dyDescent="0.25">
      <c r="A99" s="886"/>
      <c r="B99" s="877" t="s">
        <v>496</v>
      </c>
      <c r="C99" s="886"/>
      <c r="D99" s="886"/>
      <c r="E99" s="886"/>
      <c r="F99" s="886"/>
      <c r="G99" s="886"/>
      <c r="H99" s="886"/>
      <c r="I99" s="886"/>
      <c r="J99" s="886"/>
    </row>
    <row r="100" spans="1:10" s="878" customFormat="1" ht="12" customHeight="1" x14ac:dyDescent="0.25">
      <c r="A100" s="886"/>
      <c r="B100" s="877" t="s">
        <v>497</v>
      </c>
      <c r="C100" s="886"/>
      <c r="D100" s="895"/>
      <c r="E100" s="886"/>
      <c r="F100" s="886"/>
      <c r="G100" s="886"/>
      <c r="H100" s="886"/>
      <c r="I100" s="886"/>
      <c r="J100" s="886"/>
    </row>
    <row r="101" spans="1:10" s="878" customFormat="1" ht="12" customHeight="1" x14ac:dyDescent="0.25">
      <c r="A101" s="886"/>
      <c r="B101" s="877" t="s">
        <v>498</v>
      </c>
      <c r="C101" s="886"/>
      <c r="D101" s="886"/>
      <c r="E101" s="886"/>
      <c r="F101" s="886"/>
      <c r="G101" s="886"/>
      <c r="H101" s="886"/>
      <c r="I101" s="886"/>
      <c r="J101" s="886"/>
    </row>
    <row r="102" spans="1:10" s="878" customFormat="1" ht="12" customHeight="1" x14ac:dyDescent="0.25">
      <c r="A102" s="886"/>
      <c r="B102" s="877" t="s">
        <v>499</v>
      </c>
      <c r="C102" s="886"/>
      <c r="D102" s="886"/>
      <c r="E102" s="886"/>
      <c r="F102" s="886"/>
      <c r="G102" s="886"/>
      <c r="H102" s="886"/>
      <c r="I102" s="886"/>
      <c r="J102" s="886"/>
    </row>
    <row r="103" spans="1:10" s="878" customFormat="1" ht="12" customHeight="1" x14ac:dyDescent="0.25">
      <c r="A103" s="886"/>
      <c r="B103" s="877"/>
      <c r="C103" s="886"/>
      <c r="D103" s="895"/>
      <c r="E103" s="886"/>
      <c r="F103" s="886"/>
      <c r="G103" s="886"/>
      <c r="H103" s="886"/>
      <c r="I103" s="886"/>
      <c r="J103" s="886"/>
    </row>
    <row r="104" spans="1:10" s="878" customFormat="1" ht="12" customHeight="1" x14ac:dyDescent="0.25">
      <c r="A104" s="886"/>
      <c r="B104" s="877" t="s">
        <v>500</v>
      </c>
      <c r="C104" s="886"/>
      <c r="D104" s="886"/>
      <c r="E104" s="886"/>
      <c r="F104" s="886"/>
      <c r="G104" s="886"/>
      <c r="H104" s="886"/>
      <c r="I104" s="886"/>
      <c r="J104" s="886"/>
    </row>
    <row r="105" spans="1:10" s="878" customFormat="1" ht="12" customHeight="1" x14ac:dyDescent="0.25">
      <c r="A105" s="886"/>
      <c r="B105" s="877" t="s">
        <v>534</v>
      </c>
      <c r="C105" s="886"/>
      <c r="D105" s="886"/>
      <c r="E105" s="886"/>
      <c r="F105" s="886"/>
      <c r="G105" s="886"/>
      <c r="H105" s="886"/>
      <c r="I105" s="886"/>
      <c r="J105" s="886"/>
    </row>
    <row r="106" spans="1:10" s="878" customFormat="1" ht="12" customHeight="1" x14ac:dyDescent="0.25">
      <c r="A106" s="886"/>
      <c r="B106" s="877" t="s">
        <v>535</v>
      </c>
      <c r="C106" s="886"/>
      <c r="D106" s="886"/>
      <c r="E106" s="886"/>
      <c r="F106" s="886"/>
      <c r="G106" s="886"/>
      <c r="H106" s="886"/>
      <c r="I106" s="886"/>
      <c r="J106" s="886"/>
    </row>
    <row r="107" spans="1:10" s="878" customFormat="1" ht="12" customHeight="1" x14ac:dyDescent="0.25">
      <c r="A107" s="886"/>
      <c r="B107" s="877" t="s">
        <v>536</v>
      </c>
      <c r="C107" s="896"/>
      <c r="D107" s="886"/>
      <c r="E107" s="886"/>
      <c r="F107" s="886"/>
      <c r="G107" s="886"/>
      <c r="H107" s="886"/>
      <c r="I107" s="886"/>
      <c r="J107" s="886"/>
    </row>
    <row r="108" spans="1:10" s="878" customFormat="1" ht="12" customHeight="1" x14ac:dyDescent="0.25">
      <c r="A108" s="886"/>
      <c r="B108" s="877"/>
      <c r="C108" s="886"/>
      <c r="D108" s="886"/>
      <c r="E108" s="886"/>
      <c r="F108" s="886"/>
      <c r="G108" s="886"/>
      <c r="H108" s="886"/>
      <c r="I108" s="886"/>
      <c r="J108" s="886"/>
    </row>
    <row r="109" spans="1:10" s="878" customFormat="1" ht="12" customHeight="1" x14ac:dyDescent="0.25">
      <c r="A109" s="886"/>
      <c r="B109" s="877" t="s">
        <v>537</v>
      </c>
      <c r="C109" s="886"/>
      <c r="D109" s="886"/>
      <c r="E109" s="886"/>
      <c r="F109" s="886"/>
      <c r="G109" s="886"/>
      <c r="H109" s="886"/>
      <c r="I109" s="886"/>
      <c r="J109" s="886"/>
    </row>
    <row r="110" spans="1:10" s="878" customFormat="1" ht="12" customHeight="1" x14ac:dyDescent="0.25">
      <c r="A110" s="886"/>
      <c r="B110" s="877" t="s">
        <v>538</v>
      </c>
      <c r="C110" s="886"/>
      <c r="D110" s="886"/>
      <c r="E110" s="886"/>
      <c r="F110" s="886"/>
      <c r="G110" s="886"/>
      <c r="H110" s="886"/>
      <c r="I110" s="886"/>
      <c r="J110" s="886"/>
    </row>
    <row r="111" spans="1:10" s="878" customFormat="1" ht="12" customHeight="1" x14ac:dyDescent="0.25">
      <c r="A111" s="886"/>
      <c r="B111" s="877" t="s">
        <v>539</v>
      </c>
      <c r="C111" s="886"/>
      <c r="D111" s="886"/>
      <c r="E111" s="886"/>
      <c r="F111" s="886"/>
      <c r="G111" s="886"/>
      <c r="H111" s="886"/>
      <c r="I111" s="886"/>
      <c r="J111" s="886"/>
    </row>
    <row r="112" spans="1:10" s="878" customFormat="1" ht="12" customHeight="1" x14ac:dyDescent="0.25">
      <c r="A112" s="886"/>
      <c r="B112" s="877" t="s">
        <v>540</v>
      </c>
      <c r="C112" s="886"/>
      <c r="D112" s="886"/>
      <c r="E112" s="886"/>
      <c r="F112" s="886"/>
      <c r="G112" s="886"/>
      <c r="H112" s="886"/>
      <c r="I112" s="886"/>
      <c r="J112" s="886"/>
    </row>
    <row r="113" spans="1:10" s="878" customFormat="1" ht="12" customHeight="1" x14ac:dyDescent="0.25">
      <c r="A113" s="886"/>
      <c r="B113" s="877" t="s">
        <v>541</v>
      </c>
      <c r="C113" s="886"/>
      <c r="D113" s="886"/>
      <c r="E113" s="886"/>
      <c r="F113" s="886"/>
      <c r="G113" s="886"/>
      <c r="H113" s="886"/>
      <c r="I113" s="886"/>
      <c r="J113" s="886"/>
    </row>
    <row r="114" spans="1:10" s="878" customFormat="1" ht="12" customHeight="1" x14ac:dyDescent="0.25">
      <c r="A114" s="886"/>
      <c r="B114" s="877"/>
      <c r="C114" s="886"/>
      <c r="D114" s="886"/>
      <c r="E114" s="886"/>
      <c r="F114" s="886"/>
      <c r="G114" s="886"/>
      <c r="H114" s="886"/>
      <c r="I114" s="886"/>
      <c r="J114" s="886"/>
    </row>
    <row r="115" spans="1:10" s="878" customFormat="1" ht="12" customHeight="1" x14ac:dyDescent="0.25">
      <c r="A115" s="886"/>
      <c r="B115" s="877" t="s">
        <v>542</v>
      </c>
      <c r="C115" s="886"/>
      <c r="D115" s="886"/>
      <c r="E115" s="886"/>
      <c r="F115" s="886"/>
      <c r="G115" s="886"/>
      <c r="H115" s="886"/>
      <c r="I115" s="886"/>
      <c r="J115" s="886"/>
    </row>
    <row r="116" spans="1:10" s="878" customFormat="1" ht="12" customHeight="1" x14ac:dyDescent="0.25">
      <c r="A116" s="886"/>
      <c r="B116" s="877" t="s">
        <v>543</v>
      </c>
      <c r="C116" s="886"/>
      <c r="D116" s="886"/>
      <c r="E116" s="886"/>
      <c r="F116" s="886"/>
      <c r="G116" s="886"/>
      <c r="H116" s="886"/>
      <c r="I116" s="886"/>
      <c r="J116" s="886"/>
    </row>
    <row r="117" spans="1:10" s="878" customFormat="1" ht="12" customHeight="1" x14ac:dyDescent="0.25">
      <c r="A117" s="886"/>
      <c r="B117" s="877" t="s">
        <v>544</v>
      </c>
      <c r="C117" s="886"/>
      <c r="D117" s="886"/>
      <c r="E117" s="886"/>
      <c r="F117" s="886"/>
      <c r="G117" s="886"/>
      <c r="H117" s="886"/>
      <c r="I117" s="886"/>
      <c r="J117" s="886"/>
    </row>
    <row r="118" spans="1:10" s="878" customFormat="1" ht="12" customHeight="1" x14ac:dyDescent="0.25">
      <c r="A118" s="886"/>
      <c r="B118" s="877"/>
      <c r="C118" s="886"/>
      <c r="D118" s="886"/>
      <c r="E118" s="886"/>
      <c r="F118" s="886"/>
      <c r="G118" s="886"/>
      <c r="H118" s="886"/>
      <c r="I118" s="886"/>
      <c r="J118" s="886"/>
    </row>
    <row r="119" spans="1:10" s="878" customFormat="1" ht="12" customHeight="1" x14ac:dyDescent="0.25">
      <c r="A119" s="886"/>
      <c r="B119" s="877" t="s">
        <v>545</v>
      </c>
      <c r="C119" s="886"/>
      <c r="D119" s="886"/>
      <c r="E119" s="886"/>
      <c r="F119" s="886"/>
      <c r="G119" s="886"/>
      <c r="H119" s="886"/>
      <c r="I119" s="886"/>
      <c r="J119" s="886"/>
    </row>
    <row r="120" spans="1:10" s="878" customFormat="1" ht="12" customHeight="1" x14ac:dyDescent="0.25">
      <c r="A120" s="886"/>
      <c r="B120" s="877" t="s">
        <v>546</v>
      </c>
      <c r="C120" s="886"/>
      <c r="D120" s="886"/>
      <c r="E120" s="886"/>
      <c r="F120" s="886"/>
      <c r="G120" s="886"/>
      <c r="H120" s="886"/>
      <c r="I120" s="886"/>
      <c r="J120" s="886"/>
    </row>
    <row r="121" spans="1:10" s="878" customFormat="1" ht="12" customHeight="1" x14ac:dyDescent="0.25">
      <c r="A121" s="886"/>
      <c r="B121" s="877" t="s">
        <v>547</v>
      </c>
      <c r="C121" s="886"/>
      <c r="D121" s="886"/>
      <c r="E121" s="886"/>
      <c r="F121" s="886"/>
      <c r="G121" s="886"/>
      <c r="H121" s="886"/>
      <c r="I121" s="886"/>
      <c r="J121" s="886"/>
    </row>
    <row r="122" spans="1:10" s="878" customFormat="1" ht="12" customHeight="1" x14ac:dyDescent="0.25">
      <c r="A122" s="886"/>
      <c r="B122" s="877" t="s">
        <v>548</v>
      </c>
      <c r="C122" s="886"/>
      <c r="D122" s="886"/>
      <c r="E122" s="886"/>
      <c r="F122" s="886"/>
      <c r="G122" s="886"/>
      <c r="H122" s="886"/>
      <c r="I122" s="886"/>
      <c r="J122" s="886"/>
    </row>
    <row r="123" spans="1:10" s="878" customFormat="1" ht="12" customHeight="1" x14ac:dyDescent="0.25">
      <c r="A123" s="886"/>
      <c r="B123" s="877" t="s">
        <v>549</v>
      </c>
      <c r="C123" s="886"/>
      <c r="D123" s="886"/>
      <c r="E123" s="886"/>
      <c r="F123" s="886"/>
      <c r="G123" s="886"/>
      <c r="H123" s="886"/>
      <c r="I123" s="886"/>
      <c r="J123" s="886"/>
    </row>
    <row r="124" spans="1:10" s="878" customFormat="1" ht="12" customHeight="1" x14ac:dyDescent="0.25">
      <c r="A124" s="886"/>
      <c r="B124" s="877"/>
      <c r="C124" s="886"/>
      <c r="D124" s="886"/>
      <c r="E124" s="886"/>
      <c r="F124" s="886"/>
      <c r="G124" s="886"/>
      <c r="H124" s="886"/>
      <c r="I124" s="886"/>
      <c r="J124" s="886"/>
    </row>
    <row r="125" spans="1:10" s="878" customFormat="1" ht="12" customHeight="1" x14ac:dyDescent="0.25">
      <c r="A125" s="886"/>
      <c r="B125" s="877" t="s">
        <v>550</v>
      </c>
      <c r="C125" s="886"/>
      <c r="D125" s="886"/>
      <c r="E125" s="886"/>
      <c r="F125" s="886"/>
      <c r="G125" s="886"/>
      <c r="H125" s="886"/>
      <c r="I125" s="886"/>
      <c r="J125" s="886"/>
    </row>
    <row r="126" spans="1:10" s="878" customFormat="1" ht="12" customHeight="1" x14ac:dyDescent="0.25">
      <c r="A126" s="886"/>
      <c r="B126" s="877" t="s">
        <v>551</v>
      </c>
      <c r="C126" s="886"/>
      <c r="D126" s="886"/>
      <c r="E126" s="886"/>
      <c r="F126" s="886"/>
      <c r="G126" s="886"/>
      <c r="H126" s="886"/>
      <c r="I126" s="886"/>
      <c r="J126" s="886"/>
    </row>
    <row r="127" spans="1:10" s="878" customFormat="1" ht="12" customHeight="1" x14ac:dyDescent="0.25">
      <c r="A127" s="886"/>
      <c r="B127" s="877" t="s">
        <v>552</v>
      </c>
      <c r="C127" s="886"/>
      <c r="D127" s="886"/>
      <c r="E127" s="886"/>
      <c r="F127" s="886"/>
      <c r="G127" s="886"/>
      <c r="H127" s="886"/>
      <c r="I127" s="886"/>
      <c r="J127" s="886"/>
    </row>
    <row r="128" spans="1:10" s="878" customFormat="1" ht="12" customHeight="1" x14ac:dyDescent="0.25">
      <c r="A128" s="886"/>
      <c r="B128" s="877" t="s">
        <v>553</v>
      </c>
      <c r="C128" s="886"/>
      <c r="D128" s="886"/>
      <c r="E128" s="886"/>
      <c r="F128" s="886"/>
      <c r="G128" s="886"/>
      <c r="H128" s="886"/>
      <c r="I128" s="886"/>
      <c r="J128" s="886"/>
    </row>
    <row r="129" spans="1:10" s="878" customFormat="1" ht="12" customHeight="1" x14ac:dyDescent="0.25">
      <c r="A129" s="886"/>
      <c r="B129" s="877" t="s">
        <v>554</v>
      </c>
      <c r="C129" s="886"/>
      <c r="D129" s="886"/>
      <c r="E129" s="886"/>
      <c r="F129" s="886"/>
      <c r="G129" s="886"/>
      <c r="H129" s="886"/>
      <c r="I129" s="886"/>
      <c r="J129" s="886"/>
    </row>
    <row r="130" spans="1:10" s="878" customFormat="1" ht="12" customHeight="1" x14ac:dyDescent="0.25">
      <c r="A130" s="886"/>
      <c r="B130" s="877" t="s">
        <v>555</v>
      </c>
      <c r="C130" s="886"/>
      <c r="D130" s="886"/>
      <c r="E130" s="886"/>
      <c r="F130" s="886"/>
      <c r="G130" s="886"/>
      <c r="H130" s="886"/>
      <c r="I130" s="886"/>
      <c r="J130" s="886"/>
    </row>
    <row r="131" spans="1:10" s="878" customFormat="1" ht="12" customHeight="1" x14ac:dyDescent="0.25">
      <c r="A131" s="886"/>
      <c r="B131" s="877" t="s">
        <v>556</v>
      </c>
      <c r="C131" s="886"/>
      <c r="D131" s="886"/>
      <c r="E131" s="886"/>
      <c r="F131" s="886"/>
      <c r="G131" s="886"/>
      <c r="H131" s="886"/>
      <c r="I131" s="886"/>
      <c r="J131" s="886"/>
    </row>
    <row r="132" spans="1:10" s="878" customFormat="1" ht="12" customHeight="1" x14ac:dyDescent="0.25">
      <c r="A132" s="886"/>
      <c r="B132" s="877" t="s">
        <v>557</v>
      </c>
      <c r="C132" s="886"/>
      <c r="D132" s="886"/>
      <c r="E132" s="886"/>
      <c r="F132" s="886"/>
      <c r="G132" s="886"/>
      <c r="H132" s="886"/>
      <c r="I132" s="886"/>
      <c r="J132" s="886"/>
    </row>
    <row r="133" spans="1:10" s="878" customFormat="1" ht="12" customHeight="1" x14ac:dyDescent="0.25">
      <c r="A133" s="886"/>
      <c r="B133" s="877" t="s">
        <v>558</v>
      </c>
      <c r="C133" s="886"/>
      <c r="D133" s="886"/>
      <c r="E133" s="886"/>
      <c r="F133" s="886"/>
      <c r="G133" s="886"/>
      <c r="H133" s="886"/>
      <c r="I133" s="886"/>
      <c r="J133" s="886"/>
    </row>
    <row r="134" spans="1:10" s="878" customFormat="1" ht="12" customHeight="1" x14ac:dyDescent="0.25">
      <c r="A134" s="886"/>
      <c r="B134" s="877" t="s">
        <v>559</v>
      </c>
      <c r="C134" s="886"/>
      <c r="D134" s="886"/>
      <c r="E134" s="886"/>
      <c r="F134" s="886"/>
      <c r="G134" s="886"/>
      <c r="H134" s="886"/>
      <c r="I134" s="886"/>
      <c r="J134" s="886"/>
    </row>
    <row r="135" spans="1:10" s="878" customFormat="1" ht="12" customHeight="1" x14ac:dyDescent="0.25">
      <c r="A135" s="886"/>
      <c r="B135" s="877"/>
      <c r="C135" s="886"/>
      <c r="D135" s="886"/>
      <c r="E135" s="886"/>
      <c r="F135" s="886"/>
      <c r="G135" s="886"/>
      <c r="H135" s="886"/>
      <c r="I135" s="886"/>
      <c r="J135" s="886"/>
    </row>
    <row r="136" spans="1:10" s="878" customFormat="1" ht="12" customHeight="1" x14ac:dyDescent="0.25">
      <c r="A136" s="886"/>
      <c r="B136" s="877" t="s">
        <v>560</v>
      </c>
      <c r="C136" s="886"/>
      <c r="D136" s="886"/>
      <c r="E136" s="886"/>
      <c r="F136" s="886"/>
      <c r="G136" s="886"/>
      <c r="H136" s="886"/>
      <c r="I136" s="886"/>
      <c r="J136" s="886"/>
    </row>
    <row r="137" spans="1:10" s="878" customFormat="1" ht="12" customHeight="1" x14ac:dyDescent="0.25">
      <c r="A137" s="886"/>
      <c r="B137" s="877" t="s">
        <v>561</v>
      </c>
      <c r="C137" s="886"/>
      <c r="D137" s="886"/>
      <c r="E137" s="886"/>
      <c r="F137" s="886"/>
      <c r="G137" s="886"/>
      <c r="H137" s="886"/>
      <c r="I137" s="886"/>
      <c r="J137" s="886"/>
    </row>
    <row r="138" spans="1:10" s="878" customFormat="1" ht="12" customHeight="1" x14ac:dyDescent="0.25">
      <c r="A138" s="886"/>
      <c r="B138" s="877" t="s">
        <v>562</v>
      </c>
      <c r="C138" s="886"/>
      <c r="D138" s="886"/>
      <c r="E138" s="886"/>
      <c r="F138" s="886"/>
      <c r="G138" s="886"/>
      <c r="H138" s="886"/>
      <c r="I138" s="886"/>
      <c r="J138" s="886"/>
    </row>
    <row r="139" spans="1:10" s="878" customFormat="1" ht="12" customHeight="1" x14ac:dyDescent="0.25">
      <c r="A139" s="886"/>
      <c r="B139" s="877" t="s">
        <v>563</v>
      </c>
      <c r="C139" s="886"/>
      <c r="D139" s="886"/>
      <c r="E139" s="886"/>
      <c r="F139" s="886"/>
      <c r="G139" s="886"/>
      <c r="H139" s="886"/>
      <c r="I139" s="886"/>
      <c r="J139" s="886"/>
    </row>
    <row r="140" spans="1:10" s="878" customFormat="1" ht="12" customHeight="1" x14ac:dyDescent="0.25">
      <c r="A140" s="886"/>
      <c r="B140" s="877" t="s">
        <v>564</v>
      </c>
      <c r="C140" s="886"/>
      <c r="D140" s="886"/>
      <c r="E140" s="886"/>
      <c r="F140" s="886"/>
      <c r="G140" s="886"/>
      <c r="H140" s="886"/>
      <c r="I140" s="886"/>
      <c r="J140" s="886"/>
    </row>
    <row r="141" spans="1:10" s="878" customFormat="1" ht="12" customHeight="1" x14ac:dyDescent="0.25">
      <c r="A141" s="886"/>
      <c r="B141" s="877" t="s">
        <v>565</v>
      </c>
      <c r="C141" s="886"/>
      <c r="D141" s="886"/>
      <c r="E141" s="886"/>
      <c r="F141" s="886"/>
      <c r="G141" s="886"/>
      <c r="H141" s="886"/>
      <c r="I141" s="886"/>
      <c r="J141" s="886"/>
    </row>
    <row r="142" spans="1:10" s="878" customFormat="1" ht="12" customHeight="1" x14ac:dyDescent="0.25">
      <c r="A142" s="886"/>
      <c r="B142" s="877"/>
      <c r="C142" s="886"/>
      <c r="D142" s="886"/>
      <c r="E142" s="886"/>
      <c r="F142" s="886"/>
      <c r="G142" s="886"/>
      <c r="H142" s="886"/>
      <c r="I142" s="886"/>
      <c r="J142" s="886"/>
    </row>
    <row r="143" spans="1:10" s="878" customFormat="1" ht="12" customHeight="1" x14ac:dyDescent="0.25">
      <c r="A143" s="886"/>
      <c r="B143" s="877" t="s">
        <v>566</v>
      </c>
      <c r="C143" s="886"/>
      <c r="D143" s="886"/>
      <c r="E143" s="886"/>
      <c r="F143" s="886"/>
      <c r="G143" s="886"/>
      <c r="H143" s="886"/>
      <c r="I143" s="886"/>
      <c r="J143" s="886"/>
    </row>
    <row r="144" spans="1:10" s="878" customFormat="1" ht="12" customHeight="1" x14ac:dyDescent="0.25">
      <c r="A144" s="886"/>
      <c r="B144" s="877" t="s">
        <v>567</v>
      </c>
      <c r="C144" s="886"/>
      <c r="D144" s="886"/>
      <c r="E144" s="886"/>
      <c r="F144" s="886"/>
      <c r="G144" s="886"/>
      <c r="H144" s="886"/>
      <c r="I144" s="886"/>
      <c r="J144" s="886"/>
    </row>
    <row r="145" spans="1:10" s="878" customFormat="1" ht="12" customHeight="1" x14ac:dyDescent="0.25">
      <c r="A145" s="886"/>
      <c r="B145" s="877"/>
      <c r="C145" s="886"/>
      <c r="D145" s="886"/>
      <c r="E145" s="886"/>
      <c r="F145" s="886"/>
      <c r="G145" s="886"/>
      <c r="H145" s="886"/>
      <c r="I145" s="886"/>
      <c r="J145" s="886"/>
    </row>
    <row r="146" spans="1:10" s="878" customFormat="1" ht="12" customHeight="1" x14ac:dyDescent="0.25">
      <c r="A146" s="886"/>
      <c r="B146" s="877" t="s">
        <v>568</v>
      </c>
      <c r="C146" s="886"/>
      <c r="D146" s="886"/>
      <c r="E146" s="886"/>
      <c r="F146" s="886"/>
      <c r="G146" s="886"/>
      <c r="H146" s="886"/>
      <c r="I146" s="886"/>
      <c r="J146" s="886"/>
    </row>
    <row r="147" spans="1:10" s="878" customFormat="1" ht="12" customHeight="1" x14ac:dyDescent="0.25">
      <c r="A147" s="886"/>
      <c r="B147" s="877"/>
      <c r="C147" s="886"/>
      <c r="D147" s="886"/>
      <c r="E147" s="886"/>
      <c r="F147" s="886"/>
      <c r="G147" s="886"/>
      <c r="H147" s="886"/>
      <c r="I147" s="886"/>
      <c r="J147" s="886"/>
    </row>
    <row r="148" spans="1:10" s="878" customFormat="1" ht="12" customHeight="1" x14ac:dyDescent="0.25">
      <c r="A148" s="886"/>
      <c r="B148" s="877" t="s">
        <v>569</v>
      </c>
      <c r="C148" s="886"/>
      <c r="D148" s="886"/>
      <c r="E148" s="886"/>
      <c r="F148" s="886"/>
      <c r="G148" s="886"/>
      <c r="H148" s="886"/>
      <c r="I148" s="886"/>
      <c r="J148" s="886"/>
    </row>
    <row r="149" spans="1:10" s="878" customFormat="1" ht="12" customHeight="1" x14ac:dyDescent="0.25">
      <c r="A149" s="886"/>
      <c r="B149" s="877"/>
      <c r="C149" s="886"/>
      <c r="D149" s="886"/>
      <c r="E149" s="886"/>
      <c r="F149" s="886"/>
      <c r="G149" s="886"/>
      <c r="H149" s="886"/>
      <c r="I149" s="886"/>
      <c r="J149" s="886"/>
    </row>
    <row r="150" spans="1:10" s="878" customFormat="1" ht="12" customHeight="1" x14ac:dyDescent="0.25">
      <c r="A150" s="886"/>
      <c r="B150" s="877" t="s">
        <v>570</v>
      </c>
      <c r="C150" s="886"/>
      <c r="D150" s="886"/>
      <c r="E150" s="886"/>
      <c r="F150" s="886"/>
      <c r="G150" s="886"/>
      <c r="H150" s="886"/>
      <c r="I150" s="886"/>
      <c r="J150" s="886"/>
    </row>
    <row r="151" spans="1:10" s="878" customFormat="1" ht="12" customHeight="1" x14ac:dyDescent="0.25">
      <c r="A151" s="886"/>
      <c r="B151" s="877"/>
      <c r="C151" s="886"/>
      <c r="D151" s="886"/>
      <c r="E151" s="886"/>
      <c r="F151" s="886"/>
      <c r="G151" s="886"/>
      <c r="H151" s="886"/>
      <c r="I151" s="886"/>
      <c r="J151" s="886"/>
    </row>
    <row r="152" spans="1:10" s="878" customFormat="1" ht="12" customHeight="1" x14ac:dyDescent="0.25">
      <c r="A152" s="886"/>
      <c r="B152" s="877" t="s">
        <v>571</v>
      </c>
      <c r="C152" s="886"/>
      <c r="D152" s="886"/>
      <c r="E152" s="886"/>
      <c r="F152" s="886"/>
      <c r="G152" s="886"/>
      <c r="H152" s="886"/>
      <c r="I152" s="886"/>
      <c r="J152" s="886"/>
    </row>
    <row r="153" spans="1:10" s="878" customFormat="1" ht="12" customHeight="1" x14ac:dyDescent="0.25">
      <c r="A153" s="886"/>
      <c r="B153" s="877" t="s">
        <v>572</v>
      </c>
      <c r="C153" s="886"/>
      <c r="D153" s="886"/>
      <c r="E153" s="886"/>
      <c r="F153" s="886"/>
      <c r="G153" s="886"/>
      <c r="H153" s="886"/>
      <c r="I153" s="886"/>
      <c r="J153" s="886"/>
    </row>
    <row r="154" spans="1:10" s="878" customFormat="1" ht="12" customHeight="1" x14ac:dyDescent="0.25">
      <c r="A154" s="886"/>
      <c r="B154" s="877"/>
      <c r="C154" s="886"/>
      <c r="D154" s="886"/>
      <c r="E154" s="886"/>
      <c r="F154" s="886"/>
      <c r="G154" s="886"/>
      <c r="H154" s="886"/>
      <c r="I154" s="886"/>
      <c r="J154" s="886"/>
    </row>
    <row r="155" spans="1:10" s="878" customFormat="1" ht="12" customHeight="1" x14ac:dyDescent="0.25">
      <c r="A155" s="886"/>
      <c r="B155" s="877" t="s">
        <v>573</v>
      </c>
      <c r="C155" s="886"/>
      <c r="D155" s="886"/>
      <c r="E155" s="886"/>
      <c r="F155" s="886"/>
      <c r="G155" s="886"/>
      <c r="H155" s="886"/>
      <c r="I155" s="886"/>
      <c r="J155" s="886"/>
    </row>
    <row r="156" spans="1:10" s="878" customFormat="1" ht="12" customHeight="1" x14ac:dyDescent="0.25">
      <c r="A156" s="886"/>
      <c r="B156" s="877" t="s">
        <v>574</v>
      </c>
      <c r="C156" s="886"/>
      <c r="D156" s="886"/>
      <c r="E156" s="886"/>
      <c r="F156" s="886"/>
      <c r="G156" s="886"/>
      <c r="H156" s="886"/>
      <c r="I156" s="886"/>
      <c r="J156" s="886"/>
    </row>
    <row r="157" spans="1:10" s="878" customFormat="1" ht="12" customHeight="1" x14ac:dyDescent="0.25">
      <c r="A157" s="886"/>
      <c r="B157" s="877" t="s">
        <v>575</v>
      </c>
      <c r="C157" s="886"/>
      <c r="D157" s="886"/>
      <c r="E157" s="886"/>
      <c r="F157" s="886"/>
      <c r="G157" s="886"/>
      <c r="H157" s="886"/>
      <c r="I157" s="886"/>
      <c r="J157" s="886"/>
    </row>
    <row r="158" spans="1:10" s="878" customFormat="1" ht="12" customHeight="1" x14ac:dyDescent="0.25">
      <c r="A158" s="886"/>
      <c r="B158" s="877"/>
      <c r="C158" s="886"/>
      <c r="D158" s="886"/>
      <c r="E158" s="886"/>
      <c r="F158" s="886"/>
      <c r="G158" s="886"/>
      <c r="H158" s="886"/>
      <c r="I158" s="886"/>
      <c r="J158" s="886"/>
    </row>
    <row r="159" spans="1:10" s="878" customFormat="1" ht="12" customHeight="1" x14ac:dyDescent="0.25">
      <c r="A159" s="886"/>
      <c r="B159" s="877" t="s">
        <v>576</v>
      </c>
      <c r="C159" s="886"/>
      <c r="D159" s="886"/>
      <c r="E159" s="886"/>
      <c r="F159" s="886"/>
      <c r="G159" s="886"/>
      <c r="H159" s="886"/>
      <c r="I159" s="886"/>
      <c r="J159" s="886"/>
    </row>
    <row r="160" spans="1:10" s="878" customFormat="1" ht="12" customHeight="1" x14ac:dyDescent="0.25">
      <c r="A160" s="886"/>
      <c r="B160" s="877" t="s">
        <v>577</v>
      </c>
      <c r="C160" s="886"/>
      <c r="D160" s="886"/>
      <c r="E160" s="886"/>
      <c r="F160" s="886"/>
      <c r="G160" s="886"/>
      <c r="H160" s="886"/>
      <c r="I160" s="886"/>
      <c r="J160" s="886"/>
    </row>
    <row r="161" spans="1:10" s="878" customFormat="1" ht="12" customHeight="1" x14ac:dyDescent="0.25">
      <c r="A161" s="886"/>
      <c r="B161" s="877" t="s">
        <v>578</v>
      </c>
      <c r="C161" s="886"/>
      <c r="D161" s="886"/>
      <c r="E161" s="886"/>
      <c r="F161" s="886"/>
      <c r="G161" s="886"/>
      <c r="H161" s="886"/>
      <c r="I161" s="886"/>
      <c r="J161" s="886"/>
    </row>
    <row r="162" spans="1:10" s="878" customFormat="1" ht="12" customHeight="1" x14ac:dyDescent="0.25">
      <c r="A162" s="886"/>
      <c r="B162" s="877" t="s">
        <v>579</v>
      </c>
      <c r="C162" s="886"/>
      <c r="D162" s="886"/>
      <c r="E162" s="886"/>
      <c r="F162" s="886"/>
      <c r="G162" s="886"/>
      <c r="H162" s="886"/>
      <c r="I162" s="886"/>
      <c r="J162" s="886"/>
    </row>
    <row r="163" spans="1:10" s="878" customFormat="1" ht="12" customHeight="1" x14ac:dyDescent="0.25">
      <c r="A163" s="886"/>
      <c r="B163" s="877"/>
      <c r="C163" s="886"/>
      <c r="D163" s="886"/>
      <c r="E163" s="886"/>
      <c r="F163" s="886"/>
      <c r="G163" s="886"/>
      <c r="H163" s="886"/>
      <c r="I163" s="886"/>
      <c r="J163" s="886"/>
    </row>
    <row r="164" spans="1:10" s="878" customFormat="1" ht="12" customHeight="1" x14ac:dyDescent="0.25">
      <c r="A164" s="886"/>
      <c r="B164" s="877" t="s">
        <v>580</v>
      </c>
      <c r="C164" s="886"/>
      <c r="D164" s="886"/>
      <c r="E164" s="886"/>
      <c r="F164" s="886"/>
      <c r="G164" s="886"/>
      <c r="H164" s="886"/>
      <c r="I164" s="886"/>
      <c r="J164" s="886"/>
    </row>
    <row r="165" spans="1:10" s="878" customFormat="1" ht="12" customHeight="1" x14ac:dyDescent="0.25">
      <c r="A165" s="886"/>
      <c r="B165" s="877" t="s">
        <v>581</v>
      </c>
      <c r="C165" s="886"/>
      <c r="D165" s="886"/>
      <c r="E165" s="886"/>
      <c r="F165" s="886"/>
      <c r="G165" s="886"/>
      <c r="H165" s="886"/>
      <c r="I165" s="886"/>
      <c r="J165" s="886"/>
    </row>
    <row r="166" spans="1:10" s="878" customFormat="1" ht="12" customHeight="1" x14ac:dyDescent="0.25">
      <c r="A166" s="886"/>
      <c r="B166" s="877"/>
      <c r="C166" s="886"/>
      <c r="D166" s="886"/>
      <c r="E166" s="886"/>
      <c r="F166" s="886"/>
      <c r="G166" s="886"/>
      <c r="H166" s="886"/>
      <c r="I166" s="886"/>
      <c r="J166" s="886"/>
    </row>
    <row r="167" spans="1:10" s="878" customFormat="1" ht="12" customHeight="1" x14ac:dyDescent="0.25">
      <c r="A167" s="886"/>
      <c r="B167" s="877" t="s">
        <v>582</v>
      </c>
      <c r="C167" s="886"/>
      <c r="D167" s="886"/>
      <c r="E167" s="886"/>
      <c r="F167" s="886"/>
      <c r="G167" s="886"/>
      <c r="H167" s="886"/>
      <c r="I167" s="886"/>
      <c r="J167" s="886"/>
    </row>
    <row r="168" spans="1:10" s="878" customFormat="1" ht="12" customHeight="1" x14ac:dyDescent="0.25">
      <c r="A168" s="886"/>
      <c r="B168" s="877" t="s">
        <v>583</v>
      </c>
      <c r="C168" s="886"/>
      <c r="D168" s="886"/>
      <c r="E168" s="886"/>
      <c r="F168" s="886"/>
      <c r="G168" s="886"/>
      <c r="H168" s="886"/>
      <c r="I168" s="886"/>
      <c r="J168" s="886"/>
    </row>
    <row r="169" spans="1:10" s="878" customFormat="1" ht="12" customHeight="1" x14ac:dyDescent="0.25">
      <c r="A169" s="886"/>
      <c r="B169" s="877" t="s">
        <v>584</v>
      </c>
      <c r="C169" s="886"/>
      <c r="D169" s="886"/>
      <c r="E169" s="886"/>
      <c r="F169" s="886"/>
      <c r="G169" s="886"/>
      <c r="H169" s="886"/>
      <c r="I169" s="886"/>
      <c r="J169" s="886"/>
    </row>
    <row r="170" spans="1:10" s="878" customFormat="1" ht="12" customHeight="1" x14ac:dyDescent="0.25">
      <c r="A170" s="886"/>
      <c r="B170" s="877" t="s">
        <v>585</v>
      </c>
      <c r="C170" s="886"/>
      <c r="D170" s="886"/>
      <c r="E170" s="886"/>
      <c r="F170" s="886"/>
      <c r="G170" s="886"/>
      <c r="H170" s="886"/>
      <c r="I170" s="886"/>
      <c r="J170" s="886"/>
    </row>
    <row r="171" spans="1:10" s="878" customFormat="1" ht="12" customHeight="1" x14ac:dyDescent="0.25">
      <c r="A171" s="886"/>
      <c r="B171" s="877" t="s">
        <v>586</v>
      </c>
      <c r="C171" s="886"/>
      <c r="D171" s="886"/>
      <c r="E171" s="886"/>
      <c r="F171" s="886"/>
      <c r="G171" s="886"/>
      <c r="H171" s="886"/>
      <c r="I171" s="886"/>
      <c r="J171" s="886"/>
    </row>
    <row r="172" spans="1:10" s="878" customFormat="1" ht="12" customHeight="1" x14ac:dyDescent="0.25">
      <c r="A172" s="886"/>
      <c r="B172" s="877" t="s">
        <v>587</v>
      </c>
      <c r="C172" s="886"/>
      <c r="D172" s="886"/>
      <c r="E172" s="886"/>
      <c r="F172" s="886"/>
      <c r="G172" s="886"/>
      <c r="H172" s="886"/>
      <c r="I172" s="886"/>
      <c r="J172" s="886"/>
    </row>
    <row r="173" spans="1:10" s="878" customFormat="1" ht="12" customHeight="1" x14ac:dyDescent="0.25">
      <c r="A173" s="886"/>
      <c r="B173" s="877"/>
      <c r="C173" s="886"/>
      <c r="D173" s="886"/>
      <c r="E173" s="886"/>
      <c r="F173" s="886"/>
      <c r="G173" s="886"/>
      <c r="H173" s="886"/>
      <c r="I173" s="886"/>
      <c r="J173" s="886"/>
    </row>
    <row r="174" spans="1:10" s="878" customFormat="1" ht="12" customHeight="1" x14ac:dyDescent="0.25">
      <c r="A174" s="886"/>
      <c r="B174" s="877" t="s">
        <v>588</v>
      </c>
      <c r="C174" s="886"/>
      <c r="D174" s="886"/>
      <c r="E174" s="886"/>
      <c r="F174" s="886"/>
      <c r="G174" s="886"/>
      <c r="H174" s="886"/>
      <c r="I174" s="886"/>
      <c r="J174" s="886"/>
    </row>
    <row r="175" spans="1:10" s="878" customFormat="1" ht="12" customHeight="1" x14ac:dyDescent="0.25">
      <c r="A175" s="886"/>
      <c r="B175" s="877" t="s">
        <v>589</v>
      </c>
      <c r="C175" s="886"/>
      <c r="D175" s="886"/>
      <c r="E175" s="886"/>
      <c r="F175" s="886"/>
      <c r="G175" s="886"/>
      <c r="H175" s="886"/>
      <c r="I175" s="886"/>
      <c r="J175" s="886"/>
    </row>
    <row r="176" spans="1:10" s="878" customFormat="1" ht="12" customHeight="1" x14ac:dyDescent="0.25">
      <c r="A176" s="886"/>
      <c r="B176" s="877" t="s">
        <v>590</v>
      </c>
      <c r="C176" s="886"/>
      <c r="D176" s="886"/>
      <c r="E176" s="886"/>
      <c r="F176" s="886"/>
      <c r="G176" s="886"/>
      <c r="H176" s="886"/>
      <c r="I176" s="886"/>
      <c r="J176" s="886"/>
    </row>
    <row r="177" spans="1:10" s="878" customFormat="1" ht="12" customHeight="1" x14ac:dyDescent="0.25">
      <c r="A177" s="886"/>
      <c r="B177" s="877"/>
      <c r="C177" s="886"/>
      <c r="D177" s="886"/>
      <c r="E177" s="886"/>
      <c r="F177" s="886"/>
      <c r="G177" s="886"/>
      <c r="H177" s="886"/>
      <c r="I177" s="886"/>
      <c r="J177" s="886"/>
    </row>
    <row r="178" spans="1:10" s="878" customFormat="1" ht="12" customHeight="1" x14ac:dyDescent="0.25">
      <c r="A178" s="886"/>
      <c r="B178" s="877" t="s">
        <v>591</v>
      </c>
      <c r="C178" s="886"/>
      <c r="D178" s="886"/>
      <c r="E178" s="886"/>
      <c r="F178" s="886"/>
      <c r="G178" s="886"/>
      <c r="H178" s="886"/>
      <c r="I178" s="886"/>
      <c r="J178" s="886"/>
    </row>
    <row r="179" spans="1:10" s="878" customFormat="1" ht="12" customHeight="1" x14ac:dyDescent="0.25">
      <c r="A179" s="886"/>
      <c r="B179" s="877" t="s">
        <v>592</v>
      </c>
      <c r="C179" s="886"/>
      <c r="D179" s="886"/>
      <c r="E179" s="886"/>
      <c r="F179" s="886"/>
      <c r="G179" s="886"/>
      <c r="H179" s="886"/>
      <c r="I179" s="886"/>
      <c r="J179" s="886"/>
    </row>
    <row r="180" spans="1:10" s="878" customFormat="1" ht="12" customHeight="1" x14ac:dyDescent="0.25">
      <c r="A180" s="886"/>
      <c r="B180" s="877" t="s">
        <v>593</v>
      </c>
      <c r="C180" s="886"/>
      <c r="D180" s="886"/>
      <c r="E180" s="886"/>
      <c r="F180" s="886"/>
      <c r="G180" s="886"/>
      <c r="H180" s="886"/>
      <c r="I180" s="886"/>
      <c r="J180" s="886"/>
    </row>
    <row r="181" spans="1:10" s="878" customFormat="1" ht="12" customHeight="1" x14ac:dyDescent="0.25">
      <c r="A181" s="886"/>
      <c r="B181" s="877" t="s">
        <v>600</v>
      </c>
      <c r="C181" s="886"/>
      <c r="D181" s="886"/>
      <c r="E181" s="886"/>
      <c r="F181" s="886"/>
      <c r="G181" s="886"/>
      <c r="H181" s="886"/>
      <c r="I181" s="886"/>
      <c r="J181" s="886"/>
    </row>
    <row r="182" spans="1:10" s="878" customFormat="1" ht="12" customHeight="1" x14ac:dyDescent="0.25">
      <c r="A182" s="886"/>
      <c r="B182" s="877" t="s">
        <v>625</v>
      </c>
      <c r="C182" s="886"/>
      <c r="D182" s="886"/>
      <c r="E182" s="886"/>
      <c r="F182" s="886"/>
      <c r="G182" s="886"/>
      <c r="H182" s="886"/>
      <c r="I182" s="886"/>
      <c r="J182" s="886"/>
    </row>
    <row r="183" spans="1:10" s="878" customFormat="1" ht="12" customHeight="1" x14ac:dyDescent="0.25">
      <c r="A183" s="886"/>
      <c r="B183" s="877" t="s">
        <v>626</v>
      </c>
      <c r="C183" s="886"/>
      <c r="D183" s="886"/>
      <c r="E183" s="886"/>
      <c r="F183" s="886"/>
      <c r="G183" s="886"/>
      <c r="H183" s="886"/>
      <c r="I183" s="886"/>
      <c r="J183" s="886"/>
    </row>
    <row r="184" spans="1:10" s="878" customFormat="1" ht="12" customHeight="1" x14ac:dyDescent="0.25">
      <c r="A184" s="886"/>
      <c r="B184" s="877" t="s">
        <v>627</v>
      </c>
      <c r="C184" s="886"/>
      <c r="D184" s="886"/>
      <c r="E184" s="886"/>
      <c r="F184" s="886"/>
      <c r="G184" s="886"/>
      <c r="H184" s="886"/>
      <c r="I184" s="886"/>
      <c r="J184" s="886"/>
    </row>
    <row r="185" spans="1:10" s="878" customFormat="1" ht="12" customHeight="1" x14ac:dyDescent="0.25">
      <c r="A185" s="886"/>
      <c r="B185" s="877" t="s">
        <v>628</v>
      </c>
      <c r="C185" s="886"/>
      <c r="D185" s="886"/>
      <c r="E185" s="886"/>
      <c r="F185" s="886"/>
      <c r="G185" s="886"/>
      <c r="H185" s="886"/>
      <c r="I185" s="886"/>
      <c r="J185" s="886"/>
    </row>
    <row r="186" spans="1:10" s="878" customFormat="1" ht="12" customHeight="1" x14ac:dyDescent="0.25">
      <c r="A186" s="886"/>
      <c r="B186" s="877"/>
      <c r="C186" s="886"/>
      <c r="D186" s="886"/>
      <c r="E186" s="886"/>
      <c r="F186" s="886"/>
      <c r="G186" s="886"/>
      <c r="H186" s="886"/>
      <c r="I186" s="886"/>
      <c r="J186" s="886"/>
    </row>
    <row r="187" spans="1:10" s="878" customFormat="1" ht="12" customHeight="1" x14ac:dyDescent="0.25">
      <c r="A187" s="886"/>
      <c r="B187" s="877" t="s">
        <v>629</v>
      </c>
      <c r="C187" s="886"/>
      <c r="D187" s="886"/>
      <c r="E187" s="886"/>
      <c r="F187" s="886"/>
      <c r="G187" s="886"/>
      <c r="H187" s="886"/>
      <c r="I187" s="886"/>
      <c r="J187" s="886"/>
    </row>
    <row r="188" spans="1:10" s="878" customFormat="1" ht="12" customHeight="1" x14ac:dyDescent="0.25">
      <c r="A188" s="886"/>
      <c r="B188" s="877"/>
      <c r="C188" s="886"/>
      <c r="D188" s="886"/>
      <c r="E188" s="886"/>
      <c r="F188" s="886"/>
      <c r="G188" s="886"/>
      <c r="H188" s="886"/>
      <c r="I188" s="886"/>
      <c r="J188" s="886"/>
    </row>
    <row r="189" spans="1:10" ht="12" customHeight="1" x14ac:dyDescent="0.25">
      <c r="A189" s="897"/>
      <c r="B189" s="877" t="s">
        <v>630</v>
      </c>
      <c r="C189" s="897"/>
      <c r="D189" s="897"/>
      <c r="E189" s="897"/>
      <c r="F189" s="897"/>
      <c r="G189" s="897"/>
      <c r="H189" s="897"/>
      <c r="I189" s="897"/>
      <c r="J189" s="897"/>
    </row>
    <row r="190" spans="1:10" ht="12" customHeight="1" x14ac:dyDescent="0.25">
      <c r="A190" s="897"/>
      <c r="B190" s="877" t="s">
        <v>631</v>
      </c>
      <c r="C190" s="897"/>
      <c r="D190" s="897"/>
      <c r="E190" s="897"/>
      <c r="F190" s="897"/>
      <c r="G190" s="897"/>
      <c r="H190" s="897"/>
      <c r="I190" s="897"/>
      <c r="J190" s="897"/>
    </row>
    <row r="191" spans="1:10" ht="13.5" x14ac:dyDescent="0.25">
      <c r="A191" s="897"/>
      <c r="B191" s="877" t="s">
        <v>632</v>
      </c>
      <c r="C191" s="897"/>
      <c r="D191" s="897"/>
      <c r="E191" s="897"/>
      <c r="F191" s="897"/>
      <c r="G191" s="897"/>
      <c r="H191" s="897"/>
      <c r="I191" s="897"/>
      <c r="J191" s="897"/>
    </row>
    <row r="192" spans="1:10" ht="13.5" x14ac:dyDescent="0.25">
      <c r="A192" s="897"/>
      <c r="B192" s="877"/>
      <c r="C192" s="897"/>
      <c r="D192" s="897"/>
      <c r="E192" s="897"/>
      <c r="F192" s="897"/>
      <c r="G192" s="897"/>
      <c r="H192" s="897"/>
      <c r="I192" s="897"/>
      <c r="J192" s="897"/>
    </row>
    <row r="193" spans="2:2" ht="13.5" x14ac:dyDescent="0.25">
      <c r="B193" s="877" t="s">
        <v>633</v>
      </c>
    </row>
    <row r="194" spans="2:2" ht="13.5" x14ac:dyDescent="0.25">
      <c r="B194" s="877" t="s">
        <v>634</v>
      </c>
    </row>
    <row r="195" spans="2:2" ht="13.5" x14ac:dyDescent="0.25">
      <c r="B195" s="877" t="s">
        <v>635</v>
      </c>
    </row>
    <row r="196" spans="2:2" ht="13.5" x14ac:dyDescent="0.25">
      <c r="B196" s="877" t="s">
        <v>636</v>
      </c>
    </row>
    <row r="197" spans="2:2" ht="13.5" x14ac:dyDescent="0.25">
      <c r="B197" s="877"/>
    </row>
    <row r="198" spans="2:2" ht="13.5" x14ac:dyDescent="0.25">
      <c r="B198" s="877" t="s">
        <v>637</v>
      </c>
    </row>
    <row r="199" spans="2:2" ht="13.5" x14ac:dyDescent="0.25">
      <c r="B199" s="877" t="s">
        <v>638</v>
      </c>
    </row>
    <row r="200" spans="2:2" ht="13.5" x14ac:dyDescent="0.25">
      <c r="B200" s="877" t="s">
        <v>639</v>
      </c>
    </row>
    <row r="201" spans="2:2" ht="13.5" x14ac:dyDescent="0.25">
      <c r="B201" s="877" t="s">
        <v>640</v>
      </c>
    </row>
    <row r="202" spans="2:2" ht="13.5" x14ac:dyDescent="0.25">
      <c r="B202" s="877" t="s">
        <v>641</v>
      </c>
    </row>
    <row r="203" spans="2:2" ht="13.5" x14ac:dyDescent="0.25">
      <c r="B203" s="877" t="s">
        <v>642</v>
      </c>
    </row>
    <row r="204" spans="2:2" ht="13.5" x14ac:dyDescent="0.25">
      <c r="B204" s="877" t="s">
        <v>643</v>
      </c>
    </row>
    <row r="205" spans="2:2" ht="13.5" x14ac:dyDescent="0.25">
      <c r="B205" s="877" t="s">
        <v>644</v>
      </c>
    </row>
    <row r="206" spans="2:2" ht="13.5" x14ac:dyDescent="0.25">
      <c r="B206" s="877" t="s">
        <v>645</v>
      </c>
    </row>
    <row r="207" spans="2:2" ht="13.5" x14ac:dyDescent="0.25">
      <c r="B207" s="877" t="s">
        <v>646</v>
      </c>
    </row>
    <row r="208" spans="2:2" ht="13.5" x14ac:dyDescent="0.25">
      <c r="B208" s="877"/>
    </row>
    <row r="209" spans="2:2" ht="13.5" x14ac:dyDescent="0.25">
      <c r="B209" s="877" t="s">
        <v>647</v>
      </c>
    </row>
    <row r="210" spans="2:2" ht="13.5" x14ac:dyDescent="0.25">
      <c r="B210" s="877" t="s">
        <v>648</v>
      </c>
    </row>
    <row r="211" spans="2:2" ht="13.5" x14ac:dyDescent="0.25">
      <c r="B211" s="877" t="s">
        <v>649</v>
      </c>
    </row>
    <row r="212" spans="2:2" ht="13.5" x14ac:dyDescent="0.25">
      <c r="B212" s="877" t="s">
        <v>650</v>
      </c>
    </row>
    <row r="213" spans="2:2" ht="13.5" x14ac:dyDescent="0.25">
      <c r="B213" s="877" t="s">
        <v>651</v>
      </c>
    </row>
    <row r="214" spans="2:2" ht="13.5" x14ac:dyDescent="0.25">
      <c r="B214" s="877" t="s">
        <v>652</v>
      </c>
    </row>
    <row r="215" spans="2:2" ht="13.5" x14ac:dyDescent="0.25">
      <c r="B215" s="877" t="s">
        <v>653</v>
      </c>
    </row>
    <row r="216" spans="2:2" ht="13.5" x14ac:dyDescent="0.25">
      <c r="B216" s="877" t="s">
        <v>654</v>
      </c>
    </row>
    <row r="217" spans="2:2" ht="13.5" x14ac:dyDescent="0.25">
      <c r="B217" s="877" t="s">
        <v>655</v>
      </c>
    </row>
    <row r="218" spans="2:2" ht="13.5" x14ac:dyDescent="0.25">
      <c r="B218" s="877" t="s">
        <v>656</v>
      </c>
    </row>
    <row r="219" spans="2:2" ht="13.5" x14ac:dyDescent="0.25">
      <c r="B219" s="877" t="s">
        <v>657</v>
      </c>
    </row>
    <row r="220" spans="2:2" ht="13.5" x14ac:dyDescent="0.25">
      <c r="B220" s="877" t="s">
        <v>658</v>
      </c>
    </row>
    <row r="221" spans="2:2" ht="13.5" x14ac:dyDescent="0.25">
      <c r="B221" s="877"/>
    </row>
    <row r="222" spans="2:2" ht="13.5" x14ac:dyDescent="0.25">
      <c r="B222" s="877" t="s">
        <v>659</v>
      </c>
    </row>
    <row r="223" spans="2:2" ht="13.5" x14ac:dyDescent="0.25">
      <c r="B223" s="877" t="s">
        <v>660</v>
      </c>
    </row>
    <row r="224" spans="2:2" ht="13.5" x14ac:dyDescent="0.25">
      <c r="B224" s="877" t="s">
        <v>661</v>
      </c>
    </row>
    <row r="225" spans="2:2" ht="13.5" x14ac:dyDescent="0.25">
      <c r="B225" s="877"/>
    </row>
    <row r="226" spans="2:2" ht="13.5" x14ac:dyDescent="0.25">
      <c r="B226" s="877" t="s">
        <v>662</v>
      </c>
    </row>
    <row r="227" spans="2:2" ht="13.5" x14ac:dyDescent="0.25">
      <c r="B227" s="877" t="s">
        <v>663</v>
      </c>
    </row>
    <row r="228" spans="2:2" ht="13.5" x14ac:dyDescent="0.25">
      <c r="B228" s="877"/>
    </row>
    <row r="229" spans="2:2" ht="13.5" x14ac:dyDescent="0.25">
      <c r="B229" s="877" t="s">
        <v>664</v>
      </c>
    </row>
    <row r="230" spans="2:2" ht="13.5" x14ac:dyDescent="0.25">
      <c r="B230" s="877"/>
    </row>
    <row r="231" spans="2:2" ht="13.5" x14ac:dyDescent="0.25">
      <c r="B231" s="877" t="s">
        <v>665</v>
      </c>
    </row>
    <row r="232" spans="2:2" ht="13.5" x14ac:dyDescent="0.25">
      <c r="B232" s="877" t="s">
        <v>666</v>
      </c>
    </row>
    <row r="233" spans="2:2" ht="13.5" x14ac:dyDescent="0.25">
      <c r="B233" s="877" t="s">
        <v>667</v>
      </c>
    </row>
    <row r="234" spans="2:2" ht="13.5" x14ac:dyDescent="0.25">
      <c r="B234" s="877" t="s">
        <v>668</v>
      </c>
    </row>
    <row r="235" spans="2:2" ht="13.5" x14ac:dyDescent="0.25">
      <c r="B235" s="877" t="s">
        <v>669</v>
      </c>
    </row>
    <row r="236" spans="2:2" ht="13.5" x14ac:dyDescent="0.25">
      <c r="B236" s="877" t="s">
        <v>670</v>
      </c>
    </row>
    <row r="237" spans="2:2" ht="13.5" x14ac:dyDescent="0.25">
      <c r="B237" s="877" t="s">
        <v>671</v>
      </c>
    </row>
    <row r="238" spans="2:2" ht="13.5" x14ac:dyDescent="0.25">
      <c r="B238" s="877"/>
    </row>
    <row r="239" spans="2:2" ht="13.5" x14ac:dyDescent="0.25">
      <c r="B239" s="877" t="s">
        <v>672</v>
      </c>
    </row>
    <row r="240" spans="2:2" ht="13.5" x14ac:dyDescent="0.25">
      <c r="B240" s="877" t="s">
        <v>673</v>
      </c>
    </row>
    <row r="241" spans="2:2" ht="13.5" x14ac:dyDescent="0.25">
      <c r="B241" s="877" t="s">
        <v>674</v>
      </c>
    </row>
    <row r="242" spans="2:2" ht="13.5" x14ac:dyDescent="0.25">
      <c r="B242" s="877" t="s">
        <v>675</v>
      </c>
    </row>
    <row r="243" spans="2:2" ht="13.5" x14ac:dyDescent="0.25">
      <c r="B243" s="877" t="s">
        <v>676</v>
      </c>
    </row>
    <row r="244" spans="2:2" ht="13.5" x14ac:dyDescent="0.25">
      <c r="B244" s="877" t="s">
        <v>677</v>
      </c>
    </row>
    <row r="245" spans="2:2" ht="13.5" x14ac:dyDescent="0.25">
      <c r="B245" s="877" t="s">
        <v>678</v>
      </c>
    </row>
    <row r="246" spans="2:2" ht="13.5" x14ac:dyDescent="0.25">
      <c r="B246" s="877" t="s">
        <v>679</v>
      </c>
    </row>
    <row r="247" spans="2:2" ht="13.5" x14ac:dyDescent="0.25">
      <c r="B247" s="877" t="s">
        <v>682</v>
      </c>
    </row>
    <row r="248" spans="2:2" ht="13.5" x14ac:dyDescent="0.25">
      <c r="B248" s="877" t="s">
        <v>683</v>
      </c>
    </row>
    <row r="249" spans="2:2" ht="13.5" x14ac:dyDescent="0.25">
      <c r="B249" s="877"/>
    </row>
    <row r="250" spans="2:2" ht="13.5" x14ac:dyDescent="0.25">
      <c r="B250" s="877" t="s">
        <v>684</v>
      </c>
    </row>
    <row r="251" spans="2:2" ht="13.5" x14ac:dyDescent="0.25">
      <c r="B251" s="877" t="s">
        <v>685</v>
      </c>
    </row>
    <row r="252" spans="2:2" ht="13.5" x14ac:dyDescent="0.25">
      <c r="B252" s="877" t="s">
        <v>686</v>
      </c>
    </row>
    <row r="253" spans="2:2" ht="13.5" x14ac:dyDescent="0.25">
      <c r="B253" s="877"/>
    </row>
    <row r="254" spans="2:2" ht="13.5" x14ac:dyDescent="0.25">
      <c r="B254" s="877" t="s">
        <v>687</v>
      </c>
    </row>
    <row r="255" spans="2:2" ht="13.5" x14ac:dyDescent="0.25">
      <c r="B255" s="877"/>
    </row>
    <row r="256" spans="2:2" ht="13.5" x14ac:dyDescent="0.25">
      <c r="B256" s="877" t="s">
        <v>688</v>
      </c>
    </row>
    <row r="257" spans="2:2" ht="13.5" x14ac:dyDescent="0.25">
      <c r="B257" s="877" t="s">
        <v>689</v>
      </c>
    </row>
    <row r="258" spans="2:2" ht="13.5" x14ac:dyDescent="0.25">
      <c r="B258" s="877" t="s">
        <v>690</v>
      </c>
    </row>
    <row r="259" spans="2:2" ht="13.5" x14ac:dyDescent="0.25">
      <c r="B259" s="877" t="s">
        <v>691</v>
      </c>
    </row>
    <row r="260" spans="2:2" ht="13.5" x14ac:dyDescent="0.25">
      <c r="B260" s="877" t="s">
        <v>692</v>
      </c>
    </row>
    <row r="261" spans="2:2" ht="13.5" x14ac:dyDescent="0.25">
      <c r="B261" s="877"/>
    </row>
    <row r="262" spans="2:2" ht="13.5" x14ac:dyDescent="0.25">
      <c r="B262" s="877" t="s">
        <v>693</v>
      </c>
    </row>
    <row r="263" spans="2:2" ht="13.5" x14ac:dyDescent="0.25">
      <c r="B263" s="877" t="s">
        <v>694</v>
      </c>
    </row>
    <row r="264" spans="2:2" ht="13.5" x14ac:dyDescent="0.25">
      <c r="B264" s="877" t="s">
        <v>695</v>
      </c>
    </row>
    <row r="265" spans="2:2" ht="13.5" x14ac:dyDescent="0.25">
      <c r="B265" s="877" t="s">
        <v>696</v>
      </c>
    </row>
    <row r="266" spans="2:2" ht="13.5" x14ac:dyDescent="0.25">
      <c r="B266" s="877" t="s">
        <v>697</v>
      </c>
    </row>
    <row r="267" spans="2:2" ht="13.5" x14ac:dyDescent="0.25">
      <c r="B267" s="877" t="s">
        <v>698</v>
      </c>
    </row>
    <row r="268" spans="2:2" ht="13.5" x14ac:dyDescent="0.25">
      <c r="B268" s="877" t="s">
        <v>699</v>
      </c>
    </row>
    <row r="269" spans="2:2" ht="13.5" x14ac:dyDescent="0.25">
      <c r="B269" s="877"/>
    </row>
    <row r="270" spans="2:2" ht="13.5" x14ac:dyDescent="0.25">
      <c r="B270" s="877" t="s">
        <v>700</v>
      </c>
    </row>
    <row r="271" spans="2:2" ht="13.5" x14ac:dyDescent="0.25">
      <c r="B271" s="877"/>
    </row>
    <row r="272" spans="2:2" ht="13.5" x14ac:dyDescent="0.25">
      <c r="B272" s="877" t="s">
        <v>701</v>
      </c>
    </row>
    <row r="273" spans="2:2" ht="13.5" x14ac:dyDescent="0.25">
      <c r="B273" s="877" t="s">
        <v>702</v>
      </c>
    </row>
    <row r="274" spans="2:2" ht="13.5" x14ac:dyDescent="0.25">
      <c r="B274" s="877" t="s">
        <v>703</v>
      </c>
    </row>
    <row r="275" spans="2:2" ht="13.5" x14ac:dyDescent="0.25">
      <c r="B275" s="877" t="s">
        <v>704</v>
      </c>
    </row>
    <row r="276" spans="2:2" ht="13.5" x14ac:dyDescent="0.25">
      <c r="B276" s="877" t="s">
        <v>705</v>
      </c>
    </row>
    <row r="277" spans="2:2" ht="13.5" x14ac:dyDescent="0.25">
      <c r="B277" s="877" t="s">
        <v>706</v>
      </c>
    </row>
    <row r="278" spans="2:2" ht="13.5" x14ac:dyDescent="0.25">
      <c r="B278" s="877" t="s">
        <v>707</v>
      </c>
    </row>
    <row r="279" spans="2:2" ht="13.5" x14ac:dyDescent="0.25">
      <c r="B279" s="877"/>
    </row>
    <row r="280" spans="2:2" ht="13.5" x14ac:dyDescent="0.25">
      <c r="B280" s="877" t="s">
        <v>708</v>
      </c>
    </row>
    <row r="281" spans="2:2" ht="13.5" x14ac:dyDescent="0.25">
      <c r="B281" s="877" t="s">
        <v>709</v>
      </c>
    </row>
    <row r="282" spans="2:2" ht="13.5" x14ac:dyDescent="0.25">
      <c r="B282" s="877"/>
    </row>
    <row r="283" spans="2:2" ht="13.5" x14ac:dyDescent="0.25">
      <c r="B283" s="877" t="s">
        <v>710</v>
      </c>
    </row>
    <row r="284" spans="2:2" ht="13.5" x14ac:dyDescent="0.25">
      <c r="B284" s="877"/>
    </row>
    <row r="285" spans="2:2" ht="13.5" x14ac:dyDescent="0.25">
      <c r="B285" s="877" t="s">
        <v>711</v>
      </c>
    </row>
    <row r="286" spans="2:2" ht="13.5" x14ac:dyDescent="0.25">
      <c r="B286" s="877" t="s">
        <v>712</v>
      </c>
    </row>
    <row r="287" spans="2:2" ht="13.5" x14ac:dyDescent="0.25">
      <c r="B287" s="877" t="s">
        <v>713</v>
      </c>
    </row>
    <row r="288" spans="2:2" ht="13.5" x14ac:dyDescent="0.25">
      <c r="B288" s="877"/>
    </row>
    <row r="289" spans="2:2" ht="13.5" x14ac:dyDescent="0.25">
      <c r="B289" s="877" t="s">
        <v>714</v>
      </c>
    </row>
    <row r="290" spans="2:2" ht="13.5" x14ac:dyDescent="0.25">
      <c r="B290" s="877" t="s">
        <v>715</v>
      </c>
    </row>
    <row r="291" spans="2:2" ht="13.5" x14ac:dyDescent="0.25">
      <c r="B291" s="877"/>
    </row>
    <row r="292" spans="2:2" ht="13.5" x14ac:dyDescent="0.25">
      <c r="B292" s="877" t="s">
        <v>716</v>
      </c>
    </row>
    <row r="293" spans="2:2" ht="13.5" x14ac:dyDescent="0.25">
      <c r="B293" s="877" t="s">
        <v>717</v>
      </c>
    </row>
    <row r="294" spans="2:2" ht="13.5" x14ac:dyDescent="0.25">
      <c r="B294" s="877" t="s">
        <v>718</v>
      </c>
    </row>
    <row r="295" spans="2:2" ht="13.5" x14ac:dyDescent="0.25">
      <c r="B295" s="877" t="s">
        <v>719</v>
      </c>
    </row>
    <row r="296" spans="2:2" ht="13.5" x14ac:dyDescent="0.25">
      <c r="B296" s="877"/>
    </row>
    <row r="297" spans="2:2" ht="13.5" x14ac:dyDescent="0.25">
      <c r="B297" s="877" t="s">
        <v>720</v>
      </c>
    </row>
    <row r="298" spans="2:2" ht="13.5" x14ac:dyDescent="0.25">
      <c r="B298" s="877" t="s">
        <v>721</v>
      </c>
    </row>
    <row r="299" spans="2:2" ht="13.5" x14ac:dyDescent="0.25">
      <c r="B299" s="877" t="s">
        <v>722</v>
      </c>
    </row>
    <row r="300" spans="2:2" ht="13.5" x14ac:dyDescent="0.25">
      <c r="B300" s="877" t="s">
        <v>723</v>
      </c>
    </row>
    <row r="301" spans="2:2" ht="13.5" x14ac:dyDescent="0.25">
      <c r="B301" s="877" t="s">
        <v>724</v>
      </c>
    </row>
    <row r="302" spans="2:2" ht="13.5" x14ac:dyDescent="0.25">
      <c r="B302" s="877" t="s">
        <v>725</v>
      </c>
    </row>
    <row r="303" spans="2:2" ht="13.5" x14ac:dyDescent="0.25">
      <c r="B303" s="877" t="s">
        <v>726</v>
      </c>
    </row>
    <row r="304" spans="2:2" ht="13.5" x14ac:dyDescent="0.25">
      <c r="B304" s="877"/>
    </row>
    <row r="305" spans="2:2" ht="13.5" x14ac:dyDescent="0.25">
      <c r="B305" s="877" t="s">
        <v>727</v>
      </c>
    </row>
    <row r="306" spans="2:2" ht="13.5" x14ac:dyDescent="0.25">
      <c r="B306" s="877" t="s">
        <v>728</v>
      </c>
    </row>
    <row r="307" spans="2:2" ht="13.5" x14ac:dyDescent="0.25">
      <c r="B307" s="877" t="s">
        <v>729</v>
      </c>
    </row>
    <row r="308" spans="2:2" ht="13.5" x14ac:dyDescent="0.25">
      <c r="B308" s="877" t="s">
        <v>730</v>
      </c>
    </row>
    <row r="309" spans="2:2" ht="13.5" x14ac:dyDescent="0.25">
      <c r="B309" s="877"/>
    </row>
    <row r="310" spans="2:2" ht="13.5" x14ac:dyDescent="0.25">
      <c r="B310" s="877" t="s">
        <v>731</v>
      </c>
    </row>
    <row r="311" spans="2:2" ht="13.5" x14ac:dyDescent="0.25">
      <c r="B311" s="877" t="s">
        <v>732</v>
      </c>
    </row>
    <row r="312" spans="2:2" ht="13.5" x14ac:dyDescent="0.25">
      <c r="B312" s="877" t="s">
        <v>733</v>
      </c>
    </row>
    <row r="313" spans="2:2" ht="13.5" x14ac:dyDescent="0.25">
      <c r="B313" s="877" t="s">
        <v>734</v>
      </c>
    </row>
    <row r="314" spans="2:2" ht="13.5" x14ac:dyDescent="0.25">
      <c r="B314" s="877" t="s">
        <v>735</v>
      </c>
    </row>
    <row r="315" spans="2:2" ht="13.5" x14ac:dyDescent="0.25">
      <c r="B315" s="877" t="s">
        <v>736</v>
      </c>
    </row>
    <row r="316" spans="2:2" ht="13.5" x14ac:dyDescent="0.25">
      <c r="B316" s="877" t="s">
        <v>737</v>
      </c>
    </row>
    <row r="317" spans="2:2" ht="13.5" x14ac:dyDescent="0.25">
      <c r="B317" s="877" t="s">
        <v>738</v>
      </c>
    </row>
    <row r="318" spans="2:2" ht="13.5" x14ac:dyDescent="0.25">
      <c r="B318" s="877" t="s">
        <v>739</v>
      </c>
    </row>
    <row r="319" spans="2:2" ht="13.5" x14ac:dyDescent="0.25">
      <c r="B319" s="877"/>
    </row>
    <row r="320" spans="2:2" ht="13.5" x14ac:dyDescent="0.25">
      <c r="B320" s="877" t="s">
        <v>740</v>
      </c>
    </row>
    <row r="321" spans="2:2" ht="13.5" x14ac:dyDescent="0.25">
      <c r="B321" s="877"/>
    </row>
    <row r="322" spans="2:2" ht="13.5" x14ac:dyDescent="0.25">
      <c r="B322" s="877" t="s">
        <v>741</v>
      </c>
    </row>
    <row r="323" spans="2:2" ht="13.5" x14ac:dyDescent="0.25">
      <c r="B323" s="877" t="s">
        <v>742</v>
      </c>
    </row>
    <row r="324" spans="2:2" ht="13.5" x14ac:dyDescent="0.25">
      <c r="B324" s="877" t="s">
        <v>767</v>
      </c>
    </row>
    <row r="325" spans="2:2" ht="13.5" x14ac:dyDescent="0.25">
      <c r="B325" s="877" t="s">
        <v>768</v>
      </c>
    </row>
    <row r="326" spans="2:2" ht="13.5" x14ac:dyDescent="0.25">
      <c r="B326" s="877"/>
    </row>
    <row r="327" spans="2:2" ht="13.5" x14ac:dyDescent="0.25">
      <c r="B327" s="877" t="s">
        <v>769</v>
      </c>
    </row>
    <row r="328" spans="2:2" ht="13.5" x14ac:dyDescent="0.25">
      <c r="B328" s="877" t="s">
        <v>770</v>
      </c>
    </row>
    <row r="329" spans="2:2" ht="13.5" x14ac:dyDescent="0.25">
      <c r="B329" s="877" t="s">
        <v>771</v>
      </c>
    </row>
    <row r="330" spans="2:2" ht="13.5" x14ac:dyDescent="0.25">
      <c r="B330" s="877" t="s">
        <v>772</v>
      </c>
    </row>
    <row r="331" spans="2:2" ht="13.5" x14ac:dyDescent="0.25">
      <c r="B331" s="877"/>
    </row>
    <row r="332" spans="2:2" ht="13.5" x14ac:dyDescent="0.25">
      <c r="B332" s="877" t="s">
        <v>773</v>
      </c>
    </row>
    <row r="333" spans="2:2" ht="13.5" x14ac:dyDescent="0.25">
      <c r="B333" s="877" t="s">
        <v>774</v>
      </c>
    </row>
    <row r="334" spans="2:2" ht="13.5" x14ac:dyDescent="0.25">
      <c r="B334" s="877" t="s">
        <v>775</v>
      </c>
    </row>
    <row r="335" spans="2:2" ht="13.5" x14ac:dyDescent="0.25">
      <c r="B335" s="877" t="s">
        <v>776</v>
      </c>
    </row>
    <row r="336" spans="2:2" ht="13.5" x14ac:dyDescent="0.25">
      <c r="B336" s="877" t="s">
        <v>777</v>
      </c>
    </row>
    <row r="337" spans="2:2" ht="13.5" x14ac:dyDescent="0.25">
      <c r="B337" s="877" t="s">
        <v>778</v>
      </c>
    </row>
    <row r="338" spans="2:2" ht="13.5" x14ac:dyDescent="0.25">
      <c r="B338" s="877" t="s">
        <v>780</v>
      </c>
    </row>
    <row r="339" spans="2:2" ht="13.5" x14ac:dyDescent="0.25">
      <c r="B339" s="877" t="s">
        <v>781</v>
      </c>
    </row>
    <row r="340" spans="2:2" ht="13.5" x14ac:dyDescent="0.25">
      <c r="B340" s="877" t="s">
        <v>782</v>
      </c>
    </row>
    <row r="341" spans="2:2" ht="13.5" x14ac:dyDescent="0.25">
      <c r="B341" s="877" t="s">
        <v>783</v>
      </c>
    </row>
    <row r="342" spans="2:2" ht="13.5" x14ac:dyDescent="0.25">
      <c r="B342" s="877" t="s">
        <v>784</v>
      </c>
    </row>
    <row r="343" spans="2:2" ht="13.5" x14ac:dyDescent="0.25">
      <c r="B343" s="877"/>
    </row>
    <row r="344" spans="2:2" ht="13.5" x14ac:dyDescent="0.25">
      <c r="B344" s="877" t="s">
        <v>785</v>
      </c>
    </row>
    <row r="345" spans="2:2" ht="13.5" x14ac:dyDescent="0.25">
      <c r="B345" s="877" t="s">
        <v>786</v>
      </c>
    </row>
    <row r="346" spans="2:2" ht="13.5" x14ac:dyDescent="0.25">
      <c r="B346" s="877" t="s">
        <v>787</v>
      </c>
    </row>
    <row r="347" spans="2:2" ht="13.5" x14ac:dyDescent="0.25">
      <c r="B347" s="877" t="s">
        <v>788</v>
      </c>
    </row>
    <row r="348" spans="2:2" ht="13.5" x14ac:dyDescent="0.25">
      <c r="B348" s="877" t="s">
        <v>789</v>
      </c>
    </row>
    <row r="349" spans="2:2" ht="13.5" x14ac:dyDescent="0.25">
      <c r="B349" s="877"/>
    </row>
    <row r="350" spans="2:2" ht="13.5" x14ac:dyDescent="0.25">
      <c r="B350" s="877" t="s">
        <v>790</v>
      </c>
    </row>
    <row r="351" spans="2:2" ht="13.5" x14ac:dyDescent="0.25">
      <c r="B351" s="877" t="s">
        <v>791</v>
      </c>
    </row>
    <row r="352" spans="2:2" ht="13.5" x14ac:dyDescent="0.25">
      <c r="B352" s="877" t="s">
        <v>792</v>
      </c>
    </row>
    <row r="353" spans="2:2" ht="13.5" x14ac:dyDescent="0.25">
      <c r="B353" s="877" t="s">
        <v>793</v>
      </c>
    </row>
    <row r="354" spans="2:2" ht="13.5" x14ac:dyDescent="0.25">
      <c r="B354" s="877" t="s">
        <v>794</v>
      </c>
    </row>
    <row r="355" spans="2:2" ht="13.5" x14ac:dyDescent="0.25">
      <c r="B355" s="877" t="s">
        <v>795</v>
      </c>
    </row>
    <row r="356" spans="2:2" ht="13.5" x14ac:dyDescent="0.25">
      <c r="B356" s="877" t="s">
        <v>796</v>
      </c>
    </row>
    <row r="357" spans="2:2" ht="13.5" x14ac:dyDescent="0.25">
      <c r="B357" s="877" t="s">
        <v>797</v>
      </c>
    </row>
    <row r="358" spans="2:2" ht="13.5" x14ac:dyDescent="0.25">
      <c r="B358" s="877" t="s">
        <v>798</v>
      </c>
    </row>
    <row r="359" spans="2:2" ht="13.5" x14ac:dyDescent="0.25">
      <c r="B359" s="877" t="s">
        <v>799</v>
      </c>
    </row>
    <row r="360" spans="2:2" ht="13.5" x14ac:dyDescent="0.25">
      <c r="B360" s="877" t="s">
        <v>800</v>
      </c>
    </row>
    <row r="361" spans="2:2" ht="13.5" x14ac:dyDescent="0.25">
      <c r="B361" s="877" t="s">
        <v>801</v>
      </c>
    </row>
    <row r="362" spans="2:2" ht="13.5" x14ac:dyDescent="0.25">
      <c r="B362" s="877"/>
    </row>
    <row r="363" spans="2:2" ht="13.5" x14ac:dyDescent="0.25">
      <c r="B363" s="877" t="s">
        <v>802</v>
      </c>
    </row>
    <row r="364" spans="2:2" ht="13.5" x14ac:dyDescent="0.25">
      <c r="B364" s="877" t="s">
        <v>803</v>
      </c>
    </row>
    <row r="365" spans="2:2" ht="13.5" x14ac:dyDescent="0.25">
      <c r="B365" s="877" t="s">
        <v>804</v>
      </c>
    </row>
    <row r="366" spans="2:2" ht="13.5" x14ac:dyDescent="0.25">
      <c r="B366" s="877" t="s">
        <v>805</v>
      </c>
    </row>
    <row r="367" spans="2:2" ht="13.5" x14ac:dyDescent="0.25">
      <c r="B367" s="877"/>
    </row>
    <row r="368" spans="2:2" ht="13.5" x14ac:dyDescent="0.25">
      <c r="B368" s="877" t="s">
        <v>806</v>
      </c>
    </row>
    <row r="369" spans="2:2" ht="13.5" x14ac:dyDescent="0.25">
      <c r="B369" s="877" t="s">
        <v>807</v>
      </c>
    </row>
    <row r="370" spans="2:2" ht="13.5" x14ac:dyDescent="0.25">
      <c r="B370" s="877" t="s">
        <v>808</v>
      </c>
    </row>
    <row r="371" spans="2:2" ht="13.5" x14ac:dyDescent="0.25">
      <c r="B371" s="877"/>
    </row>
    <row r="372" spans="2:2" ht="13.5" x14ac:dyDescent="0.25">
      <c r="B372" s="877" t="s">
        <v>809</v>
      </c>
    </row>
    <row r="373" spans="2:2" ht="13.5" x14ac:dyDescent="0.25">
      <c r="B373" s="877" t="s">
        <v>810</v>
      </c>
    </row>
    <row r="374" spans="2:2" ht="13.5" x14ac:dyDescent="0.25">
      <c r="B374" s="877" t="s">
        <v>811</v>
      </c>
    </row>
    <row r="375" spans="2:2" ht="13.5" x14ac:dyDescent="0.25">
      <c r="B375" s="877" t="s">
        <v>812</v>
      </c>
    </row>
    <row r="376" spans="2:2" ht="13.5" x14ac:dyDescent="0.25">
      <c r="B376" s="877" t="s">
        <v>813</v>
      </c>
    </row>
    <row r="377" spans="2:2" ht="13.5" x14ac:dyDescent="0.25">
      <c r="B377" s="877" t="s">
        <v>814</v>
      </c>
    </row>
    <row r="378" spans="2:2" ht="13.5" x14ac:dyDescent="0.25">
      <c r="B378" s="877" t="s">
        <v>815</v>
      </c>
    </row>
    <row r="379" spans="2:2" ht="13.5" x14ac:dyDescent="0.25">
      <c r="B379" s="877" t="s">
        <v>816</v>
      </c>
    </row>
    <row r="380" spans="2:2" ht="13.5" x14ac:dyDescent="0.25">
      <c r="B380" s="877" t="s">
        <v>817</v>
      </c>
    </row>
    <row r="381" spans="2:2" ht="13.5" x14ac:dyDescent="0.25">
      <c r="B381" s="877" t="s">
        <v>818</v>
      </c>
    </row>
    <row r="382" spans="2:2" ht="13.5" x14ac:dyDescent="0.25">
      <c r="B382" s="877" t="s">
        <v>819</v>
      </c>
    </row>
    <row r="383" spans="2:2" ht="13.5" x14ac:dyDescent="0.25">
      <c r="B383" s="877" t="s">
        <v>820</v>
      </c>
    </row>
    <row r="384" spans="2:2" ht="13.5" x14ac:dyDescent="0.25">
      <c r="B384" s="877"/>
    </row>
    <row r="385" spans="2:2" ht="13.5" x14ac:dyDescent="0.25">
      <c r="B385" s="877" t="s">
        <v>821</v>
      </c>
    </row>
    <row r="386" spans="2:2" ht="13.5" x14ac:dyDescent="0.25">
      <c r="B386" s="877" t="s">
        <v>822</v>
      </c>
    </row>
    <row r="387" spans="2:2" ht="13.5" x14ac:dyDescent="0.25">
      <c r="B387" s="877" t="s">
        <v>823</v>
      </c>
    </row>
    <row r="388" spans="2:2" ht="13.5" x14ac:dyDescent="0.25">
      <c r="B388" s="877" t="s">
        <v>824</v>
      </c>
    </row>
    <row r="389" spans="2:2" ht="13.5" x14ac:dyDescent="0.25">
      <c r="B389" s="877" t="s">
        <v>825</v>
      </c>
    </row>
    <row r="390" spans="2:2" ht="13.5" x14ac:dyDescent="0.25">
      <c r="B390" s="877" t="s">
        <v>826</v>
      </c>
    </row>
    <row r="391" spans="2:2" ht="13.5" x14ac:dyDescent="0.25">
      <c r="B391" s="877" t="s">
        <v>827</v>
      </c>
    </row>
    <row r="392" spans="2:2" ht="13.5" x14ac:dyDescent="0.25">
      <c r="B392" s="877"/>
    </row>
    <row r="393" spans="2:2" ht="13.5" x14ac:dyDescent="0.25">
      <c r="B393" s="877" t="s">
        <v>828</v>
      </c>
    </row>
    <row r="394" spans="2:2" ht="13.5" x14ac:dyDescent="0.25">
      <c r="B394" s="877" t="s">
        <v>829</v>
      </c>
    </row>
    <row r="395" spans="2:2" ht="13.5" x14ac:dyDescent="0.25">
      <c r="B395" s="877" t="s">
        <v>830</v>
      </c>
    </row>
    <row r="396" spans="2:2" ht="13.5" x14ac:dyDescent="0.25">
      <c r="B396" s="877" t="s">
        <v>831</v>
      </c>
    </row>
    <row r="397" spans="2:2" ht="13.5" x14ac:dyDescent="0.25">
      <c r="B397" s="877" t="s">
        <v>832</v>
      </c>
    </row>
    <row r="398" spans="2:2" ht="13.5" x14ac:dyDescent="0.25">
      <c r="B398" s="877" t="s">
        <v>833</v>
      </c>
    </row>
    <row r="399" spans="2:2" ht="13.5" x14ac:dyDescent="0.25">
      <c r="B399" s="877" t="s">
        <v>834</v>
      </c>
    </row>
    <row r="400" spans="2:2" ht="13.5" x14ac:dyDescent="0.25">
      <c r="B400" s="877" t="s">
        <v>835</v>
      </c>
    </row>
    <row r="401" spans="2:2" ht="13.5" x14ac:dyDescent="0.25">
      <c r="B401" s="877" t="s">
        <v>836</v>
      </c>
    </row>
    <row r="402" spans="2:2" ht="13.5" x14ac:dyDescent="0.25">
      <c r="B402" s="877" t="s">
        <v>837</v>
      </c>
    </row>
    <row r="403" spans="2:2" ht="13.5" x14ac:dyDescent="0.25">
      <c r="B403" s="877"/>
    </row>
    <row r="404" spans="2:2" ht="13.5" x14ac:dyDescent="0.25">
      <c r="B404" s="877" t="s">
        <v>838</v>
      </c>
    </row>
    <row r="405" spans="2:2" ht="13.5" x14ac:dyDescent="0.25">
      <c r="B405" s="877" t="s">
        <v>839</v>
      </c>
    </row>
    <row r="406" spans="2:2" ht="13.5" x14ac:dyDescent="0.25">
      <c r="B406" s="877" t="s">
        <v>840</v>
      </c>
    </row>
    <row r="407" spans="2:2" ht="13.5" x14ac:dyDescent="0.25">
      <c r="B407" s="877" t="s">
        <v>841</v>
      </c>
    </row>
    <row r="408" spans="2:2" ht="13.5" x14ac:dyDescent="0.25">
      <c r="B408" s="877" t="s">
        <v>842</v>
      </c>
    </row>
    <row r="409" spans="2:2" ht="13.5" x14ac:dyDescent="0.25">
      <c r="B409" s="877" t="s">
        <v>843</v>
      </c>
    </row>
    <row r="410" spans="2:2" ht="13.5" x14ac:dyDescent="0.25">
      <c r="B410" s="877" t="s">
        <v>844</v>
      </c>
    </row>
    <row r="411" spans="2:2" ht="13.5" x14ac:dyDescent="0.25">
      <c r="B411" s="877"/>
    </row>
    <row r="412" spans="2:2" ht="13.5" x14ac:dyDescent="0.25">
      <c r="B412" s="877" t="s">
        <v>845</v>
      </c>
    </row>
    <row r="413" spans="2:2" ht="13.5" x14ac:dyDescent="0.25">
      <c r="B413" s="877" t="s">
        <v>850</v>
      </c>
    </row>
    <row r="414" spans="2:2" ht="13.5" x14ac:dyDescent="0.25">
      <c r="B414" s="877" t="s">
        <v>851</v>
      </c>
    </row>
    <row r="415" spans="2:2" ht="13.5" x14ac:dyDescent="0.25">
      <c r="B415" s="877" t="s">
        <v>852</v>
      </c>
    </row>
    <row r="416" spans="2:2" ht="13.5" x14ac:dyDescent="0.25">
      <c r="B416" s="877" t="s">
        <v>853</v>
      </c>
    </row>
    <row r="417" spans="2:2" ht="13.5" x14ac:dyDescent="0.25">
      <c r="B417" s="877"/>
    </row>
    <row r="418" spans="2:2" ht="13.5" x14ac:dyDescent="0.25">
      <c r="B418" s="877" t="s">
        <v>854</v>
      </c>
    </row>
    <row r="419" spans="2:2" ht="13.5" x14ac:dyDescent="0.25">
      <c r="B419" s="877"/>
    </row>
    <row r="420" spans="2:2" ht="13.5" x14ac:dyDescent="0.25">
      <c r="B420" s="877" t="s">
        <v>855</v>
      </c>
    </row>
    <row r="421" spans="2:2" ht="13.5" x14ac:dyDescent="0.25">
      <c r="B421" s="877" t="s">
        <v>856</v>
      </c>
    </row>
    <row r="422" spans="2:2" ht="13.5" x14ac:dyDescent="0.25">
      <c r="B422" s="877" t="s">
        <v>857</v>
      </c>
    </row>
    <row r="423" spans="2:2" ht="13.5" x14ac:dyDescent="0.25">
      <c r="B423" s="877" t="s">
        <v>858</v>
      </c>
    </row>
    <row r="424" spans="2:2" ht="13.5" x14ac:dyDescent="0.25">
      <c r="B424" s="877" t="s">
        <v>859</v>
      </c>
    </row>
    <row r="425" spans="2:2" ht="13.5" x14ac:dyDescent="0.25">
      <c r="B425" s="877" t="s">
        <v>860</v>
      </c>
    </row>
    <row r="426" spans="2:2" ht="13.5" x14ac:dyDescent="0.25">
      <c r="B426" s="877" t="s">
        <v>863</v>
      </c>
    </row>
    <row r="427" spans="2:2" ht="13.5" x14ac:dyDescent="0.25">
      <c r="B427" s="877" t="s">
        <v>864</v>
      </c>
    </row>
    <row r="428" spans="2:2" ht="13.5" x14ac:dyDescent="0.25">
      <c r="B428" s="877"/>
    </row>
    <row r="429" spans="2:2" ht="13.5" x14ac:dyDescent="0.25">
      <c r="B429" s="877" t="s">
        <v>865</v>
      </c>
    </row>
    <row r="430" spans="2:2" ht="13.5" x14ac:dyDescent="0.25">
      <c r="B430" s="877" t="s">
        <v>866</v>
      </c>
    </row>
    <row r="431" spans="2:2" ht="13.5" x14ac:dyDescent="0.25">
      <c r="B431" s="877" t="s">
        <v>867</v>
      </c>
    </row>
    <row r="432" spans="2:2" ht="13.5" x14ac:dyDescent="0.25">
      <c r="B432" s="877" t="s">
        <v>868</v>
      </c>
    </row>
    <row r="433" spans="2:2" ht="13.5" x14ac:dyDescent="0.25">
      <c r="B433" s="877" t="s">
        <v>869</v>
      </c>
    </row>
    <row r="434" spans="2:2" ht="13.5" x14ac:dyDescent="0.25">
      <c r="B434" s="877" t="s">
        <v>870</v>
      </c>
    </row>
    <row r="435" spans="2:2" ht="13.5" x14ac:dyDescent="0.25">
      <c r="B435" s="877"/>
    </row>
    <row r="436" spans="2:2" ht="13.5" x14ac:dyDescent="0.25">
      <c r="B436" s="877" t="s">
        <v>871</v>
      </c>
    </row>
    <row r="437" spans="2:2" ht="13.5" x14ac:dyDescent="0.25">
      <c r="B437" s="877" t="s">
        <v>872</v>
      </c>
    </row>
    <row r="438" spans="2:2" ht="13.5" x14ac:dyDescent="0.25">
      <c r="B438" s="877" t="s">
        <v>873</v>
      </c>
    </row>
    <row r="439" spans="2:2" ht="13.5" x14ac:dyDescent="0.25">
      <c r="B439" s="877"/>
    </row>
    <row r="440" spans="2:2" ht="13.5" x14ac:dyDescent="0.25">
      <c r="B440" s="877" t="s">
        <v>874</v>
      </c>
    </row>
    <row r="441" spans="2:2" ht="13.5" x14ac:dyDescent="0.25">
      <c r="B441" s="877" t="s">
        <v>875</v>
      </c>
    </row>
    <row r="442" spans="2:2" ht="13.5" x14ac:dyDescent="0.25">
      <c r="B442" s="877"/>
    </row>
    <row r="443" spans="2:2" ht="13.5" x14ac:dyDescent="0.25">
      <c r="B443" s="877" t="s">
        <v>876</v>
      </c>
    </row>
    <row r="444" spans="2:2" ht="13.5" x14ac:dyDescent="0.25">
      <c r="B444" s="877" t="s">
        <v>877</v>
      </c>
    </row>
    <row r="445" spans="2:2" ht="13.5" x14ac:dyDescent="0.25">
      <c r="B445" s="877" t="s">
        <v>878</v>
      </c>
    </row>
    <row r="446" spans="2:2" ht="13.5" x14ac:dyDescent="0.25">
      <c r="B446" s="877"/>
    </row>
    <row r="447" spans="2:2" ht="13.5" x14ac:dyDescent="0.25">
      <c r="B447" s="877" t="s">
        <v>879</v>
      </c>
    </row>
    <row r="448" spans="2:2" ht="13.5" x14ac:dyDescent="0.25">
      <c r="B448" s="877" t="s">
        <v>880</v>
      </c>
    </row>
    <row r="449" spans="2:2" ht="13.5" x14ac:dyDescent="0.25">
      <c r="B449" s="877" t="s">
        <v>881</v>
      </c>
    </row>
    <row r="450" spans="2:2" ht="13.5" x14ac:dyDescent="0.25">
      <c r="B450" s="877"/>
    </row>
    <row r="451" spans="2:2" ht="13.5" x14ac:dyDescent="0.25">
      <c r="B451" s="877" t="s">
        <v>882</v>
      </c>
    </row>
    <row r="452" spans="2:2" ht="13.5" x14ac:dyDescent="0.25">
      <c r="B452" s="877" t="s">
        <v>883</v>
      </c>
    </row>
    <row r="453" spans="2:2" ht="13.5" x14ac:dyDescent="0.25">
      <c r="B453" s="877"/>
    </row>
    <row r="454" spans="2:2" ht="13.5" x14ac:dyDescent="0.25">
      <c r="B454" s="877" t="s">
        <v>884</v>
      </c>
    </row>
    <row r="455" spans="2:2" ht="13.5" x14ac:dyDescent="0.25">
      <c r="B455" s="877" t="s">
        <v>885</v>
      </c>
    </row>
    <row r="456" spans="2:2" ht="13.5" x14ac:dyDescent="0.25">
      <c r="B456" s="877"/>
    </row>
    <row r="457" spans="2:2" ht="13.5" x14ac:dyDescent="0.25">
      <c r="B457" s="877" t="s">
        <v>886</v>
      </c>
    </row>
    <row r="458" spans="2:2" ht="13.5" x14ac:dyDescent="0.25">
      <c r="B458" s="877" t="s">
        <v>887</v>
      </c>
    </row>
    <row r="459" spans="2:2" ht="13.5" x14ac:dyDescent="0.25">
      <c r="B459" s="877" t="s">
        <v>888</v>
      </c>
    </row>
    <row r="460" spans="2:2" ht="13.5" x14ac:dyDescent="0.25">
      <c r="B460" s="877" t="s">
        <v>889</v>
      </c>
    </row>
    <row r="461" spans="2:2" ht="13.5" x14ac:dyDescent="0.25">
      <c r="B461" s="877" t="s">
        <v>890</v>
      </c>
    </row>
    <row r="462" spans="2:2" ht="13.5" x14ac:dyDescent="0.25">
      <c r="B462" s="877"/>
    </row>
    <row r="463" spans="2:2" ht="13.5" x14ac:dyDescent="0.25">
      <c r="B463" s="877" t="s">
        <v>891</v>
      </c>
    </row>
    <row r="464" spans="2:2" ht="13.5" x14ac:dyDescent="0.25">
      <c r="B464" s="877" t="s">
        <v>892</v>
      </c>
    </row>
    <row r="465" spans="2:2" ht="13.5" x14ac:dyDescent="0.25">
      <c r="B465" s="877" t="s">
        <v>893</v>
      </c>
    </row>
    <row r="466" spans="2:2" ht="13.5" x14ac:dyDescent="0.25">
      <c r="B466" s="877" t="s">
        <v>894</v>
      </c>
    </row>
    <row r="467" spans="2:2" ht="13.5" x14ac:dyDescent="0.25">
      <c r="B467" s="877" t="s">
        <v>895</v>
      </c>
    </row>
    <row r="468" spans="2:2" ht="13.5" x14ac:dyDescent="0.25">
      <c r="B468" s="877" t="s">
        <v>896</v>
      </c>
    </row>
    <row r="469" spans="2:2" ht="13.5" x14ac:dyDescent="0.25">
      <c r="B469" s="877" t="s">
        <v>897</v>
      </c>
    </row>
    <row r="470" spans="2:2" ht="13.5" x14ac:dyDescent="0.25">
      <c r="B470" s="877" t="s">
        <v>898</v>
      </c>
    </row>
    <row r="471" spans="2:2" ht="13.5" x14ac:dyDescent="0.25">
      <c r="B471" s="877" t="s">
        <v>899</v>
      </c>
    </row>
    <row r="472" spans="2:2" ht="13.5" x14ac:dyDescent="0.25">
      <c r="B472" s="877"/>
    </row>
    <row r="473" spans="2:2" ht="13.5" x14ac:dyDescent="0.25">
      <c r="B473" s="877" t="s">
        <v>900</v>
      </c>
    </row>
    <row r="474" spans="2:2" ht="13.5" x14ac:dyDescent="0.25">
      <c r="B474" s="877" t="s">
        <v>901</v>
      </c>
    </row>
    <row r="475" spans="2:2" ht="13.5" x14ac:dyDescent="0.25">
      <c r="B475" s="877" t="s">
        <v>902</v>
      </c>
    </row>
    <row r="476" spans="2:2" ht="13.5" x14ac:dyDescent="0.25">
      <c r="B476" s="877" t="s">
        <v>903</v>
      </c>
    </row>
    <row r="477" spans="2:2" ht="13.5" x14ac:dyDescent="0.25">
      <c r="B477" s="877"/>
    </row>
    <row r="478" spans="2:2" ht="13.5" x14ac:dyDescent="0.25">
      <c r="B478" s="877" t="s">
        <v>904</v>
      </c>
    </row>
    <row r="479" spans="2:2" ht="13.5" x14ac:dyDescent="0.25">
      <c r="B479" s="877" t="s">
        <v>905</v>
      </c>
    </row>
    <row r="480" spans="2:2" ht="13.5" x14ac:dyDescent="0.25">
      <c r="B480" s="877" t="s">
        <v>906</v>
      </c>
    </row>
    <row r="481" spans="2:2" ht="13.5" x14ac:dyDescent="0.25">
      <c r="B481" s="877"/>
    </row>
    <row r="482" spans="2:2" ht="13.5" x14ac:dyDescent="0.25">
      <c r="B482" s="877" t="s">
        <v>907</v>
      </c>
    </row>
    <row r="483" spans="2:2" ht="13.5" x14ac:dyDescent="0.25">
      <c r="B483" s="877"/>
    </row>
    <row r="484" spans="2:2" ht="13.5" x14ac:dyDescent="0.25">
      <c r="B484" s="877" t="s">
        <v>0</v>
      </c>
    </row>
    <row r="485" spans="2:2" ht="13.5" x14ac:dyDescent="0.25">
      <c r="B485" s="877" t="s">
        <v>1</v>
      </c>
    </row>
    <row r="486" spans="2:2" ht="13.5" x14ac:dyDescent="0.25">
      <c r="B486" s="877" t="s">
        <v>2</v>
      </c>
    </row>
    <row r="487" spans="2:2" ht="13.5" x14ac:dyDescent="0.25">
      <c r="B487" s="877" t="s">
        <v>3</v>
      </c>
    </row>
    <row r="488" spans="2:2" ht="13.5" x14ac:dyDescent="0.25">
      <c r="B488" s="877" t="s">
        <v>4</v>
      </c>
    </row>
    <row r="489" spans="2:2" ht="13.5" x14ac:dyDescent="0.25">
      <c r="B489" s="877"/>
    </row>
    <row r="490" spans="2:2" ht="13.5" x14ac:dyDescent="0.25">
      <c r="B490" s="877" t="s">
        <v>5</v>
      </c>
    </row>
    <row r="491" spans="2:2" ht="13.5" x14ac:dyDescent="0.25">
      <c r="B491" s="877" t="s">
        <v>6</v>
      </c>
    </row>
    <row r="492" spans="2:2" ht="13.5" x14ac:dyDescent="0.25">
      <c r="B492" s="877" t="s">
        <v>7</v>
      </c>
    </row>
    <row r="493" spans="2:2" ht="13.5" x14ac:dyDescent="0.25">
      <c r="B493" s="877" t="s">
        <v>8</v>
      </c>
    </row>
    <row r="494" spans="2:2" ht="13.5" x14ac:dyDescent="0.25">
      <c r="B494" s="877" t="s">
        <v>9</v>
      </c>
    </row>
    <row r="495" spans="2:2" ht="13.5" x14ac:dyDescent="0.25">
      <c r="B495" s="877" t="s">
        <v>10</v>
      </c>
    </row>
    <row r="496" spans="2:2" ht="13.5" x14ac:dyDescent="0.25">
      <c r="B496" s="877"/>
    </row>
    <row r="497" spans="2:2" ht="13.5" x14ac:dyDescent="0.25">
      <c r="B497" s="877" t="s">
        <v>11</v>
      </c>
    </row>
    <row r="498" spans="2:2" ht="13.5" x14ac:dyDescent="0.25">
      <c r="B498" s="877" t="s">
        <v>12</v>
      </c>
    </row>
    <row r="499" spans="2:2" ht="13.5" x14ac:dyDescent="0.25">
      <c r="B499" s="877" t="s">
        <v>13</v>
      </c>
    </row>
    <row r="500" spans="2:2" ht="13.5" x14ac:dyDescent="0.25">
      <c r="B500" s="877" t="s">
        <v>14</v>
      </c>
    </row>
    <row r="501" spans="2:2" ht="13.5" x14ac:dyDescent="0.25">
      <c r="B501" s="877" t="s">
        <v>15</v>
      </c>
    </row>
    <row r="502" spans="2:2" ht="13.5" x14ac:dyDescent="0.25">
      <c r="B502" s="877" t="s">
        <v>16</v>
      </c>
    </row>
    <row r="503" spans="2:2" ht="13.5" x14ac:dyDescent="0.25">
      <c r="B503" s="877"/>
    </row>
    <row r="504" spans="2:2" ht="13.5" x14ac:dyDescent="0.25">
      <c r="B504" s="877" t="s">
        <v>17</v>
      </c>
    </row>
    <row r="505" spans="2:2" ht="13.5" x14ac:dyDescent="0.25">
      <c r="B505" s="877" t="s">
        <v>18</v>
      </c>
    </row>
    <row r="506" spans="2:2" ht="13.5" x14ac:dyDescent="0.25">
      <c r="B506" s="877" t="s">
        <v>19</v>
      </c>
    </row>
    <row r="507" spans="2:2" ht="13.5" x14ac:dyDescent="0.25">
      <c r="B507" s="877" t="s">
        <v>20</v>
      </c>
    </row>
    <row r="508" spans="2:2" ht="13.5" x14ac:dyDescent="0.25">
      <c r="B508" s="877" t="s">
        <v>21</v>
      </c>
    </row>
    <row r="509" spans="2:2" ht="13.5" x14ac:dyDescent="0.25">
      <c r="B509" s="877"/>
    </row>
    <row r="510" spans="2:2" ht="13.5" x14ac:dyDescent="0.25">
      <c r="B510" s="877" t="s">
        <v>22</v>
      </c>
    </row>
    <row r="511" spans="2:2" ht="13.5" x14ac:dyDescent="0.25">
      <c r="B511" s="877"/>
    </row>
    <row r="512" spans="2:2" ht="13.5" x14ac:dyDescent="0.25">
      <c r="B512" s="877" t="s">
        <v>23</v>
      </c>
    </row>
    <row r="513" spans="2:2" ht="13.5" x14ac:dyDescent="0.25">
      <c r="B513" s="877" t="s">
        <v>24</v>
      </c>
    </row>
    <row r="514" spans="2:2" ht="13.5" x14ac:dyDescent="0.25">
      <c r="B514" s="877" t="s">
        <v>25</v>
      </c>
    </row>
    <row r="515" spans="2:2" ht="13.5" x14ac:dyDescent="0.25">
      <c r="B515" s="877" t="s">
        <v>26</v>
      </c>
    </row>
    <row r="516" spans="2:2" ht="13.5" x14ac:dyDescent="0.25">
      <c r="B516" s="877" t="s">
        <v>27</v>
      </c>
    </row>
    <row r="517" spans="2:2" ht="13.5" x14ac:dyDescent="0.25">
      <c r="B517" s="877" t="s">
        <v>28</v>
      </c>
    </row>
    <row r="518" spans="2:2" ht="13.5" x14ac:dyDescent="0.25">
      <c r="B518" s="877" t="s">
        <v>29</v>
      </c>
    </row>
    <row r="519" spans="2:2" ht="13.5" x14ac:dyDescent="0.25">
      <c r="B519" s="877" t="s">
        <v>30</v>
      </c>
    </row>
    <row r="520" spans="2:2" ht="13.5" x14ac:dyDescent="0.25">
      <c r="B520" s="877"/>
    </row>
    <row r="521" spans="2:2" ht="13.5" x14ac:dyDescent="0.25">
      <c r="B521" s="877" t="s">
        <v>31</v>
      </c>
    </row>
    <row r="522" spans="2:2" ht="13.5" x14ac:dyDescent="0.25">
      <c r="B522" s="877"/>
    </row>
    <row r="523" spans="2:2" ht="13.5" x14ac:dyDescent="0.25">
      <c r="B523" s="877" t="s">
        <v>32</v>
      </c>
    </row>
    <row r="524" spans="2:2" ht="13.5" x14ac:dyDescent="0.25">
      <c r="B524" s="877" t="s">
        <v>33</v>
      </c>
    </row>
    <row r="525" spans="2:2" ht="13.5" x14ac:dyDescent="0.25">
      <c r="B525" s="877" t="s">
        <v>34</v>
      </c>
    </row>
    <row r="526" spans="2:2" ht="13.5" x14ac:dyDescent="0.25">
      <c r="B526" s="877" t="s">
        <v>35</v>
      </c>
    </row>
    <row r="527" spans="2:2" ht="13.5" x14ac:dyDescent="0.25">
      <c r="B527" s="877"/>
    </row>
    <row r="528" spans="2:2" ht="13.5" x14ac:dyDescent="0.25">
      <c r="B528" s="877" t="s">
        <v>36</v>
      </c>
    </row>
    <row r="529" spans="2:2" ht="13.5" x14ac:dyDescent="0.25">
      <c r="B529" s="877" t="s">
        <v>37</v>
      </c>
    </row>
    <row r="530" spans="2:2" ht="13.5" x14ac:dyDescent="0.25">
      <c r="B530" s="877" t="s">
        <v>38</v>
      </c>
    </row>
    <row r="531" spans="2:2" ht="13.5" x14ac:dyDescent="0.25">
      <c r="B531" s="877" t="s">
        <v>39</v>
      </c>
    </row>
    <row r="532" spans="2:2" ht="13.5" x14ac:dyDescent="0.25">
      <c r="B532" s="877" t="s">
        <v>40</v>
      </c>
    </row>
    <row r="533" spans="2:2" ht="13.5" x14ac:dyDescent="0.25">
      <c r="B533" s="877" t="s">
        <v>41</v>
      </c>
    </row>
    <row r="534" spans="2:2" ht="13.5" x14ac:dyDescent="0.25">
      <c r="B534" s="877" t="s">
        <v>42</v>
      </c>
    </row>
    <row r="535" spans="2:2" ht="13.5" x14ac:dyDescent="0.25">
      <c r="B535" s="877" t="s">
        <v>43</v>
      </c>
    </row>
    <row r="536" spans="2:2" ht="13.5" x14ac:dyDescent="0.25">
      <c r="B536" s="877" t="s">
        <v>44</v>
      </c>
    </row>
    <row r="537" spans="2:2" ht="13.5" x14ac:dyDescent="0.25">
      <c r="B537" s="877"/>
    </row>
    <row r="538" spans="2:2" ht="13.5" x14ac:dyDescent="0.25">
      <c r="B538" s="877" t="s">
        <v>45</v>
      </c>
    </row>
    <row r="539" spans="2:2" ht="13.5" x14ac:dyDescent="0.25">
      <c r="B539" s="877" t="s">
        <v>46</v>
      </c>
    </row>
    <row r="540" spans="2:2" ht="13.5" x14ac:dyDescent="0.25">
      <c r="B540" s="877" t="s">
        <v>47</v>
      </c>
    </row>
    <row r="541" spans="2:2" ht="13.5" x14ac:dyDescent="0.25">
      <c r="B541" s="877" t="s">
        <v>48</v>
      </c>
    </row>
    <row r="542" spans="2:2" ht="13.5" x14ac:dyDescent="0.25">
      <c r="B542" s="877" t="s">
        <v>49</v>
      </c>
    </row>
    <row r="543" spans="2:2" ht="13.5" x14ac:dyDescent="0.25">
      <c r="B543" s="877" t="s">
        <v>50</v>
      </c>
    </row>
    <row r="544" spans="2:2" ht="13.5" x14ac:dyDescent="0.25">
      <c r="B544" s="877" t="s">
        <v>51</v>
      </c>
    </row>
    <row r="545" spans="2:2" ht="13.5" x14ac:dyDescent="0.25">
      <c r="B545" s="877"/>
    </row>
    <row r="546" spans="2:2" ht="13.5" x14ac:dyDescent="0.25">
      <c r="B546" s="877" t="s">
        <v>52</v>
      </c>
    </row>
    <row r="547" spans="2:2" ht="13.5" x14ac:dyDescent="0.25">
      <c r="B547" s="877"/>
    </row>
    <row r="548" spans="2:2" ht="13.5" x14ac:dyDescent="0.25">
      <c r="B548" s="877" t="s">
        <v>53</v>
      </c>
    </row>
    <row r="549" spans="2:2" ht="13.5" x14ac:dyDescent="0.25">
      <c r="B549" s="877" t="s">
        <v>54</v>
      </c>
    </row>
    <row r="550" spans="2:2" ht="13.5" x14ac:dyDescent="0.25">
      <c r="B550" s="877" t="s">
        <v>55</v>
      </c>
    </row>
    <row r="551" spans="2:2" ht="13.5" x14ac:dyDescent="0.25">
      <c r="B551" s="877"/>
    </row>
    <row r="552" spans="2:2" ht="13.5" x14ac:dyDescent="0.25">
      <c r="B552" s="877" t="s">
        <v>57</v>
      </c>
    </row>
    <row r="553" spans="2:2" ht="13.5" x14ac:dyDescent="0.25">
      <c r="B553" s="877" t="s">
        <v>58</v>
      </c>
    </row>
    <row r="554" spans="2:2" ht="13.5" x14ac:dyDescent="0.25">
      <c r="B554" s="877" t="s">
        <v>59</v>
      </c>
    </row>
    <row r="555" spans="2:2" ht="13.5" x14ac:dyDescent="0.25">
      <c r="B555" s="877" t="s">
        <v>60</v>
      </c>
    </row>
    <row r="556" spans="2:2" ht="13.5" x14ac:dyDescent="0.25">
      <c r="B556" s="877" t="s">
        <v>61</v>
      </c>
    </row>
    <row r="557" spans="2:2" ht="13.5" x14ac:dyDescent="0.25">
      <c r="B557" s="877" t="s">
        <v>62</v>
      </c>
    </row>
    <row r="558" spans="2:2" ht="13.5" x14ac:dyDescent="0.25">
      <c r="B558" s="877" t="s">
        <v>63</v>
      </c>
    </row>
    <row r="559" spans="2:2" ht="13.5" x14ac:dyDescent="0.25">
      <c r="B559" s="877" t="s">
        <v>64</v>
      </c>
    </row>
    <row r="560" spans="2:2" ht="13.5" x14ac:dyDescent="0.25">
      <c r="B560" s="877" t="s">
        <v>65</v>
      </c>
    </row>
    <row r="561" spans="2:2" ht="13.5" x14ac:dyDescent="0.25">
      <c r="B561" s="877"/>
    </row>
    <row r="562" spans="2:2" ht="13.5" x14ac:dyDescent="0.25">
      <c r="B562" s="877" t="s">
        <v>66</v>
      </c>
    </row>
    <row r="563" spans="2:2" ht="13.5" x14ac:dyDescent="0.25">
      <c r="B563" s="877" t="s">
        <v>67</v>
      </c>
    </row>
    <row r="564" spans="2:2" ht="13.5" x14ac:dyDescent="0.25">
      <c r="B564" s="877" t="s">
        <v>68</v>
      </c>
    </row>
    <row r="565" spans="2:2" ht="13.5" x14ac:dyDescent="0.25">
      <c r="B565" s="877" t="s">
        <v>69</v>
      </c>
    </row>
    <row r="566" spans="2:2" ht="13.5" x14ac:dyDescent="0.25">
      <c r="B566" s="877"/>
    </row>
    <row r="567" spans="2:2" ht="13.5" x14ac:dyDescent="0.25">
      <c r="B567" s="877" t="s">
        <v>70</v>
      </c>
    </row>
    <row r="568" spans="2:2" ht="13.5" x14ac:dyDescent="0.25">
      <c r="B568" s="877" t="s">
        <v>71</v>
      </c>
    </row>
    <row r="569" spans="2:2" ht="13.5" x14ac:dyDescent="0.25">
      <c r="B569" s="877" t="s">
        <v>72</v>
      </c>
    </row>
    <row r="570" spans="2:2" ht="13.5" x14ac:dyDescent="0.25">
      <c r="B570" s="877" t="s">
        <v>82</v>
      </c>
    </row>
    <row r="571" spans="2:2" ht="13.5" x14ac:dyDescent="0.25">
      <c r="B571" s="877" t="s">
        <v>83</v>
      </c>
    </row>
    <row r="572" spans="2:2" ht="13.5" x14ac:dyDescent="0.25">
      <c r="B572" s="877" t="s">
        <v>84</v>
      </c>
    </row>
    <row r="573" spans="2:2" ht="13.5" x14ac:dyDescent="0.25">
      <c r="B573" s="877"/>
    </row>
    <row r="574" spans="2:2" ht="13.5" x14ac:dyDescent="0.25">
      <c r="B574" s="877" t="s">
        <v>85</v>
      </c>
    </row>
    <row r="575" spans="2:2" ht="13.5" x14ac:dyDescent="0.25">
      <c r="B575" s="877" t="s">
        <v>86</v>
      </c>
    </row>
    <row r="576" spans="2:2" ht="13.5" x14ac:dyDescent="0.25">
      <c r="B576" s="877" t="s">
        <v>87</v>
      </c>
    </row>
    <row r="577" spans="2:2" ht="13.5" x14ac:dyDescent="0.25">
      <c r="B577" s="877" t="s">
        <v>88</v>
      </c>
    </row>
    <row r="578" spans="2:2" ht="13.5" x14ac:dyDescent="0.25">
      <c r="B578" s="877" t="s">
        <v>89</v>
      </c>
    </row>
    <row r="579" spans="2:2" ht="13.5" x14ac:dyDescent="0.25">
      <c r="B579" s="877" t="s">
        <v>90</v>
      </c>
    </row>
    <row r="580" spans="2:2" ht="13.5" x14ac:dyDescent="0.25">
      <c r="B580" s="877" t="s">
        <v>91</v>
      </c>
    </row>
    <row r="581" spans="2:2" ht="13.5" x14ac:dyDescent="0.25">
      <c r="B581" s="877" t="s">
        <v>92</v>
      </c>
    </row>
    <row r="582" spans="2:2" ht="13.5" x14ac:dyDescent="0.25">
      <c r="B582" s="877" t="s">
        <v>93</v>
      </c>
    </row>
    <row r="583" spans="2:2" ht="13.5" x14ac:dyDescent="0.25">
      <c r="B583" s="877" t="s">
        <v>94</v>
      </c>
    </row>
    <row r="584" spans="2:2" ht="13.5" x14ac:dyDescent="0.25">
      <c r="B584" s="877" t="s">
        <v>95</v>
      </c>
    </row>
    <row r="585" spans="2:2" ht="13.5" x14ac:dyDescent="0.25">
      <c r="B585" s="877" t="s">
        <v>96</v>
      </c>
    </row>
    <row r="586" spans="2:2" ht="13.5" x14ac:dyDescent="0.25">
      <c r="B586" s="877" t="s">
        <v>97</v>
      </c>
    </row>
    <row r="587" spans="2:2" ht="13.5" x14ac:dyDescent="0.25">
      <c r="B587" s="877"/>
    </row>
    <row r="588" spans="2:2" ht="13.5" x14ac:dyDescent="0.25">
      <c r="B588" s="877" t="s">
        <v>98</v>
      </c>
    </row>
    <row r="589" spans="2:2" ht="13.5" x14ac:dyDescent="0.25">
      <c r="B589" s="877" t="s">
        <v>99</v>
      </c>
    </row>
    <row r="590" spans="2:2" ht="13.5" x14ac:dyDescent="0.25">
      <c r="B590" s="877" t="s">
        <v>100</v>
      </c>
    </row>
    <row r="591" spans="2:2" ht="13.5" x14ac:dyDescent="0.25">
      <c r="B591" s="877" t="s">
        <v>101</v>
      </c>
    </row>
    <row r="592" spans="2:2" ht="13.5" x14ac:dyDescent="0.25">
      <c r="B592" s="877" t="s">
        <v>102</v>
      </c>
    </row>
    <row r="593" spans="2:2" ht="13.5" x14ac:dyDescent="0.25">
      <c r="B593" s="877" t="s">
        <v>103</v>
      </c>
    </row>
    <row r="594" spans="2:2" ht="13.5" x14ac:dyDescent="0.25">
      <c r="B594" s="877" t="s">
        <v>104</v>
      </c>
    </row>
    <row r="595" spans="2:2" ht="13.5" x14ac:dyDescent="0.25">
      <c r="B595" s="877"/>
    </row>
    <row r="596" spans="2:2" ht="13.5" x14ac:dyDescent="0.25">
      <c r="B596" s="877" t="s">
        <v>105</v>
      </c>
    </row>
    <row r="597" spans="2:2" ht="13.5" x14ac:dyDescent="0.25">
      <c r="B597" s="877" t="s">
        <v>106</v>
      </c>
    </row>
    <row r="598" spans="2:2" ht="13.5" x14ac:dyDescent="0.25">
      <c r="B598" s="877" t="s">
        <v>107</v>
      </c>
    </row>
    <row r="599" spans="2:2" ht="13.5" x14ac:dyDescent="0.25">
      <c r="B599" s="877" t="s">
        <v>108</v>
      </c>
    </row>
    <row r="600" spans="2:2" ht="13.5" x14ac:dyDescent="0.25">
      <c r="B600" s="877" t="s">
        <v>109</v>
      </c>
    </row>
    <row r="601" spans="2:2" ht="13.5" x14ac:dyDescent="0.25">
      <c r="B601" s="877" t="s">
        <v>110</v>
      </c>
    </row>
    <row r="602" spans="2:2" ht="13.5" x14ac:dyDescent="0.25">
      <c r="B602" s="877" t="s">
        <v>111</v>
      </c>
    </row>
    <row r="603" spans="2:2" ht="13.5" x14ac:dyDescent="0.25">
      <c r="B603" s="877" t="s">
        <v>112</v>
      </c>
    </row>
    <row r="604" spans="2:2" ht="13.5" x14ac:dyDescent="0.25">
      <c r="B604" s="877" t="s">
        <v>113</v>
      </c>
    </row>
    <row r="605" spans="2:2" ht="13.5" x14ac:dyDescent="0.25">
      <c r="B605" s="877" t="s">
        <v>114</v>
      </c>
    </row>
    <row r="606" spans="2:2" ht="13.5" x14ac:dyDescent="0.25">
      <c r="B606" s="877" t="s">
        <v>115</v>
      </c>
    </row>
    <row r="607" spans="2:2" ht="13.5" x14ac:dyDescent="0.25">
      <c r="B607" s="877" t="s">
        <v>116</v>
      </c>
    </row>
    <row r="608" spans="2:2" ht="13.5" x14ac:dyDescent="0.25">
      <c r="B608" s="877" t="s">
        <v>117</v>
      </c>
    </row>
    <row r="609" spans="2:2" ht="13.5" x14ac:dyDescent="0.25">
      <c r="B609" s="877" t="s">
        <v>118</v>
      </c>
    </row>
    <row r="610" spans="2:2" ht="13.5" x14ac:dyDescent="0.25">
      <c r="B610" s="877"/>
    </row>
    <row r="611" spans="2:2" ht="13.5" x14ac:dyDescent="0.25">
      <c r="B611" s="877" t="s">
        <v>119</v>
      </c>
    </row>
    <row r="612" spans="2:2" ht="13.5" x14ac:dyDescent="0.25">
      <c r="B612" s="877" t="s">
        <v>120</v>
      </c>
    </row>
    <row r="613" spans="2:2" ht="13.5" x14ac:dyDescent="0.25">
      <c r="B613" s="877" t="s">
        <v>121</v>
      </c>
    </row>
    <row r="614" spans="2:2" ht="13.5" x14ac:dyDescent="0.25">
      <c r="B614" s="877"/>
    </row>
    <row r="615" spans="2:2" ht="13.5" x14ac:dyDescent="0.25">
      <c r="B615" s="877" t="s">
        <v>122</v>
      </c>
    </row>
    <row r="616" spans="2:2" ht="13.5" x14ac:dyDescent="0.25">
      <c r="B616" s="877"/>
    </row>
    <row r="617" spans="2:2" ht="13.5" x14ac:dyDescent="0.25">
      <c r="B617" s="877" t="s">
        <v>123</v>
      </c>
    </row>
    <row r="618" spans="2:2" ht="13.5" x14ac:dyDescent="0.25">
      <c r="B618" s="877" t="s">
        <v>124</v>
      </c>
    </row>
    <row r="619" spans="2:2" ht="13.5" x14ac:dyDescent="0.25">
      <c r="B619" s="877" t="s">
        <v>125</v>
      </c>
    </row>
    <row r="620" spans="2:2" ht="13.5" x14ac:dyDescent="0.25">
      <c r="B620" s="877" t="s">
        <v>126</v>
      </c>
    </row>
    <row r="621" spans="2:2" ht="13.5" x14ac:dyDescent="0.25">
      <c r="B621" s="877" t="s">
        <v>127</v>
      </c>
    </row>
    <row r="622" spans="2:2" ht="13.5" x14ac:dyDescent="0.25">
      <c r="B622" s="877" t="s">
        <v>128</v>
      </c>
    </row>
    <row r="623" spans="2:2" ht="13.5" x14ac:dyDescent="0.25">
      <c r="B623" s="877" t="s">
        <v>129</v>
      </c>
    </row>
    <row r="624" spans="2:2" ht="13.5" x14ac:dyDescent="0.25">
      <c r="B624" s="877" t="s">
        <v>130</v>
      </c>
    </row>
    <row r="625" spans="2:2" ht="13.5" x14ac:dyDescent="0.25">
      <c r="B625" s="877" t="s">
        <v>131</v>
      </c>
    </row>
    <row r="626" spans="2:2" ht="13.5" x14ac:dyDescent="0.25">
      <c r="B626" s="877"/>
    </row>
    <row r="627" spans="2:2" ht="13.5" x14ac:dyDescent="0.25">
      <c r="B627" s="877" t="s">
        <v>132</v>
      </c>
    </row>
    <row r="628" spans="2:2" ht="13.5" x14ac:dyDescent="0.25">
      <c r="B628" s="877"/>
    </row>
    <row r="629" spans="2:2" ht="13.5" x14ac:dyDescent="0.25">
      <c r="B629" s="877" t="s">
        <v>133</v>
      </c>
    </row>
    <row r="630" spans="2:2" ht="13.5" x14ac:dyDescent="0.25">
      <c r="B630" s="877" t="s">
        <v>134</v>
      </c>
    </row>
    <row r="631" spans="2:2" ht="13.5" x14ac:dyDescent="0.25">
      <c r="B631" s="877" t="s">
        <v>135</v>
      </c>
    </row>
    <row r="632" spans="2:2" ht="13.5" x14ac:dyDescent="0.25">
      <c r="B632" s="877" t="s">
        <v>136</v>
      </c>
    </row>
    <row r="633" spans="2:2" ht="13.5" x14ac:dyDescent="0.25">
      <c r="B633" s="877" t="s">
        <v>137</v>
      </c>
    </row>
    <row r="634" spans="2:2" ht="13.5" x14ac:dyDescent="0.25">
      <c r="B634" s="877" t="s">
        <v>138</v>
      </c>
    </row>
    <row r="635" spans="2:2" ht="13.5" x14ac:dyDescent="0.25">
      <c r="B635" s="877" t="s">
        <v>139</v>
      </c>
    </row>
    <row r="636" spans="2:2" ht="13.5" x14ac:dyDescent="0.25">
      <c r="B636" s="877" t="s">
        <v>140</v>
      </c>
    </row>
    <row r="637" spans="2:2" ht="13.5" x14ac:dyDescent="0.25">
      <c r="B637" s="877"/>
    </row>
    <row r="638" spans="2:2" ht="13.5" x14ac:dyDescent="0.25">
      <c r="B638" s="877" t="s">
        <v>141</v>
      </c>
    </row>
    <row r="639" spans="2:2" ht="13.5" x14ac:dyDescent="0.25">
      <c r="B639" s="877"/>
    </row>
    <row r="640" spans="2:2" ht="13.5" x14ac:dyDescent="0.25">
      <c r="B640" s="877" t="s">
        <v>142</v>
      </c>
    </row>
    <row r="641" spans="2:2" ht="13.5" x14ac:dyDescent="0.25">
      <c r="B641" s="877" t="s">
        <v>143</v>
      </c>
    </row>
    <row r="642" spans="2:2" ht="13.5" x14ac:dyDescent="0.25">
      <c r="B642" s="877" t="s">
        <v>144</v>
      </c>
    </row>
    <row r="643" spans="2:2" ht="13.5" x14ac:dyDescent="0.25">
      <c r="B643" s="877" t="s">
        <v>145</v>
      </c>
    </row>
    <row r="644" spans="2:2" ht="13.5" x14ac:dyDescent="0.25">
      <c r="B644" s="877"/>
    </row>
    <row r="645" spans="2:2" ht="13.5" x14ac:dyDescent="0.25">
      <c r="B645" s="877" t="s">
        <v>146</v>
      </c>
    </row>
    <row r="646" spans="2:2" ht="13.5" x14ac:dyDescent="0.25">
      <c r="B646" s="877" t="s">
        <v>147</v>
      </c>
    </row>
    <row r="647" spans="2:2" ht="13.5" x14ac:dyDescent="0.25">
      <c r="B647" s="877" t="s">
        <v>148</v>
      </c>
    </row>
    <row r="648" spans="2:2" ht="13.5" x14ac:dyDescent="0.25">
      <c r="B648" s="877" t="s">
        <v>149</v>
      </c>
    </row>
    <row r="649" spans="2:2" ht="13.5" x14ac:dyDescent="0.25">
      <c r="B649" s="877" t="s">
        <v>150</v>
      </c>
    </row>
    <row r="650" spans="2:2" ht="13.5" x14ac:dyDescent="0.25">
      <c r="B650" s="877" t="s">
        <v>151</v>
      </c>
    </row>
    <row r="651" spans="2:2" ht="13.5" x14ac:dyDescent="0.25">
      <c r="B651" s="877" t="s">
        <v>152</v>
      </c>
    </row>
    <row r="652" spans="2:2" ht="13.5" x14ac:dyDescent="0.25">
      <c r="B652" s="877" t="s">
        <v>153</v>
      </c>
    </row>
    <row r="653" spans="2:2" ht="13.5" x14ac:dyDescent="0.25">
      <c r="B653" s="877"/>
    </row>
    <row r="654" spans="2:2" ht="13.5" x14ac:dyDescent="0.25">
      <c r="B654" s="877" t="s">
        <v>154</v>
      </c>
    </row>
    <row r="655" spans="2:2" ht="13.5" x14ac:dyDescent="0.25">
      <c r="B655" s="877" t="s">
        <v>155</v>
      </c>
    </row>
    <row r="656" spans="2:2" ht="13.5" x14ac:dyDescent="0.25">
      <c r="B656" s="877" t="s">
        <v>156</v>
      </c>
    </row>
    <row r="657" spans="2:2" ht="13.5" x14ac:dyDescent="0.25">
      <c r="B657" s="877" t="s">
        <v>157</v>
      </c>
    </row>
    <row r="658" spans="2:2" ht="13.5" x14ac:dyDescent="0.25">
      <c r="B658" s="877"/>
    </row>
    <row r="659" spans="2:2" ht="13.5" x14ac:dyDescent="0.25">
      <c r="B659" s="877" t="s">
        <v>158</v>
      </c>
    </row>
    <row r="660" spans="2:2" ht="13.5" x14ac:dyDescent="0.25">
      <c r="B660" s="877" t="s">
        <v>159</v>
      </c>
    </row>
    <row r="661" spans="2:2" ht="13.5" x14ac:dyDescent="0.25">
      <c r="B661" s="877" t="s">
        <v>160</v>
      </c>
    </row>
    <row r="662" spans="2:2" ht="13.5" x14ac:dyDescent="0.25">
      <c r="B662" s="877" t="s">
        <v>161</v>
      </c>
    </row>
    <row r="663" spans="2:2" ht="13.5" x14ac:dyDescent="0.25">
      <c r="B663" s="877"/>
    </row>
    <row r="664" spans="2:2" ht="13.5" x14ac:dyDescent="0.25">
      <c r="B664" s="877" t="s">
        <v>162</v>
      </c>
    </row>
    <row r="665" spans="2:2" ht="13.5" x14ac:dyDescent="0.25">
      <c r="B665" s="877"/>
    </row>
    <row r="666" spans="2:2" ht="13.5" x14ac:dyDescent="0.25">
      <c r="B666" s="877" t="s">
        <v>163</v>
      </c>
    </row>
    <row r="667" spans="2:2" ht="13.5" x14ac:dyDescent="0.25">
      <c r="B667" s="877" t="s">
        <v>164</v>
      </c>
    </row>
    <row r="668" spans="2:2" ht="13.5" x14ac:dyDescent="0.25">
      <c r="B668" s="877" t="s">
        <v>165</v>
      </c>
    </row>
    <row r="669" spans="2:2" ht="13.5" x14ac:dyDescent="0.25">
      <c r="B669" s="877" t="s">
        <v>166</v>
      </c>
    </row>
    <row r="670" spans="2:2" ht="13.5" x14ac:dyDescent="0.25">
      <c r="B670" s="877" t="s">
        <v>167</v>
      </c>
    </row>
    <row r="671" spans="2:2" ht="13.5" x14ac:dyDescent="0.25">
      <c r="B671" s="877" t="s">
        <v>168</v>
      </c>
    </row>
    <row r="672" spans="2:2" ht="13.5" x14ac:dyDescent="0.25">
      <c r="B672" s="877" t="s">
        <v>169</v>
      </c>
    </row>
    <row r="673" spans="2:2" ht="13.5" x14ac:dyDescent="0.25">
      <c r="B673" s="877" t="s">
        <v>170</v>
      </c>
    </row>
    <row r="674" spans="2:2" ht="13.5" x14ac:dyDescent="0.25">
      <c r="B674" s="877"/>
    </row>
    <row r="675" spans="2:2" ht="13.5" x14ac:dyDescent="0.25">
      <c r="B675" s="877" t="s">
        <v>171</v>
      </c>
    </row>
    <row r="676" spans="2:2" ht="13.5" x14ac:dyDescent="0.25">
      <c r="B676" s="877"/>
    </row>
    <row r="677" spans="2:2" ht="13.5" x14ac:dyDescent="0.25">
      <c r="B677" s="877" t="s">
        <v>172</v>
      </c>
    </row>
    <row r="678" spans="2:2" ht="13.5" x14ac:dyDescent="0.25">
      <c r="B678" s="877" t="s">
        <v>173</v>
      </c>
    </row>
    <row r="679" spans="2:2" ht="13.5" x14ac:dyDescent="0.25">
      <c r="B679" s="877" t="s">
        <v>174</v>
      </c>
    </row>
    <row r="680" spans="2:2" ht="13.5" x14ac:dyDescent="0.25">
      <c r="B680" s="877" t="s">
        <v>175</v>
      </c>
    </row>
    <row r="681" spans="2:2" ht="13.5" x14ac:dyDescent="0.25">
      <c r="B681" s="877" t="s">
        <v>176</v>
      </c>
    </row>
    <row r="682" spans="2:2" ht="13.5" x14ac:dyDescent="0.25">
      <c r="B682" s="877" t="s">
        <v>177</v>
      </c>
    </row>
    <row r="683" spans="2:2" ht="13.5" x14ac:dyDescent="0.25">
      <c r="B683" s="877" t="s">
        <v>184</v>
      </c>
    </row>
    <row r="684" spans="2:2" ht="13.5" x14ac:dyDescent="0.25">
      <c r="B684" s="877" t="s">
        <v>185</v>
      </c>
    </row>
    <row r="685" spans="2:2" ht="13.5" x14ac:dyDescent="0.25">
      <c r="B685" s="877" t="s">
        <v>186</v>
      </c>
    </row>
    <row r="686" spans="2:2" ht="13.5" x14ac:dyDescent="0.25">
      <c r="B686" s="877"/>
    </row>
    <row r="687" spans="2:2" ht="13.5" x14ac:dyDescent="0.25">
      <c r="B687" s="877" t="s">
        <v>187</v>
      </c>
    </row>
    <row r="688" spans="2:2" ht="13.5" x14ac:dyDescent="0.25">
      <c r="B688" s="877"/>
    </row>
    <row r="689" spans="2:2" ht="13.5" x14ac:dyDescent="0.25">
      <c r="B689" s="877" t="s">
        <v>188</v>
      </c>
    </row>
    <row r="690" spans="2:2" ht="13.5" x14ac:dyDescent="0.25">
      <c r="B690" s="877" t="s">
        <v>189</v>
      </c>
    </row>
    <row r="691" spans="2:2" ht="13.5" x14ac:dyDescent="0.25">
      <c r="B691" s="877" t="s">
        <v>190</v>
      </c>
    </row>
    <row r="692" spans="2:2" ht="13.5" x14ac:dyDescent="0.25">
      <c r="B692" s="877" t="s">
        <v>191</v>
      </c>
    </row>
    <row r="693" spans="2:2" ht="13.5" x14ac:dyDescent="0.25">
      <c r="B693" s="877" t="s">
        <v>192</v>
      </c>
    </row>
    <row r="694" spans="2:2" ht="13.5" x14ac:dyDescent="0.25">
      <c r="B694" s="877" t="s">
        <v>193</v>
      </c>
    </row>
    <row r="695" spans="2:2" ht="13.5" x14ac:dyDescent="0.25">
      <c r="B695" s="877"/>
    </row>
    <row r="696" spans="2:2" ht="13.5" x14ac:dyDescent="0.25">
      <c r="B696" s="877" t="s">
        <v>194</v>
      </c>
    </row>
    <row r="697" spans="2:2" ht="13.5" x14ac:dyDescent="0.25">
      <c r="B697" s="877"/>
    </row>
    <row r="698" spans="2:2" ht="13.5" x14ac:dyDescent="0.25">
      <c r="B698" s="877" t="s">
        <v>195</v>
      </c>
    </row>
    <row r="699" spans="2:2" ht="13.5" x14ac:dyDescent="0.25">
      <c r="B699" s="877"/>
    </row>
    <row r="700" spans="2:2" ht="13.5" x14ac:dyDescent="0.25">
      <c r="B700" s="877" t="s">
        <v>196</v>
      </c>
    </row>
    <row r="701" spans="2:2" ht="13.5" x14ac:dyDescent="0.25">
      <c r="B701" s="877" t="s">
        <v>197</v>
      </c>
    </row>
    <row r="702" spans="2:2" ht="13.5" x14ac:dyDescent="0.25">
      <c r="B702" s="877" t="s">
        <v>198</v>
      </c>
    </row>
    <row r="703" spans="2:2" ht="13.5" x14ac:dyDescent="0.25">
      <c r="B703" s="877"/>
    </row>
    <row r="704" spans="2:2" ht="13.5" x14ac:dyDescent="0.25">
      <c r="B704" s="877" t="s">
        <v>199</v>
      </c>
    </row>
    <row r="705" spans="2:2" ht="13.5" x14ac:dyDescent="0.25">
      <c r="B705" s="877" t="s">
        <v>200</v>
      </c>
    </row>
    <row r="706" spans="2:2" ht="13.5" x14ac:dyDescent="0.25">
      <c r="B706" s="877" t="s">
        <v>201</v>
      </c>
    </row>
    <row r="707" spans="2:2" ht="13.5" x14ac:dyDescent="0.25">
      <c r="B707" s="877" t="s">
        <v>202</v>
      </c>
    </row>
    <row r="708" spans="2:2" ht="13.5" x14ac:dyDescent="0.25">
      <c r="B708" s="877"/>
    </row>
    <row r="709" spans="2:2" ht="13.5" x14ac:dyDescent="0.25">
      <c r="B709" s="877" t="s">
        <v>203</v>
      </c>
    </row>
    <row r="710" spans="2:2" ht="13.5" x14ac:dyDescent="0.25">
      <c r="B710" s="877" t="s">
        <v>204</v>
      </c>
    </row>
    <row r="711" spans="2:2" ht="13.5" x14ac:dyDescent="0.25">
      <c r="B711" s="877"/>
    </row>
    <row r="712" spans="2:2" ht="13.5" x14ac:dyDescent="0.25">
      <c r="B712" s="877" t="s">
        <v>205</v>
      </c>
    </row>
    <row r="713" spans="2:2" ht="13.5" x14ac:dyDescent="0.25">
      <c r="B713" s="877" t="s">
        <v>206</v>
      </c>
    </row>
    <row r="714" spans="2:2" ht="13.5" x14ac:dyDescent="0.25">
      <c r="B714" s="877" t="s">
        <v>207</v>
      </c>
    </row>
    <row r="715" spans="2:2" ht="13.5" x14ac:dyDescent="0.25">
      <c r="B715" s="877" t="s">
        <v>208</v>
      </c>
    </row>
    <row r="716" spans="2:2" ht="13.5" x14ac:dyDescent="0.25">
      <c r="B716" s="877"/>
    </row>
    <row r="717" spans="2:2" ht="13.5" x14ac:dyDescent="0.25">
      <c r="B717" s="877" t="s">
        <v>209</v>
      </c>
    </row>
    <row r="718" spans="2:2" ht="13.5" x14ac:dyDescent="0.25">
      <c r="B718" s="877" t="s">
        <v>226</v>
      </c>
    </row>
    <row r="719" spans="2:2" ht="13.5" x14ac:dyDescent="0.25">
      <c r="B719" s="877" t="s">
        <v>227</v>
      </c>
    </row>
    <row r="720" spans="2:2" ht="13.5" x14ac:dyDescent="0.25">
      <c r="B720" s="877" t="s">
        <v>228</v>
      </c>
    </row>
    <row r="721" spans="2:2" ht="13.5" x14ac:dyDescent="0.25">
      <c r="B721" s="877"/>
    </row>
    <row r="722" spans="2:2" ht="13.5" x14ac:dyDescent="0.25">
      <c r="B722" s="877" t="s">
        <v>229</v>
      </c>
    </row>
    <row r="723" spans="2:2" ht="13.5" x14ac:dyDescent="0.25">
      <c r="B723" s="877" t="s">
        <v>230</v>
      </c>
    </row>
    <row r="724" spans="2:2" ht="13.5" x14ac:dyDescent="0.25">
      <c r="B724" s="877"/>
    </row>
    <row r="725" spans="2:2" ht="13.5" x14ac:dyDescent="0.25">
      <c r="B725" s="877" t="s">
        <v>231</v>
      </c>
    </row>
    <row r="726" spans="2:2" ht="13.5" x14ac:dyDescent="0.25">
      <c r="B726" s="877"/>
    </row>
    <row r="727" spans="2:2" ht="13.5" x14ac:dyDescent="0.25">
      <c r="B727" s="877" t="s">
        <v>232</v>
      </c>
    </row>
    <row r="728" spans="2:2" ht="13.5" x14ac:dyDescent="0.25">
      <c r="B728" s="877" t="s">
        <v>233</v>
      </c>
    </row>
    <row r="729" spans="2:2" ht="13.5" x14ac:dyDescent="0.25">
      <c r="B729" s="877"/>
    </row>
    <row r="730" spans="2:2" ht="13.5" x14ac:dyDescent="0.25">
      <c r="B730" s="877" t="s">
        <v>234</v>
      </c>
    </row>
    <row r="731" spans="2:2" ht="13.5" x14ac:dyDescent="0.25">
      <c r="B731" s="877" t="s">
        <v>235</v>
      </c>
    </row>
    <row r="732" spans="2:2" ht="13.5" x14ac:dyDescent="0.25">
      <c r="B732" s="877" t="s">
        <v>236</v>
      </c>
    </row>
    <row r="733" spans="2:2" ht="13.5" x14ac:dyDescent="0.25">
      <c r="B733" s="877" t="s">
        <v>237</v>
      </c>
    </row>
    <row r="734" spans="2:2" ht="13.5" x14ac:dyDescent="0.25">
      <c r="B734" s="877"/>
    </row>
    <row r="735" spans="2:2" ht="13.5" x14ac:dyDescent="0.25">
      <c r="B735" s="877" t="s">
        <v>238</v>
      </c>
    </row>
    <row r="736" spans="2:2" ht="13.5" x14ac:dyDescent="0.25">
      <c r="B736" s="877" t="s">
        <v>239</v>
      </c>
    </row>
    <row r="737" spans="2:2" ht="13.5" x14ac:dyDescent="0.25">
      <c r="B737" s="877" t="s">
        <v>240</v>
      </c>
    </row>
    <row r="738" spans="2:2" ht="13.5" x14ac:dyDescent="0.25">
      <c r="B738" s="877"/>
    </row>
    <row r="739" spans="2:2" ht="13.5" x14ac:dyDescent="0.25">
      <c r="B739" s="877" t="s">
        <v>241</v>
      </c>
    </row>
    <row r="740" spans="2:2" ht="13.5" x14ac:dyDescent="0.25">
      <c r="B740" s="877" t="s">
        <v>242</v>
      </c>
    </row>
    <row r="741" spans="2:2" ht="13.5" x14ac:dyDescent="0.25">
      <c r="B741" s="877" t="s">
        <v>243</v>
      </c>
    </row>
    <row r="742" spans="2:2" ht="13.5" x14ac:dyDescent="0.25">
      <c r="B742" s="877" t="s">
        <v>244</v>
      </c>
    </row>
    <row r="743" spans="2:2" ht="13.5" x14ac:dyDescent="0.25">
      <c r="B743" s="877"/>
    </row>
    <row r="744" spans="2:2" ht="13.5" x14ac:dyDescent="0.25">
      <c r="B744" s="877" t="s">
        <v>245</v>
      </c>
    </row>
    <row r="745" spans="2:2" ht="13.5" x14ac:dyDescent="0.25">
      <c r="B745" s="877" t="s">
        <v>246</v>
      </c>
    </row>
    <row r="746" spans="2:2" ht="13.5" x14ac:dyDescent="0.25">
      <c r="B746" s="877" t="s">
        <v>247</v>
      </c>
    </row>
    <row r="747" spans="2:2" ht="13.5" x14ac:dyDescent="0.25">
      <c r="B747" s="877" t="s">
        <v>248</v>
      </c>
    </row>
    <row r="748" spans="2:2" ht="13.5" x14ac:dyDescent="0.25">
      <c r="B748" s="877" t="s">
        <v>249</v>
      </c>
    </row>
    <row r="749" spans="2:2" ht="13.5" x14ac:dyDescent="0.25">
      <c r="B749" s="877" t="s">
        <v>250</v>
      </c>
    </row>
    <row r="750" spans="2:2" ht="15" x14ac:dyDescent="0.25">
      <c r="B750" s="898"/>
    </row>
  </sheetData>
  <sheetProtection sheet="1" objects="1" scenarios="1" selectLockedCells="1" selectUnlockedCells="1"/>
  <hyperlinks>
    <hyperlink ref="M9" r:id="rId1"/>
  </hyperlinks>
  <pageMargins left="0.75" right="0.75" top="1" bottom="1" header="0.5" footer="0.5"/>
  <pageSetup paperSize="9" orientation="portrait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DG251"/>
  <sheetViews>
    <sheetView showGridLines="0" showRowColHeaders="0" zoomScale="110" zoomScaleNormal="110" workbookViewId="0">
      <selection activeCell="H4" sqref="H4:I4"/>
    </sheetView>
  </sheetViews>
  <sheetFormatPr defaultRowHeight="12" customHeight="1" x14ac:dyDescent="0.2"/>
  <cols>
    <col min="1" max="1" width="0.28515625" style="50" customWidth="1"/>
    <col min="2" max="2" width="5.42578125" style="50" customWidth="1"/>
    <col min="3" max="3" width="5.7109375" style="50" customWidth="1"/>
    <col min="4" max="4" width="3.42578125" style="50" customWidth="1"/>
    <col min="5" max="5" width="4.28515625" style="50" customWidth="1"/>
    <col min="6" max="6" width="11.42578125" style="50" customWidth="1"/>
    <col min="7" max="8" width="6.7109375" style="50" customWidth="1"/>
    <col min="9" max="9" width="4.7109375" style="50" customWidth="1"/>
    <col min="10" max="11" width="6.7109375" style="50" customWidth="1"/>
    <col min="12" max="12" width="4.7109375" style="50" customWidth="1"/>
    <col min="13" max="13" width="5.5703125" style="50" customWidth="1"/>
    <col min="14" max="14" width="6.7109375" style="50" customWidth="1"/>
    <col min="15" max="15" width="6.5703125" style="50" hidden="1" customWidth="1"/>
    <col min="16" max="16" width="7" style="50" hidden="1" customWidth="1"/>
    <col min="17" max="17" width="3.28515625" style="50" customWidth="1"/>
    <col min="18" max="18" width="6.42578125" style="50" customWidth="1"/>
    <col min="19" max="19" width="3.28515625" style="50" customWidth="1"/>
    <col min="20" max="20" width="6.5703125" style="50" customWidth="1"/>
    <col min="21" max="21" width="2.5703125" style="50" customWidth="1"/>
    <col min="22" max="22" width="7.7109375" style="85" customWidth="1"/>
    <col min="23" max="24" width="9.140625" style="50"/>
    <col min="25" max="25" width="3.42578125" style="50" customWidth="1"/>
    <col min="26" max="26" width="7.140625" style="50" customWidth="1"/>
    <col min="27" max="27" width="14.85546875" style="50" customWidth="1"/>
    <col min="28" max="28" width="10.140625" style="50" customWidth="1"/>
    <col min="29" max="29" width="8.5703125" style="52" customWidth="1"/>
    <col min="30" max="30" width="1.5703125" style="52" customWidth="1"/>
    <col min="31" max="31" width="6.85546875" style="52" customWidth="1"/>
    <col min="32" max="32" width="1" style="52" customWidth="1"/>
    <col min="33" max="33" width="6.85546875" style="52" customWidth="1"/>
    <col min="34" max="34" width="1.42578125" style="52" customWidth="1"/>
    <col min="35" max="35" width="7.140625" style="52" customWidth="1"/>
    <col min="36" max="42" width="2.28515625" style="52" customWidth="1"/>
    <col min="43" max="43" width="2.5703125" style="50" customWidth="1"/>
    <col min="44" max="44" width="6.28515625" style="50" customWidth="1"/>
    <col min="45" max="45" width="6.5703125" style="50" customWidth="1"/>
    <col min="46" max="69" width="7.28515625" style="50" customWidth="1"/>
    <col min="70" max="70" width="6.140625" style="50" customWidth="1"/>
    <col min="71" max="71" width="7.5703125" style="50" customWidth="1"/>
    <col min="72" max="72" width="5.7109375" style="50" customWidth="1"/>
    <col min="73" max="73" width="7.140625" style="50" customWidth="1"/>
    <col min="74" max="74" width="6" style="50" customWidth="1"/>
    <col min="75" max="75" width="6.85546875" style="50" customWidth="1"/>
    <col min="76" max="76" width="6.42578125" style="50" customWidth="1"/>
    <col min="77" max="80" width="5.7109375" style="50" customWidth="1"/>
    <col min="81" max="81" width="8.5703125" style="50" customWidth="1"/>
    <col min="82" max="82" width="5.7109375" style="50" customWidth="1"/>
    <col min="83" max="84" width="8.5703125" style="50" customWidth="1"/>
    <col min="85" max="86" width="5.7109375" style="50" customWidth="1"/>
    <col min="87" max="87" width="8.5703125" style="50" customWidth="1"/>
    <col min="88" max="90" width="5.7109375" style="50" customWidth="1"/>
    <col min="91" max="91" width="8.5703125" style="50" customWidth="1"/>
    <col min="92" max="123" width="5.7109375" style="50" customWidth="1"/>
    <col min="124" max="16384" width="9.140625" style="50"/>
  </cols>
  <sheetData>
    <row r="1" spans="1:111" ht="12" customHeight="1" x14ac:dyDescent="0.2">
      <c r="C1" s="11" t="s">
        <v>75</v>
      </c>
      <c r="V1" s="51"/>
      <c r="X1" s="16"/>
      <c r="AE1" s="28" t="s">
        <v>749</v>
      </c>
      <c r="AF1" s="899" t="s">
        <v>916</v>
      </c>
      <c r="AQ1" s="901" t="s">
        <v>918</v>
      </c>
      <c r="BS1" s="55"/>
      <c r="BT1" s="56"/>
      <c r="BU1" s="57" t="s">
        <v>76</v>
      </c>
      <c r="BV1" s="58" t="b">
        <v>1</v>
      </c>
      <c r="BX1" s="59" t="s">
        <v>311</v>
      </c>
      <c r="BY1" s="60">
        <v>1</v>
      </c>
      <c r="BZ1" s="50" t="s">
        <v>312</v>
      </c>
      <c r="CM1" s="61" t="s">
        <v>270</v>
      </c>
      <c r="CN1" s="61"/>
      <c r="CO1" s="61"/>
      <c r="CP1" s="61"/>
      <c r="CQ1" s="61"/>
      <c r="CR1" s="61"/>
      <c r="CS1" s="61"/>
      <c r="CT1" s="61"/>
      <c r="CU1" s="61"/>
      <c r="CV1" s="61"/>
      <c r="CW1" s="62" t="s">
        <v>314</v>
      </c>
      <c r="CX1" s="62"/>
      <c r="CY1" s="62"/>
      <c r="CZ1" s="62"/>
      <c r="DA1" s="62"/>
      <c r="DB1" s="62"/>
      <c r="DC1" s="62"/>
      <c r="DD1" s="62"/>
      <c r="DE1" s="62"/>
      <c r="DF1" s="62"/>
      <c r="DG1" s="63" t="s">
        <v>313</v>
      </c>
    </row>
    <row r="2" spans="1:111" ht="12" customHeight="1" x14ac:dyDescent="0.2">
      <c r="C2" s="4"/>
      <c r="K2" s="7"/>
      <c r="L2" s="15" t="s">
        <v>513</v>
      </c>
      <c r="M2" s="64">
        <v>95</v>
      </c>
      <c r="N2" s="31" t="s">
        <v>366</v>
      </c>
      <c r="Q2" s="12"/>
      <c r="R2" s="14" t="s">
        <v>515</v>
      </c>
      <c r="V2" s="65"/>
      <c r="Z2" s="66"/>
      <c r="AE2" s="17"/>
      <c r="AH2" s="900" t="s">
        <v>917</v>
      </c>
      <c r="BS2" s="55"/>
      <c r="BT2" s="56"/>
      <c r="BU2" s="67" t="s">
        <v>272</v>
      </c>
      <c r="BV2" s="68" t="b">
        <v>0</v>
      </c>
      <c r="BW2" s="55" t="str">
        <f>IF(H4="","",H4)&amp;""</f>
        <v>Rating difference</v>
      </c>
      <c r="BX2" s="56"/>
      <c r="BY2" s="69"/>
      <c r="BZ2" s="70" t="s">
        <v>313</v>
      </c>
      <c r="CA2" s="55"/>
      <c r="CB2" s="56"/>
      <c r="CC2" s="67" t="s">
        <v>271</v>
      </c>
      <c r="CD2" s="71" t="b">
        <v>1</v>
      </c>
      <c r="CE2" s="72" t="s">
        <v>353</v>
      </c>
      <c r="CF2" s="69" t="b">
        <f>IF(COUNT(BV7:BV36)&gt;1,TRUE,FALSE)</f>
        <v>1</v>
      </c>
      <c r="CM2" s="73">
        <v>3</v>
      </c>
      <c r="CN2" s="74">
        <v>4</v>
      </c>
      <c r="CO2" s="75">
        <v>6</v>
      </c>
      <c r="CP2" s="73">
        <v>7</v>
      </c>
      <c r="CQ2" s="74">
        <v>9</v>
      </c>
      <c r="CR2" s="75">
        <v>10</v>
      </c>
      <c r="CS2" s="73">
        <v>12</v>
      </c>
      <c r="CT2" s="74">
        <v>13</v>
      </c>
      <c r="CU2" s="75">
        <v>15</v>
      </c>
      <c r="CW2" s="76">
        <v>3</v>
      </c>
      <c r="CX2" s="77">
        <v>4</v>
      </c>
      <c r="CY2" s="78">
        <v>6</v>
      </c>
      <c r="CZ2" s="76">
        <v>7</v>
      </c>
      <c r="DA2" s="77">
        <v>9</v>
      </c>
      <c r="DB2" s="78">
        <v>10</v>
      </c>
      <c r="DC2" s="76">
        <v>12</v>
      </c>
      <c r="DD2" s="77">
        <v>13</v>
      </c>
      <c r="DE2" s="78">
        <v>15</v>
      </c>
      <c r="DF2" s="79"/>
      <c r="DG2" s="80" t="s">
        <v>268</v>
      </c>
    </row>
    <row r="3" spans="1:111" ht="12" customHeight="1" thickBot="1" x14ac:dyDescent="0.3">
      <c r="C3" s="4"/>
      <c r="D3" s="9"/>
      <c r="E3" s="81"/>
      <c r="F3" s="82"/>
      <c r="G3" s="27" t="s">
        <v>511</v>
      </c>
      <c r="H3" s="82" t="s">
        <v>519</v>
      </c>
      <c r="I3" s="82"/>
      <c r="J3" s="82"/>
      <c r="K3" s="83"/>
      <c r="L3" s="83"/>
      <c r="M3" s="82"/>
      <c r="N3" s="82"/>
      <c r="O3" s="82"/>
      <c r="P3" s="82"/>
      <c r="Q3" s="82"/>
      <c r="R3" s="84"/>
      <c r="S3" s="82"/>
      <c r="T3" s="82"/>
      <c r="U3" s="84"/>
      <c r="AD3" s="86"/>
      <c r="AE3" s="86"/>
      <c r="AF3" s="86"/>
      <c r="AG3" s="86"/>
      <c r="AH3" s="86"/>
      <c r="AI3" s="87"/>
      <c r="AJ3" s="87"/>
      <c r="AK3" s="87"/>
      <c r="AL3" s="87"/>
      <c r="AM3" s="87"/>
      <c r="AN3" s="87"/>
      <c r="AO3" s="87"/>
      <c r="AP3" s="87"/>
      <c r="AQ3" s="88"/>
      <c r="AR3" s="89">
        <f t="shared" ref="AR3:BA3" si="0">$V$4</f>
        <v>9.5E-4</v>
      </c>
      <c r="AS3" s="82">
        <f t="shared" si="0"/>
        <v>9.5E-4</v>
      </c>
      <c r="AT3" s="82">
        <f t="shared" si="0"/>
        <v>9.5E-4</v>
      </c>
      <c r="AU3" s="90">
        <f t="shared" si="0"/>
        <v>9.5E-4</v>
      </c>
      <c r="AV3" s="90">
        <f t="shared" si="0"/>
        <v>9.5E-4</v>
      </c>
      <c r="AW3" s="50">
        <f t="shared" si="0"/>
        <v>9.5E-4</v>
      </c>
      <c r="AX3" s="50">
        <f t="shared" si="0"/>
        <v>9.5E-4</v>
      </c>
      <c r="AY3" s="50">
        <f t="shared" si="0"/>
        <v>9.5E-4</v>
      </c>
      <c r="AZ3" s="50">
        <f t="shared" si="0"/>
        <v>9.5E-4</v>
      </c>
      <c r="BA3" s="91">
        <f t="shared" si="0"/>
        <v>9.5E-4</v>
      </c>
      <c r="BS3" s="25" t="s">
        <v>354</v>
      </c>
      <c r="BT3" s="92">
        <v>0</v>
      </c>
      <c r="BU3" s="67"/>
      <c r="BV3" s="68"/>
      <c r="BW3" s="93">
        <f>IF(AND(BT3&lt;&gt;"",BV1),BT3,NA())</f>
        <v>0</v>
      </c>
      <c r="BX3" s="94">
        <v>0</v>
      </c>
      <c r="BY3" s="95">
        <v>33</v>
      </c>
      <c r="BZ3" s="96">
        <f>CL37+0.5</f>
        <v>12.5</v>
      </c>
      <c r="CA3" s="55"/>
      <c r="CB3" s="56"/>
      <c r="CC3" s="67" t="s">
        <v>298</v>
      </c>
      <c r="CD3" s="68" t="b">
        <v>1</v>
      </c>
      <c r="CG3" s="90"/>
      <c r="CH3" s="90"/>
      <c r="CI3" s="90"/>
      <c r="CJ3" s="90"/>
      <c r="CK3" s="90"/>
      <c r="CM3" s="97" t="e">
        <f>IF(AND(CC7&lt;=$CM$42,$CD$2),N7,NA())</f>
        <v>#N/A</v>
      </c>
      <c r="CN3" s="94">
        <f>IF(AND(CC7&gt;$CM$42,CC7&lt;=$CM$43,$CD$2),N7,NA())</f>
        <v>0.22999999999999998</v>
      </c>
      <c r="CO3" s="94" t="e">
        <f>IF(AND(CC7&gt;$CM$43,CC7&lt;=$CM$44,$CD$2),N7,NA())</f>
        <v>#N/A</v>
      </c>
      <c r="CP3" s="94" t="e">
        <f>IF(AND(CC7&gt;$CM$44,CC7&lt;=$CM$45,$CD$2),N7,NA())</f>
        <v>#N/A</v>
      </c>
      <c r="CQ3" s="94" t="e">
        <f>IF(AND(CC7&gt;$CM$45,CC7&lt;=$CM$46,$CD$2),N7,NA())</f>
        <v>#N/A</v>
      </c>
      <c r="CR3" s="94" t="e">
        <f>IF(AND(CC7&gt;$CM$46,CC7&lt;=$CM$47,$CD$2),N7,NA())</f>
        <v>#N/A</v>
      </c>
      <c r="CS3" s="94" t="e">
        <f>IF(AND(CC7&gt;$CM$47,CC7&lt;=$CM$48,$CD$2),N7,NA())</f>
        <v>#N/A</v>
      </c>
      <c r="CT3" s="94" t="e">
        <f>IF(AND(CC7&gt;$CM$48,CC7&lt;=$CM$49,$CD$2),N7,NA())</f>
        <v>#N/A</v>
      </c>
      <c r="CU3" s="94" t="e">
        <f>IF(AND(CC7&lt;&gt;"",CC7&gt;$CM$49,$CD$2),N7,NA())</f>
        <v>#N/A</v>
      </c>
      <c r="CV3" s="95">
        <v>1</v>
      </c>
      <c r="CW3" s="50" t="e">
        <f t="shared" ref="CW3:CW32" si="1">IF(AND(CC7&lt;=$CM$42,$CD$2),N7,NA())</f>
        <v>#N/A</v>
      </c>
      <c r="CX3" s="50">
        <f t="shared" ref="CX3:CX32" si="2">IF(AND(CC7&gt;$CM$42,CC7&lt;=$CM$43,$CD$2),N7,NA())</f>
        <v>0.22999999999999998</v>
      </c>
      <c r="CY3" s="50" t="e">
        <f t="shared" ref="CY3:CY32" si="3">IF(AND(CC7&gt;$CM$43,CC7&lt;=$CM$44,$CD$2),N7,NA())</f>
        <v>#N/A</v>
      </c>
      <c r="CZ3" s="50" t="e">
        <f t="shared" ref="CZ3:CZ32" si="4">IF(AND(CC7&gt;$CM$44,CC7&lt;=$CM$45,$CD$2),N7,NA())</f>
        <v>#N/A</v>
      </c>
      <c r="DA3" s="50" t="e">
        <f t="shared" ref="DA3:DA32" si="5">IF(AND(CC7&gt;$CM$45,CC7&lt;=$CM$46,$CD$2),N7,NA())</f>
        <v>#N/A</v>
      </c>
      <c r="DB3" s="50" t="e">
        <f t="shared" ref="DB3:DB32" si="6">IF(AND(CC7&gt;$CM$46,CC7&lt;=$CM$47,$CD$2),N7,NA())</f>
        <v>#N/A</v>
      </c>
      <c r="DC3" s="50" t="e">
        <f t="shared" ref="DC3:DC32" si="7">IF(AND(CC7&gt;$CM$47,CC7&lt;=$CM$48,$CD$2),N7,NA())</f>
        <v>#N/A</v>
      </c>
      <c r="DD3" s="50" t="e">
        <f t="shared" ref="DD3:DD32" si="8">IF(AND(CC7&gt;$CM$48,CC7&lt;=$CM$49,$CD$2),N7,NA())</f>
        <v>#N/A</v>
      </c>
      <c r="DE3" s="50" t="e">
        <f t="shared" ref="DE3:DE32" si="9">IF(AND(CC7&lt;&gt;"",CC7&gt;$CM$49,$CD$2),N7,NA())</f>
        <v>#N/A</v>
      </c>
      <c r="DF3" s="50">
        <f t="shared" ref="DF3:DF32" si="10">IF(BV7="",0,1)</f>
        <v>1</v>
      </c>
      <c r="DG3" s="50">
        <f>IF(DF3=0,NA(),SUM($DF$3:DF3))</f>
        <v>1</v>
      </c>
    </row>
    <row r="4" spans="1:111" ht="12" customHeight="1" thickTop="1" x14ac:dyDescent="0.2">
      <c r="C4" s="10" t="s">
        <v>512</v>
      </c>
      <c r="E4" s="20">
        <v>2</v>
      </c>
      <c r="F4" s="98"/>
      <c r="G4" s="26" t="s">
        <v>77</v>
      </c>
      <c r="H4" s="902" t="s">
        <v>861</v>
      </c>
      <c r="I4" s="903"/>
      <c r="J4" s="99"/>
      <c r="K4" s="99"/>
      <c r="L4" s="23"/>
      <c r="M4" s="30" t="s">
        <v>514</v>
      </c>
      <c r="N4" s="48" t="s">
        <v>746</v>
      </c>
      <c r="O4" s="100"/>
      <c r="P4" s="101" t="s">
        <v>317</v>
      </c>
      <c r="Q4" s="102"/>
      <c r="R4" s="103" t="s">
        <v>275</v>
      </c>
      <c r="S4" s="18">
        <v>9</v>
      </c>
      <c r="T4" s="104" t="s">
        <v>276</v>
      </c>
      <c r="U4" s="90"/>
      <c r="V4" s="105">
        <f>(BT3+M2)/100000</f>
        <v>9.5E-4</v>
      </c>
      <c r="W4" s="105">
        <f t="shared" ref="W4:AC4" si="11">$V$4</f>
        <v>9.5E-4</v>
      </c>
      <c r="X4" s="105">
        <f t="shared" si="11"/>
        <v>9.5E-4</v>
      </c>
      <c r="Y4" s="105">
        <f t="shared" si="11"/>
        <v>9.5E-4</v>
      </c>
      <c r="Z4" s="87">
        <f t="shared" si="11"/>
        <v>9.5E-4</v>
      </c>
      <c r="AA4" s="87">
        <f t="shared" si="11"/>
        <v>9.5E-4</v>
      </c>
      <c r="AB4" s="105">
        <f t="shared" si="11"/>
        <v>9.5E-4</v>
      </c>
      <c r="AC4" s="87">
        <f t="shared" si="11"/>
        <v>9.5E-4</v>
      </c>
      <c r="AD4" s="87"/>
      <c r="AE4" s="21" t="s">
        <v>748</v>
      </c>
      <c r="AG4" s="87"/>
      <c r="AH4" s="87"/>
      <c r="AI4" s="87"/>
      <c r="AJ4" s="87"/>
      <c r="AK4" s="87"/>
      <c r="AL4" s="87"/>
      <c r="AM4" s="87"/>
      <c r="AN4" s="87"/>
      <c r="AO4" s="87"/>
      <c r="AP4" s="87"/>
      <c r="AR4" s="1">
        <f t="shared" ref="AR4:AR26" si="12">$V$4</f>
        <v>9.5E-4</v>
      </c>
      <c r="AW4" s="90"/>
      <c r="AX4" s="90"/>
      <c r="AY4" s="90"/>
      <c r="AZ4" s="90"/>
      <c r="BA4" s="91">
        <f t="shared" ref="BA4:BA18" si="13">$V$4</f>
        <v>9.5E-4</v>
      </c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V4" s="106" t="s">
        <v>277</v>
      </c>
      <c r="BW4" s="107" t="s">
        <v>278</v>
      </c>
      <c r="BX4" s="108" t="b">
        <v>0</v>
      </c>
      <c r="BY4" s="109"/>
      <c r="BZ4" s="110"/>
      <c r="CA4" s="111"/>
      <c r="CB4" s="111"/>
      <c r="CC4" s="112" t="s">
        <v>337</v>
      </c>
      <c r="CD4" s="111"/>
      <c r="CG4" s="111"/>
      <c r="CH4" s="111"/>
      <c r="CI4" s="111"/>
      <c r="CJ4" s="111"/>
      <c r="CM4" s="106" t="e">
        <f t="shared" ref="CM4:CM32" si="14">IF(AND(CC8&lt;=$CM$42,$CD$2,NOT($BV$2)),N8,NA())</f>
        <v>#N/A</v>
      </c>
      <c r="CN4" s="90">
        <f t="shared" ref="CN4:CN32" si="15">IF(AND(CC8&gt;$CM$42,CC8&lt;=$CM$43,$CD$2,NOT($BV$2)),N8,NA())</f>
        <v>0.31000000000000005</v>
      </c>
      <c r="CO4" s="90" t="e">
        <f t="shared" ref="CO4:CO32" si="16">IF(AND(CC8&gt;$CM$43,CC8&lt;=$CM$44,$CD$2,NOT($BV$2)),N8,NA())</f>
        <v>#N/A</v>
      </c>
      <c r="CP4" s="90" t="e">
        <f t="shared" ref="CP4:CP32" si="17">IF(AND(CC8&gt;$CM$44,CC8&lt;=$CM$45,$CD$2,NOT($BV$2)),N8,NA())</f>
        <v>#N/A</v>
      </c>
      <c r="CQ4" s="90" t="e">
        <f t="shared" ref="CQ4:CQ32" si="18">IF(AND(CC8&gt;$CM$45,CC8&lt;=$CM$46,$CD$2,NOT($BV$2)),N8,NA())</f>
        <v>#N/A</v>
      </c>
      <c r="CR4" s="90" t="e">
        <f t="shared" ref="CR4:CR32" si="19">IF(AND(CC8&gt;$CM$46,CC8&lt;=$CM$47,$CD$2,NOT($BV$2)),N8,NA())</f>
        <v>#N/A</v>
      </c>
      <c r="CS4" s="90" t="e">
        <f t="shared" ref="CS4:CS32" si="20">IF(AND(CC8&gt;$CM$47,CC8&lt;=$CM$48,$CD$2,NOT($BV$2)),N8,NA())</f>
        <v>#N/A</v>
      </c>
      <c r="CT4" s="90" t="e">
        <f t="shared" ref="CT4:CT32" si="21">IF(AND(CC8&gt;$CM$48,CC8&lt;=$CM$49,$CD$2,NOT($BV$2)),N8,NA())</f>
        <v>#N/A</v>
      </c>
      <c r="CU4" s="90" t="e">
        <f t="shared" ref="CU4:CU32" si="22">IF(AND(CC8&lt;&gt;"",CC8&gt;$CM$49,$CD$2,NOT($BV$2)),N8,NA())</f>
        <v>#N/A</v>
      </c>
      <c r="CV4" s="113">
        <v>2</v>
      </c>
      <c r="CW4" s="50" t="e">
        <f t="shared" si="1"/>
        <v>#N/A</v>
      </c>
      <c r="CX4" s="50">
        <f t="shared" si="2"/>
        <v>0.31000000000000005</v>
      </c>
      <c r="CY4" s="50" t="e">
        <f t="shared" si="3"/>
        <v>#N/A</v>
      </c>
      <c r="CZ4" s="50" t="e">
        <f t="shared" si="4"/>
        <v>#N/A</v>
      </c>
      <c r="DA4" s="50" t="e">
        <f t="shared" si="5"/>
        <v>#N/A</v>
      </c>
      <c r="DB4" s="50" t="e">
        <f t="shared" si="6"/>
        <v>#N/A</v>
      </c>
      <c r="DC4" s="50" t="e">
        <f t="shared" si="7"/>
        <v>#N/A</v>
      </c>
      <c r="DD4" s="50" t="e">
        <f t="shared" si="8"/>
        <v>#N/A</v>
      </c>
      <c r="DE4" s="50" t="e">
        <f t="shared" si="9"/>
        <v>#N/A</v>
      </c>
      <c r="DF4" s="50">
        <f t="shared" si="10"/>
        <v>1</v>
      </c>
      <c r="DG4" s="50">
        <f>IF(DF4=0,NA(),SUM($DF$3:DF4))</f>
        <v>2</v>
      </c>
    </row>
    <row r="5" spans="1:111" ht="12" customHeight="1" thickBot="1" x14ac:dyDescent="0.25">
      <c r="A5" s="82"/>
      <c r="B5" s="82" t="s">
        <v>750</v>
      </c>
      <c r="C5" s="82"/>
      <c r="D5" s="82"/>
      <c r="E5" s="114" t="s">
        <v>276</v>
      </c>
      <c r="F5" s="115"/>
      <c r="G5" s="904" t="s">
        <v>503</v>
      </c>
      <c r="H5" s="905"/>
      <c r="I5" s="906"/>
      <c r="J5" s="907" t="s">
        <v>504</v>
      </c>
      <c r="K5" s="908"/>
      <c r="L5" s="909"/>
      <c r="M5" s="116" t="s">
        <v>276</v>
      </c>
      <c r="N5" s="91" t="s">
        <v>862</v>
      </c>
      <c r="O5" s="117" t="s">
        <v>362</v>
      </c>
      <c r="P5" s="117" t="s">
        <v>363</v>
      </c>
      <c r="Q5" s="118"/>
      <c r="R5" s="103" t="s">
        <v>516</v>
      </c>
      <c r="S5" s="103"/>
      <c r="T5" s="104" t="s">
        <v>518</v>
      </c>
      <c r="U5" s="119"/>
      <c r="V5" s="105">
        <f t="shared" ref="V5:V36" si="23">$V$4</f>
        <v>9.5E-4</v>
      </c>
      <c r="W5" s="90"/>
      <c r="X5" s="90"/>
      <c r="Y5" s="90"/>
      <c r="Z5" s="90"/>
      <c r="AA5" s="90"/>
      <c r="AB5" s="90"/>
      <c r="AC5" s="87">
        <f t="shared" ref="AC5:AC36" si="24">$V$4</f>
        <v>9.5E-4</v>
      </c>
      <c r="AD5" s="87"/>
      <c r="AE5" s="120" t="s">
        <v>332</v>
      </c>
      <c r="AF5" s="120"/>
      <c r="AG5" s="120" t="s">
        <v>333</v>
      </c>
      <c r="AH5" s="87"/>
      <c r="AI5" s="87"/>
      <c r="AJ5" s="87"/>
      <c r="AK5" s="87"/>
      <c r="AL5" s="87"/>
      <c r="AM5" s="87"/>
      <c r="AN5" s="87"/>
      <c r="AO5" s="87"/>
      <c r="AP5" s="87"/>
      <c r="AR5" s="1">
        <f t="shared" si="12"/>
        <v>9.5E-4</v>
      </c>
      <c r="BA5" s="91">
        <f t="shared" si="13"/>
        <v>9.5E-4</v>
      </c>
      <c r="BQ5" s="63" t="s">
        <v>680</v>
      </c>
      <c r="BS5" s="121" t="s">
        <v>279</v>
      </c>
      <c r="BT5" s="122" t="s">
        <v>280</v>
      </c>
      <c r="BU5" s="123" t="s">
        <v>280</v>
      </c>
      <c r="BV5" s="124" t="b">
        <f>IF(COUNT(BV7:BV36)&lt;2,FALSE,TRUE)</f>
        <v>1</v>
      </c>
      <c r="BW5" s="125" t="s">
        <v>281</v>
      </c>
      <c r="BX5" s="90"/>
      <c r="BY5" s="125" t="s">
        <v>282</v>
      </c>
      <c r="BZ5" s="126"/>
      <c r="CA5" s="127"/>
      <c r="CB5" s="90"/>
      <c r="CC5" s="128" t="s">
        <v>338</v>
      </c>
      <c r="CD5" s="129"/>
      <c r="CE5" s="129" t="s">
        <v>324</v>
      </c>
      <c r="CF5" s="129"/>
      <c r="CG5" s="129"/>
      <c r="CH5" s="130" t="s">
        <v>336</v>
      </c>
      <c r="CI5" s="130"/>
      <c r="CJ5" s="130"/>
      <c r="CK5" s="63" t="s">
        <v>313</v>
      </c>
      <c r="CL5" s="63" t="s">
        <v>313</v>
      </c>
      <c r="CM5" s="106" t="e">
        <f t="shared" si="14"/>
        <v>#N/A</v>
      </c>
      <c r="CN5" s="90" t="e">
        <f t="shared" si="15"/>
        <v>#N/A</v>
      </c>
      <c r="CO5" s="90" t="e">
        <f t="shared" si="16"/>
        <v>#N/A</v>
      </c>
      <c r="CP5" s="90" t="e">
        <f t="shared" si="17"/>
        <v>#N/A</v>
      </c>
      <c r="CQ5" s="90">
        <f t="shared" si="18"/>
        <v>-4.0000000000000036E-2</v>
      </c>
      <c r="CR5" s="90" t="e">
        <f t="shared" si="19"/>
        <v>#N/A</v>
      </c>
      <c r="CS5" s="90" t="e">
        <f t="shared" si="20"/>
        <v>#N/A</v>
      </c>
      <c r="CT5" s="90" t="e">
        <f t="shared" si="21"/>
        <v>#N/A</v>
      </c>
      <c r="CU5" s="90" t="e">
        <f t="shared" si="22"/>
        <v>#N/A</v>
      </c>
      <c r="CV5" s="113">
        <v>3</v>
      </c>
      <c r="CW5" s="50" t="e">
        <f t="shared" si="1"/>
        <v>#N/A</v>
      </c>
      <c r="CX5" s="50" t="e">
        <f t="shared" si="2"/>
        <v>#N/A</v>
      </c>
      <c r="CY5" s="50" t="e">
        <f t="shared" si="3"/>
        <v>#N/A</v>
      </c>
      <c r="CZ5" s="50" t="e">
        <f t="shared" si="4"/>
        <v>#N/A</v>
      </c>
      <c r="DA5" s="50">
        <f t="shared" si="5"/>
        <v>-4.0000000000000036E-2</v>
      </c>
      <c r="DB5" s="50" t="e">
        <f t="shared" si="6"/>
        <v>#N/A</v>
      </c>
      <c r="DC5" s="50" t="e">
        <f t="shared" si="7"/>
        <v>#N/A</v>
      </c>
      <c r="DD5" s="50" t="e">
        <f t="shared" si="8"/>
        <v>#N/A</v>
      </c>
      <c r="DE5" s="50" t="e">
        <f t="shared" si="9"/>
        <v>#N/A</v>
      </c>
      <c r="DF5" s="50">
        <f t="shared" si="10"/>
        <v>1</v>
      </c>
      <c r="DG5" s="50">
        <f>IF(DF5=0,NA(),SUM($DF$3:DF5))</f>
        <v>3</v>
      </c>
    </row>
    <row r="6" spans="1:111" ht="12.75" customHeight="1" thickTop="1" thickBot="1" x14ac:dyDescent="0.3">
      <c r="A6" s="131"/>
      <c r="B6" s="132" t="str">
        <f>IF(BX4,"t","")</f>
        <v/>
      </c>
      <c r="C6" s="34" t="str">
        <f>IF(BX4,"p","")</f>
        <v/>
      </c>
      <c r="D6" s="82"/>
      <c r="E6" s="133" t="s">
        <v>283</v>
      </c>
      <c r="F6" s="133" t="s">
        <v>310</v>
      </c>
      <c r="G6" s="619" t="s">
        <v>356</v>
      </c>
      <c r="H6" s="583" t="s">
        <v>357</v>
      </c>
      <c r="I6" s="618" t="s">
        <v>358</v>
      </c>
      <c r="J6" s="584" t="s">
        <v>359</v>
      </c>
      <c r="K6" s="585" t="s">
        <v>360</v>
      </c>
      <c r="L6" s="38" t="s">
        <v>361</v>
      </c>
      <c r="M6" s="134" t="s">
        <v>284</v>
      </c>
      <c r="N6" s="135" t="s">
        <v>78</v>
      </c>
      <c r="O6" s="136" t="s">
        <v>256</v>
      </c>
      <c r="P6" s="137" t="s">
        <v>292</v>
      </c>
      <c r="Q6" s="82"/>
      <c r="R6" s="138" t="str">
        <f>IF($H$4&lt;&gt;"",$H$4,"")</f>
        <v>Rating difference</v>
      </c>
      <c r="S6" s="139"/>
      <c r="T6" s="140" t="s">
        <v>285</v>
      </c>
      <c r="V6" s="105">
        <f t="shared" si="23"/>
        <v>9.5E-4</v>
      </c>
      <c r="W6" s="90"/>
      <c r="X6" s="90"/>
      <c r="Y6" s="90"/>
      <c r="Z6" s="90"/>
      <c r="AA6" s="90"/>
      <c r="AB6" s="90"/>
      <c r="AC6" s="87">
        <f t="shared" si="24"/>
        <v>9.5E-4</v>
      </c>
      <c r="AD6" s="87"/>
      <c r="AE6" s="141"/>
      <c r="AF6" s="142" t="str">
        <f>IF($H$4&lt;&gt;"",$H$4,"")</f>
        <v>Rating difference</v>
      </c>
      <c r="AG6" s="141"/>
      <c r="AH6" s="87"/>
      <c r="AI6" s="87"/>
      <c r="AJ6" s="87"/>
      <c r="AK6" s="87"/>
      <c r="AL6" s="87"/>
      <c r="AM6" s="87"/>
      <c r="AN6" s="87"/>
      <c r="AO6" s="87"/>
      <c r="AP6" s="87"/>
      <c r="AR6" s="1">
        <f t="shared" si="12"/>
        <v>9.5E-4</v>
      </c>
      <c r="BA6" s="91">
        <f t="shared" si="13"/>
        <v>9.5E-4</v>
      </c>
      <c r="BQ6" s="80" t="s">
        <v>681</v>
      </c>
      <c r="BR6" s="79"/>
      <c r="BS6" s="143" t="s">
        <v>286</v>
      </c>
      <c r="BT6" s="144" t="s">
        <v>257</v>
      </c>
      <c r="BU6" s="145" t="s">
        <v>269</v>
      </c>
      <c r="BV6" s="146" t="s">
        <v>265</v>
      </c>
      <c r="BW6" s="147" t="s">
        <v>287</v>
      </c>
      <c r="BX6" s="63" t="s">
        <v>268</v>
      </c>
      <c r="BY6" s="147" t="s">
        <v>288</v>
      </c>
      <c r="BZ6" s="148" t="s">
        <v>289</v>
      </c>
      <c r="CA6" s="148" t="s">
        <v>290</v>
      </c>
      <c r="CB6" s="149" t="s">
        <v>291</v>
      </c>
      <c r="CC6" s="150" t="s">
        <v>291</v>
      </c>
      <c r="CD6" s="151"/>
      <c r="CE6" s="151" t="s">
        <v>318</v>
      </c>
      <c r="CF6" s="151" t="s">
        <v>319</v>
      </c>
      <c r="CG6" s="151" t="s">
        <v>320</v>
      </c>
      <c r="CH6" s="152" t="s">
        <v>321</v>
      </c>
      <c r="CI6" s="152" t="s">
        <v>322</v>
      </c>
      <c r="CJ6" s="153" t="s">
        <v>323</v>
      </c>
      <c r="CK6" s="79" t="s">
        <v>292</v>
      </c>
      <c r="CL6" s="154" t="s">
        <v>268</v>
      </c>
      <c r="CM6" s="106" t="e">
        <f t="shared" si="14"/>
        <v>#N/A</v>
      </c>
      <c r="CN6" s="90" t="e">
        <f t="shared" si="15"/>
        <v>#N/A</v>
      </c>
      <c r="CO6" s="90">
        <f t="shared" si="16"/>
        <v>0.22999999999999998</v>
      </c>
      <c r="CP6" s="90" t="e">
        <f t="shared" si="17"/>
        <v>#N/A</v>
      </c>
      <c r="CQ6" s="90" t="e">
        <f t="shared" si="18"/>
        <v>#N/A</v>
      </c>
      <c r="CR6" s="90" t="e">
        <f t="shared" si="19"/>
        <v>#N/A</v>
      </c>
      <c r="CS6" s="90" t="e">
        <f t="shared" si="20"/>
        <v>#N/A</v>
      </c>
      <c r="CT6" s="90" t="e">
        <f t="shared" si="21"/>
        <v>#N/A</v>
      </c>
      <c r="CU6" s="90" t="e">
        <f t="shared" si="22"/>
        <v>#N/A</v>
      </c>
      <c r="CV6" s="113">
        <v>4</v>
      </c>
      <c r="CW6" s="50" t="e">
        <f t="shared" si="1"/>
        <v>#N/A</v>
      </c>
      <c r="CX6" s="50" t="e">
        <f t="shared" si="2"/>
        <v>#N/A</v>
      </c>
      <c r="CY6" s="50">
        <f t="shared" si="3"/>
        <v>0.22999999999999998</v>
      </c>
      <c r="CZ6" s="50" t="e">
        <f t="shared" si="4"/>
        <v>#N/A</v>
      </c>
      <c r="DA6" s="50" t="e">
        <f t="shared" si="5"/>
        <v>#N/A</v>
      </c>
      <c r="DB6" s="50" t="e">
        <f t="shared" si="6"/>
        <v>#N/A</v>
      </c>
      <c r="DC6" s="50" t="e">
        <f t="shared" si="7"/>
        <v>#N/A</v>
      </c>
      <c r="DD6" s="50" t="e">
        <f t="shared" si="8"/>
        <v>#N/A</v>
      </c>
      <c r="DE6" s="50" t="e">
        <f t="shared" si="9"/>
        <v>#N/A</v>
      </c>
      <c r="DF6" s="50">
        <f t="shared" si="10"/>
        <v>1</v>
      </c>
      <c r="DG6" s="50">
        <f>IF(DF6=0,NA(),SUM($DF$3:DF6))</f>
        <v>4</v>
      </c>
    </row>
    <row r="7" spans="1:111" ht="12" customHeight="1" thickTop="1" x14ac:dyDescent="0.2">
      <c r="B7" s="155" t="str">
        <f>IF(AND($BV$1,$BV$5,$BX$4,BV7&lt;&gt;"",$BT$3&lt;&gt;""), BV7,"")</f>
        <v/>
      </c>
      <c r="C7" s="837" t="str">
        <f>IF(B7&lt;&gt;"",TDIST(ABS(BV7),I7+L7-2,2),"")</f>
        <v/>
      </c>
      <c r="D7" s="156" t="str">
        <f t="shared" ref="D7:D36" si="25">IF(B7&lt;&gt;"",IF(C7&lt;0.001,"***",(IF(C7&lt;0.01,"**",(IF(C7&lt;0.05,"*",(IF(C7&lt;0.1,"?","ns"))))))),"")</f>
        <v/>
      </c>
      <c r="E7" s="157">
        <v>1</v>
      </c>
      <c r="F7" s="604" t="s">
        <v>522</v>
      </c>
      <c r="G7" s="158">
        <v>2.89</v>
      </c>
      <c r="H7" s="159">
        <v>0.79</v>
      </c>
      <c r="I7" s="617">
        <v>28</v>
      </c>
      <c r="J7" s="158">
        <v>3.12</v>
      </c>
      <c r="K7" s="158">
        <v>0.65</v>
      </c>
      <c r="L7" s="161">
        <v>26</v>
      </c>
      <c r="M7" s="162"/>
      <c r="N7" s="163">
        <f>IF(BS7,J7-G7,"")</f>
        <v>0.22999999999999998</v>
      </c>
      <c r="O7" s="164">
        <f>IF(BS7,SQRT(((I7-1)*H7^2+(L7-1)*K7^2)/(I7+L7-2)),"")</f>
        <v>0.72606950292442607</v>
      </c>
      <c r="P7" s="164">
        <f>IF(BS7,O7^2*(1/I7+1/L7),"")</f>
        <v>3.9103782755705842E-2</v>
      </c>
      <c r="Q7" s="165"/>
      <c r="R7" s="614">
        <f>IF(BS7,BY7,"")</f>
        <v>0.3968079126141989</v>
      </c>
      <c r="S7" s="166"/>
      <c r="T7" s="167">
        <f t="shared" ref="T7:T36" si="26">IF(AND(CB7&lt;&gt;"",$CF$2),IF(fixedrandom=1,100*CB7/$CB$37,100*CI7/$CI$37),"")</f>
        <v>2.1453018734773872</v>
      </c>
      <c r="U7" s="168"/>
      <c r="V7" s="169">
        <f t="shared" si="23"/>
        <v>9.5E-4</v>
      </c>
      <c r="W7" s="170"/>
      <c r="X7" s="170"/>
      <c r="Y7" s="170"/>
      <c r="Z7" s="170"/>
      <c r="AA7" s="170"/>
      <c r="AB7" s="170"/>
      <c r="AC7" s="171">
        <f t="shared" si="24"/>
        <v>9.5E-4</v>
      </c>
      <c r="AD7" s="172" t="s">
        <v>339</v>
      </c>
      <c r="AE7" s="173">
        <f>IF(BV7&lt;&gt;"",N7-R7,"")</f>
        <v>-0.16680791261419892</v>
      </c>
      <c r="AF7" s="174" t="s">
        <v>261</v>
      </c>
      <c r="AG7" s="173">
        <f>IF(BV7&lt;&gt;"",N7+R7,"")</f>
        <v>0.62680791261419888</v>
      </c>
      <c r="AH7" s="175" t="s">
        <v>259</v>
      </c>
      <c r="AI7" s="176"/>
      <c r="AJ7" s="176"/>
      <c r="AK7" s="176"/>
      <c r="AL7" s="176"/>
      <c r="AM7" s="176"/>
      <c r="AN7" s="176"/>
      <c r="AO7" s="176"/>
      <c r="AP7" s="176"/>
      <c r="AR7" s="1">
        <f t="shared" si="12"/>
        <v>9.5E-4</v>
      </c>
      <c r="BA7" s="91">
        <f t="shared" si="13"/>
        <v>9.5E-4</v>
      </c>
      <c r="BQ7" s="66" t="b">
        <v>1</v>
      </c>
      <c r="BR7" s="50">
        <v>1</v>
      </c>
      <c r="BS7" s="177" t="b">
        <f>AND(BQ7,G7&lt;&gt;"",H7&gt;0,I7&gt;1,J7&lt;&gt;"",K7&gt;0,L7&gt;1)</f>
        <v>1</v>
      </c>
      <c r="BT7" s="90">
        <f>IF(BS7,N7,"")</f>
        <v>0.22999999999999998</v>
      </c>
      <c r="BU7" s="178">
        <f>IF(BS7,I7,"")</f>
        <v>28</v>
      </c>
      <c r="BV7" s="179">
        <f t="shared" ref="BV7:BV36" si="27">IF(BS7,(N7-$BT$3)/SQRT(P7),"")</f>
        <v>1.1631037348111415</v>
      </c>
      <c r="BW7" s="94" t="e">
        <f>IF(AND(NOT($CD$2),BS7),N7,NA())</f>
        <v>#N/A</v>
      </c>
      <c r="BX7" s="179">
        <f>IF(BS7,BR7,NA())</f>
        <v>1</v>
      </c>
      <c r="BY7" s="94">
        <f t="shared" ref="BY7:BY36" si="28">IF(BS7,SQRT(P7)*TINV((100-$M$2)/100,I7+L7-2),NA())</f>
        <v>0.3968079126141989</v>
      </c>
      <c r="BZ7" s="178">
        <f t="shared" ref="BZ7:BZ36" si="29">IF(BV7&lt;&gt;"",H7*H7*(I7-1),"")</f>
        <v>16.850700000000003</v>
      </c>
      <c r="CA7" s="178">
        <f t="shared" ref="CA7:CA36" si="30">IF(BV7&lt;&gt;"",(I7-1),"")</f>
        <v>27</v>
      </c>
      <c r="CB7" s="94">
        <f>IF(BS7,1/P7,"")</f>
        <v>25.572973495871949</v>
      </c>
      <c r="CC7" s="94">
        <f t="shared" ref="CC7:CC36" si="31">IF(fixedrandom=1,CB7,CI7)</f>
        <v>25.572973495871949</v>
      </c>
      <c r="CD7" s="94"/>
      <c r="CE7" s="94">
        <f>IF(BS7,BT7*CB7,"")</f>
        <v>5.8817839040505477</v>
      </c>
      <c r="CF7" s="94">
        <f>IF(CB7&lt;&gt;"",CB7*CB7,"")</f>
        <v>653.97697342056915</v>
      </c>
      <c r="CG7" s="94">
        <f>IF(CB7&lt;&gt;"",BT7^2*CB7,"")</f>
        <v>1.3528102979316259</v>
      </c>
      <c r="CH7" s="90">
        <f>IF(CB7&lt;&gt;"",1/CB7+$CE$43,"")</f>
        <v>4.4194526498286563E-2</v>
      </c>
      <c r="CI7" s="90">
        <f>IF(CB7&lt;&gt;"",1/CH7,"")</f>
        <v>22.62723643025727</v>
      </c>
      <c r="CJ7" s="94">
        <f>IF(CB7&lt;&gt;"",CI7*BT7,"")</f>
        <v>5.2042643789591718</v>
      </c>
      <c r="CK7" s="94" t="e">
        <f>IF(AND(NOT($CD$2),BS7),N7,NA())</f>
        <v>#N/A</v>
      </c>
      <c r="CL7" s="95">
        <f t="shared" ref="CL7:CL37" si="32">DG3</f>
        <v>1</v>
      </c>
      <c r="CM7" s="106" t="e">
        <f t="shared" si="14"/>
        <v>#N/A</v>
      </c>
      <c r="CN7" s="90" t="e">
        <f t="shared" si="15"/>
        <v>#N/A</v>
      </c>
      <c r="CO7" s="90">
        <f t="shared" si="16"/>
        <v>0.10999999999999988</v>
      </c>
      <c r="CP7" s="90" t="e">
        <f t="shared" si="17"/>
        <v>#N/A</v>
      </c>
      <c r="CQ7" s="90" t="e">
        <f t="shared" si="18"/>
        <v>#N/A</v>
      </c>
      <c r="CR7" s="90" t="e">
        <f t="shared" si="19"/>
        <v>#N/A</v>
      </c>
      <c r="CS7" s="90" t="e">
        <f t="shared" si="20"/>
        <v>#N/A</v>
      </c>
      <c r="CT7" s="90" t="e">
        <f t="shared" si="21"/>
        <v>#N/A</v>
      </c>
      <c r="CU7" s="90" t="e">
        <f t="shared" si="22"/>
        <v>#N/A</v>
      </c>
      <c r="CV7" s="113">
        <v>5</v>
      </c>
      <c r="CW7" s="50" t="e">
        <f t="shared" si="1"/>
        <v>#N/A</v>
      </c>
      <c r="CX7" s="50" t="e">
        <f t="shared" si="2"/>
        <v>#N/A</v>
      </c>
      <c r="CY7" s="50">
        <f t="shared" si="3"/>
        <v>0.10999999999999988</v>
      </c>
      <c r="CZ7" s="50" t="e">
        <f t="shared" si="4"/>
        <v>#N/A</v>
      </c>
      <c r="DA7" s="50" t="e">
        <f t="shared" si="5"/>
        <v>#N/A</v>
      </c>
      <c r="DB7" s="50" t="e">
        <f t="shared" si="6"/>
        <v>#N/A</v>
      </c>
      <c r="DC7" s="50" t="e">
        <f t="shared" si="7"/>
        <v>#N/A</v>
      </c>
      <c r="DD7" s="50" t="e">
        <f t="shared" si="8"/>
        <v>#N/A</v>
      </c>
      <c r="DE7" s="50" t="e">
        <f t="shared" si="9"/>
        <v>#N/A</v>
      </c>
      <c r="DF7" s="50">
        <f t="shared" si="10"/>
        <v>1</v>
      </c>
      <c r="DG7" s="50">
        <f>IF(DF7=0,NA(),SUM($DF$3:DF7))</f>
        <v>5</v>
      </c>
    </row>
    <row r="8" spans="1:111" ht="12" customHeight="1" x14ac:dyDescent="0.2">
      <c r="A8" s="180"/>
      <c r="B8" s="181" t="str">
        <f t="shared" ref="B8:B36" si="33">IF(AND($BV$1,$BV$5,$BX$4,BV8&lt;&gt;"",$BT$3&lt;&gt;""), BV8,"")</f>
        <v/>
      </c>
      <c r="C8" s="838" t="str">
        <f t="shared" ref="C8:C36" si="34">IF(B8&lt;&gt;"",TDIST(ABS(BV8),I8+L8-2,2),"")</f>
        <v/>
      </c>
      <c r="D8" s="182" t="str">
        <f t="shared" si="25"/>
        <v/>
      </c>
      <c r="E8" s="183">
        <v>2</v>
      </c>
      <c r="F8" s="603" t="s">
        <v>528</v>
      </c>
      <c r="G8" s="184">
        <v>2.69</v>
      </c>
      <c r="H8" s="185">
        <v>0.55000000000000004</v>
      </c>
      <c r="I8" s="186">
        <v>26</v>
      </c>
      <c r="J8" s="184">
        <v>3</v>
      </c>
      <c r="K8" s="184">
        <v>0.54</v>
      </c>
      <c r="L8" s="186">
        <v>28</v>
      </c>
      <c r="M8" s="187"/>
      <c r="N8" s="189">
        <f t="shared" ref="N8:N36" si="35">IF(BS8,J8-G8,"")</f>
        <v>0.31000000000000005</v>
      </c>
      <c r="O8" s="188">
        <f t="shared" ref="O8:O36" si="36">IF(BS8,SQRT(((I8-1)*H8^2+(L8-1)*K8^2)/(I8+L8-2)),"")</f>
        <v>0.54483060176112041</v>
      </c>
      <c r="P8" s="189">
        <f t="shared" ref="P8:P36" si="37">IF(BS8,O8^2*(1/I8+1/L8),"")</f>
        <v>2.2018380177514792E-2</v>
      </c>
      <c r="Q8" s="190"/>
      <c r="R8" s="191">
        <f t="shared" ref="R8:R36" si="38">IF(BS8,BY8,"")</f>
        <v>0.297758125003731</v>
      </c>
      <c r="S8" s="192"/>
      <c r="T8" s="193">
        <f t="shared" si="26"/>
        <v>3.8099722926728514</v>
      </c>
      <c r="U8" s="194"/>
      <c r="V8" s="169">
        <f t="shared" si="23"/>
        <v>9.5E-4</v>
      </c>
      <c r="W8" s="170"/>
      <c r="X8" s="170"/>
      <c r="Y8" s="170"/>
      <c r="Z8" s="170"/>
      <c r="AA8" s="170"/>
      <c r="AB8" s="170"/>
      <c r="AC8" s="171">
        <f t="shared" si="24"/>
        <v>9.5E-4</v>
      </c>
      <c r="AD8" s="195" t="s">
        <v>339</v>
      </c>
      <c r="AE8" s="196">
        <f t="shared" ref="AE8:AE36" si="39">IF(BV8&lt;&gt;"",N8-R8,"")</f>
        <v>1.2241874996269053E-2</v>
      </c>
      <c r="AF8" s="197" t="s">
        <v>261</v>
      </c>
      <c r="AG8" s="196">
        <f t="shared" ref="AG8:AG36" si="40">IF(BV8&lt;&gt;"",N8+R8,"")</f>
        <v>0.60775812500373105</v>
      </c>
      <c r="AH8" s="198" t="s">
        <v>259</v>
      </c>
      <c r="AI8" s="176"/>
      <c r="AJ8" s="176"/>
      <c r="AK8" s="176"/>
      <c r="AL8" s="176"/>
      <c r="AM8" s="176"/>
      <c r="AN8" s="176"/>
      <c r="AO8" s="176"/>
      <c r="AP8" s="176"/>
      <c r="AR8" s="1">
        <f t="shared" si="12"/>
        <v>9.5E-4</v>
      </c>
      <c r="BA8" s="91">
        <f t="shared" si="13"/>
        <v>9.5E-4</v>
      </c>
      <c r="BQ8" s="199" t="b">
        <v>1</v>
      </c>
      <c r="BR8" s="50">
        <v>2</v>
      </c>
      <c r="BS8" s="200" t="b">
        <f>AND(BQ8,G8&lt;&gt;"",H8&gt;0,I8&gt;1,J8&lt;&gt;"",K8&gt;0,L8&gt;1)</f>
        <v>1</v>
      </c>
      <c r="BT8" s="90">
        <f t="shared" ref="BT8:BT36" si="41">IF(BS8,N8,"")</f>
        <v>0.31000000000000005</v>
      </c>
      <c r="BU8" s="127">
        <f t="shared" ref="BU8:BU36" si="42">IF(BS8,I8,"")</f>
        <v>26</v>
      </c>
      <c r="BV8" s="201">
        <f t="shared" si="27"/>
        <v>2.0891470537078654</v>
      </c>
      <c r="BW8" s="90" t="e">
        <f t="shared" ref="BW8:BW36" si="43">IF(AND(NOT($CD$2),BS8),N8,NA())</f>
        <v>#N/A</v>
      </c>
      <c r="BX8" s="201">
        <f t="shared" ref="BX8:BX36" si="44">IF(BS8,BR8,NA())</f>
        <v>2</v>
      </c>
      <c r="BY8" s="90">
        <f t="shared" si="28"/>
        <v>0.297758125003731</v>
      </c>
      <c r="BZ8" s="127">
        <f t="shared" si="29"/>
        <v>7.5625000000000009</v>
      </c>
      <c r="CA8" s="127">
        <f t="shared" si="30"/>
        <v>25</v>
      </c>
      <c r="CB8" s="90">
        <f t="shared" ref="CB8:CB36" si="45">IF(BS8,1/P8,"")</f>
        <v>45.416601581854863</v>
      </c>
      <c r="CC8" s="90">
        <f t="shared" si="31"/>
        <v>45.416601581854863</v>
      </c>
      <c r="CD8" s="90"/>
      <c r="CE8" s="90">
        <f t="shared" ref="CE8:CE36" si="46">IF(BS8,BT8*CB8,"")</f>
        <v>14.07914649037501</v>
      </c>
      <c r="CF8" s="90">
        <f t="shared" ref="CF8:CF36" si="47">IF(CB8&lt;&gt;"",CB8*CB8,"")</f>
        <v>2062.6676992449416</v>
      </c>
      <c r="CG8" s="90">
        <f t="shared" ref="CG8:CG36" si="48">IF(CB8&lt;&gt;"",BT8^2*CB8,"")</f>
        <v>4.3645354120162541</v>
      </c>
      <c r="CH8" s="90">
        <f t="shared" ref="CH8:CH36" si="49">IF(CB8&lt;&gt;"",1/CB8+$CE$43,"")</f>
        <v>2.7109123920095513E-2</v>
      </c>
      <c r="CI8" s="90">
        <f t="shared" ref="CI8:CI36" si="50">IF(CB8&lt;&gt;"",1/CH8,"")</f>
        <v>36.887949715657086</v>
      </c>
      <c r="CJ8" s="90">
        <f t="shared" ref="CJ8:CJ36" si="51">IF(CB8&lt;&gt;"",CI8*BT8,"")</f>
        <v>11.435264411853698</v>
      </c>
      <c r="CK8" s="90" t="e">
        <f t="shared" ref="CK8:CK36" si="52">IF(AND(NOT($CD$2),BS8),N8,NA())</f>
        <v>#N/A</v>
      </c>
      <c r="CL8" s="113">
        <f t="shared" si="32"/>
        <v>2</v>
      </c>
      <c r="CM8" s="106" t="e">
        <f t="shared" si="14"/>
        <v>#N/A</v>
      </c>
      <c r="CN8" s="90" t="e">
        <f t="shared" si="15"/>
        <v>#N/A</v>
      </c>
      <c r="CO8" s="90" t="e">
        <f t="shared" si="16"/>
        <v>#N/A</v>
      </c>
      <c r="CP8" s="90" t="e">
        <f t="shared" si="17"/>
        <v>#N/A</v>
      </c>
      <c r="CQ8" s="90" t="e">
        <f t="shared" si="18"/>
        <v>#N/A</v>
      </c>
      <c r="CR8" s="90" t="e">
        <f t="shared" si="19"/>
        <v>#N/A</v>
      </c>
      <c r="CS8" s="90">
        <f t="shared" si="20"/>
        <v>-4.0000000000000036E-2</v>
      </c>
      <c r="CT8" s="90" t="e">
        <f t="shared" si="21"/>
        <v>#N/A</v>
      </c>
      <c r="CU8" s="90" t="e">
        <f t="shared" si="22"/>
        <v>#N/A</v>
      </c>
      <c r="CV8" s="113">
        <v>6</v>
      </c>
      <c r="CW8" s="50" t="e">
        <f t="shared" si="1"/>
        <v>#N/A</v>
      </c>
      <c r="CX8" s="50" t="e">
        <f t="shared" si="2"/>
        <v>#N/A</v>
      </c>
      <c r="CY8" s="50" t="e">
        <f t="shared" si="3"/>
        <v>#N/A</v>
      </c>
      <c r="CZ8" s="50" t="e">
        <f t="shared" si="4"/>
        <v>#N/A</v>
      </c>
      <c r="DA8" s="50" t="e">
        <f t="shared" si="5"/>
        <v>#N/A</v>
      </c>
      <c r="DB8" s="50" t="e">
        <f t="shared" si="6"/>
        <v>#N/A</v>
      </c>
      <c r="DC8" s="50">
        <f t="shared" si="7"/>
        <v>-4.0000000000000036E-2</v>
      </c>
      <c r="DD8" s="50" t="e">
        <f t="shared" si="8"/>
        <v>#N/A</v>
      </c>
      <c r="DE8" s="50" t="e">
        <f t="shared" si="9"/>
        <v>#N/A</v>
      </c>
      <c r="DF8" s="50">
        <f t="shared" si="10"/>
        <v>1</v>
      </c>
      <c r="DG8" s="50">
        <f>IF(DF8=0,NA(),SUM($DF$3:DF8))</f>
        <v>6</v>
      </c>
    </row>
    <row r="9" spans="1:111" ht="12" customHeight="1" x14ac:dyDescent="0.2">
      <c r="A9" s="180"/>
      <c r="B9" s="181" t="str">
        <f t="shared" si="33"/>
        <v/>
      </c>
      <c r="C9" s="838" t="str">
        <f t="shared" si="34"/>
        <v/>
      </c>
      <c r="D9" s="182" t="str">
        <f t="shared" si="25"/>
        <v/>
      </c>
      <c r="E9" s="183">
        <v>3</v>
      </c>
      <c r="F9" s="603" t="s">
        <v>523</v>
      </c>
      <c r="G9" s="184">
        <v>2.9</v>
      </c>
      <c r="H9" s="185">
        <v>0.57999999999999996</v>
      </c>
      <c r="I9" s="186">
        <v>98</v>
      </c>
      <c r="J9" s="184">
        <v>2.86</v>
      </c>
      <c r="K9" s="184">
        <v>0.61</v>
      </c>
      <c r="L9" s="186">
        <v>99</v>
      </c>
      <c r="M9" s="187"/>
      <c r="N9" s="189">
        <f t="shared" si="35"/>
        <v>-4.0000000000000036E-2</v>
      </c>
      <c r="O9" s="202">
        <f t="shared" si="36"/>
        <v>0.59526593927549598</v>
      </c>
      <c r="P9" s="189">
        <f t="shared" si="37"/>
        <v>7.1949374435088722E-3</v>
      </c>
      <c r="Q9" s="203"/>
      <c r="R9" s="191">
        <f t="shared" si="38"/>
        <v>0.16728821907031571</v>
      </c>
      <c r="S9" s="192"/>
      <c r="T9" s="193">
        <f t="shared" si="26"/>
        <v>11.659506293769354</v>
      </c>
      <c r="U9" s="194"/>
      <c r="V9" s="169">
        <f t="shared" si="23"/>
        <v>9.5E-4</v>
      </c>
      <c r="W9" s="170"/>
      <c r="X9" s="170"/>
      <c r="Y9" s="170"/>
      <c r="Z9" s="170"/>
      <c r="AA9" s="170"/>
      <c r="AB9" s="170"/>
      <c r="AC9" s="171">
        <f t="shared" si="24"/>
        <v>9.5E-4</v>
      </c>
      <c r="AD9" s="195" t="s">
        <v>339</v>
      </c>
      <c r="AE9" s="196">
        <f t="shared" si="39"/>
        <v>-0.20728821907031575</v>
      </c>
      <c r="AF9" s="197" t="s">
        <v>261</v>
      </c>
      <c r="AG9" s="196">
        <f t="shared" si="40"/>
        <v>0.12728821907031568</v>
      </c>
      <c r="AH9" s="198" t="s">
        <v>259</v>
      </c>
      <c r="AI9" s="176"/>
      <c r="AJ9" s="176"/>
      <c r="AK9" s="176"/>
      <c r="AL9" s="176"/>
      <c r="AM9" s="176"/>
      <c r="AN9" s="176"/>
      <c r="AO9" s="176"/>
      <c r="AP9" s="176"/>
      <c r="AR9" s="1">
        <f t="shared" si="12"/>
        <v>9.5E-4</v>
      </c>
      <c r="BA9" s="91">
        <f t="shared" si="13"/>
        <v>9.5E-4</v>
      </c>
      <c r="BQ9" s="199" t="b">
        <v>1</v>
      </c>
      <c r="BR9" s="50">
        <v>3</v>
      </c>
      <c r="BS9" s="200" t="b">
        <f t="shared" ref="BS9:BS36" si="53">AND(BQ9,G9&lt;&gt;"",H9&gt;0,I9&gt;1,J9&lt;&gt;"",K9&gt;0,L9&gt;1)</f>
        <v>1</v>
      </c>
      <c r="BT9" s="90">
        <f t="shared" si="41"/>
        <v>-4.0000000000000036E-2</v>
      </c>
      <c r="BU9" s="127">
        <f t="shared" si="42"/>
        <v>98</v>
      </c>
      <c r="BV9" s="201">
        <f t="shared" si="27"/>
        <v>-0.47157033824108741</v>
      </c>
      <c r="BW9" s="90" t="e">
        <f t="shared" si="43"/>
        <v>#N/A</v>
      </c>
      <c r="BX9" s="201">
        <f t="shared" si="44"/>
        <v>3</v>
      </c>
      <c r="BY9" s="90">
        <f t="shared" si="28"/>
        <v>0.16728821907031571</v>
      </c>
      <c r="BZ9" s="127">
        <f t="shared" si="29"/>
        <v>32.630800000000001</v>
      </c>
      <c r="CA9" s="127">
        <f t="shared" si="30"/>
        <v>97</v>
      </c>
      <c r="CB9" s="90">
        <f t="shared" si="45"/>
        <v>138.98661494300828</v>
      </c>
      <c r="CC9" s="90">
        <f t="shared" si="31"/>
        <v>138.98661494300828</v>
      </c>
      <c r="CD9" s="90"/>
      <c r="CE9" s="90">
        <f t="shared" si="46"/>
        <v>-5.5594645977203356</v>
      </c>
      <c r="CF9" s="90">
        <f t="shared" si="47"/>
        <v>19317.279133316053</v>
      </c>
      <c r="CG9" s="90">
        <f t="shared" si="48"/>
        <v>0.22237858390881365</v>
      </c>
      <c r="CH9" s="90">
        <f t="shared" si="49"/>
        <v>1.2285681186089591E-2</v>
      </c>
      <c r="CI9" s="90">
        <f t="shared" si="50"/>
        <v>81.395568129526723</v>
      </c>
      <c r="CJ9" s="90">
        <f t="shared" si="51"/>
        <v>-3.2558227251810719</v>
      </c>
      <c r="CK9" s="90" t="e">
        <f t="shared" si="52"/>
        <v>#N/A</v>
      </c>
      <c r="CL9" s="113">
        <f t="shared" si="32"/>
        <v>3</v>
      </c>
      <c r="CM9" s="106" t="e">
        <f t="shared" si="14"/>
        <v>#N/A</v>
      </c>
      <c r="CN9" s="90" t="e">
        <f t="shared" si="15"/>
        <v>#N/A</v>
      </c>
      <c r="CO9" s="90" t="e">
        <f t="shared" si="16"/>
        <v>#N/A</v>
      </c>
      <c r="CP9" s="90" t="e">
        <f t="shared" si="17"/>
        <v>#N/A</v>
      </c>
      <c r="CQ9" s="90" t="e">
        <f t="shared" si="18"/>
        <v>#N/A</v>
      </c>
      <c r="CR9" s="90" t="e">
        <f t="shared" si="19"/>
        <v>#N/A</v>
      </c>
      <c r="CS9" s="90" t="e">
        <f t="shared" si="20"/>
        <v>#N/A</v>
      </c>
      <c r="CT9" s="90" t="e">
        <f t="shared" si="21"/>
        <v>#N/A</v>
      </c>
      <c r="CU9" s="90">
        <f t="shared" si="22"/>
        <v>5.0000000000000266E-2</v>
      </c>
      <c r="CV9" s="113">
        <v>7</v>
      </c>
      <c r="CW9" s="50" t="e">
        <f t="shared" si="1"/>
        <v>#N/A</v>
      </c>
      <c r="CX9" s="50" t="e">
        <f t="shared" si="2"/>
        <v>#N/A</v>
      </c>
      <c r="CY9" s="50" t="e">
        <f t="shared" si="3"/>
        <v>#N/A</v>
      </c>
      <c r="CZ9" s="50" t="e">
        <f t="shared" si="4"/>
        <v>#N/A</v>
      </c>
      <c r="DA9" s="50" t="e">
        <f t="shared" si="5"/>
        <v>#N/A</v>
      </c>
      <c r="DB9" s="50" t="e">
        <f t="shared" si="6"/>
        <v>#N/A</v>
      </c>
      <c r="DC9" s="50" t="e">
        <f t="shared" si="7"/>
        <v>#N/A</v>
      </c>
      <c r="DD9" s="50" t="e">
        <f t="shared" si="8"/>
        <v>#N/A</v>
      </c>
      <c r="DE9" s="50">
        <f t="shared" si="9"/>
        <v>5.0000000000000266E-2</v>
      </c>
      <c r="DF9" s="50">
        <f t="shared" si="10"/>
        <v>1</v>
      </c>
      <c r="DG9" s="50">
        <f>IF(DF9=0,NA(),SUM($DF$3:DF9))</f>
        <v>7</v>
      </c>
    </row>
    <row r="10" spans="1:111" ht="12" customHeight="1" x14ac:dyDescent="0.2">
      <c r="A10" s="180"/>
      <c r="B10" s="181" t="str">
        <f t="shared" si="33"/>
        <v/>
      </c>
      <c r="C10" s="838" t="str">
        <f t="shared" si="34"/>
        <v/>
      </c>
      <c r="D10" s="182" t="str">
        <f t="shared" si="25"/>
        <v/>
      </c>
      <c r="E10" s="183">
        <v>4</v>
      </c>
      <c r="F10" s="603" t="s">
        <v>524</v>
      </c>
      <c r="G10" s="184">
        <v>2.62</v>
      </c>
      <c r="H10" s="185">
        <v>0.54</v>
      </c>
      <c r="I10" s="186">
        <v>42</v>
      </c>
      <c r="J10" s="184">
        <v>2.85</v>
      </c>
      <c r="K10" s="184">
        <v>0.56999999999999995</v>
      </c>
      <c r="L10" s="186">
        <v>33</v>
      </c>
      <c r="M10" s="187"/>
      <c r="N10" s="189">
        <f t="shared" si="35"/>
        <v>0.22999999999999998</v>
      </c>
      <c r="O10" s="202">
        <f t="shared" si="36"/>
        <v>0.5533509377185265</v>
      </c>
      <c r="P10" s="189">
        <f t="shared" si="37"/>
        <v>1.6569115815691156E-2</v>
      </c>
      <c r="Q10" s="203"/>
      <c r="R10" s="191">
        <f t="shared" si="38"/>
        <v>0.25654073767646002</v>
      </c>
      <c r="S10" s="192"/>
      <c r="T10" s="193">
        <f t="shared" si="26"/>
        <v>5.0629990965736482</v>
      </c>
      <c r="U10" s="194"/>
      <c r="V10" s="169">
        <f t="shared" si="23"/>
        <v>9.5E-4</v>
      </c>
      <c r="W10" s="170"/>
      <c r="X10" s="170"/>
      <c r="Y10" s="170"/>
      <c r="Z10" s="170"/>
      <c r="AA10" s="170"/>
      <c r="AB10" s="170"/>
      <c r="AC10" s="171">
        <f t="shared" si="24"/>
        <v>9.5E-4</v>
      </c>
      <c r="AD10" s="195" t="s">
        <v>339</v>
      </c>
      <c r="AE10" s="196">
        <f t="shared" si="39"/>
        <v>-2.6540737676460036E-2</v>
      </c>
      <c r="AF10" s="197" t="s">
        <v>261</v>
      </c>
      <c r="AG10" s="196">
        <f t="shared" si="40"/>
        <v>0.48654073767646</v>
      </c>
      <c r="AH10" s="198" t="s">
        <v>259</v>
      </c>
      <c r="AI10" s="176"/>
      <c r="AJ10" s="176"/>
      <c r="AK10" s="176"/>
      <c r="AL10" s="176"/>
      <c r="AM10" s="176"/>
      <c r="AN10" s="176"/>
      <c r="AO10" s="176"/>
      <c r="AP10" s="176"/>
      <c r="AR10" s="1">
        <f t="shared" si="12"/>
        <v>9.5E-4</v>
      </c>
      <c r="BA10" s="91">
        <f t="shared" si="13"/>
        <v>9.5E-4</v>
      </c>
      <c r="BQ10" s="199" t="b">
        <v>1</v>
      </c>
      <c r="BR10" s="50">
        <v>4</v>
      </c>
      <c r="BS10" s="200" t="b">
        <f t="shared" si="53"/>
        <v>1</v>
      </c>
      <c r="BT10" s="90">
        <f t="shared" si="41"/>
        <v>0.22999999999999998</v>
      </c>
      <c r="BU10" s="127">
        <f t="shared" si="42"/>
        <v>42</v>
      </c>
      <c r="BV10" s="201">
        <f t="shared" si="27"/>
        <v>1.7868091559507837</v>
      </c>
      <c r="BW10" s="90" t="e">
        <f t="shared" si="43"/>
        <v>#N/A</v>
      </c>
      <c r="BX10" s="201">
        <f t="shared" si="44"/>
        <v>4</v>
      </c>
      <c r="BY10" s="90">
        <f t="shared" si="28"/>
        <v>0.25654073767646002</v>
      </c>
      <c r="BZ10" s="127">
        <f t="shared" si="29"/>
        <v>11.9556</v>
      </c>
      <c r="CA10" s="127">
        <f t="shared" si="30"/>
        <v>41</v>
      </c>
      <c r="CB10" s="90">
        <f t="shared" si="45"/>
        <v>60.353250657647507</v>
      </c>
      <c r="CC10" s="90">
        <f t="shared" si="31"/>
        <v>60.353250657647507</v>
      </c>
      <c r="CD10" s="90"/>
      <c r="CE10" s="90">
        <f t="shared" si="46"/>
        <v>13.881247651258926</v>
      </c>
      <c r="CF10" s="90">
        <f t="shared" si="47"/>
        <v>3642.5148649448292</v>
      </c>
      <c r="CG10" s="90">
        <f t="shared" si="48"/>
        <v>3.1926869597895524</v>
      </c>
      <c r="CH10" s="90">
        <f t="shared" si="49"/>
        <v>2.1659859558271877E-2</v>
      </c>
      <c r="CI10" s="90">
        <f t="shared" si="50"/>
        <v>46.16835106015732</v>
      </c>
      <c r="CJ10" s="90">
        <f t="shared" si="51"/>
        <v>10.618720743836183</v>
      </c>
      <c r="CK10" s="90" t="e">
        <f t="shared" si="52"/>
        <v>#N/A</v>
      </c>
      <c r="CL10" s="113">
        <f t="shared" si="32"/>
        <v>4</v>
      </c>
      <c r="CM10" s="106" t="e">
        <f t="shared" si="14"/>
        <v>#N/A</v>
      </c>
      <c r="CN10" s="90">
        <f t="shared" si="15"/>
        <v>0.10000000000000009</v>
      </c>
      <c r="CO10" s="90" t="e">
        <f t="shared" si="16"/>
        <v>#N/A</v>
      </c>
      <c r="CP10" s="90" t="e">
        <f t="shared" si="17"/>
        <v>#N/A</v>
      </c>
      <c r="CQ10" s="90" t="e">
        <f t="shared" si="18"/>
        <v>#N/A</v>
      </c>
      <c r="CR10" s="90" t="e">
        <f t="shared" si="19"/>
        <v>#N/A</v>
      </c>
      <c r="CS10" s="90" t="e">
        <f t="shared" si="20"/>
        <v>#N/A</v>
      </c>
      <c r="CT10" s="90" t="e">
        <f t="shared" si="21"/>
        <v>#N/A</v>
      </c>
      <c r="CU10" s="90" t="e">
        <f t="shared" si="22"/>
        <v>#N/A</v>
      </c>
      <c r="CV10" s="113">
        <v>8</v>
      </c>
      <c r="CW10" s="50" t="e">
        <f t="shared" si="1"/>
        <v>#N/A</v>
      </c>
      <c r="CX10" s="50">
        <f t="shared" si="2"/>
        <v>0.10000000000000009</v>
      </c>
      <c r="CY10" s="50" t="e">
        <f t="shared" si="3"/>
        <v>#N/A</v>
      </c>
      <c r="CZ10" s="50" t="e">
        <f t="shared" si="4"/>
        <v>#N/A</v>
      </c>
      <c r="DA10" s="50" t="e">
        <f t="shared" si="5"/>
        <v>#N/A</v>
      </c>
      <c r="DB10" s="50" t="e">
        <f t="shared" si="6"/>
        <v>#N/A</v>
      </c>
      <c r="DC10" s="50" t="e">
        <f t="shared" si="7"/>
        <v>#N/A</v>
      </c>
      <c r="DD10" s="50" t="e">
        <f t="shared" si="8"/>
        <v>#N/A</v>
      </c>
      <c r="DE10" s="50" t="e">
        <f t="shared" si="9"/>
        <v>#N/A</v>
      </c>
      <c r="DF10" s="50">
        <f t="shared" si="10"/>
        <v>1</v>
      </c>
      <c r="DG10" s="50">
        <f>IF(DF10=0,NA(),SUM($DF$3:DF10))</f>
        <v>8</v>
      </c>
    </row>
    <row r="11" spans="1:111" ht="12" customHeight="1" x14ac:dyDescent="0.2">
      <c r="A11" s="180"/>
      <c r="B11" s="181" t="str">
        <f t="shared" si="33"/>
        <v/>
      </c>
      <c r="C11" s="838" t="str">
        <f t="shared" si="34"/>
        <v/>
      </c>
      <c r="D11" s="182" t="str">
        <f t="shared" si="25"/>
        <v/>
      </c>
      <c r="E11" s="183">
        <v>5</v>
      </c>
      <c r="F11" s="603" t="s">
        <v>525</v>
      </c>
      <c r="G11" s="184">
        <v>2.96</v>
      </c>
      <c r="H11" s="185">
        <v>0.36</v>
      </c>
      <c r="I11" s="186">
        <v>24</v>
      </c>
      <c r="J11" s="184">
        <v>3.07</v>
      </c>
      <c r="K11" s="184">
        <v>0.55000000000000004</v>
      </c>
      <c r="L11" s="186">
        <v>21</v>
      </c>
      <c r="M11" s="187"/>
      <c r="N11" s="189">
        <f t="shared" si="35"/>
        <v>0.10999999999999988</v>
      </c>
      <c r="O11" s="202">
        <f t="shared" si="36"/>
        <v>0.4582778683846328</v>
      </c>
      <c r="P11" s="189">
        <f t="shared" si="37"/>
        <v>1.8751661129568106E-2</v>
      </c>
      <c r="Q11" s="203"/>
      <c r="R11" s="191">
        <f t="shared" si="38"/>
        <v>0.27615918441766368</v>
      </c>
      <c r="S11" s="192"/>
      <c r="T11" s="193">
        <f t="shared" si="26"/>
        <v>4.4737059733651803</v>
      </c>
      <c r="U11" s="194"/>
      <c r="V11" s="169">
        <f t="shared" si="23"/>
        <v>9.5E-4</v>
      </c>
      <c r="W11" s="170"/>
      <c r="X11" s="170"/>
      <c r="Y11" s="170"/>
      <c r="Z11" s="170"/>
      <c r="AA11" s="170"/>
      <c r="AB11" s="170"/>
      <c r="AC11" s="171">
        <f t="shared" si="24"/>
        <v>9.5E-4</v>
      </c>
      <c r="AD11" s="195" t="s">
        <v>339</v>
      </c>
      <c r="AE11" s="196">
        <f t="shared" si="39"/>
        <v>-0.16615918441766381</v>
      </c>
      <c r="AF11" s="197" t="s">
        <v>261</v>
      </c>
      <c r="AG11" s="196">
        <f t="shared" si="40"/>
        <v>0.38615918441766356</v>
      </c>
      <c r="AH11" s="198" t="s">
        <v>259</v>
      </c>
      <c r="AI11" s="176"/>
      <c r="AJ11" s="176"/>
      <c r="AK11" s="176"/>
      <c r="AL11" s="176"/>
      <c r="AM11" s="176"/>
      <c r="AN11" s="176"/>
      <c r="AO11" s="176"/>
      <c r="AP11" s="176"/>
      <c r="AR11" s="1">
        <f t="shared" si="12"/>
        <v>9.5E-4</v>
      </c>
      <c r="BA11" s="91">
        <f t="shared" si="13"/>
        <v>9.5E-4</v>
      </c>
      <c r="BQ11" s="199" t="b">
        <v>1</v>
      </c>
      <c r="BR11" s="50">
        <v>5</v>
      </c>
      <c r="BS11" s="200" t="b">
        <f t="shared" si="53"/>
        <v>1</v>
      </c>
      <c r="BT11" s="90">
        <f t="shared" si="41"/>
        <v>0.10999999999999988</v>
      </c>
      <c r="BU11" s="127">
        <f t="shared" si="42"/>
        <v>24</v>
      </c>
      <c r="BV11" s="201">
        <f t="shared" si="27"/>
        <v>0.80329083525809908</v>
      </c>
      <c r="BW11" s="90" t="e">
        <f t="shared" si="43"/>
        <v>#N/A</v>
      </c>
      <c r="BX11" s="201">
        <f t="shared" si="44"/>
        <v>5</v>
      </c>
      <c r="BY11" s="90">
        <f t="shared" si="28"/>
        <v>0.27615918441766368</v>
      </c>
      <c r="BZ11" s="127">
        <f t="shared" si="29"/>
        <v>2.9807999999999999</v>
      </c>
      <c r="CA11" s="127">
        <f t="shared" si="30"/>
        <v>23</v>
      </c>
      <c r="CB11" s="90">
        <f t="shared" si="45"/>
        <v>53.328608761128585</v>
      </c>
      <c r="CC11" s="90">
        <f t="shared" si="31"/>
        <v>53.328608761128585</v>
      </c>
      <c r="CD11" s="90"/>
      <c r="CE11" s="90">
        <f t="shared" si="46"/>
        <v>5.8661469637241375</v>
      </c>
      <c r="CF11" s="90">
        <f t="shared" si="47"/>
        <v>2843.9405123975207</v>
      </c>
      <c r="CG11" s="90">
        <f t="shared" si="48"/>
        <v>0.64527616600965443</v>
      </c>
      <c r="CH11" s="90">
        <f t="shared" si="49"/>
        <v>2.3842404872148823E-2</v>
      </c>
      <c r="CI11" s="90">
        <f t="shared" si="50"/>
        <v>41.942077796360898</v>
      </c>
      <c r="CJ11" s="90">
        <f t="shared" si="51"/>
        <v>4.6136285575996938</v>
      </c>
      <c r="CK11" s="90" t="e">
        <f t="shared" si="52"/>
        <v>#N/A</v>
      </c>
      <c r="CL11" s="113">
        <f t="shared" si="32"/>
        <v>5</v>
      </c>
      <c r="CM11" s="106" t="e">
        <f t="shared" si="14"/>
        <v>#N/A</v>
      </c>
      <c r="CN11" s="90">
        <f t="shared" si="15"/>
        <v>0.33000000000000007</v>
      </c>
      <c r="CO11" s="90" t="e">
        <f t="shared" si="16"/>
        <v>#N/A</v>
      </c>
      <c r="CP11" s="90" t="e">
        <f t="shared" si="17"/>
        <v>#N/A</v>
      </c>
      <c r="CQ11" s="90" t="e">
        <f t="shared" si="18"/>
        <v>#N/A</v>
      </c>
      <c r="CR11" s="90" t="e">
        <f t="shared" si="19"/>
        <v>#N/A</v>
      </c>
      <c r="CS11" s="90" t="e">
        <f t="shared" si="20"/>
        <v>#N/A</v>
      </c>
      <c r="CT11" s="90" t="e">
        <f t="shared" si="21"/>
        <v>#N/A</v>
      </c>
      <c r="CU11" s="90" t="e">
        <f t="shared" si="22"/>
        <v>#N/A</v>
      </c>
      <c r="CV11" s="113">
        <v>9</v>
      </c>
      <c r="CW11" s="50" t="e">
        <f t="shared" si="1"/>
        <v>#N/A</v>
      </c>
      <c r="CX11" s="50">
        <f t="shared" si="2"/>
        <v>0.33000000000000007</v>
      </c>
      <c r="CY11" s="50" t="e">
        <f t="shared" si="3"/>
        <v>#N/A</v>
      </c>
      <c r="CZ11" s="50" t="e">
        <f t="shared" si="4"/>
        <v>#N/A</v>
      </c>
      <c r="DA11" s="50" t="e">
        <f t="shared" si="5"/>
        <v>#N/A</v>
      </c>
      <c r="DB11" s="50" t="e">
        <f t="shared" si="6"/>
        <v>#N/A</v>
      </c>
      <c r="DC11" s="50" t="e">
        <f t="shared" si="7"/>
        <v>#N/A</v>
      </c>
      <c r="DD11" s="50" t="e">
        <f t="shared" si="8"/>
        <v>#N/A</v>
      </c>
      <c r="DE11" s="50" t="e">
        <f t="shared" si="9"/>
        <v>#N/A</v>
      </c>
      <c r="DF11" s="50">
        <f t="shared" si="10"/>
        <v>1</v>
      </c>
      <c r="DG11" s="50">
        <f>IF(DF11=0,NA(),SUM($DF$3:DF11))</f>
        <v>9</v>
      </c>
    </row>
    <row r="12" spans="1:111" ht="12" customHeight="1" x14ac:dyDescent="0.2">
      <c r="A12" s="180"/>
      <c r="B12" s="181" t="str">
        <f t="shared" si="33"/>
        <v/>
      </c>
      <c r="C12" s="838" t="str">
        <f t="shared" si="34"/>
        <v/>
      </c>
      <c r="D12" s="182" t="str">
        <f t="shared" si="25"/>
        <v/>
      </c>
      <c r="E12" s="183">
        <v>6</v>
      </c>
      <c r="F12" s="603" t="s">
        <v>526</v>
      </c>
      <c r="G12" s="184">
        <v>2.93</v>
      </c>
      <c r="H12" s="185">
        <v>0.6</v>
      </c>
      <c r="I12" s="186">
        <v>184</v>
      </c>
      <c r="J12" s="184">
        <v>2.89</v>
      </c>
      <c r="K12" s="184">
        <v>0.6</v>
      </c>
      <c r="L12" s="186">
        <v>184</v>
      </c>
      <c r="M12" s="187"/>
      <c r="N12" s="189">
        <f t="shared" si="35"/>
        <v>-4.0000000000000036E-2</v>
      </c>
      <c r="O12" s="202">
        <f t="shared" si="36"/>
        <v>0.6</v>
      </c>
      <c r="P12" s="189">
        <f t="shared" si="37"/>
        <v>3.913043478260869E-3</v>
      </c>
      <c r="Q12" s="203"/>
      <c r="R12" s="191">
        <f t="shared" si="38"/>
        <v>0.12301099692042901</v>
      </c>
      <c r="S12" s="192"/>
      <c r="T12" s="193">
        <f t="shared" si="26"/>
        <v>21.438406925944172</v>
      </c>
      <c r="U12" s="194"/>
      <c r="V12" s="169">
        <f t="shared" si="23"/>
        <v>9.5E-4</v>
      </c>
      <c r="W12" s="170"/>
      <c r="X12" s="170"/>
      <c r="Y12" s="170"/>
      <c r="Z12" s="170"/>
      <c r="AA12" s="170"/>
      <c r="AB12" s="170"/>
      <c r="AC12" s="171">
        <f t="shared" si="24"/>
        <v>9.5E-4</v>
      </c>
      <c r="AD12" s="195" t="s">
        <v>339</v>
      </c>
      <c r="AE12" s="196">
        <f t="shared" si="39"/>
        <v>-0.16301099692042903</v>
      </c>
      <c r="AF12" s="197" t="s">
        <v>261</v>
      </c>
      <c r="AG12" s="196">
        <f t="shared" si="40"/>
        <v>8.3010996920428973E-2</v>
      </c>
      <c r="AH12" s="198" t="s">
        <v>259</v>
      </c>
      <c r="AI12" s="176"/>
      <c r="AJ12" s="176"/>
      <c r="AK12" s="176"/>
      <c r="AL12" s="176"/>
      <c r="AM12" s="176"/>
      <c r="AN12" s="176"/>
      <c r="AO12" s="176"/>
      <c r="AP12" s="176"/>
      <c r="AR12" s="1">
        <f t="shared" si="12"/>
        <v>9.5E-4</v>
      </c>
      <c r="BA12" s="91">
        <f t="shared" si="13"/>
        <v>9.5E-4</v>
      </c>
      <c r="BQ12" s="199" t="b">
        <v>1</v>
      </c>
      <c r="BR12" s="50">
        <v>6</v>
      </c>
      <c r="BS12" s="200" t="b">
        <f t="shared" si="53"/>
        <v>1</v>
      </c>
      <c r="BT12" s="90">
        <f t="shared" si="41"/>
        <v>-4.0000000000000036E-2</v>
      </c>
      <c r="BU12" s="127">
        <f t="shared" si="42"/>
        <v>184</v>
      </c>
      <c r="BV12" s="201">
        <f t="shared" si="27"/>
        <v>-0.63944420310836325</v>
      </c>
      <c r="BW12" s="90" t="e">
        <f t="shared" si="43"/>
        <v>#N/A</v>
      </c>
      <c r="BX12" s="201">
        <f t="shared" si="44"/>
        <v>6</v>
      </c>
      <c r="BY12" s="90">
        <f t="shared" si="28"/>
        <v>0.12301099692042901</v>
      </c>
      <c r="BZ12" s="127">
        <f t="shared" si="29"/>
        <v>65.88</v>
      </c>
      <c r="CA12" s="127">
        <f t="shared" si="30"/>
        <v>183</v>
      </c>
      <c r="CB12" s="90">
        <f t="shared" si="45"/>
        <v>255.5555555555556</v>
      </c>
      <c r="CC12" s="90">
        <f t="shared" si="31"/>
        <v>255.5555555555556</v>
      </c>
      <c r="CD12" s="90"/>
      <c r="CE12" s="90">
        <f t="shared" si="46"/>
        <v>-10.222222222222234</v>
      </c>
      <c r="CF12" s="90">
        <f t="shared" si="47"/>
        <v>65308.641975308667</v>
      </c>
      <c r="CG12" s="90">
        <f t="shared" si="48"/>
        <v>0.40888888888888969</v>
      </c>
      <c r="CH12" s="90">
        <f t="shared" si="49"/>
        <v>9.0037872208415873E-3</v>
      </c>
      <c r="CI12" s="90">
        <f t="shared" si="50"/>
        <v>111.06437496493055</v>
      </c>
      <c r="CJ12" s="90">
        <f t="shared" si="51"/>
        <v>-4.4425749985972258</v>
      </c>
      <c r="CK12" s="90" t="e">
        <f t="shared" si="52"/>
        <v>#N/A</v>
      </c>
      <c r="CL12" s="113">
        <f t="shared" si="32"/>
        <v>6</v>
      </c>
      <c r="CM12" s="106" t="e">
        <f t="shared" si="14"/>
        <v>#N/A</v>
      </c>
      <c r="CN12" s="90" t="e">
        <f t="shared" si="15"/>
        <v>#N/A</v>
      </c>
      <c r="CO12" s="90" t="e">
        <f t="shared" si="16"/>
        <v>#N/A</v>
      </c>
      <c r="CP12" s="90">
        <f t="shared" si="17"/>
        <v>0.18000000000000016</v>
      </c>
      <c r="CQ12" s="90" t="e">
        <f t="shared" si="18"/>
        <v>#N/A</v>
      </c>
      <c r="CR12" s="90" t="e">
        <f t="shared" si="19"/>
        <v>#N/A</v>
      </c>
      <c r="CS12" s="90" t="e">
        <f t="shared" si="20"/>
        <v>#N/A</v>
      </c>
      <c r="CT12" s="90" t="e">
        <f t="shared" si="21"/>
        <v>#N/A</v>
      </c>
      <c r="CU12" s="90" t="e">
        <f t="shared" si="22"/>
        <v>#N/A</v>
      </c>
      <c r="CV12" s="113">
        <v>10</v>
      </c>
      <c r="CW12" s="50" t="e">
        <f t="shared" si="1"/>
        <v>#N/A</v>
      </c>
      <c r="CX12" s="50" t="e">
        <f t="shared" si="2"/>
        <v>#N/A</v>
      </c>
      <c r="CY12" s="50" t="e">
        <f t="shared" si="3"/>
        <v>#N/A</v>
      </c>
      <c r="CZ12" s="50">
        <f t="shared" si="4"/>
        <v>0.18000000000000016</v>
      </c>
      <c r="DA12" s="50" t="e">
        <f t="shared" si="5"/>
        <v>#N/A</v>
      </c>
      <c r="DB12" s="50" t="e">
        <f t="shared" si="6"/>
        <v>#N/A</v>
      </c>
      <c r="DC12" s="50" t="e">
        <f t="shared" si="7"/>
        <v>#N/A</v>
      </c>
      <c r="DD12" s="50" t="e">
        <f t="shared" si="8"/>
        <v>#N/A</v>
      </c>
      <c r="DE12" s="50" t="e">
        <f t="shared" si="9"/>
        <v>#N/A</v>
      </c>
      <c r="DF12" s="50">
        <f t="shared" si="10"/>
        <v>1</v>
      </c>
      <c r="DG12" s="50">
        <f>IF(DF12=0,NA(),SUM($DF$3:DF12))</f>
        <v>10</v>
      </c>
    </row>
    <row r="13" spans="1:111" ht="12" customHeight="1" x14ac:dyDescent="0.2">
      <c r="A13" s="180"/>
      <c r="B13" s="181" t="str">
        <f t="shared" si="33"/>
        <v/>
      </c>
      <c r="C13" s="838" t="str">
        <f t="shared" si="34"/>
        <v/>
      </c>
      <c r="D13" s="182" t="str">
        <f t="shared" si="25"/>
        <v/>
      </c>
      <c r="E13" s="183">
        <v>7</v>
      </c>
      <c r="F13" s="603" t="s">
        <v>527</v>
      </c>
      <c r="G13" s="184">
        <v>2.86</v>
      </c>
      <c r="H13" s="185">
        <v>0.59</v>
      </c>
      <c r="I13" s="186">
        <v>274</v>
      </c>
      <c r="J13" s="184">
        <v>2.91</v>
      </c>
      <c r="K13" s="184">
        <v>0.52</v>
      </c>
      <c r="L13" s="186">
        <v>255</v>
      </c>
      <c r="M13" s="187"/>
      <c r="N13" s="189">
        <f t="shared" si="35"/>
        <v>5.0000000000000266E-2</v>
      </c>
      <c r="O13" s="202">
        <f t="shared" si="36"/>
        <v>0.55736044364183435</v>
      </c>
      <c r="P13" s="189">
        <f t="shared" si="37"/>
        <v>2.351999446518867E-3</v>
      </c>
      <c r="Q13" s="203"/>
      <c r="R13" s="191">
        <f t="shared" si="38"/>
        <v>9.5271993543603634E-2</v>
      </c>
      <c r="S13" s="192"/>
      <c r="T13" s="193">
        <f t="shared" si="26"/>
        <v>35.667278123738946</v>
      </c>
      <c r="U13" s="194"/>
      <c r="V13" s="169">
        <f t="shared" si="23"/>
        <v>9.5E-4</v>
      </c>
      <c r="W13" s="170"/>
      <c r="X13" s="170"/>
      <c r="Y13" s="170"/>
      <c r="Z13" s="170"/>
      <c r="AA13" s="170"/>
      <c r="AB13" s="170"/>
      <c r="AC13" s="171">
        <f t="shared" si="24"/>
        <v>9.5E-4</v>
      </c>
      <c r="AD13" s="195" t="s">
        <v>339</v>
      </c>
      <c r="AE13" s="196">
        <f t="shared" si="39"/>
        <v>-4.5271993543603367E-2</v>
      </c>
      <c r="AF13" s="197" t="s">
        <v>261</v>
      </c>
      <c r="AG13" s="196">
        <f t="shared" si="40"/>
        <v>0.1452719935436039</v>
      </c>
      <c r="AH13" s="198" t="s">
        <v>259</v>
      </c>
      <c r="AI13" s="176"/>
      <c r="AJ13" s="176"/>
      <c r="AK13" s="176"/>
      <c r="AL13" s="176"/>
      <c r="AM13" s="176"/>
      <c r="AN13" s="176"/>
      <c r="AO13" s="176"/>
      <c r="AP13" s="176"/>
      <c r="AR13" s="1">
        <f t="shared" si="12"/>
        <v>9.5E-4</v>
      </c>
      <c r="BA13" s="91">
        <f t="shared" si="13"/>
        <v>9.5E-4</v>
      </c>
      <c r="BQ13" s="199" t="b">
        <v>1</v>
      </c>
      <c r="BR13" s="50">
        <v>7</v>
      </c>
      <c r="BS13" s="200" t="b">
        <f t="shared" si="53"/>
        <v>1</v>
      </c>
      <c r="BT13" s="90">
        <f t="shared" si="41"/>
        <v>5.0000000000000266E-2</v>
      </c>
      <c r="BU13" s="127">
        <f t="shared" si="42"/>
        <v>274</v>
      </c>
      <c r="BV13" s="201">
        <f t="shared" si="27"/>
        <v>1.0309827448602069</v>
      </c>
      <c r="BW13" s="90" t="e">
        <f t="shared" si="43"/>
        <v>#N/A</v>
      </c>
      <c r="BX13" s="201">
        <f t="shared" si="44"/>
        <v>7</v>
      </c>
      <c r="BY13" s="90">
        <f t="shared" si="28"/>
        <v>9.5271993543603634E-2</v>
      </c>
      <c r="BZ13" s="127">
        <f t="shared" si="29"/>
        <v>95.031299999999987</v>
      </c>
      <c r="CA13" s="127">
        <f t="shared" si="30"/>
        <v>273</v>
      </c>
      <c r="CB13" s="90">
        <f t="shared" si="45"/>
        <v>425.17016807979013</v>
      </c>
      <c r="CC13" s="90">
        <f t="shared" si="31"/>
        <v>425.17016807979013</v>
      </c>
      <c r="CD13" s="90"/>
      <c r="CE13" s="90">
        <f t="shared" si="46"/>
        <v>21.258508403989619</v>
      </c>
      <c r="CF13" s="90">
        <f t="shared" si="47"/>
        <v>180769.671824997</v>
      </c>
      <c r="CG13" s="90">
        <f t="shared" si="48"/>
        <v>1.0629254201994867</v>
      </c>
      <c r="CH13" s="90">
        <f t="shared" si="49"/>
        <v>7.4427431890995866E-3</v>
      </c>
      <c r="CI13" s="90">
        <f t="shared" si="50"/>
        <v>134.35906286066262</v>
      </c>
      <c r="CJ13" s="90">
        <f t="shared" si="51"/>
        <v>6.7179531430331672</v>
      </c>
      <c r="CK13" s="90" t="e">
        <f t="shared" si="52"/>
        <v>#N/A</v>
      </c>
      <c r="CL13" s="113">
        <f t="shared" si="32"/>
        <v>7</v>
      </c>
      <c r="CM13" s="106" t="e">
        <f t="shared" si="14"/>
        <v>#N/A</v>
      </c>
      <c r="CN13" s="90" t="e">
        <f t="shared" si="15"/>
        <v>#N/A</v>
      </c>
      <c r="CO13" s="90" t="e">
        <f t="shared" si="16"/>
        <v>#N/A</v>
      </c>
      <c r="CP13" s="90" t="e">
        <f t="shared" si="17"/>
        <v>#N/A</v>
      </c>
      <c r="CQ13" s="90" t="e">
        <f t="shared" si="18"/>
        <v>#N/A</v>
      </c>
      <c r="CR13" s="90" t="e">
        <f t="shared" si="19"/>
        <v>#N/A</v>
      </c>
      <c r="CS13" s="90" t="e">
        <f t="shared" si="20"/>
        <v>#N/A</v>
      </c>
      <c r="CT13" s="90" t="e">
        <f t="shared" si="21"/>
        <v>#N/A</v>
      </c>
      <c r="CU13" s="90" t="e">
        <f t="shared" si="22"/>
        <v>#N/A</v>
      </c>
      <c r="CV13" s="113">
        <v>11</v>
      </c>
      <c r="CW13" s="50" t="e">
        <f t="shared" si="1"/>
        <v>#N/A</v>
      </c>
      <c r="CX13" s="50" t="e">
        <f t="shared" si="2"/>
        <v>#N/A</v>
      </c>
      <c r="CY13" s="50" t="e">
        <f t="shared" si="3"/>
        <v>#N/A</v>
      </c>
      <c r="CZ13" s="50" t="e">
        <f t="shared" si="4"/>
        <v>#N/A</v>
      </c>
      <c r="DA13" s="50" t="e">
        <f t="shared" si="5"/>
        <v>#N/A</v>
      </c>
      <c r="DB13" s="50" t="e">
        <f t="shared" si="6"/>
        <v>#N/A</v>
      </c>
      <c r="DC13" s="50" t="e">
        <f t="shared" si="7"/>
        <v>#N/A</v>
      </c>
      <c r="DD13" s="50" t="e">
        <f t="shared" si="8"/>
        <v>#N/A</v>
      </c>
      <c r="DE13" s="50" t="e">
        <f t="shared" si="9"/>
        <v>#N/A</v>
      </c>
      <c r="DF13" s="50">
        <f t="shared" si="10"/>
        <v>0</v>
      </c>
      <c r="DG13" s="50" t="e">
        <f>IF(DF13=0,NA(),SUM($DF$3:DF13))</f>
        <v>#N/A</v>
      </c>
    </row>
    <row r="14" spans="1:111" ht="12" customHeight="1" x14ac:dyDescent="0.2">
      <c r="A14" s="180"/>
      <c r="B14" s="181" t="str">
        <f t="shared" si="33"/>
        <v/>
      </c>
      <c r="C14" s="838" t="str">
        <f t="shared" si="34"/>
        <v/>
      </c>
      <c r="D14" s="182" t="str">
        <f t="shared" si="25"/>
        <v/>
      </c>
      <c r="E14" s="183">
        <v>8</v>
      </c>
      <c r="F14" s="603" t="s">
        <v>529</v>
      </c>
      <c r="G14" s="184">
        <v>2.5</v>
      </c>
      <c r="H14" s="185">
        <v>0.84</v>
      </c>
      <c r="I14" s="186">
        <v>58</v>
      </c>
      <c r="J14" s="184">
        <v>2.6</v>
      </c>
      <c r="K14" s="184">
        <v>0.83</v>
      </c>
      <c r="L14" s="186">
        <v>55</v>
      </c>
      <c r="M14" s="187"/>
      <c r="N14" s="189">
        <f t="shared" si="35"/>
        <v>0.10000000000000009</v>
      </c>
      <c r="O14" s="202">
        <f t="shared" si="36"/>
        <v>0.83515009170548227</v>
      </c>
      <c r="P14" s="189">
        <f t="shared" si="37"/>
        <v>2.4706818605439287E-2</v>
      </c>
      <c r="Q14" s="203"/>
      <c r="R14" s="191">
        <f t="shared" si="38"/>
        <v>0.31147064429470156</v>
      </c>
      <c r="S14" s="192"/>
      <c r="T14" s="193">
        <f t="shared" si="26"/>
        <v>3.3953954066510188</v>
      </c>
      <c r="U14" s="194"/>
      <c r="V14" s="169">
        <f t="shared" si="23"/>
        <v>9.5E-4</v>
      </c>
      <c r="W14" s="170"/>
      <c r="X14" s="170"/>
      <c r="Y14" s="170"/>
      <c r="Z14" s="170"/>
      <c r="AA14" s="170"/>
      <c r="AB14" s="170"/>
      <c r="AC14" s="171">
        <f t="shared" si="24"/>
        <v>9.5E-4</v>
      </c>
      <c r="AD14" s="195" t="s">
        <v>339</v>
      </c>
      <c r="AE14" s="196">
        <f t="shared" si="39"/>
        <v>-0.21147064429470147</v>
      </c>
      <c r="AF14" s="197" t="s">
        <v>261</v>
      </c>
      <c r="AG14" s="196">
        <f t="shared" si="40"/>
        <v>0.41147064429470165</v>
      </c>
      <c r="AH14" s="198" t="s">
        <v>259</v>
      </c>
      <c r="AI14" s="176"/>
      <c r="AJ14" s="176"/>
      <c r="AK14" s="176"/>
      <c r="AL14" s="176"/>
      <c r="AM14" s="176"/>
      <c r="AN14" s="176"/>
      <c r="AO14" s="176"/>
      <c r="AP14" s="176"/>
      <c r="AR14" s="1">
        <f t="shared" si="12"/>
        <v>9.5E-4</v>
      </c>
      <c r="BA14" s="91">
        <f t="shared" si="13"/>
        <v>9.5E-4</v>
      </c>
      <c r="BQ14" s="199" t="b">
        <v>1</v>
      </c>
      <c r="BR14" s="50">
        <v>8</v>
      </c>
      <c r="BS14" s="200" t="b">
        <f t="shared" si="53"/>
        <v>1</v>
      </c>
      <c r="BT14" s="90">
        <f t="shared" si="41"/>
        <v>0.10000000000000009</v>
      </c>
      <c r="BU14" s="127">
        <f t="shared" si="42"/>
        <v>58</v>
      </c>
      <c r="BV14" s="201">
        <f t="shared" si="27"/>
        <v>0.63619695575549018</v>
      </c>
      <c r="BW14" s="90" t="e">
        <f t="shared" si="43"/>
        <v>#N/A</v>
      </c>
      <c r="BX14" s="201">
        <f t="shared" si="44"/>
        <v>8</v>
      </c>
      <c r="BY14" s="90">
        <f t="shared" si="28"/>
        <v>0.31147064429470156</v>
      </c>
      <c r="BZ14" s="127">
        <f t="shared" si="29"/>
        <v>40.219199999999994</v>
      </c>
      <c r="CA14" s="127">
        <f t="shared" si="30"/>
        <v>57</v>
      </c>
      <c r="CB14" s="90">
        <f t="shared" si="45"/>
        <v>40.474656651255245</v>
      </c>
      <c r="CC14" s="90">
        <f t="shared" si="31"/>
        <v>40.474656651255245</v>
      </c>
      <c r="CD14" s="90"/>
      <c r="CE14" s="90">
        <f t="shared" si="46"/>
        <v>4.0474656651255279</v>
      </c>
      <c r="CF14" s="90">
        <f t="shared" si="47"/>
        <v>1638.1978310370005</v>
      </c>
      <c r="CG14" s="90">
        <f t="shared" si="48"/>
        <v>0.40474656651255314</v>
      </c>
      <c r="CH14" s="90">
        <f t="shared" si="49"/>
        <v>2.9797562348020001E-2</v>
      </c>
      <c r="CI14" s="90">
        <f t="shared" si="50"/>
        <v>33.559792184357939</v>
      </c>
      <c r="CJ14" s="90">
        <f t="shared" si="51"/>
        <v>3.3559792184357971</v>
      </c>
      <c r="CK14" s="90" t="e">
        <f t="shared" si="52"/>
        <v>#N/A</v>
      </c>
      <c r="CL14" s="113">
        <f t="shared" si="32"/>
        <v>8</v>
      </c>
      <c r="CM14" s="106" t="e">
        <f t="shared" si="14"/>
        <v>#N/A</v>
      </c>
      <c r="CN14" s="90" t="e">
        <f t="shared" si="15"/>
        <v>#N/A</v>
      </c>
      <c r="CO14" s="90" t="e">
        <f t="shared" si="16"/>
        <v>#N/A</v>
      </c>
      <c r="CP14" s="90" t="e">
        <f t="shared" si="17"/>
        <v>#N/A</v>
      </c>
      <c r="CQ14" s="90" t="e">
        <f t="shared" si="18"/>
        <v>#N/A</v>
      </c>
      <c r="CR14" s="90" t="e">
        <f t="shared" si="19"/>
        <v>#N/A</v>
      </c>
      <c r="CS14" s="90" t="e">
        <f t="shared" si="20"/>
        <v>#N/A</v>
      </c>
      <c r="CT14" s="90" t="e">
        <f t="shared" si="21"/>
        <v>#N/A</v>
      </c>
      <c r="CU14" s="90" t="e">
        <f t="shared" si="22"/>
        <v>#N/A</v>
      </c>
      <c r="CV14" s="113">
        <v>12</v>
      </c>
      <c r="CW14" s="50" t="e">
        <f t="shared" si="1"/>
        <v>#N/A</v>
      </c>
      <c r="CX14" s="50" t="e">
        <f t="shared" si="2"/>
        <v>#N/A</v>
      </c>
      <c r="CY14" s="50" t="e">
        <f t="shared" si="3"/>
        <v>#N/A</v>
      </c>
      <c r="CZ14" s="50" t="e">
        <f t="shared" si="4"/>
        <v>#N/A</v>
      </c>
      <c r="DA14" s="50" t="e">
        <f t="shared" si="5"/>
        <v>#N/A</v>
      </c>
      <c r="DB14" s="50" t="e">
        <f t="shared" si="6"/>
        <v>#N/A</v>
      </c>
      <c r="DC14" s="50" t="e">
        <f t="shared" si="7"/>
        <v>#N/A</v>
      </c>
      <c r="DD14" s="50" t="e">
        <f t="shared" si="8"/>
        <v>#N/A</v>
      </c>
      <c r="DE14" s="50" t="e">
        <f t="shared" si="9"/>
        <v>#N/A</v>
      </c>
      <c r="DF14" s="50">
        <f t="shared" si="10"/>
        <v>0</v>
      </c>
      <c r="DG14" s="50" t="e">
        <f>IF(DF14=0,NA(),SUM($DF$3:DF14))</f>
        <v>#N/A</v>
      </c>
    </row>
    <row r="15" spans="1:111" ht="12" customHeight="1" x14ac:dyDescent="0.2">
      <c r="A15" s="180"/>
      <c r="B15" s="181" t="str">
        <f t="shared" si="33"/>
        <v/>
      </c>
      <c r="C15" s="838" t="str">
        <f t="shared" si="34"/>
        <v/>
      </c>
      <c r="D15" s="182" t="str">
        <f t="shared" si="25"/>
        <v/>
      </c>
      <c r="E15" s="183">
        <v>9</v>
      </c>
      <c r="F15" s="603" t="s">
        <v>530</v>
      </c>
      <c r="G15" s="184">
        <v>2.41</v>
      </c>
      <c r="H15" s="185">
        <v>0.78</v>
      </c>
      <c r="I15" s="186">
        <v>34</v>
      </c>
      <c r="J15" s="184">
        <v>2.74</v>
      </c>
      <c r="K15" s="184">
        <v>0.51</v>
      </c>
      <c r="L15" s="186">
        <v>34</v>
      </c>
      <c r="M15" s="187"/>
      <c r="N15" s="189">
        <f t="shared" si="35"/>
        <v>0.33000000000000007</v>
      </c>
      <c r="O15" s="202">
        <f t="shared" si="36"/>
        <v>0.65897647909466384</v>
      </c>
      <c r="P15" s="189">
        <f t="shared" si="37"/>
        <v>2.5544117647058818E-2</v>
      </c>
      <c r="Q15" s="203"/>
      <c r="R15" s="191">
        <f t="shared" si="38"/>
        <v>0.31910145180667826</v>
      </c>
      <c r="S15" s="192"/>
      <c r="T15" s="193">
        <f t="shared" si="26"/>
        <v>3.2840992812890377</v>
      </c>
      <c r="U15" s="194"/>
      <c r="V15" s="169">
        <f t="shared" si="23"/>
        <v>9.5E-4</v>
      </c>
      <c r="W15" s="170"/>
      <c r="X15" s="170"/>
      <c r="Y15" s="170"/>
      <c r="Z15" s="170"/>
      <c r="AA15" s="170"/>
      <c r="AB15" s="170"/>
      <c r="AC15" s="171">
        <f t="shared" si="24"/>
        <v>9.5E-4</v>
      </c>
      <c r="AD15" s="195" t="s">
        <v>339</v>
      </c>
      <c r="AE15" s="196">
        <f t="shared" si="39"/>
        <v>1.0898548193321811E-2</v>
      </c>
      <c r="AF15" s="197" t="s">
        <v>261</v>
      </c>
      <c r="AG15" s="196">
        <f t="shared" si="40"/>
        <v>0.64910145180667833</v>
      </c>
      <c r="AH15" s="198" t="s">
        <v>259</v>
      </c>
      <c r="AI15" s="176"/>
      <c r="AJ15" s="176"/>
      <c r="AK15" s="176"/>
      <c r="AL15" s="176"/>
      <c r="AM15" s="176"/>
      <c r="AN15" s="176"/>
      <c r="AO15" s="176"/>
      <c r="AP15" s="176"/>
      <c r="AR15" s="1">
        <f t="shared" si="12"/>
        <v>9.5E-4</v>
      </c>
      <c r="BA15" s="91">
        <f t="shared" si="13"/>
        <v>9.5E-4</v>
      </c>
      <c r="BQ15" s="199" t="b">
        <v>1</v>
      </c>
      <c r="BR15" s="50">
        <v>9</v>
      </c>
      <c r="BS15" s="200" t="b">
        <f t="shared" si="53"/>
        <v>1</v>
      </c>
      <c r="BT15" s="90">
        <f t="shared" si="41"/>
        <v>0.33000000000000007</v>
      </c>
      <c r="BU15" s="127">
        <f t="shared" si="42"/>
        <v>34</v>
      </c>
      <c r="BV15" s="201">
        <f t="shared" si="27"/>
        <v>2.064754812376802</v>
      </c>
      <c r="BW15" s="90" t="e">
        <f t="shared" si="43"/>
        <v>#N/A</v>
      </c>
      <c r="BX15" s="201">
        <f t="shared" si="44"/>
        <v>9</v>
      </c>
      <c r="BY15" s="90">
        <f t="shared" si="28"/>
        <v>0.31910145180667826</v>
      </c>
      <c r="BZ15" s="127">
        <f t="shared" si="29"/>
        <v>20.077200000000001</v>
      </c>
      <c r="CA15" s="127">
        <f t="shared" si="30"/>
        <v>33</v>
      </c>
      <c r="CB15" s="90">
        <f t="shared" si="45"/>
        <v>39.147956246401854</v>
      </c>
      <c r="CC15" s="90">
        <f t="shared" si="31"/>
        <v>39.147956246401854</v>
      </c>
      <c r="CD15" s="90"/>
      <c r="CE15" s="90">
        <f t="shared" si="46"/>
        <v>12.918825561312614</v>
      </c>
      <c r="CF15" s="90">
        <f t="shared" si="47"/>
        <v>1532.5624782701939</v>
      </c>
      <c r="CG15" s="90">
        <f t="shared" si="48"/>
        <v>4.2632124352331644</v>
      </c>
      <c r="CH15" s="90">
        <f t="shared" si="49"/>
        <v>3.0634861389639535E-2</v>
      </c>
      <c r="CI15" s="90">
        <f t="shared" si="50"/>
        <v>32.642550174494737</v>
      </c>
      <c r="CJ15" s="90">
        <f t="shared" si="51"/>
        <v>10.772041557583265</v>
      </c>
      <c r="CK15" s="90" t="e">
        <f t="shared" si="52"/>
        <v>#N/A</v>
      </c>
      <c r="CL15" s="113">
        <f t="shared" si="32"/>
        <v>9</v>
      </c>
      <c r="CM15" s="106" t="e">
        <f t="shared" si="14"/>
        <v>#N/A</v>
      </c>
      <c r="CN15" s="90" t="e">
        <f t="shared" si="15"/>
        <v>#N/A</v>
      </c>
      <c r="CO15" s="90" t="e">
        <f t="shared" si="16"/>
        <v>#N/A</v>
      </c>
      <c r="CP15" s="90" t="e">
        <f t="shared" si="17"/>
        <v>#N/A</v>
      </c>
      <c r="CQ15" s="90" t="e">
        <f t="shared" si="18"/>
        <v>#N/A</v>
      </c>
      <c r="CR15" s="90" t="e">
        <f t="shared" si="19"/>
        <v>#N/A</v>
      </c>
      <c r="CS15" s="90" t="e">
        <f t="shared" si="20"/>
        <v>#N/A</v>
      </c>
      <c r="CT15" s="90" t="e">
        <f t="shared" si="21"/>
        <v>#N/A</v>
      </c>
      <c r="CU15" s="90" t="e">
        <f t="shared" si="22"/>
        <v>#N/A</v>
      </c>
      <c r="CV15" s="113">
        <v>13</v>
      </c>
      <c r="CW15" s="50" t="e">
        <f t="shared" si="1"/>
        <v>#N/A</v>
      </c>
      <c r="CX15" s="50" t="e">
        <f t="shared" si="2"/>
        <v>#N/A</v>
      </c>
      <c r="CY15" s="50" t="e">
        <f t="shared" si="3"/>
        <v>#N/A</v>
      </c>
      <c r="CZ15" s="50" t="e">
        <f t="shared" si="4"/>
        <v>#N/A</v>
      </c>
      <c r="DA15" s="50" t="e">
        <f t="shared" si="5"/>
        <v>#N/A</v>
      </c>
      <c r="DB15" s="50" t="e">
        <f t="shared" si="6"/>
        <v>#N/A</v>
      </c>
      <c r="DC15" s="50" t="e">
        <f t="shared" si="7"/>
        <v>#N/A</v>
      </c>
      <c r="DD15" s="50" t="e">
        <f t="shared" si="8"/>
        <v>#N/A</v>
      </c>
      <c r="DE15" s="50" t="e">
        <f t="shared" si="9"/>
        <v>#N/A</v>
      </c>
      <c r="DF15" s="50">
        <f t="shared" si="10"/>
        <v>0</v>
      </c>
      <c r="DG15" s="50" t="e">
        <f>IF(DF15=0,NA(),SUM($DF$3:DF15))</f>
        <v>#N/A</v>
      </c>
    </row>
    <row r="16" spans="1:111" ht="12" customHeight="1" x14ac:dyDescent="0.2">
      <c r="A16" s="180"/>
      <c r="B16" s="181" t="str">
        <f t="shared" si="33"/>
        <v/>
      </c>
      <c r="C16" s="838" t="str">
        <f t="shared" si="34"/>
        <v/>
      </c>
      <c r="D16" s="182" t="str">
        <f t="shared" si="25"/>
        <v/>
      </c>
      <c r="E16" s="183">
        <v>10</v>
      </c>
      <c r="F16" s="603" t="s">
        <v>531</v>
      </c>
      <c r="G16" s="184">
        <v>2.54</v>
      </c>
      <c r="H16" s="185">
        <v>0.66</v>
      </c>
      <c r="I16" s="186">
        <v>99</v>
      </c>
      <c r="J16" s="184">
        <v>2.72</v>
      </c>
      <c r="K16" s="184">
        <v>0.68</v>
      </c>
      <c r="L16" s="186">
        <v>95</v>
      </c>
      <c r="M16" s="187"/>
      <c r="N16" s="189">
        <f t="shared" si="35"/>
        <v>0.18000000000000016</v>
      </c>
      <c r="O16" s="202">
        <f t="shared" si="36"/>
        <v>0.6698662801883174</v>
      </c>
      <c r="P16" s="189">
        <f t="shared" si="37"/>
        <v>9.2559108630161264E-3</v>
      </c>
      <c r="Q16" s="203"/>
      <c r="R16" s="191">
        <f t="shared" si="38"/>
        <v>0.18975962047801079</v>
      </c>
      <c r="S16" s="192"/>
      <c r="T16" s="193">
        <f t="shared" si="26"/>
        <v>9.0633347325184079</v>
      </c>
      <c r="U16" s="194"/>
      <c r="V16" s="169">
        <f t="shared" si="23"/>
        <v>9.5E-4</v>
      </c>
      <c r="W16" s="170"/>
      <c r="X16" s="170"/>
      <c r="Y16" s="170"/>
      <c r="Z16" s="170"/>
      <c r="AA16" s="170"/>
      <c r="AB16" s="170"/>
      <c r="AC16" s="171">
        <f t="shared" si="24"/>
        <v>9.5E-4</v>
      </c>
      <c r="AD16" s="195" t="s">
        <v>339</v>
      </c>
      <c r="AE16" s="196">
        <f t="shared" si="39"/>
        <v>-9.7596204780106277E-3</v>
      </c>
      <c r="AF16" s="197" t="s">
        <v>261</v>
      </c>
      <c r="AG16" s="196">
        <f t="shared" si="40"/>
        <v>0.36975962047801092</v>
      </c>
      <c r="AH16" s="198" t="s">
        <v>259</v>
      </c>
      <c r="AI16" s="176"/>
      <c r="AJ16" s="176"/>
      <c r="AK16" s="176"/>
      <c r="AL16" s="176"/>
      <c r="AM16" s="176"/>
      <c r="AN16" s="176"/>
      <c r="AO16" s="176"/>
      <c r="AP16" s="176"/>
      <c r="AR16" s="1">
        <f t="shared" si="12"/>
        <v>9.5E-4</v>
      </c>
      <c r="BA16" s="91">
        <f t="shared" si="13"/>
        <v>9.5E-4</v>
      </c>
      <c r="BQ16" s="199" t="b">
        <v>1</v>
      </c>
      <c r="BR16" s="50">
        <v>10</v>
      </c>
      <c r="BS16" s="200" t="b">
        <f t="shared" si="53"/>
        <v>1</v>
      </c>
      <c r="BT16" s="90">
        <f t="shared" si="41"/>
        <v>0.18000000000000016</v>
      </c>
      <c r="BU16" s="127">
        <f t="shared" si="42"/>
        <v>99</v>
      </c>
      <c r="BV16" s="201">
        <f t="shared" si="27"/>
        <v>1.8709531961671788</v>
      </c>
      <c r="BW16" s="90" t="e">
        <f t="shared" si="43"/>
        <v>#N/A</v>
      </c>
      <c r="BX16" s="201">
        <f t="shared" si="44"/>
        <v>10</v>
      </c>
      <c r="BY16" s="90">
        <f t="shared" si="28"/>
        <v>0.18975962047801079</v>
      </c>
      <c r="BZ16" s="127">
        <f t="shared" si="29"/>
        <v>42.688800000000008</v>
      </c>
      <c r="CA16" s="127">
        <f t="shared" si="30"/>
        <v>98</v>
      </c>
      <c r="CB16" s="90">
        <f t="shared" si="45"/>
        <v>108.03906982247456</v>
      </c>
      <c r="CC16" s="90">
        <f t="shared" si="31"/>
        <v>108.03906982247456</v>
      </c>
      <c r="CD16" s="90"/>
      <c r="CE16" s="90">
        <f t="shared" si="46"/>
        <v>19.447032568045437</v>
      </c>
      <c r="CF16" s="90">
        <f t="shared" si="47"/>
        <v>11672.440608105533</v>
      </c>
      <c r="CG16" s="90">
        <f t="shared" si="48"/>
        <v>3.5004658622481823</v>
      </c>
      <c r="CH16" s="90">
        <f t="shared" si="49"/>
        <v>1.4346654605596846E-2</v>
      </c>
      <c r="CI16" s="90">
        <f t="shared" si="50"/>
        <v>69.70266082867046</v>
      </c>
      <c r="CJ16" s="90">
        <f t="shared" si="51"/>
        <v>12.546478949160694</v>
      </c>
      <c r="CK16" s="90" t="e">
        <f t="shared" si="52"/>
        <v>#N/A</v>
      </c>
      <c r="CL16" s="113">
        <f t="shared" si="32"/>
        <v>10</v>
      </c>
      <c r="CM16" s="106" t="e">
        <f t="shared" si="14"/>
        <v>#N/A</v>
      </c>
      <c r="CN16" s="90" t="e">
        <f t="shared" si="15"/>
        <v>#N/A</v>
      </c>
      <c r="CO16" s="90" t="e">
        <f t="shared" si="16"/>
        <v>#N/A</v>
      </c>
      <c r="CP16" s="90" t="e">
        <f t="shared" si="17"/>
        <v>#N/A</v>
      </c>
      <c r="CQ16" s="90" t="e">
        <f t="shared" si="18"/>
        <v>#N/A</v>
      </c>
      <c r="CR16" s="90" t="e">
        <f t="shared" si="19"/>
        <v>#N/A</v>
      </c>
      <c r="CS16" s="90" t="e">
        <f t="shared" si="20"/>
        <v>#N/A</v>
      </c>
      <c r="CT16" s="90" t="e">
        <f t="shared" si="21"/>
        <v>#N/A</v>
      </c>
      <c r="CU16" s="90" t="e">
        <f t="shared" si="22"/>
        <v>#N/A</v>
      </c>
      <c r="CV16" s="113">
        <v>14</v>
      </c>
      <c r="CW16" s="50" t="e">
        <f t="shared" si="1"/>
        <v>#N/A</v>
      </c>
      <c r="CX16" s="50" t="e">
        <f t="shared" si="2"/>
        <v>#N/A</v>
      </c>
      <c r="CY16" s="50" t="e">
        <f t="shared" si="3"/>
        <v>#N/A</v>
      </c>
      <c r="CZ16" s="50" t="e">
        <f t="shared" si="4"/>
        <v>#N/A</v>
      </c>
      <c r="DA16" s="50" t="e">
        <f t="shared" si="5"/>
        <v>#N/A</v>
      </c>
      <c r="DB16" s="50" t="e">
        <f t="shared" si="6"/>
        <v>#N/A</v>
      </c>
      <c r="DC16" s="50" t="e">
        <f t="shared" si="7"/>
        <v>#N/A</v>
      </c>
      <c r="DD16" s="50" t="e">
        <f t="shared" si="8"/>
        <v>#N/A</v>
      </c>
      <c r="DE16" s="50" t="e">
        <f t="shared" si="9"/>
        <v>#N/A</v>
      </c>
      <c r="DF16" s="50">
        <f t="shared" si="10"/>
        <v>0</v>
      </c>
      <c r="DG16" s="50" t="e">
        <f>IF(DF16=0,NA(),SUM($DF$3:DF16))</f>
        <v>#N/A</v>
      </c>
    </row>
    <row r="17" spans="1:111" ht="12" customHeight="1" x14ac:dyDescent="0.2">
      <c r="A17" s="180"/>
      <c r="B17" s="181" t="str">
        <f t="shared" si="33"/>
        <v/>
      </c>
      <c r="C17" s="838" t="str">
        <f t="shared" si="34"/>
        <v/>
      </c>
      <c r="D17" s="182" t="str">
        <f t="shared" si="25"/>
        <v/>
      </c>
      <c r="E17" s="183">
        <v>11</v>
      </c>
      <c r="F17" s="603"/>
      <c r="G17" s="184"/>
      <c r="H17" s="185"/>
      <c r="I17" s="186"/>
      <c r="J17" s="184"/>
      <c r="K17" s="184"/>
      <c r="L17" s="186"/>
      <c r="M17" s="187"/>
      <c r="N17" s="189" t="str">
        <f t="shared" si="35"/>
        <v/>
      </c>
      <c r="O17" s="202" t="str">
        <f t="shared" si="36"/>
        <v/>
      </c>
      <c r="P17" s="189" t="str">
        <f t="shared" si="37"/>
        <v/>
      </c>
      <c r="Q17" s="203"/>
      <c r="R17" s="191" t="str">
        <f t="shared" si="38"/>
        <v/>
      </c>
      <c r="S17" s="192"/>
      <c r="T17" s="193" t="str">
        <f t="shared" si="26"/>
        <v/>
      </c>
      <c r="U17" s="194"/>
      <c r="V17" s="169">
        <f t="shared" si="23"/>
        <v>9.5E-4</v>
      </c>
      <c r="W17" s="170"/>
      <c r="X17" s="170"/>
      <c r="Y17" s="170"/>
      <c r="Z17" s="170"/>
      <c r="AA17" s="170"/>
      <c r="AB17" s="170"/>
      <c r="AC17" s="171">
        <f t="shared" si="24"/>
        <v>9.5E-4</v>
      </c>
      <c r="AD17" s="195" t="s">
        <v>339</v>
      </c>
      <c r="AE17" s="196" t="str">
        <f t="shared" si="39"/>
        <v/>
      </c>
      <c r="AF17" s="197" t="s">
        <v>261</v>
      </c>
      <c r="AG17" s="196" t="str">
        <f t="shared" si="40"/>
        <v/>
      </c>
      <c r="AH17" s="198" t="s">
        <v>259</v>
      </c>
      <c r="AI17" s="176"/>
      <c r="AJ17" s="176"/>
      <c r="AK17" s="176"/>
      <c r="AL17" s="176"/>
      <c r="AM17" s="176"/>
      <c r="AN17" s="176"/>
      <c r="AO17" s="176"/>
      <c r="AP17" s="176"/>
      <c r="AR17" s="1">
        <f t="shared" si="12"/>
        <v>9.5E-4</v>
      </c>
      <c r="BA17" s="91">
        <f t="shared" si="13"/>
        <v>9.5E-4</v>
      </c>
      <c r="BQ17" s="199" t="b">
        <v>1</v>
      </c>
      <c r="BR17" s="50">
        <v>11</v>
      </c>
      <c r="BS17" s="200" t="b">
        <f t="shared" si="53"/>
        <v>0</v>
      </c>
      <c r="BT17" s="90" t="str">
        <f t="shared" si="41"/>
        <v/>
      </c>
      <c r="BU17" s="127" t="str">
        <f t="shared" si="42"/>
        <v/>
      </c>
      <c r="BV17" s="201" t="str">
        <f t="shared" si="27"/>
        <v/>
      </c>
      <c r="BW17" s="90" t="e">
        <f t="shared" si="43"/>
        <v>#N/A</v>
      </c>
      <c r="BX17" s="201" t="e">
        <f t="shared" si="44"/>
        <v>#N/A</v>
      </c>
      <c r="BY17" s="90" t="e">
        <f t="shared" si="28"/>
        <v>#N/A</v>
      </c>
      <c r="BZ17" s="127" t="str">
        <f t="shared" si="29"/>
        <v/>
      </c>
      <c r="CA17" s="127" t="str">
        <f t="shared" si="30"/>
        <v/>
      </c>
      <c r="CB17" s="90" t="str">
        <f t="shared" si="45"/>
        <v/>
      </c>
      <c r="CC17" s="90" t="str">
        <f t="shared" si="31"/>
        <v/>
      </c>
      <c r="CD17" s="90"/>
      <c r="CE17" s="90" t="str">
        <f t="shared" si="46"/>
        <v/>
      </c>
      <c r="CF17" s="90" t="str">
        <f t="shared" si="47"/>
        <v/>
      </c>
      <c r="CG17" s="90" t="str">
        <f t="shared" si="48"/>
        <v/>
      </c>
      <c r="CH17" s="90" t="str">
        <f t="shared" si="49"/>
        <v/>
      </c>
      <c r="CI17" s="90" t="str">
        <f t="shared" si="50"/>
        <v/>
      </c>
      <c r="CJ17" s="90" t="str">
        <f t="shared" si="51"/>
        <v/>
      </c>
      <c r="CK17" s="90" t="e">
        <f t="shared" si="52"/>
        <v>#N/A</v>
      </c>
      <c r="CL17" s="113" t="e">
        <f t="shared" si="32"/>
        <v>#N/A</v>
      </c>
      <c r="CM17" s="106" t="e">
        <f t="shared" si="14"/>
        <v>#N/A</v>
      </c>
      <c r="CN17" s="90" t="e">
        <f t="shared" si="15"/>
        <v>#N/A</v>
      </c>
      <c r="CO17" s="90" t="e">
        <f t="shared" si="16"/>
        <v>#N/A</v>
      </c>
      <c r="CP17" s="90" t="e">
        <f t="shared" si="17"/>
        <v>#N/A</v>
      </c>
      <c r="CQ17" s="90" t="e">
        <f t="shared" si="18"/>
        <v>#N/A</v>
      </c>
      <c r="CR17" s="90" t="e">
        <f t="shared" si="19"/>
        <v>#N/A</v>
      </c>
      <c r="CS17" s="90" t="e">
        <f t="shared" si="20"/>
        <v>#N/A</v>
      </c>
      <c r="CT17" s="90" t="e">
        <f t="shared" si="21"/>
        <v>#N/A</v>
      </c>
      <c r="CU17" s="90" t="e">
        <f t="shared" si="22"/>
        <v>#N/A</v>
      </c>
      <c r="CV17" s="113">
        <v>15</v>
      </c>
      <c r="CW17" s="50" t="e">
        <f t="shared" si="1"/>
        <v>#N/A</v>
      </c>
      <c r="CX17" s="50" t="e">
        <f t="shared" si="2"/>
        <v>#N/A</v>
      </c>
      <c r="CY17" s="50" t="e">
        <f t="shared" si="3"/>
        <v>#N/A</v>
      </c>
      <c r="CZ17" s="50" t="e">
        <f t="shared" si="4"/>
        <v>#N/A</v>
      </c>
      <c r="DA17" s="50" t="e">
        <f t="shared" si="5"/>
        <v>#N/A</v>
      </c>
      <c r="DB17" s="50" t="e">
        <f t="shared" si="6"/>
        <v>#N/A</v>
      </c>
      <c r="DC17" s="50" t="e">
        <f t="shared" si="7"/>
        <v>#N/A</v>
      </c>
      <c r="DD17" s="50" t="e">
        <f t="shared" si="8"/>
        <v>#N/A</v>
      </c>
      <c r="DE17" s="50" t="e">
        <f t="shared" si="9"/>
        <v>#N/A</v>
      </c>
      <c r="DF17" s="50">
        <f t="shared" si="10"/>
        <v>0</v>
      </c>
      <c r="DG17" s="50" t="e">
        <f>IF(DF17=0,NA(),SUM($DF$3:DF17))</f>
        <v>#N/A</v>
      </c>
    </row>
    <row r="18" spans="1:111" ht="12" customHeight="1" x14ac:dyDescent="0.2">
      <c r="A18" s="180"/>
      <c r="B18" s="181" t="str">
        <f t="shared" si="33"/>
        <v/>
      </c>
      <c r="C18" s="838" t="str">
        <f t="shared" si="34"/>
        <v/>
      </c>
      <c r="D18" s="182" t="str">
        <f t="shared" si="25"/>
        <v/>
      </c>
      <c r="E18" s="183">
        <v>12</v>
      </c>
      <c r="F18" s="603"/>
      <c r="G18" s="184"/>
      <c r="H18" s="185"/>
      <c r="I18" s="186"/>
      <c r="J18" s="184"/>
      <c r="K18" s="184"/>
      <c r="L18" s="186"/>
      <c r="M18" s="187"/>
      <c r="N18" s="189" t="str">
        <f t="shared" si="35"/>
        <v/>
      </c>
      <c r="O18" s="202" t="str">
        <f t="shared" si="36"/>
        <v/>
      </c>
      <c r="P18" s="189" t="str">
        <f t="shared" si="37"/>
        <v/>
      </c>
      <c r="Q18" s="203"/>
      <c r="R18" s="191" t="str">
        <f t="shared" si="38"/>
        <v/>
      </c>
      <c r="S18" s="192"/>
      <c r="T18" s="193" t="str">
        <f t="shared" si="26"/>
        <v/>
      </c>
      <c r="U18" s="194"/>
      <c r="V18" s="169">
        <f t="shared" si="23"/>
        <v>9.5E-4</v>
      </c>
      <c r="W18" s="170"/>
      <c r="X18" s="170"/>
      <c r="Y18" s="170"/>
      <c r="Z18" s="170"/>
      <c r="AA18" s="170"/>
      <c r="AB18" s="170"/>
      <c r="AC18" s="171">
        <f t="shared" si="24"/>
        <v>9.5E-4</v>
      </c>
      <c r="AD18" s="195" t="s">
        <v>339</v>
      </c>
      <c r="AE18" s="196" t="str">
        <f t="shared" si="39"/>
        <v/>
      </c>
      <c r="AF18" s="197" t="s">
        <v>261</v>
      </c>
      <c r="AG18" s="196" t="str">
        <f t="shared" si="40"/>
        <v/>
      </c>
      <c r="AH18" s="198" t="s">
        <v>259</v>
      </c>
      <c r="AI18" s="176"/>
      <c r="AJ18" s="176"/>
      <c r="AK18" s="176"/>
      <c r="AL18" s="176"/>
      <c r="AM18" s="176"/>
      <c r="AN18" s="176"/>
      <c r="AO18" s="176"/>
      <c r="AP18" s="176"/>
      <c r="AR18" s="1">
        <f t="shared" si="12"/>
        <v>9.5E-4</v>
      </c>
      <c r="BA18" s="91">
        <f t="shared" si="13"/>
        <v>9.5E-4</v>
      </c>
      <c r="BQ18" s="199" t="b">
        <v>1</v>
      </c>
      <c r="BR18" s="50">
        <v>12</v>
      </c>
      <c r="BS18" s="200" t="b">
        <f t="shared" si="53"/>
        <v>0</v>
      </c>
      <c r="BT18" s="90" t="str">
        <f t="shared" si="41"/>
        <v/>
      </c>
      <c r="BU18" s="127" t="str">
        <f t="shared" si="42"/>
        <v/>
      </c>
      <c r="BV18" s="201" t="str">
        <f t="shared" si="27"/>
        <v/>
      </c>
      <c r="BW18" s="90" t="e">
        <f t="shared" si="43"/>
        <v>#N/A</v>
      </c>
      <c r="BX18" s="201" t="e">
        <f t="shared" si="44"/>
        <v>#N/A</v>
      </c>
      <c r="BY18" s="90" t="e">
        <f t="shared" si="28"/>
        <v>#N/A</v>
      </c>
      <c r="BZ18" s="127" t="str">
        <f t="shared" si="29"/>
        <v/>
      </c>
      <c r="CA18" s="127" t="str">
        <f t="shared" si="30"/>
        <v/>
      </c>
      <c r="CB18" s="90" t="str">
        <f t="shared" si="45"/>
        <v/>
      </c>
      <c r="CC18" s="90" t="str">
        <f t="shared" si="31"/>
        <v/>
      </c>
      <c r="CD18" s="90"/>
      <c r="CE18" s="90" t="str">
        <f t="shared" si="46"/>
        <v/>
      </c>
      <c r="CF18" s="90" t="str">
        <f t="shared" si="47"/>
        <v/>
      </c>
      <c r="CG18" s="90" t="str">
        <f t="shared" si="48"/>
        <v/>
      </c>
      <c r="CH18" s="90" t="str">
        <f t="shared" si="49"/>
        <v/>
      </c>
      <c r="CI18" s="90" t="str">
        <f t="shared" si="50"/>
        <v/>
      </c>
      <c r="CJ18" s="90" t="str">
        <f t="shared" si="51"/>
        <v/>
      </c>
      <c r="CK18" s="90" t="e">
        <f t="shared" si="52"/>
        <v>#N/A</v>
      </c>
      <c r="CL18" s="113" t="e">
        <f t="shared" si="32"/>
        <v>#N/A</v>
      </c>
      <c r="CM18" s="106" t="e">
        <f t="shared" si="14"/>
        <v>#N/A</v>
      </c>
      <c r="CN18" s="90" t="e">
        <f t="shared" si="15"/>
        <v>#N/A</v>
      </c>
      <c r="CO18" s="90" t="e">
        <f t="shared" si="16"/>
        <v>#N/A</v>
      </c>
      <c r="CP18" s="90" t="e">
        <f t="shared" si="17"/>
        <v>#N/A</v>
      </c>
      <c r="CQ18" s="90" t="e">
        <f t="shared" si="18"/>
        <v>#N/A</v>
      </c>
      <c r="CR18" s="90" t="e">
        <f t="shared" si="19"/>
        <v>#N/A</v>
      </c>
      <c r="CS18" s="90" t="e">
        <f t="shared" si="20"/>
        <v>#N/A</v>
      </c>
      <c r="CT18" s="90" t="e">
        <f t="shared" si="21"/>
        <v>#N/A</v>
      </c>
      <c r="CU18" s="90" t="e">
        <f t="shared" si="22"/>
        <v>#N/A</v>
      </c>
      <c r="CV18" s="113">
        <v>16</v>
      </c>
      <c r="CW18" s="50" t="e">
        <f t="shared" si="1"/>
        <v>#N/A</v>
      </c>
      <c r="CX18" s="50" t="e">
        <f t="shared" si="2"/>
        <v>#N/A</v>
      </c>
      <c r="CY18" s="50" t="e">
        <f t="shared" si="3"/>
        <v>#N/A</v>
      </c>
      <c r="CZ18" s="50" t="e">
        <f t="shared" si="4"/>
        <v>#N/A</v>
      </c>
      <c r="DA18" s="50" t="e">
        <f t="shared" si="5"/>
        <v>#N/A</v>
      </c>
      <c r="DB18" s="50" t="e">
        <f t="shared" si="6"/>
        <v>#N/A</v>
      </c>
      <c r="DC18" s="50" t="e">
        <f t="shared" si="7"/>
        <v>#N/A</v>
      </c>
      <c r="DD18" s="50" t="e">
        <f t="shared" si="8"/>
        <v>#N/A</v>
      </c>
      <c r="DE18" s="50" t="e">
        <f t="shared" si="9"/>
        <v>#N/A</v>
      </c>
      <c r="DF18" s="50">
        <f t="shared" si="10"/>
        <v>0</v>
      </c>
      <c r="DG18" s="50" t="e">
        <f>IF(DF18=0,NA(),SUM($DF$3:DF18))</f>
        <v>#N/A</v>
      </c>
    </row>
    <row r="19" spans="1:111" ht="12" customHeight="1" x14ac:dyDescent="0.2">
      <c r="A19" s="180"/>
      <c r="B19" s="181" t="str">
        <f t="shared" si="33"/>
        <v/>
      </c>
      <c r="C19" s="838" t="str">
        <f t="shared" si="34"/>
        <v/>
      </c>
      <c r="D19" s="182" t="str">
        <f t="shared" si="25"/>
        <v/>
      </c>
      <c r="E19" s="183">
        <v>13</v>
      </c>
      <c r="F19" s="603"/>
      <c r="G19" s="184"/>
      <c r="H19" s="185"/>
      <c r="I19" s="186"/>
      <c r="J19" s="184"/>
      <c r="K19" s="184"/>
      <c r="L19" s="186"/>
      <c r="M19" s="187"/>
      <c r="N19" s="189" t="str">
        <f t="shared" si="35"/>
        <v/>
      </c>
      <c r="O19" s="202" t="str">
        <f t="shared" si="36"/>
        <v/>
      </c>
      <c r="P19" s="189" t="str">
        <f t="shared" si="37"/>
        <v/>
      </c>
      <c r="Q19" s="203"/>
      <c r="R19" s="191" t="str">
        <f t="shared" si="38"/>
        <v/>
      </c>
      <c r="S19" s="192"/>
      <c r="T19" s="193" t="str">
        <f t="shared" si="26"/>
        <v/>
      </c>
      <c r="U19" s="194"/>
      <c r="V19" s="169">
        <f t="shared" si="23"/>
        <v>9.5E-4</v>
      </c>
      <c r="W19" s="170"/>
      <c r="X19" s="170"/>
      <c r="Y19" s="170"/>
      <c r="Z19" s="170"/>
      <c r="AA19" s="170"/>
      <c r="AB19" s="170"/>
      <c r="AC19" s="171">
        <f t="shared" si="24"/>
        <v>9.5E-4</v>
      </c>
      <c r="AD19" s="195" t="s">
        <v>339</v>
      </c>
      <c r="AE19" s="196" t="str">
        <f t="shared" si="39"/>
        <v/>
      </c>
      <c r="AF19" s="197" t="s">
        <v>261</v>
      </c>
      <c r="AG19" s="196" t="str">
        <f t="shared" si="40"/>
        <v/>
      </c>
      <c r="AH19" s="198" t="s">
        <v>259</v>
      </c>
      <c r="AI19" s="176"/>
      <c r="AJ19" s="176"/>
      <c r="AK19" s="176"/>
      <c r="AL19" s="176"/>
      <c r="AM19" s="176"/>
      <c r="AN19" s="176"/>
      <c r="AO19" s="176"/>
      <c r="AP19" s="176"/>
      <c r="AR19" s="1">
        <f t="shared" si="12"/>
        <v>9.5E-4</v>
      </c>
      <c r="BA19" s="91">
        <f t="shared" ref="BA19:BA26" si="54">$V$4</f>
        <v>9.5E-4</v>
      </c>
      <c r="BQ19" s="199" t="b">
        <v>1</v>
      </c>
      <c r="BR19" s="50">
        <v>13</v>
      </c>
      <c r="BS19" s="200" t="b">
        <f t="shared" si="53"/>
        <v>0</v>
      </c>
      <c r="BT19" s="90" t="str">
        <f t="shared" si="41"/>
        <v/>
      </c>
      <c r="BU19" s="127" t="str">
        <f t="shared" si="42"/>
        <v/>
      </c>
      <c r="BV19" s="201" t="str">
        <f t="shared" si="27"/>
        <v/>
      </c>
      <c r="BW19" s="90" t="e">
        <f t="shared" si="43"/>
        <v>#N/A</v>
      </c>
      <c r="BX19" s="201" t="e">
        <f t="shared" si="44"/>
        <v>#N/A</v>
      </c>
      <c r="BY19" s="90" t="e">
        <f t="shared" si="28"/>
        <v>#N/A</v>
      </c>
      <c r="BZ19" s="127" t="str">
        <f t="shared" si="29"/>
        <v/>
      </c>
      <c r="CA19" s="127" t="str">
        <f t="shared" si="30"/>
        <v/>
      </c>
      <c r="CB19" s="90" t="str">
        <f t="shared" si="45"/>
        <v/>
      </c>
      <c r="CC19" s="90" t="str">
        <f t="shared" si="31"/>
        <v/>
      </c>
      <c r="CD19" s="90"/>
      <c r="CE19" s="90" t="str">
        <f t="shared" si="46"/>
        <v/>
      </c>
      <c r="CF19" s="90" t="str">
        <f t="shared" si="47"/>
        <v/>
      </c>
      <c r="CG19" s="90" t="str">
        <f t="shared" si="48"/>
        <v/>
      </c>
      <c r="CH19" s="90" t="str">
        <f t="shared" si="49"/>
        <v/>
      </c>
      <c r="CI19" s="90" t="str">
        <f t="shared" si="50"/>
        <v/>
      </c>
      <c r="CJ19" s="90" t="str">
        <f t="shared" si="51"/>
        <v/>
      </c>
      <c r="CK19" s="90" t="e">
        <f t="shared" si="52"/>
        <v>#N/A</v>
      </c>
      <c r="CL19" s="113" t="e">
        <f t="shared" si="32"/>
        <v>#N/A</v>
      </c>
      <c r="CM19" s="106" t="e">
        <f t="shared" si="14"/>
        <v>#N/A</v>
      </c>
      <c r="CN19" s="90" t="e">
        <f t="shared" si="15"/>
        <v>#N/A</v>
      </c>
      <c r="CO19" s="90" t="e">
        <f t="shared" si="16"/>
        <v>#N/A</v>
      </c>
      <c r="CP19" s="90" t="e">
        <f t="shared" si="17"/>
        <v>#N/A</v>
      </c>
      <c r="CQ19" s="90" t="e">
        <f t="shared" si="18"/>
        <v>#N/A</v>
      </c>
      <c r="CR19" s="90" t="e">
        <f t="shared" si="19"/>
        <v>#N/A</v>
      </c>
      <c r="CS19" s="90" t="e">
        <f t="shared" si="20"/>
        <v>#N/A</v>
      </c>
      <c r="CT19" s="90" t="e">
        <f t="shared" si="21"/>
        <v>#N/A</v>
      </c>
      <c r="CU19" s="90" t="e">
        <f t="shared" si="22"/>
        <v>#N/A</v>
      </c>
      <c r="CV19" s="113">
        <v>17</v>
      </c>
      <c r="CW19" s="50" t="e">
        <f t="shared" si="1"/>
        <v>#N/A</v>
      </c>
      <c r="CX19" s="50" t="e">
        <f t="shared" si="2"/>
        <v>#N/A</v>
      </c>
      <c r="CY19" s="50" t="e">
        <f t="shared" si="3"/>
        <v>#N/A</v>
      </c>
      <c r="CZ19" s="50" t="e">
        <f t="shared" si="4"/>
        <v>#N/A</v>
      </c>
      <c r="DA19" s="50" t="e">
        <f t="shared" si="5"/>
        <v>#N/A</v>
      </c>
      <c r="DB19" s="50" t="e">
        <f t="shared" si="6"/>
        <v>#N/A</v>
      </c>
      <c r="DC19" s="50" t="e">
        <f t="shared" si="7"/>
        <v>#N/A</v>
      </c>
      <c r="DD19" s="50" t="e">
        <f t="shared" si="8"/>
        <v>#N/A</v>
      </c>
      <c r="DE19" s="50" t="e">
        <f t="shared" si="9"/>
        <v>#N/A</v>
      </c>
      <c r="DF19" s="50">
        <f t="shared" si="10"/>
        <v>0</v>
      </c>
      <c r="DG19" s="50" t="e">
        <f>IF(DF19=0,NA(),SUM($DF$3:DF19))</f>
        <v>#N/A</v>
      </c>
    </row>
    <row r="20" spans="1:111" ht="12" customHeight="1" x14ac:dyDescent="0.2">
      <c r="A20" s="180"/>
      <c r="B20" s="181" t="str">
        <f t="shared" si="33"/>
        <v/>
      </c>
      <c r="C20" s="838" t="str">
        <f t="shared" si="34"/>
        <v/>
      </c>
      <c r="D20" s="182" t="str">
        <f t="shared" si="25"/>
        <v/>
      </c>
      <c r="E20" s="183">
        <v>14</v>
      </c>
      <c r="F20" s="603"/>
      <c r="G20" s="184"/>
      <c r="H20" s="185"/>
      <c r="I20" s="186"/>
      <c r="J20" s="184"/>
      <c r="K20" s="184"/>
      <c r="L20" s="186"/>
      <c r="M20" s="187"/>
      <c r="N20" s="189" t="str">
        <f t="shared" si="35"/>
        <v/>
      </c>
      <c r="O20" s="202" t="str">
        <f t="shared" si="36"/>
        <v/>
      </c>
      <c r="P20" s="189" t="str">
        <f t="shared" si="37"/>
        <v/>
      </c>
      <c r="Q20" s="203"/>
      <c r="R20" s="191" t="str">
        <f t="shared" si="38"/>
        <v/>
      </c>
      <c r="S20" s="192"/>
      <c r="T20" s="193" t="str">
        <f t="shared" si="26"/>
        <v/>
      </c>
      <c r="U20" s="194"/>
      <c r="V20" s="169">
        <f t="shared" si="23"/>
        <v>9.5E-4</v>
      </c>
      <c r="W20" s="170"/>
      <c r="X20" s="170"/>
      <c r="Y20" s="170"/>
      <c r="Z20" s="170"/>
      <c r="AA20" s="170"/>
      <c r="AB20" s="170"/>
      <c r="AC20" s="171">
        <f t="shared" si="24"/>
        <v>9.5E-4</v>
      </c>
      <c r="AD20" s="195" t="s">
        <v>339</v>
      </c>
      <c r="AE20" s="196" t="str">
        <f t="shared" si="39"/>
        <v/>
      </c>
      <c r="AF20" s="197" t="s">
        <v>261</v>
      </c>
      <c r="AG20" s="196" t="str">
        <f t="shared" si="40"/>
        <v/>
      </c>
      <c r="AH20" s="198" t="s">
        <v>259</v>
      </c>
      <c r="AI20" s="176"/>
      <c r="AJ20" s="176"/>
      <c r="AK20" s="176"/>
      <c r="AL20" s="176"/>
      <c r="AM20" s="176"/>
      <c r="AN20" s="176"/>
      <c r="AO20" s="176"/>
      <c r="AP20" s="176"/>
      <c r="AR20" s="1">
        <f t="shared" si="12"/>
        <v>9.5E-4</v>
      </c>
      <c r="BA20" s="91">
        <f t="shared" si="54"/>
        <v>9.5E-4</v>
      </c>
      <c r="BQ20" s="199" t="b">
        <v>1</v>
      </c>
      <c r="BR20" s="50">
        <v>14</v>
      </c>
      <c r="BS20" s="200" t="b">
        <f t="shared" si="53"/>
        <v>0</v>
      </c>
      <c r="BT20" s="90" t="str">
        <f t="shared" si="41"/>
        <v/>
      </c>
      <c r="BU20" s="127" t="str">
        <f t="shared" si="42"/>
        <v/>
      </c>
      <c r="BV20" s="201" t="str">
        <f t="shared" si="27"/>
        <v/>
      </c>
      <c r="BW20" s="90" t="e">
        <f t="shared" si="43"/>
        <v>#N/A</v>
      </c>
      <c r="BX20" s="201" t="e">
        <f t="shared" si="44"/>
        <v>#N/A</v>
      </c>
      <c r="BY20" s="90" t="e">
        <f t="shared" si="28"/>
        <v>#N/A</v>
      </c>
      <c r="BZ20" s="127" t="str">
        <f t="shared" si="29"/>
        <v/>
      </c>
      <c r="CA20" s="127" t="str">
        <f t="shared" si="30"/>
        <v/>
      </c>
      <c r="CB20" s="90" t="str">
        <f t="shared" si="45"/>
        <v/>
      </c>
      <c r="CC20" s="90" t="str">
        <f t="shared" si="31"/>
        <v/>
      </c>
      <c r="CD20" s="90"/>
      <c r="CE20" s="90" t="str">
        <f t="shared" si="46"/>
        <v/>
      </c>
      <c r="CF20" s="90" t="str">
        <f t="shared" si="47"/>
        <v/>
      </c>
      <c r="CG20" s="90" t="str">
        <f t="shared" si="48"/>
        <v/>
      </c>
      <c r="CH20" s="90" t="str">
        <f t="shared" si="49"/>
        <v/>
      </c>
      <c r="CI20" s="90" t="str">
        <f t="shared" si="50"/>
        <v/>
      </c>
      <c r="CJ20" s="90" t="str">
        <f t="shared" si="51"/>
        <v/>
      </c>
      <c r="CK20" s="90" t="e">
        <f t="shared" si="52"/>
        <v>#N/A</v>
      </c>
      <c r="CL20" s="113" t="e">
        <f t="shared" si="32"/>
        <v>#N/A</v>
      </c>
      <c r="CM20" s="106" t="e">
        <f t="shared" si="14"/>
        <v>#N/A</v>
      </c>
      <c r="CN20" s="90" t="e">
        <f t="shared" si="15"/>
        <v>#N/A</v>
      </c>
      <c r="CO20" s="90" t="e">
        <f t="shared" si="16"/>
        <v>#N/A</v>
      </c>
      <c r="CP20" s="90" t="e">
        <f t="shared" si="17"/>
        <v>#N/A</v>
      </c>
      <c r="CQ20" s="90" t="e">
        <f t="shared" si="18"/>
        <v>#N/A</v>
      </c>
      <c r="CR20" s="90" t="e">
        <f t="shared" si="19"/>
        <v>#N/A</v>
      </c>
      <c r="CS20" s="90" t="e">
        <f t="shared" si="20"/>
        <v>#N/A</v>
      </c>
      <c r="CT20" s="90" t="e">
        <f t="shared" si="21"/>
        <v>#N/A</v>
      </c>
      <c r="CU20" s="90" t="e">
        <f t="shared" si="22"/>
        <v>#N/A</v>
      </c>
      <c r="CV20" s="113">
        <v>18</v>
      </c>
      <c r="CW20" s="50" t="e">
        <f t="shared" si="1"/>
        <v>#N/A</v>
      </c>
      <c r="CX20" s="50" t="e">
        <f t="shared" si="2"/>
        <v>#N/A</v>
      </c>
      <c r="CY20" s="50" t="e">
        <f t="shared" si="3"/>
        <v>#N/A</v>
      </c>
      <c r="CZ20" s="50" t="e">
        <f t="shared" si="4"/>
        <v>#N/A</v>
      </c>
      <c r="DA20" s="50" t="e">
        <f t="shared" si="5"/>
        <v>#N/A</v>
      </c>
      <c r="DB20" s="50" t="e">
        <f t="shared" si="6"/>
        <v>#N/A</v>
      </c>
      <c r="DC20" s="50" t="e">
        <f t="shared" si="7"/>
        <v>#N/A</v>
      </c>
      <c r="DD20" s="50" t="e">
        <f t="shared" si="8"/>
        <v>#N/A</v>
      </c>
      <c r="DE20" s="50" t="e">
        <f t="shared" si="9"/>
        <v>#N/A</v>
      </c>
      <c r="DF20" s="50">
        <f t="shared" si="10"/>
        <v>0</v>
      </c>
      <c r="DG20" s="50" t="e">
        <f>IF(DF20=0,NA(),SUM($DF$3:DF20))</f>
        <v>#N/A</v>
      </c>
    </row>
    <row r="21" spans="1:111" ht="12" customHeight="1" x14ac:dyDescent="0.2">
      <c r="A21" s="180"/>
      <c r="B21" s="181" t="str">
        <f t="shared" si="33"/>
        <v/>
      </c>
      <c r="C21" s="838" t="str">
        <f t="shared" si="34"/>
        <v/>
      </c>
      <c r="D21" s="182" t="str">
        <f t="shared" si="25"/>
        <v/>
      </c>
      <c r="E21" s="183">
        <v>15</v>
      </c>
      <c r="F21" s="603"/>
      <c r="G21" s="184"/>
      <c r="H21" s="185"/>
      <c r="I21" s="186"/>
      <c r="J21" s="184"/>
      <c r="K21" s="184"/>
      <c r="L21" s="186"/>
      <c r="M21" s="187"/>
      <c r="N21" s="189" t="str">
        <f t="shared" si="35"/>
        <v/>
      </c>
      <c r="O21" s="202" t="str">
        <f t="shared" si="36"/>
        <v/>
      </c>
      <c r="P21" s="189" t="str">
        <f t="shared" si="37"/>
        <v/>
      </c>
      <c r="Q21" s="203"/>
      <c r="R21" s="191" t="str">
        <f t="shared" si="38"/>
        <v/>
      </c>
      <c r="S21" s="192"/>
      <c r="T21" s="193" t="str">
        <f t="shared" si="26"/>
        <v/>
      </c>
      <c r="U21" s="194"/>
      <c r="V21" s="169">
        <f t="shared" si="23"/>
        <v>9.5E-4</v>
      </c>
      <c r="W21" s="170"/>
      <c r="X21" s="170"/>
      <c r="Y21" s="170"/>
      <c r="Z21" s="170"/>
      <c r="AA21" s="170"/>
      <c r="AB21" s="170"/>
      <c r="AC21" s="171">
        <f t="shared" si="24"/>
        <v>9.5E-4</v>
      </c>
      <c r="AD21" s="195" t="s">
        <v>339</v>
      </c>
      <c r="AE21" s="196" t="str">
        <f t="shared" si="39"/>
        <v/>
      </c>
      <c r="AF21" s="197" t="s">
        <v>261</v>
      </c>
      <c r="AG21" s="196" t="str">
        <f t="shared" si="40"/>
        <v/>
      </c>
      <c r="AH21" s="198" t="s">
        <v>259</v>
      </c>
      <c r="AI21" s="176"/>
      <c r="AJ21" s="176"/>
      <c r="AK21" s="176"/>
      <c r="AL21" s="176"/>
      <c r="AM21" s="176"/>
      <c r="AN21" s="176"/>
      <c r="AO21" s="176"/>
      <c r="AP21" s="176"/>
      <c r="AR21" s="1">
        <f t="shared" si="12"/>
        <v>9.5E-4</v>
      </c>
      <c r="BA21" s="91">
        <f t="shared" si="54"/>
        <v>9.5E-4</v>
      </c>
      <c r="BQ21" s="199" t="b">
        <v>1</v>
      </c>
      <c r="BR21" s="50">
        <v>15</v>
      </c>
      <c r="BS21" s="200" t="b">
        <f t="shared" si="53"/>
        <v>0</v>
      </c>
      <c r="BT21" s="90" t="str">
        <f t="shared" si="41"/>
        <v/>
      </c>
      <c r="BU21" s="127" t="str">
        <f t="shared" si="42"/>
        <v/>
      </c>
      <c r="BV21" s="201" t="str">
        <f t="shared" si="27"/>
        <v/>
      </c>
      <c r="BW21" s="90" t="e">
        <f t="shared" si="43"/>
        <v>#N/A</v>
      </c>
      <c r="BX21" s="201" t="e">
        <f t="shared" si="44"/>
        <v>#N/A</v>
      </c>
      <c r="BY21" s="90" t="e">
        <f t="shared" si="28"/>
        <v>#N/A</v>
      </c>
      <c r="BZ21" s="127" t="str">
        <f t="shared" si="29"/>
        <v/>
      </c>
      <c r="CA21" s="127" t="str">
        <f t="shared" si="30"/>
        <v/>
      </c>
      <c r="CB21" s="90" t="str">
        <f t="shared" si="45"/>
        <v/>
      </c>
      <c r="CC21" s="90" t="str">
        <f t="shared" si="31"/>
        <v/>
      </c>
      <c r="CD21" s="90"/>
      <c r="CE21" s="90" t="str">
        <f t="shared" si="46"/>
        <v/>
      </c>
      <c r="CF21" s="90" t="str">
        <f t="shared" si="47"/>
        <v/>
      </c>
      <c r="CG21" s="90" t="str">
        <f t="shared" si="48"/>
        <v/>
      </c>
      <c r="CH21" s="90" t="str">
        <f t="shared" si="49"/>
        <v/>
      </c>
      <c r="CI21" s="90" t="str">
        <f t="shared" si="50"/>
        <v/>
      </c>
      <c r="CJ21" s="90" t="str">
        <f t="shared" si="51"/>
        <v/>
      </c>
      <c r="CK21" s="90" t="e">
        <f t="shared" si="52"/>
        <v>#N/A</v>
      </c>
      <c r="CL21" s="113" t="e">
        <f t="shared" si="32"/>
        <v>#N/A</v>
      </c>
      <c r="CM21" s="106" t="e">
        <f t="shared" si="14"/>
        <v>#N/A</v>
      </c>
      <c r="CN21" s="90" t="e">
        <f t="shared" si="15"/>
        <v>#N/A</v>
      </c>
      <c r="CO21" s="90" t="e">
        <f t="shared" si="16"/>
        <v>#N/A</v>
      </c>
      <c r="CP21" s="90" t="e">
        <f t="shared" si="17"/>
        <v>#N/A</v>
      </c>
      <c r="CQ21" s="90" t="e">
        <f t="shared" si="18"/>
        <v>#N/A</v>
      </c>
      <c r="CR21" s="90" t="e">
        <f t="shared" si="19"/>
        <v>#N/A</v>
      </c>
      <c r="CS21" s="90" t="e">
        <f t="shared" si="20"/>
        <v>#N/A</v>
      </c>
      <c r="CT21" s="90" t="e">
        <f t="shared" si="21"/>
        <v>#N/A</v>
      </c>
      <c r="CU21" s="90" t="e">
        <f t="shared" si="22"/>
        <v>#N/A</v>
      </c>
      <c r="CV21" s="113">
        <v>19</v>
      </c>
      <c r="CW21" s="50" t="e">
        <f t="shared" si="1"/>
        <v>#N/A</v>
      </c>
      <c r="CX21" s="50" t="e">
        <f t="shared" si="2"/>
        <v>#N/A</v>
      </c>
      <c r="CY21" s="50" t="e">
        <f t="shared" si="3"/>
        <v>#N/A</v>
      </c>
      <c r="CZ21" s="50" t="e">
        <f t="shared" si="4"/>
        <v>#N/A</v>
      </c>
      <c r="DA21" s="50" t="e">
        <f t="shared" si="5"/>
        <v>#N/A</v>
      </c>
      <c r="DB21" s="50" t="e">
        <f t="shared" si="6"/>
        <v>#N/A</v>
      </c>
      <c r="DC21" s="50" t="e">
        <f t="shared" si="7"/>
        <v>#N/A</v>
      </c>
      <c r="DD21" s="50" t="e">
        <f t="shared" si="8"/>
        <v>#N/A</v>
      </c>
      <c r="DE21" s="50" t="e">
        <f t="shared" si="9"/>
        <v>#N/A</v>
      </c>
      <c r="DF21" s="50">
        <f t="shared" si="10"/>
        <v>0</v>
      </c>
      <c r="DG21" s="50" t="e">
        <f>IF(DF21=0,NA(),SUM($DF$3:DF21))</f>
        <v>#N/A</v>
      </c>
    </row>
    <row r="22" spans="1:111" ht="12" customHeight="1" x14ac:dyDescent="0.2">
      <c r="A22" s="180"/>
      <c r="B22" s="181" t="str">
        <f t="shared" si="33"/>
        <v/>
      </c>
      <c r="C22" s="838" t="str">
        <f t="shared" si="34"/>
        <v/>
      </c>
      <c r="D22" s="182" t="str">
        <f t="shared" si="25"/>
        <v/>
      </c>
      <c r="E22" s="183">
        <v>16</v>
      </c>
      <c r="F22" s="603"/>
      <c r="G22" s="184"/>
      <c r="H22" s="185"/>
      <c r="I22" s="186"/>
      <c r="J22" s="184"/>
      <c r="K22" s="184"/>
      <c r="L22" s="186"/>
      <c r="M22" s="187"/>
      <c r="N22" s="189" t="str">
        <f t="shared" si="35"/>
        <v/>
      </c>
      <c r="O22" s="202" t="str">
        <f t="shared" si="36"/>
        <v/>
      </c>
      <c r="P22" s="189" t="str">
        <f t="shared" si="37"/>
        <v/>
      </c>
      <c r="Q22" s="203"/>
      <c r="R22" s="191" t="str">
        <f t="shared" si="38"/>
        <v/>
      </c>
      <c r="S22" s="192"/>
      <c r="T22" s="193" t="str">
        <f t="shared" si="26"/>
        <v/>
      </c>
      <c r="U22" s="194"/>
      <c r="V22" s="169">
        <f t="shared" si="23"/>
        <v>9.5E-4</v>
      </c>
      <c r="W22" s="170"/>
      <c r="X22" s="170"/>
      <c r="Y22" s="170"/>
      <c r="Z22" s="170"/>
      <c r="AA22" s="170"/>
      <c r="AB22" s="170"/>
      <c r="AC22" s="171">
        <f t="shared" si="24"/>
        <v>9.5E-4</v>
      </c>
      <c r="AD22" s="195" t="s">
        <v>339</v>
      </c>
      <c r="AE22" s="196" t="str">
        <f t="shared" si="39"/>
        <v/>
      </c>
      <c r="AF22" s="197" t="s">
        <v>261</v>
      </c>
      <c r="AG22" s="196" t="str">
        <f t="shared" si="40"/>
        <v/>
      </c>
      <c r="AH22" s="198" t="s">
        <v>259</v>
      </c>
      <c r="AI22" s="176"/>
      <c r="AJ22" s="176"/>
      <c r="AK22" s="176"/>
      <c r="AL22" s="176"/>
      <c r="AM22" s="176"/>
      <c r="AN22" s="176"/>
      <c r="AO22" s="176"/>
      <c r="AP22" s="176"/>
      <c r="AR22" s="1">
        <f t="shared" si="12"/>
        <v>9.5E-4</v>
      </c>
      <c r="BA22" s="91">
        <f t="shared" si="54"/>
        <v>9.5E-4</v>
      </c>
      <c r="BQ22" s="199" t="b">
        <v>1</v>
      </c>
      <c r="BR22" s="50">
        <v>16</v>
      </c>
      <c r="BS22" s="200" t="b">
        <f t="shared" si="53"/>
        <v>0</v>
      </c>
      <c r="BT22" s="90" t="str">
        <f t="shared" si="41"/>
        <v/>
      </c>
      <c r="BU22" s="127" t="str">
        <f t="shared" si="42"/>
        <v/>
      </c>
      <c r="BV22" s="201" t="str">
        <f t="shared" si="27"/>
        <v/>
      </c>
      <c r="BW22" s="90" t="e">
        <f t="shared" si="43"/>
        <v>#N/A</v>
      </c>
      <c r="BX22" s="201" t="e">
        <f t="shared" si="44"/>
        <v>#N/A</v>
      </c>
      <c r="BY22" s="90" t="e">
        <f t="shared" si="28"/>
        <v>#N/A</v>
      </c>
      <c r="BZ22" s="127" t="str">
        <f t="shared" si="29"/>
        <v/>
      </c>
      <c r="CA22" s="127" t="str">
        <f t="shared" si="30"/>
        <v/>
      </c>
      <c r="CB22" s="90" t="str">
        <f t="shared" si="45"/>
        <v/>
      </c>
      <c r="CC22" s="90" t="str">
        <f t="shared" si="31"/>
        <v/>
      </c>
      <c r="CD22" s="90"/>
      <c r="CE22" s="90" t="str">
        <f t="shared" si="46"/>
        <v/>
      </c>
      <c r="CF22" s="90" t="str">
        <f t="shared" si="47"/>
        <v/>
      </c>
      <c r="CG22" s="90" t="str">
        <f t="shared" si="48"/>
        <v/>
      </c>
      <c r="CH22" s="90" t="str">
        <f t="shared" si="49"/>
        <v/>
      </c>
      <c r="CI22" s="90" t="str">
        <f t="shared" si="50"/>
        <v/>
      </c>
      <c r="CJ22" s="90" t="str">
        <f t="shared" si="51"/>
        <v/>
      </c>
      <c r="CK22" s="90" t="e">
        <f t="shared" si="52"/>
        <v>#N/A</v>
      </c>
      <c r="CL22" s="113" t="e">
        <f t="shared" si="32"/>
        <v>#N/A</v>
      </c>
      <c r="CM22" s="106" t="e">
        <f t="shared" si="14"/>
        <v>#N/A</v>
      </c>
      <c r="CN22" s="90" t="e">
        <f t="shared" si="15"/>
        <v>#N/A</v>
      </c>
      <c r="CO22" s="90" t="e">
        <f t="shared" si="16"/>
        <v>#N/A</v>
      </c>
      <c r="CP22" s="90" t="e">
        <f t="shared" si="17"/>
        <v>#N/A</v>
      </c>
      <c r="CQ22" s="90" t="e">
        <f t="shared" si="18"/>
        <v>#N/A</v>
      </c>
      <c r="CR22" s="90" t="e">
        <f t="shared" si="19"/>
        <v>#N/A</v>
      </c>
      <c r="CS22" s="90" t="e">
        <f t="shared" si="20"/>
        <v>#N/A</v>
      </c>
      <c r="CT22" s="90" t="e">
        <f t="shared" si="21"/>
        <v>#N/A</v>
      </c>
      <c r="CU22" s="90" t="e">
        <f t="shared" si="22"/>
        <v>#N/A</v>
      </c>
      <c r="CV22" s="113">
        <v>20</v>
      </c>
      <c r="CW22" s="50" t="e">
        <f t="shared" si="1"/>
        <v>#N/A</v>
      </c>
      <c r="CX22" s="50" t="e">
        <f t="shared" si="2"/>
        <v>#N/A</v>
      </c>
      <c r="CY22" s="50" t="e">
        <f t="shared" si="3"/>
        <v>#N/A</v>
      </c>
      <c r="CZ22" s="50" t="e">
        <f t="shared" si="4"/>
        <v>#N/A</v>
      </c>
      <c r="DA22" s="50" t="e">
        <f t="shared" si="5"/>
        <v>#N/A</v>
      </c>
      <c r="DB22" s="50" t="e">
        <f t="shared" si="6"/>
        <v>#N/A</v>
      </c>
      <c r="DC22" s="50" t="e">
        <f t="shared" si="7"/>
        <v>#N/A</v>
      </c>
      <c r="DD22" s="50" t="e">
        <f t="shared" si="8"/>
        <v>#N/A</v>
      </c>
      <c r="DE22" s="50" t="e">
        <f t="shared" si="9"/>
        <v>#N/A</v>
      </c>
      <c r="DF22" s="50">
        <f t="shared" si="10"/>
        <v>0</v>
      </c>
      <c r="DG22" s="50" t="e">
        <f>IF(DF22=0,NA(),SUM($DF$3:DF22))</f>
        <v>#N/A</v>
      </c>
    </row>
    <row r="23" spans="1:111" ht="12" customHeight="1" x14ac:dyDescent="0.2">
      <c r="A23" s="180"/>
      <c r="B23" s="181" t="str">
        <f t="shared" si="33"/>
        <v/>
      </c>
      <c r="C23" s="838" t="str">
        <f t="shared" si="34"/>
        <v/>
      </c>
      <c r="D23" s="182" t="str">
        <f t="shared" si="25"/>
        <v/>
      </c>
      <c r="E23" s="183">
        <v>17</v>
      </c>
      <c r="F23" s="603"/>
      <c r="G23" s="184"/>
      <c r="H23" s="185"/>
      <c r="I23" s="186"/>
      <c r="J23" s="184"/>
      <c r="K23" s="184"/>
      <c r="L23" s="186"/>
      <c r="M23" s="187"/>
      <c r="N23" s="189" t="str">
        <f t="shared" si="35"/>
        <v/>
      </c>
      <c r="O23" s="202" t="str">
        <f t="shared" si="36"/>
        <v/>
      </c>
      <c r="P23" s="189" t="str">
        <f t="shared" si="37"/>
        <v/>
      </c>
      <c r="Q23" s="203"/>
      <c r="R23" s="191" t="str">
        <f t="shared" si="38"/>
        <v/>
      </c>
      <c r="S23" s="192"/>
      <c r="T23" s="193" t="str">
        <f t="shared" si="26"/>
        <v/>
      </c>
      <c r="U23" s="194"/>
      <c r="V23" s="169">
        <f t="shared" si="23"/>
        <v>9.5E-4</v>
      </c>
      <c r="W23" s="170"/>
      <c r="X23" s="170"/>
      <c r="Y23" s="170"/>
      <c r="Z23" s="170"/>
      <c r="AA23" s="170"/>
      <c r="AB23" s="170"/>
      <c r="AC23" s="171">
        <f t="shared" si="24"/>
        <v>9.5E-4</v>
      </c>
      <c r="AD23" s="195" t="s">
        <v>339</v>
      </c>
      <c r="AE23" s="196" t="str">
        <f t="shared" si="39"/>
        <v/>
      </c>
      <c r="AF23" s="197" t="s">
        <v>261</v>
      </c>
      <c r="AG23" s="196" t="str">
        <f t="shared" si="40"/>
        <v/>
      </c>
      <c r="AH23" s="198" t="s">
        <v>259</v>
      </c>
      <c r="AI23" s="176"/>
      <c r="AJ23" s="176"/>
      <c r="AK23" s="176"/>
      <c r="AL23" s="176"/>
      <c r="AM23" s="176"/>
      <c r="AN23" s="176"/>
      <c r="AO23" s="176"/>
      <c r="AP23" s="176"/>
      <c r="AR23" s="1">
        <f t="shared" si="12"/>
        <v>9.5E-4</v>
      </c>
      <c r="BA23" s="91">
        <f t="shared" si="54"/>
        <v>9.5E-4</v>
      </c>
      <c r="BQ23" s="199" t="b">
        <v>1</v>
      </c>
      <c r="BR23" s="50">
        <v>17</v>
      </c>
      <c r="BS23" s="200" t="b">
        <f t="shared" si="53"/>
        <v>0</v>
      </c>
      <c r="BT23" s="90" t="str">
        <f t="shared" si="41"/>
        <v/>
      </c>
      <c r="BU23" s="127" t="str">
        <f t="shared" si="42"/>
        <v/>
      </c>
      <c r="BV23" s="201" t="str">
        <f t="shared" si="27"/>
        <v/>
      </c>
      <c r="BW23" s="90" t="e">
        <f t="shared" si="43"/>
        <v>#N/A</v>
      </c>
      <c r="BX23" s="201" t="e">
        <f t="shared" si="44"/>
        <v>#N/A</v>
      </c>
      <c r="BY23" s="90" t="e">
        <f t="shared" si="28"/>
        <v>#N/A</v>
      </c>
      <c r="BZ23" s="127" t="str">
        <f t="shared" si="29"/>
        <v/>
      </c>
      <c r="CA23" s="127" t="str">
        <f t="shared" si="30"/>
        <v/>
      </c>
      <c r="CB23" s="90" t="str">
        <f t="shared" si="45"/>
        <v/>
      </c>
      <c r="CC23" s="90" t="str">
        <f t="shared" si="31"/>
        <v/>
      </c>
      <c r="CD23" s="90"/>
      <c r="CE23" s="90" t="str">
        <f t="shared" si="46"/>
        <v/>
      </c>
      <c r="CF23" s="90" t="str">
        <f t="shared" si="47"/>
        <v/>
      </c>
      <c r="CG23" s="90" t="str">
        <f t="shared" si="48"/>
        <v/>
      </c>
      <c r="CH23" s="90" t="str">
        <f t="shared" si="49"/>
        <v/>
      </c>
      <c r="CI23" s="90" t="str">
        <f t="shared" si="50"/>
        <v/>
      </c>
      <c r="CJ23" s="90" t="str">
        <f t="shared" si="51"/>
        <v/>
      </c>
      <c r="CK23" s="90" t="e">
        <f t="shared" si="52"/>
        <v>#N/A</v>
      </c>
      <c r="CL23" s="113" t="e">
        <f t="shared" si="32"/>
        <v>#N/A</v>
      </c>
      <c r="CM23" s="106" t="e">
        <f t="shared" si="14"/>
        <v>#N/A</v>
      </c>
      <c r="CN23" s="90" t="e">
        <f t="shared" si="15"/>
        <v>#N/A</v>
      </c>
      <c r="CO23" s="90" t="e">
        <f t="shared" si="16"/>
        <v>#N/A</v>
      </c>
      <c r="CP23" s="90" t="e">
        <f t="shared" si="17"/>
        <v>#N/A</v>
      </c>
      <c r="CQ23" s="90" t="e">
        <f t="shared" si="18"/>
        <v>#N/A</v>
      </c>
      <c r="CR23" s="90" t="e">
        <f t="shared" si="19"/>
        <v>#N/A</v>
      </c>
      <c r="CS23" s="90" t="e">
        <f t="shared" si="20"/>
        <v>#N/A</v>
      </c>
      <c r="CT23" s="90" t="e">
        <f t="shared" si="21"/>
        <v>#N/A</v>
      </c>
      <c r="CU23" s="90" t="e">
        <f t="shared" si="22"/>
        <v>#N/A</v>
      </c>
      <c r="CV23" s="113">
        <v>21</v>
      </c>
      <c r="CW23" s="50" t="e">
        <f t="shared" si="1"/>
        <v>#N/A</v>
      </c>
      <c r="CX23" s="50" t="e">
        <f t="shared" si="2"/>
        <v>#N/A</v>
      </c>
      <c r="CY23" s="50" t="e">
        <f t="shared" si="3"/>
        <v>#N/A</v>
      </c>
      <c r="CZ23" s="50" t="e">
        <f t="shared" si="4"/>
        <v>#N/A</v>
      </c>
      <c r="DA23" s="50" t="e">
        <f t="shared" si="5"/>
        <v>#N/A</v>
      </c>
      <c r="DB23" s="50" t="e">
        <f t="shared" si="6"/>
        <v>#N/A</v>
      </c>
      <c r="DC23" s="50" t="e">
        <f t="shared" si="7"/>
        <v>#N/A</v>
      </c>
      <c r="DD23" s="50" t="e">
        <f t="shared" si="8"/>
        <v>#N/A</v>
      </c>
      <c r="DE23" s="50" t="e">
        <f t="shared" si="9"/>
        <v>#N/A</v>
      </c>
      <c r="DF23" s="50">
        <f t="shared" si="10"/>
        <v>0</v>
      </c>
      <c r="DG23" s="50" t="e">
        <f>IF(DF23=0,NA(),SUM($DF$3:DF23))</f>
        <v>#N/A</v>
      </c>
    </row>
    <row r="24" spans="1:111" ht="12" customHeight="1" x14ac:dyDescent="0.2">
      <c r="A24" s="180"/>
      <c r="B24" s="181" t="str">
        <f t="shared" si="33"/>
        <v/>
      </c>
      <c r="C24" s="838" t="str">
        <f t="shared" si="34"/>
        <v/>
      </c>
      <c r="D24" s="182" t="str">
        <f t="shared" si="25"/>
        <v/>
      </c>
      <c r="E24" s="183">
        <v>18</v>
      </c>
      <c r="F24" s="603"/>
      <c r="G24" s="184"/>
      <c r="H24" s="185"/>
      <c r="I24" s="186"/>
      <c r="J24" s="184"/>
      <c r="K24" s="184"/>
      <c r="L24" s="186"/>
      <c r="M24" s="187"/>
      <c r="N24" s="189" t="str">
        <f t="shared" si="35"/>
        <v/>
      </c>
      <c r="O24" s="202" t="str">
        <f t="shared" si="36"/>
        <v/>
      </c>
      <c r="P24" s="189" t="str">
        <f t="shared" si="37"/>
        <v/>
      </c>
      <c r="Q24" s="203"/>
      <c r="R24" s="191" t="str">
        <f t="shared" si="38"/>
        <v/>
      </c>
      <c r="S24" s="192"/>
      <c r="T24" s="193" t="str">
        <f t="shared" si="26"/>
        <v/>
      </c>
      <c r="U24" s="194"/>
      <c r="V24" s="169">
        <f t="shared" si="23"/>
        <v>9.5E-4</v>
      </c>
      <c r="W24" s="170"/>
      <c r="X24" s="170"/>
      <c r="Y24" s="170"/>
      <c r="Z24" s="170"/>
      <c r="AA24" s="170"/>
      <c r="AB24" s="170"/>
      <c r="AC24" s="171">
        <f t="shared" si="24"/>
        <v>9.5E-4</v>
      </c>
      <c r="AD24" s="195" t="s">
        <v>339</v>
      </c>
      <c r="AE24" s="196" t="str">
        <f t="shared" si="39"/>
        <v/>
      </c>
      <c r="AF24" s="197" t="s">
        <v>261</v>
      </c>
      <c r="AG24" s="196" t="str">
        <f t="shared" si="40"/>
        <v/>
      </c>
      <c r="AH24" s="198" t="s">
        <v>259</v>
      </c>
      <c r="AI24" s="176"/>
      <c r="AJ24" s="176"/>
      <c r="AK24" s="176"/>
      <c r="AL24" s="176"/>
      <c r="AM24" s="176"/>
      <c r="AN24" s="176"/>
      <c r="AO24" s="176"/>
      <c r="AP24" s="176"/>
      <c r="AR24" s="1">
        <f t="shared" si="12"/>
        <v>9.5E-4</v>
      </c>
      <c r="BA24" s="91">
        <f t="shared" si="54"/>
        <v>9.5E-4</v>
      </c>
      <c r="BQ24" s="199" t="b">
        <v>1</v>
      </c>
      <c r="BR24" s="50">
        <v>18</v>
      </c>
      <c r="BS24" s="200" t="b">
        <f t="shared" si="53"/>
        <v>0</v>
      </c>
      <c r="BT24" s="90" t="str">
        <f t="shared" si="41"/>
        <v/>
      </c>
      <c r="BU24" s="127" t="str">
        <f t="shared" si="42"/>
        <v/>
      </c>
      <c r="BV24" s="201" t="str">
        <f t="shared" si="27"/>
        <v/>
      </c>
      <c r="BW24" s="90" t="e">
        <f t="shared" si="43"/>
        <v>#N/A</v>
      </c>
      <c r="BX24" s="201" t="e">
        <f t="shared" si="44"/>
        <v>#N/A</v>
      </c>
      <c r="BY24" s="90" t="e">
        <f t="shared" si="28"/>
        <v>#N/A</v>
      </c>
      <c r="BZ24" s="127" t="str">
        <f t="shared" si="29"/>
        <v/>
      </c>
      <c r="CA24" s="127" t="str">
        <f t="shared" si="30"/>
        <v/>
      </c>
      <c r="CB24" s="90" t="str">
        <f t="shared" si="45"/>
        <v/>
      </c>
      <c r="CC24" s="90" t="str">
        <f t="shared" si="31"/>
        <v/>
      </c>
      <c r="CD24" s="90"/>
      <c r="CE24" s="90" t="str">
        <f t="shared" si="46"/>
        <v/>
      </c>
      <c r="CF24" s="90" t="str">
        <f t="shared" si="47"/>
        <v/>
      </c>
      <c r="CG24" s="90" t="str">
        <f t="shared" si="48"/>
        <v/>
      </c>
      <c r="CH24" s="90" t="str">
        <f t="shared" si="49"/>
        <v/>
      </c>
      <c r="CI24" s="90" t="str">
        <f t="shared" si="50"/>
        <v/>
      </c>
      <c r="CJ24" s="90" t="str">
        <f t="shared" si="51"/>
        <v/>
      </c>
      <c r="CK24" s="90" t="e">
        <f t="shared" si="52"/>
        <v>#N/A</v>
      </c>
      <c r="CL24" s="113" t="e">
        <f t="shared" si="32"/>
        <v>#N/A</v>
      </c>
      <c r="CM24" s="106" t="e">
        <f t="shared" si="14"/>
        <v>#N/A</v>
      </c>
      <c r="CN24" s="90" t="e">
        <f t="shared" si="15"/>
        <v>#N/A</v>
      </c>
      <c r="CO24" s="90" t="e">
        <f t="shared" si="16"/>
        <v>#N/A</v>
      </c>
      <c r="CP24" s="90" t="e">
        <f t="shared" si="17"/>
        <v>#N/A</v>
      </c>
      <c r="CQ24" s="90" t="e">
        <f t="shared" si="18"/>
        <v>#N/A</v>
      </c>
      <c r="CR24" s="90" t="e">
        <f t="shared" si="19"/>
        <v>#N/A</v>
      </c>
      <c r="CS24" s="90" t="e">
        <f t="shared" si="20"/>
        <v>#N/A</v>
      </c>
      <c r="CT24" s="90" t="e">
        <f t="shared" si="21"/>
        <v>#N/A</v>
      </c>
      <c r="CU24" s="90" t="e">
        <f t="shared" si="22"/>
        <v>#N/A</v>
      </c>
      <c r="CV24" s="113">
        <v>22</v>
      </c>
      <c r="CW24" s="50" t="e">
        <f t="shared" si="1"/>
        <v>#N/A</v>
      </c>
      <c r="CX24" s="50" t="e">
        <f t="shared" si="2"/>
        <v>#N/A</v>
      </c>
      <c r="CY24" s="50" t="e">
        <f t="shared" si="3"/>
        <v>#N/A</v>
      </c>
      <c r="CZ24" s="50" t="e">
        <f t="shared" si="4"/>
        <v>#N/A</v>
      </c>
      <c r="DA24" s="50" t="e">
        <f t="shared" si="5"/>
        <v>#N/A</v>
      </c>
      <c r="DB24" s="50" t="e">
        <f t="shared" si="6"/>
        <v>#N/A</v>
      </c>
      <c r="DC24" s="50" t="e">
        <f t="shared" si="7"/>
        <v>#N/A</v>
      </c>
      <c r="DD24" s="50" t="e">
        <f t="shared" si="8"/>
        <v>#N/A</v>
      </c>
      <c r="DE24" s="50" t="e">
        <f t="shared" si="9"/>
        <v>#N/A</v>
      </c>
      <c r="DF24" s="50">
        <f t="shared" si="10"/>
        <v>0</v>
      </c>
      <c r="DG24" s="50" t="e">
        <f>IF(DF24=0,NA(),SUM($DF$3:DF24))</f>
        <v>#N/A</v>
      </c>
    </row>
    <row r="25" spans="1:111" ht="12" customHeight="1" x14ac:dyDescent="0.2">
      <c r="A25" s="180"/>
      <c r="B25" s="181" t="str">
        <f t="shared" si="33"/>
        <v/>
      </c>
      <c r="C25" s="838" t="str">
        <f t="shared" si="34"/>
        <v/>
      </c>
      <c r="D25" s="182" t="str">
        <f t="shared" si="25"/>
        <v/>
      </c>
      <c r="E25" s="183">
        <v>19</v>
      </c>
      <c r="F25" s="603"/>
      <c r="G25" s="184"/>
      <c r="H25" s="185"/>
      <c r="I25" s="186"/>
      <c r="J25" s="184"/>
      <c r="K25" s="184"/>
      <c r="L25" s="186"/>
      <c r="M25" s="187"/>
      <c r="N25" s="189" t="str">
        <f t="shared" si="35"/>
        <v/>
      </c>
      <c r="O25" s="202" t="str">
        <f t="shared" si="36"/>
        <v/>
      </c>
      <c r="P25" s="189" t="str">
        <f t="shared" si="37"/>
        <v/>
      </c>
      <c r="Q25" s="203"/>
      <c r="R25" s="191" t="str">
        <f t="shared" si="38"/>
        <v/>
      </c>
      <c r="S25" s="192"/>
      <c r="T25" s="193" t="str">
        <f t="shared" si="26"/>
        <v/>
      </c>
      <c r="U25" s="194"/>
      <c r="V25" s="169">
        <f t="shared" si="23"/>
        <v>9.5E-4</v>
      </c>
      <c r="W25" s="170"/>
      <c r="X25" s="170"/>
      <c r="Y25" s="170"/>
      <c r="Z25" s="170"/>
      <c r="AA25" s="170"/>
      <c r="AB25" s="170"/>
      <c r="AC25" s="171">
        <f t="shared" si="24"/>
        <v>9.5E-4</v>
      </c>
      <c r="AD25" s="195" t="s">
        <v>339</v>
      </c>
      <c r="AE25" s="196" t="str">
        <f t="shared" si="39"/>
        <v/>
      </c>
      <c r="AF25" s="197" t="s">
        <v>261</v>
      </c>
      <c r="AG25" s="196" t="str">
        <f t="shared" si="40"/>
        <v/>
      </c>
      <c r="AH25" s="198" t="s">
        <v>259</v>
      </c>
      <c r="AI25" s="176"/>
      <c r="AJ25" s="176"/>
      <c r="AK25" s="176"/>
      <c r="AL25" s="176"/>
      <c r="AM25" s="176"/>
      <c r="AN25" s="176"/>
      <c r="AO25" s="176"/>
      <c r="AP25" s="176"/>
      <c r="AR25" s="1">
        <f t="shared" si="12"/>
        <v>9.5E-4</v>
      </c>
      <c r="BA25" s="91">
        <f t="shared" si="54"/>
        <v>9.5E-4</v>
      </c>
      <c r="BQ25" s="199" t="b">
        <v>1</v>
      </c>
      <c r="BR25" s="50">
        <v>19</v>
      </c>
      <c r="BS25" s="200" t="b">
        <f t="shared" si="53"/>
        <v>0</v>
      </c>
      <c r="BT25" s="90" t="str">
        <f t="shared" si="41"/>
        <v/>
      </c>
      <c r="BU25" s="127" t="str">
        <f t="shared" si="42"/>
        <v/>
      </c>
      <c r="BV25" s="201" t="str">
        <f t="shared" si="27"/>
        <v/>
      </c>
      <c r="BW25" s="90" t="e">
        <f t="shared" si="43"/>
        <v>#N/A</v>
      </c>
      <c r="BX25" s="201" t="e">
        <f t="shared" si="44"/>
        <v>#N/A</v>
      </c>
      <c r="BY25" s="90" t="e">
        <f t="shared" si="28"/>
        <v>#N/A</v>
      </c>
      <c r="BZ25" s="127" t="str">
        <f t="shared" si="29"/>
        <v/>
      </c>
      <c r="CA25" s="127" t="str">
        <f t="shared" si="30"/>
        <v/>
      </c>
      <c r="CB25" s="90" t="str">
        <f t="shared" si="45"/>
        <v/>
      </c>
      <c r="CC25" s="90" t="str">
        <f t="shared" si="31"/>
        <v/>
      </c>
      <c r="CD25" s="90"/>
      <c r="CE25" s="90" t="str">
        <f t="shared" si="46"/>
        <v/>
      </c>
      <c r="CF25" s="90" t="str">
        <f t="shared" si="47"/>
        <v/>
      </c>
      <c r="CG25" s="90" t="str">
        <f t="shared" si="48"/>
        <v/>
      </c>
      <c r="CH25" s="90" t="str">
        <f t="shared" si="49"/>
        <v/>
      </c>
      <c r="CI25" s="90" t="str">
        <f t="shared" si="50"/>
        <v/>
      </c>
      <c r="CJ25" s="90" t="str">
        <f t="shared" si="51"/>
        <v/>
      </c>
      <c r="CK25" s="90" t="e">
        <f t="shared" si="52"/>
        <v>#N/A</v>
      </c>
      <c r="CL25" s="113" t="e">
        <f t="shared" si="32"/>
        <v>#N/A</v>
      </c>
      <c r="CM25" s="106" t="e">
        <f t="shared" si="14"/>
        <v>#N/A</v>
      </c>
      <c r="CN25" s="90" t="e">
        <f t="shared" si="15"/>
        <v>#N/A</v>
      </c>
      <c r="CO25" s="90" t="e">
        <f t="shared" si="16"/>
        <v>#N/A</v>
      </c>
      <c r="CP25" s="90" t="e">
        <f t="shared" si="17"/>
        <v>#N/A</v>
      </c>
      <c r="CQ25" s="90" t="e">
        <f t="shared" si="18"/>
        <v>#N/A</v>
      </c>
      <c r="CR25" s="90" t="e">
        <f t="shared" si="19"/>
        <v>#N/A</v>
      </c>
      <c r="CS25" s="90" t="e">
        <f t="shared" si="20"/>
        <v>#N/A</v>
      </c>
      <c r="CT25" s="90" t="e">
        <f t="shared" si="21"/>
        <v>#N/A</v>
      </c>
      <c r="CU25" s="90" t="e">
        <f t="shared" si="22"/>
        <v>#N/A</v>
      </c>
      <c r="CV25" s="113">
        <v>23</v>
      </c>
      <c r="CW25" s="50" t="e">
        <f t="shared" si="1"/>
        <v>#N/A</v>
      </c>
      <c r="CX25" s="50" t="e">
        <f t="shared" si="2"/>
        <v>#N/A</v>
      </c>
      <c r="CY25" s="50" t="e">
        <f t="shared" si="3"/>
        <v>#N/A</v>
      </c>
      <c r="CZ25" s="50" t="e">
        <f t="shared" si="4"/>
        <v>#N/A</v>
      </c>
      <c r="DA25" s="50" t="e">
        <f t="shared" si="5"/>
        <v>#N/A</v>
      </c>
      <c r="DB25" s="50" t="e">
        <f t="shared" si="6"/>
        <v>#N/A</v>
      </c>
      <c r="DC25" s="50" t="e">
        <f t="shared" si="7"/>
        <v>#N/A</v>
      </c>
      <c r="DD25" s="50" t="e">
        <f t="shared" si="8"/>
        <v>#N/A</v>
      </c>
      <c r="DE25" s="50" t="e">
        <f t="shared" si="9"/>
        <v>#N/A</v>
      </c>
      <c r="DF25" s="50">
        <f t="shared" si="10"/>
        <v>0</v>
      </c>
      <c r="DG25" s="50" t="e">
        <f>IF(DF25=0,NA(),SUM($DF$3:DF25))</f>
        <v>#N/A</v>
      </c>
    </row>
    <row r="26" spans="1:111" ht="12" customHeight="1" thickBot="1" x14ac:dyDescent="0.25">
      <c r="A26" s="79"/>
      <c r="B26" s="181" t="str">
        <f t="shared" si="33"/>
        <v/>
      </c>
      <c r="C26" s="838" t="str">
        <f t="shared" si="34"/>
        <v/>
      </c>
      <c r="D26" s="182" t="str">
        <f t="shared" si="25"/>
        <v/>
      </c>
      <c r="E26" s="204">
        <v>20</v>
      </c>
      <c r="F26" s="603"/>
      <c r="G26" s="184"/>
      <c r="H26" s="185"/>
      <c r="I26" s="186"/>
      <c r="J26" s="184"/>
      <c r="K26" s="184"/>
      <c r="L26" s="186"/>
      <c r="M26" s="187"/>
      <c r="N26" s="189" t="str">
        <f t="shared" si="35"/>
        <v/>
      </c>
      <c r="O26" s="202" t="str">
        <f t="shared" si="36"/>
        <v/>
      </c>
      <c r="P26" s="189" t="str">
        <f t="shared" si="37"/>
        <v/>
      </c>
      <c r="Q26" s="203"/>
      <c r="R26" s="191" t="str">
        <f t="shared" si="38"/>
        <v/>
      </c>
      <c r="S26" s="192"/>
      <c r="T26" s="193" t="str">
        <f t="shared" si="26"/>
        <v/>
      </c>
      <c r="U26" s="205"/>
      <c r="V26" s="169">
        <f t="shared" si="23"/>
        <v>9.5E-4</v>
      </c>
      <c r="W26" s="170"/>
      <c r="X26" s="170"/>
      <c r="Y26" s="170"/>
      <c r="Z26" s="170"/>
      <c r="AA26" s="170"/>
      <c r="AB26" s="170"/>
      <c r="AC26" s="171">
        <f t="shared" si="24"/>
        <v>9.5E-4</v>
      </c>
      <c r="AD26" s="195" t="s">
        <v>339</v>
      </c>
      <c r="AE26" s="196" t="str">
        <f t="shared" si="39"/>
        <v/>
      </c>
      <c r="AF26" s="197" t="s">
        <v>261</v>
      </c>
      <c r="AG26" s="196" t="str">
        <f t="shared" si="40"/>
        <v/>
      </c>
      <c r="AH26" s="198" t="s">
        <v>259</v>
      </c>
      <c r="AI26" s="176"/>
      <c r="AJ26" s="176"/>
      <c r="AK26" s="176"/>
      <c r="AL26" s="176"/>
      <c r="AM26" s="176"/>
      <c r="AN26" s="176"/>
      <c r="AO26" s="176"/>
      <c r="AP26" s="176"/>
      <c r="AR26" s="1">
        <f t="shared" si="12"/>
        <v>9.5E-4</v>
      </c>
      <c r="BA26" s="91">
        <f t="shared" si="54"/>
        <v>9.5E-4</v>
      </c>
      <c r="BQ26" s="199" t="b">
        <v>1</v>
      </c>
      <c r="BR26" s="50">
        <v>20</v>
      </c>
      <c r="BS26" s="200" t="b">
        <f t="shared" si="53"/>
        <v>0</v>
      </c>
      <c r="BT26" s="90" t="str">
        <f t="shared" si="41"/>
        <v/>
      </c>
      <c r="BU26" s="127" t="str">
        <f t="shared" si="42"/>
        <v/>
      </c>
      <c r="BV26" s="201" t="str">
        <f t="shared" si="27"/>
        <v/>
      </c>
      <c r="BW26" s="90" t="e">
        <f t="shared" si="43"/>
        <v>#N/A</v>
      </c>
      <c r="BX26" s="201" t="e">
        <f t="shared" si="44"/>
        <v>#N/A</v>
      </c>
      <c r="BY26" s="90" t="e">
        <f t="shared" si="28"/>
        <v>#N/A</v>
      </c>
      <c r="BZ26" s="127" t="str">
        <f t="shared" si="29"/>
        <v/>
      </c>
      <c r="CA26" s="127" t="str">
        <f t="shared" si="30"/>
        <v/>
      </c>
      <c r="CB26" s="90" t="str">
        <f t="shared" si="45"/>
        <v/>
      </c>
      <c r="CC26" s="90" t="str">
        <f t="shared" si="31"/>
        <v/>
      </c>
      <c r="CD26" s="90"/>
      <c r="CE26" s="90" t="str">
        <f t="shared" si="46"/>
        <v/>
      </c>
      <c r="CF26" s="90" t="str">
        <f t="shared" si="47"/>
        <v/>
      </c>
      <c r="CG26" s="90" t="str">
        <f t="shared" si="48"/>
        <v/>
      </c>
      <c r="CH26" s="90" t="str">
        <f t="shared" si="49"/>
        <v/>
      </c>
      <c r="CI26" s="90" t="str">
        <f t="shared" si="50"/>
        <v/>
      </c>
      <c r="CJ26" s="90" t="str">
        <f t="shared" si="51"/>
        <v/>
      </c>
      <c r="CK26" s="90" t="e">
        <f t="shared" si="52"/>
        <v>#N/A</v>
      </c>
      <c r="CL26" s="113" t="e">
        <f t="shared" si="32"/>
        <v>#N/A</v>
      </c>
      <c r="CM26" s="106" t="e">
        <f t="shared" si="14"/>
        <v>#N/A</v>
      </c>
      <c r="CN26" s="90" t="e">
        <f t="shared" si="15"/>
        <v>#N/A</v>
      </c>
      <c r="CO26" s="90" t="e">
        <f t="shared" si="16"/>
        <v>#N/A</v>
      </c>
      <c r="CP26" s="90" t="e">
        <f t="shared" si="17"/>
        <v>#N/A</v>
      </c>
      <c r="CQ26" s="90" t="e">
        <f t="shared" si="18"/>
        <v>#N/A</v>
      </c>
      <c r="CR26" s="90" t="e">
        <f t="shared" si="19"/>
        <v>#N/A</v>
      </c>
      <c r="CS26" s="90" t="e">
        <f t="shared" si="20"/>
        <v>#N/A</v>
      </c>
      <c r="CT26" s="90" t="e">
        <f t="shared" si="21"/>
        <v>#N/A</v>
      </c>
      <c r="CU26" s="90" t="e">
        <f t="shared" si="22"/>
        <v>#N/A</v>
      </c>
      <c r="CV26" s="113">
        <v>24</v>
      </c>
      <c r="CW26" s="50" t="e">
        <f t="shared" si="1"/>
        <v>#N/A</v>
      </c>
      <c r="CX26" s="50" t="e">
        <f t="shared" si="2"/>
        <v>#N/A</v>
      </c>
      <c r="CY26" s="50" t="e">
        <f t="shared" si="3"/>
        <v>#N/A</v>
      </c>
      <c r="CZ26" s="50" t="e">
        <f t="shared" si="4"/>
        <v>#N/A</v>
      </c>
      <c r="DA26" s="50" t="e">
        <f t="shared" si="5"/>
        <v>#N/A</v>
      </c>
      <c r="DB26" s="50" t="e">
        <f t="shared" si="6"/>
        <v>#N/A</v>
      </c>
      <c r="DC26" s="50" t="e">
        <f t="shared" si="7"/>
        <v>#N/A</v>
      </c>
      <c r="DD26" s="50" t="e">
        <f t="shared" si="8"/>
        <v>#N/A</v>
      </c>
      <c r="DE26" s="50" t="e">
        <f t="shared" si="9"/>
        <v>#N/A</v>
      </c>
      <c r="DF26" s="50">
        <f t="shared" si="10"/>
        <v>0</v>
      </c>
      <c r="DG26" s="50" t="e">
        <f>IF(DF26=0,NA(),SUM($DF$3:DF26))</f>
        <v>#N/A</v>
      </c>
    </row>
    <row r="27" spans="1:111" ht="12" customHeight="1" thickTop="1" x14ac:dyDescent="0.2">
      <c r="A27" s="90"/>
      <c r="B27" s="181" t="str">
        <f t="shared" si="33"/>
        <v/>
      </c>
      <c r="C27" s="838" t="str">
        <f t="shared" si="34"/>
        <v/>
      </c>
      <c r="D27" s="182" t="str">
        <f t="shared" si="25"/>
        <v/>
      </c>
      <c r="E27" s="183">
        <v>21</v>
      </c>
      <c r="F27" s="603"/>
      <c r="G27" s="184"/>
      <c r="H27" s="185"/>
      <c r="I27" s="186"/>
      <c r="J27" s="184"/>
      <c r="K27" s="184"/>
      <c r="L27" s="186"/>
      <c r="M27" s="187"/>
      <c r="N27" s="189" t="str">
        <f t="shared" si="35"/>
        <v/>
      </c>
      <c r="O27" s="202" t="str">
        <f t="shared" si="36"/>
        <v/>
      </c>
      <c r="P27" s="189" t="str">
        <f t="shared" si="37"/>
        <v/>
      </c>
      <c r="Q27" s="203"/>
      <c r="R27" s="191" t="str">
        <f t="shared" si="38"/>
        <v/>
      </c>
      <c r="S27" s="192"/>
      <c r="T27" s="193" t="str">
        <f t="shared" si="26"/>
        <v/>
      </c>
      <c r="U27" s="165"/>
      <c r="V27" s="169">
        <f t="shared" si="23"/>
        <v>9.5E-4</v>
      </c>
      <c r="W27" s="170"/>
      <c r="X27" s="170"/>
      <c r="Y27" s="170"/>
      <c r="Z27" s="170"/>
      <c r="AA27" s="170"/>
      <c r="AB27" s="170"/>
      <c r="AC27" s="171">
        <f t="shared" si="24"/>
        <v>9.5E-4</v>
      </c>
      <c r="AD27" s="195" t="s">
        <v>339</v>
      </c>
      <c r="AE27" s="196" t="str">
        <f t="shared" si="39"/>
        <v/>
      </c>
      <c r="AF27" s="197" t="s">
        <v>261</v>
      </c>
      <c r="AG27" s="196" t="str">
        <f t="shared" si="40"/>
        <v/>
      </c>
      <c r="AH27" s="198" t="s">
        <v>259</v>
      </c>
      <c r="AI27" s="176"/>
      <c r="AJ27" s="176"/>
      <c r="AK27" s="176"/>
      <c r="AL27" s="176"/>
      <c r="AM27" s="176"/>
      <c r="AN27" s="176"/>
      <c r="AO27" s="176"/>
      <c r="AP27" s="176"/>
      <c r="AR27" s="1"/>
      <c r="BA27" s="91"/>
      <c r="BQ27" s="199" t="b">
        <v>1</v>
      </c>
      <c r="BR27" s="50">
        <v>21</v>
      </c>
      <c r="BS27" s="200" t="b">
        <f t="shared" si="53"/>
        <v>0</v>
      </c>
      <c r="BT27" s="90" t="str">
        <f t="shared" si="41"/>
        <v/>
      </c>
      <c r="BU27" s="127" t="str">
        <f t="shared" si="42"/>
        <v/>
      </c>
      <c r="BV27" s="201" t="str">
        <f t="shared" si="27"/>
        <v/>
      </c>
      <c r="BW27" s="90" t="e">
        <f t="shared" si="43"/>
        <v>#N/A</v>
      </c>
      <c r="BX27" s="201" t="e">
        <f t="shared" si="44"/>
        <v>#N/A</v>
      </c>
      <c r="BY27" s="90" t="e">
        <f t="shared" si="28"/>
        <v>#N/A</v>
      </c>
      <c r="BZ27" s="127" t="str">
        <f t="shared" si="29"/>
        <v/>
      </c>
      <c r="CA27" s="127" t="str">
        <f t="shared" si="30"/>
        <v/>
      </c>
      <c r="CB27" s="90" t="str">
        <f t="shared" si="45"/>
        <v/>
      </c>
      <c r="CC27" s="90" t="str">
        <f t="shared" si="31"/>
        <v/>
      </c>
      <c r="CD27" s="90"/>
      <c r="CE27" s="90" t="str">
        <f t="shared" si="46"/>
        <v/>
      </c>
      <c r="CF27" s="90" t="str">
        <f t="shared" si="47"/>
        <v/>
      </c>
      <c r="CG27" s="90" t="str">
        <f t="shared" si="48"/>
        <v/>
      </c>
      <c r="CH27" s="90" t="str">
        <f t="shared" si="49"/>
        <v/>
      </c>
      <c r="CI27" s="90" t="str">
        <f t="shared" si="50"/>
        <v/>
      </c>
      <c r="CJ27" s="90" t="str">
        <f t="shared" si="51"/>
        <v/>
      </c>
      <c r="CK27" s="90" t="e">
        <f t="shared" si="52"/>
        <v>#N/A</v>
      </c>
      <c r="CL27" s="113" t="e">
        <f t="shared" si="32"/>
        <v>#N/A</v>
      </c>
      <c r="CM27" s="106" t="e">
        <f t="shared" si="14"/>
        <v>#N/A</v>
      </c>
      <c r="CN27" s="90" t="e">
        <f t="shared" si="15"/>
        <v>#N/A</v>
      </c>
      <c r="CO27" s="90" t="e">
        <f t="shared" si="16"/>
        <v>#N/A</v>
      </c>
      <c r="CP27" s="90" t="e">
        <f t="shared" si="17"/>
        <v>#N/A</v>
      </c>
      <c r="CQ27" s="90" t="e">
        <f t="shared" si="18"/>
        <v>#N/A</v>
      </c>
      <c r="CR27" s="90" t="e">
        <f t="shared" si="19"/>
        <v>#N/A</v>
      </c>
      <c r="CS27" s="90" t="e">
        <f t="shared" si="20"/>
        <v>#N/A</v>
      </c>
      <c r="CT27" s="90" t="e">
        <f t="shared" si="21"/>
        <v>#N/A</v>
      </c>
      <c r="CU27" s="90" t="e">
        <f t="shared" si="22"/>
        <v>#N/A</v>
      </c>
      <c r="CV27" s="113">
        <v>25</v>
      </c>
      <c r="CW27" s="50" t="e">
        <f t="shared" si="1"/>
        <v>#N/A</v>
      </c>
      <c r="CX27" s="50" t="e">
        <f t="shared" si="2"/>
        <v>#N/A</v>
      </c>
      <c r="CY27" s="50" t="e">
        <f t="shared" si="3"/>
        <v>#N/A</v>
      </c>
      <c r="CZ27" s="50" t="e">
        <f t="shared" si="4"/>
        <v>#N/A</v>
      </c>
      <c r="DA27" s="50" t="e">
        <f t="shared" si="5"/>
        <v>#N/A</v>
      </c>
      <c r="DB27" s="50" t="e">
        <f t="shared" si="6"/>
        <v>#N/A</v>
      </c>
      <c r="DC27" s="50" t="e">
        <f t="shared" si="7"/>
        <v>#N/A</v>
      </c>
      <c r="DD27" s="50" t="e">
        <f t="shared" si="8"/>
        <v>#N/A</v>
      </c>
      <c r="DE27" s="50" t="e">
        <f t="shared" si="9"/>
        <v>#N/A</v>
      </c>
      <c r="DF27" s="50">
        <f t="shared" si="10"/>
        <v>0</v>
      </c>
      <c r="DG27" s="50" t="e">
        <f>IF(DF27=0,NA(),SUM($DF$3:DF27))</f>
        <v>#N/A</v>
      </c>
    </row>
    <row r="28" spans="1:111" ht="12" customHeight="1" x14ac:dyDescent="0.2">
      <c r="A28" s="90"/>
      <c r="B28" s="181" t="str">
        <f t="shared" si="33"/>
        <v/>
      </c>
      <c r="C28" s="838" t="str">
        <f t="shared" si="34"/>
        <v/>
      </c>
      <c r="D28" s="182" t="str">
        <f t="shared" si="25"/>
        <v/>
      </c>
      <c r="E28" s="204">
        <v>22</v>
      </c>
      <c r="F28" s="603"/>
      <c r="G28" s="184"/>
      <c r="H28" s="185"/>
      <c r="I28" s="186"/>
      <c r="J28" s="184"/>
      <c r="K28" s="184"/>
      <c r="L28" s="186"/>
      <c r="M28" s="187"/>
      <c r="N28" s="189" t="str">
        <f t="shared" si="35"/>
        <v/>
      </c>
      <c r="O28" s="202" t="str">
        <f t="shared" si="36"/>
        <v/>
      </c>
      <c r="P28" s="189" t="str">
        <f t="shared" si="37"/>
        <v/>
      </c>
      <c r="Q28" s="203"/>
      <c r="R28" s="191" t="str">
        <f t="shared" si="38"/>
        <v/>
      </c>
      <c r="S28" s="192"/>
      <c r="T28" s="193" t="str">
        <f t="shared" si="26"/>
        <v/>
      </c>
      <c r="U28" s="165"/>
      <c r="V28" s="169">
        <f t="shared" si="23"/>
        <v>9.5E-4</v>
      </c>
      <c r="W28" s="170"/>
      <c r="X28" s="170"/>
      <c r="Y28" s="170"/>
      <c r="Z28" s="170"/>
      <c r="AA28" s="170"/>
      <c r="AB28" s="170"/>
      <c r="AC28" s="171">
        <f t="shared" si="24"/>
        <v>9.5E-4</v>
      </c>
      <c r="AD28" s="195" t="s">
        <v>339</v>
      </c>
      <c r="AE28" s="196" t="str">
        <f t="shared" si="39"/>
        <v/>
      </c>
      <c r="AF28" s="197" t="s">
        <v>261</v>
      </c>
      <c r="AG28" s="196" t="str">
        <f t="shared" si="40"/>
        <v/>
      </c>
      <c r="AH28" s="198" t="s">
        <v>259</v>
      </c>
      <c r="AI28" s="176"/>
      <c r="AJ28" s="176"/>
      <c r="AK28" s="176"/>
      <c r="AL28" s="176"/>
      <c r="AM28" s="176"/>
      <c r="AN28" s="176"/>
      <c r="AO28" s="176"/>
      <c r="AP28" s="176"/>
      <c r="AR28" s="1"/>
      <c r="BA28" s="91"/>
      <c r="BQ28" s="199" t="b">
        <v>1</v>
      </c>
      <c r="BR28" s="50">
        <v>22</v>
      </c>
      <c r="BS28" s="200" t="b">
        <f t="shared" si="53"/>
        <v>0</v>
      </c>
      <c r="BT28" s="90" t="str">
        <f t="shared" si="41"/>
        <v/>
      </c>
      <c r="BU28" s="127" t="str">
        <f t="shared" si="42"/>
        <v/>
      </c>
      <c r="BV28" s="201" t="str">
        <f t="shared" si="27"/>
        <v/>
      </c>
      <c r="BW28" s="90" t="e">
        <f t="shared" si="43"/>
        <v>#N/A</v>
      </c>
      <c r="BX28" s="201" t="e">
        <f t="shared" si="44"/>
        <v>#N/A</v>
      </c>
      <c r="BY28" s="90" t="e">
        <f t="shared" si="28"/>
        <v>#N/A</v>
      </c>
      <c r="BZ28" s="127" t="str">
        <f t="shared" si="29"/>
        <v/>
      </c>
      <c r="CA28" s="127" t="str">
        <f t="shared" si="30"/>
        <v/>
      </c>
      <c r="CB28" s="90" t="str">
        <f t="shared" si="45"/>
        <v/>
      </c>
      <c r="CC28" s="90" t="str">
        <f t="shared" si="31"/>
        <v/>
      </c>
      <c r="CD28" s="90"/>
      <c r="CE28" s="90" t="str">
        <f t="shared" si="46"/>
        <v/>
      </c>
      <c r="CF28" s="90" t="str">
        <f t="shared" si="47"/>
        <v/>
      </c>
      <c r="CG28" s="90" t="str">
        <f t="shared" si="48"/>
        <v/>
      </c>
      <c r="CH28" s="90" t="str">
        <f t="shared" si="49"/>
        <v/>
      </c>
      <c r="CI28" s="90" t="str">
        <f t="shared" si="50"/>
        <v/>
      </c>
      <c r="CJ28" s="90" t="str">
        <f t="shared" si="51"/>
        <v/>
      </c>
      <c r="CK28" s="90" t="e">
        <f t="shared" si="52"/>
        <v>#N/A</v>
      </c>
      <c r="CL28" s="113" t="e">
        <f t="shared" si="32"/>
        <v>#N/A</v>
      </c>
      <c r="CM28" s="106" t="e">
        <f t="shared" si="14"/>
        <v>#N/A</v>
      </c>
      <c r="CN28" s="90" t="e">
        <f t="shared" si="15"/>
        <v>#N/A</v>
      </c>
      <c r="CO28" s="90" t="e">
        <f t="shared" si="16"/>
        <v>#N/A</v>
      </c>
      <c r="CP28" s="90" t="e">
        <f t="shared" si="17"/>
        <v>#N/A</v>
      </c>
      <c r="CQ28" s="90" t="e">
        <f t="shared" si="18"/>
        <v>#N/A</v>
      </c>
      <c r="CR28" s="90" t="e">
        <f t="shared" si="19"/>
        <v>#N/A</v>
      </c>
      <c r="CS28" s="90" t="e">
        <f t="shared" si="20"/>
        <v>#N/A</v>
      </c>
      <c r="CT28" s="90" t="e">
        <f t="shared" si="21"/>
        <v>#N/A</v>
      </c>
      <c r="CU28" s="90" t="e">
        <f t="shared" si="22"/>
        <v>#N/A</v>
      </c>
      <c r="CV28" s="113">
        <v>26</v>
      </c>
      <c r="CW28" s="50" t="e">
        <f t="shared" si="1"/>
        <v>#N/A</v>
      </c>
      <c r="CX28" s="50" t="e">
        <f t="shared" si="2"/>
        <v>#N/A</v>
      </c>
      <c r="CY28" s="50" t="e">
        <f t="shared" si="3"/>
        <v>#N/A</v>
      </c>
      <c r="CZ28" s="50" t="e">
        <f t="shared" si="4"/>
        <v>#N/A</v>
      </c>
      <c r="DA28" s="50" t="e">
        <f t="shared" si="5"/>
        <v>#N/A</v>
      </c>
      <c r="DB28" s="50" t="e">
        <f t="shared" si="6"/>
        <v>#N/A</v>
      </c>
      <c r="DC28" s="50" t="e">
        <f t="shared" si="7"/>
        <v>#N/A</v>
      </c>
      <c r="DD28" s="50" t="e">
        <f t="shared" si="8"/>
        <v>#N/A</v>
      </c>
      <c r="DE28" s="50" t="e">
        <f t="shared" si="9"/>
        <v>#N/A</v>
      </c>
      <c r="DF28" s="50">
        <f t="shared" si="10"/>
        <v>0</v>
      </c>
      <c r="DG28" s="50" t="e">
        <f>IF(DF28=0,NA(),SUM($DF$3:DF28))</f>
        <v>#N/A</v>
      </c>
    </row>
    <row r="29" spans="1:111" ht="12" customHeight="1" x14ac:dyDescent="0.2">
      <c r="A29" s="90"/>
      <c r="B29" s="181" t="str">
        <f t="shared" si="33"/>
        <v/>
      </c>
      <c r="C29" s="838" t="str">
        <f t="shared" si="34"/>
        <v/>
      </c>
      <c r="D29" s="182" t="str">
        <f t="shared" si="25"/>
        <v/>
      </c>
      <c r="E29" s="183">
        <v>23</v>
      </c>
      <c r="F29" s="603"/>
      <c r="G29" s="184"/>
      <c r="H29" s="185"/>
      <c r="I29" s="186"/>
      <c r="J29" s="184"/>
      <c r="K29" s="184"/>
      <c r="L29" s="186"/>
      <c r="M29" s="187"/>
      <c r="N29" s="189" t="str">
        <f t="shared" si="35"/>
        <v/>
      </c>
      <c r="O29" s="202" t="str">
        <f t="shared" si="36"/>
        <v/>
      </c>
      <c r="P29" s="189" t="str">
        <f t="shared" si="37"/>
        <v/>
      </c>
      <c r="Q29" s="203"/>
      <c r="R29" s="191" t="str">
        <f t="shared" si="38"/>
        <v/>
      </c>
      <c r="S29" s="192"/>
      <c r="T29" s="193" t="str">
        <f t="shared" si="26"/>
        <v/>
      </c>
      <c r="U29" s="165"/>
      <c r="V29" s="169">
        <f t="shared" si="23"/>
        <v>9.5E-4</v>
      </c>
      <c r="W29" s="170"/>
      <c r="X29" s="170"/>
      <c r="Y29" s="170"/>
      <c r="Z29" s="170"/>
      <c r="AA29" s="170"/>
      <c r="AB29" s="170"/>
      <c r="AC29" s="171">
        <f t="shared" si="24"/>
        <v>9.5E-4</v>
      </c>
      <c r="AD29" s="195" t="s">
        <v>339</v>
      </c>
      <c r="AE29" s="196" t="str">
        <f t="shared" si="39"/>
        <v/>
      </c>
      <c r="AF29" s="197" t="s">
        <v>261</v>
      </c>
      <c r="AG29" s="196" t="str">
        <f t="shared" si="40"/>
        <v/>
      </c>
      <c r="AH29" s="198" t="s">
        <v>259</v>
      </c>
      <c r="AI29" s="176"/>
      <c r="AJ29" s="176"/>
      <c r="AK29" s="176"/>
      <c r="AL29" s="176"/>
      <c r="AM29" s="176"/>
      <c r="AN29" s="176"/>
      <c r="AO29" s="176"/>
      <c r="AP29" s="176"/>
      <c r="AR29" s="1"/>
      <c r="BA29" s="91"/>
      <c r="BQ29" s="199" t="b">
        <v>1</v>
      </c>
      <c r="BR29" s="50">
        <v>23</v>
      </c>
      <c r="BS29" s="200" t="b">
        <f t="shared" si="53"/>
        <v>0</v>
      </c>
      <c r="BT29" s="90" t="str">
        <f t="shared" si="41"/>
        <v/>
      </c>
      <c r="BU29" s="127" t="str">
        <f t="shared" si="42"/>
        <v/>
      </c>
      <c r="BV29" s="201" t="str">
        <f t="shared" si="27"/>
        <v/>
      </c>
      <c r="BW29" s="90" t="e">
        <f t="shared" si="43"/>
        <v>#N/A</v>
      </c>
      <c r="BX29" s="201" t="e">
        <f t="shared" si="44"/>
        <v>#N/A</v>
      </c>
      <c r="BY29" s="90" t="e">
        <f t="shared" si="28"/>
        <v>#N/A</v>
      </c>
      <c r="BZ29" s="127" t="str">
        <f t="shared" si="29"/>
        <v/>
      </c>
      <c r="CA29" s="127" t="str">
        <f t="shared" si="30"/>
        <v/>
      </c>
      <c r="CB29" s="90" t="str">
        <f t="shared" si="45"/>
        <v/>
      </c>
      <c r="CC29" s="90" t="str">
        <f t="shared" si="31"/>
        <v/>
      </c>
      <c r="CD29" s="90"/>
      <c r="CE29" s="90" t="str">
        <f t="shared" si="46"/>
        <v/>
      </c>
      <c r="CF29" s="90" t="str">
        <f t="shared" si="47"/>
        <v/>
      </c>
      <c r="CG29" s="90" t="str">
        <f t="shared" si="48"/>
        <v/>
      </c>
      <c r="CH29" s="90" t="str">
        <f t="shared" si="49"/>
        <v/>
      </c>
      <c r="CI29" s="90" t="str">
        <f t="shared" si="50"/>
        <v/>
      </c>
      <c r="CJ29" s="90" t="str">
        <f t="shared" si="51"/>
        <v/>
      </c>
      <c r="CK29" s="90" t="e">
        <f t="shared" si="52"/>
        <v>#N/A</v>
      </c>
      <c r="CL29" s="113" t="e">
        <f t="shared" si="32"/>
        <v>#N/A</v>
      </c>
      <c r="CM29" s="106" t="e">
        <f t="shared" si="14"/>
        <v>#N/A</v>
      </c>
      <c r="CN29" s="90" t="e">
        <f t="shared" si="15"/>
        <v>#N/A</v>
      </c>
      <c r="CO29" s="90" t="e">
        <f t="shared" si="16"/>
        <v>#N/A</v>
      </c>
      <c r="CP29" s="90" t="e">
        <f t="shared" si="17"/>
        <v>#N/A</v>
      </c>
      <c r="CQ29" s="90" t="e">
        <f t="shared" si="18"/>
        <v>#N/A</v>
      </c>
      <c r="CR29" s="90" t="e">
        <f t="shared" si="19"/>
        <v>#N/A</v>
      </c>
      <c r="CS29" s="90" t="e">
        <f t="shared" si="20"/>
        <v>#N/A</v>
      </c>
      <c r="CT29" s="90" t="e">
        <f t="shared" si="21"/>
        <v>#N/A</v>
      </c>
      <c r="CU29" s="90" t="e">
        <f t="shared" si="22"/>
        <v>#N/A</v>
      </c>
      <c r="CV29" s="113">
        <v>27</v>
      </c>
      <c r="CW29" s="50" t="e">
        <f t="shared" si="1"/>
        <v>#N/A</v>
      </c>
      <c r="CX29" s="50" t="e">
        <f t="shared" si="2"/>
        <v>#N/A</v>
      </c>
      <c r="CY29" s="50" t="e">
        <f t="shared" si="3"/>
        <v>#N/A</v>
      </c>
      <c r="CZ29" s="50" t="e">
        <f t="shared" si="4"/>
        <v>#N/A</v>
      </c>
      <c r="DA29" s="50" t="e">
        <f t="shared" si="5"/>
        <v>#N/A</v>
      </c>
      <c r="DB29" s="50" t="e">
        <f t="shared" si="6"/>
        <v>#N/A</v>
      </c>
      <c r="DC29" s="50" t="e">
        <f t="shared" si="7"/>
        <v>#N/A</v>
      </c>
      <c r="DD29" s="50" t="e">
        <f t="shared" si="8"/>
        <v>#N/A</v>
      </c>
      <c r="DE29" s="50" t="e">
        <f t="shared" si="9"/>
        <v>#N/A</v>
      </c>
      <c r="DF29" s="50">
        <f t="shared" si="10"/>
        <v>0</v>
      </c>
      <c r="DG29" s="50" t="e">
        <f>IF(DF29=0,NA(),SUM($DF$3:DF29))</f>
        <v>#N/A</v>
      </c>
    </row>
    <row r="30" spans="1:111" ht="12" customHeight="1" x14ac:dyDescent="0.2">
      <c r="A30" s="90"/>
      <c r="B30" s="181" t="str">
        <f t="shared" si="33"/>
        <v/>
      </c>
      <c r="C30" s="838" t="str">
        <f t="shared" si="34"/>
        <v/>
      </c>
      <c r="D30" s="182" t="str">
        <f t="shared" si="25"/>
        <v/>
      </c>
      <c r="E30" s="204">
        <v>24</v>
      </c>
      <c r="F30" s="603"/>
      <c r="G30" s="184"/>
      <c r="H30" s="185"/>
      <c r="I30" s="186"/>
      <c r="J30" s="184"/>
      <c r="K30" s="184"/>
      <c r="L30" s="186"/>
      <c r="M30" s="187"/>
      <c r="N30" s="189" t="str">
        <f t="shared" si="35"/>
        <v/>
      </c>
      <c r="O30" s="202" t="str">
        <f t="shared" si="36"/>
        <v/>
      </c>
      <c r="P30" s="189" t="str">
        <f t="shared" si="37"/>
        <v/>
      </c>
      <c r="Q30" s="203"/>
      <c r="R30" s="191" t="str">
        <f t="shared" si="38"/>
        <v/>
      </c>
      <c r="S30" s="192"/>
      <c r="T30" s="193" t="str">
        <f t="shared" si="26"/>
        <v/>
      </c>
      <c r="U30" s="165"/>
      <c r="V30" s="169">
        <f t="shared" si="23"/>
        <v>9.5E-4</v>
      </c>
      <c r="W30" s="170"/>
      <c r="X30" s="170"/>
      <c r="Y30" s="170"/>
      <c r="Z30" s="170"/>
      <c r="AA30" s="170"/>
      <c r="AB30" s="170"/>
      <c r="AC30" s="171">
        <f t="shared" si="24"/>
        <v>9.5E-4</v>
      </c>
      <c r="AD30" s="195" t="s">
        <v>339</v>
      </c>
      <c r="AE30" s="196" t="str">
        <f t="shared" si="39"/>
        <v/>
      </c>
      <c r="AF30" s="197" t="s">
        <v>261</v>
      </c>
      <c r="AG30" s="196" t="str">
        <f t="shared" si="40"/>
        <v/>
      </c>
      <c r="AH30" s="198" t="s">
        <v>259</v>
      </c>
      <c r="AI30" s="176"/>
      <c r="AJ30" s="176"/>
      <c r="AK30" s="176"/>
      <c r="AL30" s="176"/>
      <c r="AM30" s="176"/>
      <c r="AN30" s="176"/>
      <c r="AO30" s="176"/>
      <c r="AP30" s="176"/>
      <c r="AW30" s="102"/>
      <c r="AX30" s="102"/>
      <c r="AY30" s="102"/>
      <c r="AZ30" s="102"/>
      <c r="BA30" s="102"/>
      <c r="BB30" s="102"/>
      <c r="BC30" s="102"/>
      <c r="BD30" s="102"/>
      <c r="BE30" s="102"/>
      <c r="BF30" s="102"/>
      <c r="BG30" s="102"/>
      <c r="BH30" s="102"/>
      <c r="BI30" s="102"/>
      <c r="BJ30" s="102"/>
      <c r="BK30" s="102"/>
      <c r="BL30" s="102"/>
      <c r="BM30" s="102"/>
      <c r="BN30" s="102"/>
      <c r="BO30" s="102"/>
      <c r="BQ30" s="199" t="b">
        <v>1</v>
      </c>
      <c r="BR30" s="50">
        <v>24</v>
      </c>
      <c r="BS30" s="200" t="b">
        <f t="shared" si="53"/>
        <v>0</v>
      </c>
      <c r="BT30" s="90" t="str">
        <f t="shared" si="41"/>
        <v/>
      </c>
      <c r="BU30" s="127" t="str">
        <f t="shared" si="42"/>
        <v/>
      </c>
      <c r="BV30" s="201" t="str">
        <f t="shared" si="27"/>
        <v/>
      </c>
      <c r="BW30" s="90" t="e">
        <f t="shared" si="43"/>
        <v>#N/A</v>
      </c>
      <c r="BX30" s="201" t="e">
        <f t="shared" si="44"/>
        <v>#N/A</v>
      </c>
      <c r="BY30" s="90" t="e">
        <f t="shared" si="28"/>
        <v>#N/A</v>
      </c>
      <c r="BZ30" s="127" t="str">
        <f t="shared" si="29"/>
        <v/>
      </c>
      <c r="CA30" s="127" t="str">
        <f t="shared" si="30"/>
        <v/>
      </c>
      <c r="CB30" s="90" t="str">
        <f t="shared" si="45"/>
        <v/>
      </c>
      <c r="CC30" s="90" t="str">
        <f t="shared" si="31"/>
        <v/>
      </c>
      <c r="CD30" s="90"/>
      <c r="CE30" s="90" t="str">
        <f t="shared" si="46"/>
        <v/>
      </c>
      <c r="CF30" s="90" t="str">
        <f t="shared" si="47"/>
        <v/>
      </c>
      <c r="CG30" s="90" t="str">
        <f t="shared" si="48"/>
        <v/>
      </c>
      <c r="CH30" s="90" t="str">
        <f t="shared" si="49"/>
        <v/>
      </c>
      <c r="CI30" s="90" t="str">
        <f t="shared" si="50"/>
        <v/>
      </c>
      <c r="CJ30" s="90" t="str">
        <f t="shared" si="51"/>
        <v/>
      </c>
      <c r="CK30" s="90" t="e">
        <f t="shared" si="52"/>
        <v>#N/A</v>
      </c>
      <c r="CL30" s="113" t="e">
        <f t="shared" si="32"/>
        <v>#N/A</v>
      </c>
      <c r="CM30" s="106" t="e">
        <f t="shared" si="14"/>
        <v>#N/A</v>
      </c>
      <c r="CN30" s="90" t="e">
        <f t="shared" si="15"/>
        <v>#N/A</v>
      </c>
      <c r="CO30" s="90" t="e">
        <f t="shared" si="16"/>
        <v>#N/A</v>
      </c>
      <c r="CP30" s="90" t="e">
        <f t="shared" si="17"/>
        <v>#N/A</v>
      </c>
      <c r="CQ30" s="90" t="e">
        <f t="shared" si="18"/>
        <v>#N/A</v>
      </c>
      <c r="CR30" s="90" t="e">
        <f t="shared" si="19"/>
        <v>#N/A</v>
      </c>
      <c r="CS30" s="90" t="e">
        <f t="shared" si="20"/>
        <v>#N/A</v>
      </c>
      <c r="CT30" s="90" t="e">
        <f t="shared" si="21"/>
        <v>#N/A</v>
      </c>
      <c r="CU30" s="90" t="e">
        <f t="shared" si="22"/>
        <v>#N/A</v>
      </c>
      <c r="CV30" s="113">
        <v>28</v>
      </c>
      <c r="CW30" s="50" t="e">
        <f t="shared" si="1"/>
        <v>#N/A</v>
      </c>
      <c r="CX30" s="50" t="e">
        <f t="shared" si="2"/>
        <v>#N/A</v>
      </c>
      <c r="CY30" s="50" t="e">
        <f t="shared" si="3"/>
        <v>#N/A</v>
      </c>
      <c r="CZ30" s="50" t="e">
        <f t="shared" si="4"/>
        <v>#N/A</v>
      </c>
      <c r="DA30" s="50" t="e">
        <f t="shared" si="5"/>
        <v>#N/A</v>
      </c>
      <c r="DB30" s="50" t="e">
        <f t="shared" si="6"/>
        <v>#N/A</v>
      </c>
      <c r="DC30" s="50" t="e">
        <f t="shared" si="7"/>
        <v>#N/A</v>
      </c>
      <c r="DD30" s="50" t="e">
        <f t="shared" si="8"/>
        <v>#N/A</v>
      </c>
      <c r="DE30" s="50" t="e">
        <f t="shared" si="9"/>
        <v>#N/A</v>
      </c>
      <c r="DF30" s="50">
        <f t="shared" si="10"/>
        <v>0</v>
      </c>
      <c r="DG30" s="50" t="e">
        <f>IF(DF30=0,NA(),SUM($DF$3:DF30))</f>
        <v>#N/A</v>
      </c>
    </row>
    <row r="31" spans="1:111" ht="12" customHeight="1" x14ac:dyDescent="0.2">
      <c r="A31" s="90"/>
      <c r="B31" s="181" t="str">
        <f t="shared" si="33"/>
        <v/>
      </c>
      <c r="C31" s="838" t="str">
        <f t="shared" si="34"/>
        <v/>
      </c>
      <c r="D31" s="182" t="str">
        <f t="shared" si="25"/>
        <v/>
      </c>
      <c r="E31" s="183">
        <v>25</v>
      </c>
      <c r="F31" s="603"/>
      <c r="G31" s="184"/>
      <c r="H31" s="185"/>
      <c r="I31" s="186"/>
      <c r="J31" s="184"/>
      <c r="K31" s="184"/>
      <c r="L31" s="186"/>
      <c r="M31" s="187"/>
      <c r="N31" s="189" t="str">
        <f t="shared" si="35"/>
        <v/>
      </c>
      <c r="O31" s="202" t="str">
        <f t="shared" si="36"/>
        <v/>
      </c>
      <c r="P31" s="189" t="str">
        <f t="shared" si="37"/>
        <v/>
      </c>
      <c r="Q31" s="203"/>
      <c r="R31" s="191" t="str">
        <f t="shared" si="38"/>
        <v/>
      </c>
      <c r="S31" s="192"/>
      <c r="T31" s="193" t="str">
        <f t="shared" si="26"/>
        <v/>
      </c>
      <c r="U31" s="165"/>
      <c r="V31" s="169">
        <f t="shared" si="23"/>
        <v>9.5E-4</v>
      </c>
      <c r="W31" s="170"/>
      <c r="X31" s="170"/>
      <c r="Y31" s="170"/>
      <c r="Z31" s="170"/>
      <c r="AA31" s="170"/>
      <c r="AB31" s="170"/>
      <c r="AC31" s="171">
        <f t="shared" si="24"/>
        <v>9.5E-4</v>
      </c>
      <c r="AD31" s="195" t="s">
        <v>339</v>
      </c>
      <c r="AE31" s="196" t="str">
        <f t="shared" si="39"/>
        <v/>
      </c>
      <c r="AF31" s="197" t="s">
        <v>261</v>
      </c>
      <c r="AG31" s="196" t="str">
        <f t="shared" si="40"/>
        <v/>
      </c>
      <c r="AH31" s="198" t="s">
        <v>259</v>
      </c>
      <c r="AI31" s="176"/>
      <c r="AJ31" s="176"/>
      <c r="AK31" s="176"/>
      <c r="AL31" s="176"/>
      <c r="AM31" s="176"/>
      <c r="AN31" s="176"/>
      <c r="AO31" s="176"/>
      <c r="AP31" s="176"/>
      <c r="AW31" s="206"/>
      <c r="AX31" s="206"/>
      <c r="AY31" s="206"/>
      <c r="AZ31" s="206"/>
      <c r="BA31" s="206"/>
      <c r="BB31" s="206"/>
      <c r="BC31" s="206"/>
      <c r="BD31" s="206"/>
      <c r="BE31" s="206"/>
      <c r="BF31" s="206"/>
      <c r="BG31" s="206"/>
      <c r="BH31" s="206"/>
      <c r="BI31" s="206"/>
      <c r="BJ31" s="206"/>
      <c r="BK31" s="206"/>
      <c r="BL31" s="206"/>
      <c r="BM31" s="206"/>
      <c r="BN31" s="206"/>
      <c r="BO31" s="206"/>
      <c r="BQ31" s="199" t="b">
        <v>1</v>
      </c>
      <c r="BR31" s="50">
        <v>25</v>
      </c>
      <c r="BS31" s="200" t="b">
        <f t="shared" si="53"/>
        <v>0</v>
      </c>
      <c r="BT31" s="90" t="str">
        <f t="shared" si="41"/>
        <v/>
      </c>
      <c r="BU31" s="127" t="str">
        <f t="shared" si="42"/>
        <v/>
      </c>
      <c r="BV31" s="201" t="str">
        <f t="shared" si="27"/>
        <v/>
      </c>
      <c r="BW31" s="90" t="e">
        <f t="shared" si="43"/>
        <v>#N/A</v>
      </c>
      <c r="BX31" s="201" t="e">
        <f t="shared" si="44"/>
        <v>#N/A</v>
      </c>
      <c r="BY31" s="90" t="e">
        <f t="shared" si="28"/>
        <v>#N/A</v>
      </c>
      <c r="BZ31" s="127" t="str">
        <f t="shared" si="29"/>
        <v/>
      </c>
      <c r="CA31" s="127" t="str">
        <f t="shared" si="30"/>
        <v/>
      </c>
      <c r="CB31" s="90" t="str">
        <f t="shared" si="45"/>
        <v/>
      </c>
      <c r="CC31" s="90" t="str">
        <f t="shared" si="31"/>
        <v/>
      </c>
      <c r="CD31" s="90"/>
      <c r="CE31" s="90" t="str">
        <f t="shared" si="46"/>
        <v/>
      </c>
      <c r="CF31" s="90" t="str">
        <f t="shared" si="47"/>
        <v/>
      </c>
      <c r="CG31" s="90" t="str">
        <f t="shared" si="48"/>
        <v/>
      </c>
      <c r="CH31" s="90" t="str">
        <f t="shared" si="49"/>
        <v/>
      </c>
      <c r="CI31" s="90" t="str">
        <f t="shared" si="50"/>
        <v/>
      </c>
      <c r="CJ31" s="90" t="str">
        <f t="shared" si="51"/>
        <v/>
      </c>
      <c r="CK31" s="90" t="e">
        <f t="shared" si="52"/>
        <v>#N/A</v>
      </c>
      <c r="CL31" s="113" t="e">
        <f t="shared" si="32"/>
        <v>#N/A</v>
      </c>
      <c r="CM31" s="106" t="e">
        <f t="shared" si="14"/>
        <v>#N/A</v>
      </c>
      <c r="CN31" s="90" t="e">
        <f t="shared" si="15"/>
        <v>#N/A</v>
      </c>
      <c r="CO31" s="90" t="e">
        <f t="shared" si="16"/>
        <v>#N/A</v>
      </c>
      <c r="CP31" s="90" t="e">
        <f t="shared" si="17"/>
        <v>#N/A</v>
      </c>
      <c r="CQ31" s="90" t="e">
        <f t="shared" si="18"/>
        <v>#N/A</v>
      </c>
      <c r="CR31" s="90" t="e">
        <f t="shared" si="19"/>
        <v>#N/A</v>
      </c>
      <c r="CS31" s="90" t="e">
        <f t="shared" si="20"/>
        <v>#N/A</v>
      </c>
      <c r="CT31" s="90" t="e">
        <f t="shared" si="21"/>
        <v>#N/A</v>
      </c>
      <c r="CU31" s="90" t="e">
        <f t="shared" si="22"/>
        <v>#N/A</v>
      </c>
      <c r="CV31" s="113">
        <v>29</v>
      </c>
      <c r="CW31" s="50" t="e">
        <f t="shared" si="1"/>
        <v>#N/A</v>
      </c>
      <c r="CX31" s="50" t="e">
        <f t="shared" si="2"/>
        <v>#N/A</v>
      </c>
      <c r="CY31" s="50" t="e">
        <f t="shared" si="3"/>
        <v>#N/A</v>
      </c>
      <c r="CZ31" s="50" t="e">
        <f t="shared" si="4"/>
        <v>#N/A</v>
      </c>
      <c r="DA31" s="50" t="e">
        <f t="shared" si="5"/>
        <v>#N/A</v>
      </c>
      <c r="DB31" s="50" t="e">
        <f t="shared" si="6"/>
        <v>#N/A</v>
      </c>
      <c r="DC31" s="50" t="e">
        <f t="shared" si="7"/>
        <v>#N/A</v>
      </c>
      <c r="DD31" s="50" t="e">
        <f t="shared" si="8"/>
        <v>#N/A</v>
      </c>
      <c r="DE31" s="50" t="e">
        <f t="shared" si="9"/>
        <v>#N/A</v>
      </c>
      <c r="DF31" s="50">
        <f t="shared" si="10"/>
        <v>0</v>
      </c>
      <c r="DG31" s="50" t="e">
        <f>IF(DF31=0,NA(),SUM($DF$3:DF31))</f>
        <v>#N/A</v>
      </c>
    </row>
    <row r="32" spans="1:111" ht="12" customHeight="1" x14ac:dyDescent="0.2">
      <c r="A32" s="90"/>
      <c r="B32" s="181" t="str">
        <f t="shared" si="33"/>
        <v/>
      </c>
      <c r="C32" s="838" t="str">
        <f t="shared" si="34"/>
        <v/>
      </c>
      <c r="D32" s="182" t="str">
        <f t="shared" si="25"/>
        <v/>
      </c>
      <c r="E32" s="204">
        <v>26</v>
      </c>
      <c r="F32" s="603"/>
      <c r="G32" s="184"/>
      <c r="H32" s="185"/>
      <c r="I32" s="186"/>
      <c r="J32" s="184"/>
      <c r="K32" s="184"/>
      <c r="L32" s="186"/>
      <c r="M32" s="187"/>
      <c r="N32" s="189" t="str">
        <f t="shared" si="35"/>
        <v/>
      </c>
      <c r="O32" s="202" t="str">
        <f t="shared" si="36"/>
        <v/>
      </c>
      <c r="P32" s="189" t="str">
        <f t="shared" si="37"/>
        <v/>
      </c>
      <c r="Q32" s="203"/>
      <c r="R32" s="191" t="str">
        <f t="shared" si="38"/>
        <v/>
      </c>
      <c r="S32" s="192"/>
      <c r="T32" s="193" t="str">
        <f t="shared" si="26"/>
        <v/>
      </c>
      <c r="U32" s="165"/>
      <c r="V32" s="169">
        <f t="shared" si="23"/>
        <v>9.5E-4</v>
      </c>
      <c r="W32" s="170"/>
      <c r="X32" s="170"/>
      <c r="Y32" s="170"/>
      <c r="Z32" s="170"/>
      <c r="AA32" s="170"/>
      <c r="AB32" s="170"/>
      <c r="AC32" s="171">
        <f t="shared" si="24"/>
        <v>9.5E-4</v>
      </c>
      <c r="AD32" s="195" t="s">
        <v>339</v>
      </c>
      <c r="AE32" s="196" t="str">
        <f t="shared" si="39"/>
        <v/>
      </c>
      <c r="AF32" s="197" t="s">
        <v>261</v>
      </c>
      <c r="AG32" s="196" t="str">
        <f t="shared" si="40"/>
        <v/>
      </c>
      <c r="AH32" s="198" t="s">
        <v>259</v>
      </c>
      <c r="AI32" s="176"/>
      <c r="AJ32" s="176"/>
      <c r="AK32" s="176"/>
      <c r="AL32" s="176"/>
      <c r="AM32" s="176"/>
      <c r="AN32" s="176"/>
      <c r="AO32" s="176"/>
      <c r="AP32" s="176"/>
      <c r="AW32" s="206"/>
      <c r="AX32" s="206"/>
      <c r="AY32" s="206"/>
      <c r="AZ32" s="206"/>
      <c r="BA32" s="206"/>
      <c r="BB32" s="206"/>
      <c r="BC32" s="206"/>
      <c r="BD32" s="206"/>
      <c r="BE32" s="206"/>
      <c r="BF32" s="206"/>
      <c r="BG32" s="206"/>
      <c r="BH32" s="206"/>
      <c r="BI32" s="206"/>
      <c r="BJ32" s="206"/>
      <c r="BK32" s="206"/>
      <c r="BL32" s="206"/>
      <c r="BM32" s="206"/>
      <c r="BN32" s="206"/>
      <c r="BO32" s="206"/>
      <c r="BQ32" s="199" t="b">
        <v>1</v>
      </c>
      <c r="BR32" s="50">
        <v>26</v>
      </c>
      <c r="BS32" s="200" t="b">
        <f t="shared" si="53"/>
        <v>0</v>
      </c>
      <c r="BT32" s="90" t="str">
        <f t="shared" si="41"/>
        <v/>
      </c>
      <c r="BU32" s="127" t="str">
        <f t="shared" si="42"/>
        <v/>
      </c>
      <c r="BV32" s="201" t="str">
        <f t="shared" si="27"/>
        <v/>
      </c>
      <c r="BW32" s="90" t="e">
        <f t="shared" si="43"/>
        <v>#N/A</v>
      </c>
      <c r="BX32" s="201" t="e">
        <f t="shared" si="44"/>
        <v>#N/A</v>
      </c>
      <c r="BY32" s="90" t="e">
        <f t="shared" si="28"/>
        <v>#N/A</v>
      </c>
      <c r="BZ32" s="127" t="str">
        <f t="shared" si="29"/>
        <v/>
      </c>
      <c r="CA32" s="127" t="str">
        <f t="shared" si="30"/>
        <v/>
      </c>
      <c r="CB32" s="90" t="str">
        <f t="shared" si="45"/>
        <v/>
      </c>
      <c r="CC32" s="90" t="str">
        <f t="shared" si="31"/>
        <v/>
      </c>
      <c r="CD32" s="90"/>
      <c r="CE32" s="90" t="str">
        <f t="shared" si="46"/>
        <v/>
      </c>
      <c r="CF32" s="90" t="str">
        <f t="shared" si="47"/>
        <v/>
      </c>
      <c r="CG32" s="90" t="str">
        <f t="shared" si="48"/>
        <v/>
      </c>
      <c r="CH32" s="90" t="str">
        <f t="shared" si="49"/>
        <v/>
      </c>
      <c r="CI32" s="90" t="str">
        <f t="shared" si="50"/>
        <v/>
      </c>
      <c r="CJ32" s="90" t="str">
        <f t="shared" si="51"/>
        <v/>
      </c>
      <c r="CK32" s="90" t="e">
        <f t="shared" si="52"/>
        <v>#N/A</v>
      </c>
      <c r="CL32" s="113" t="e">
        <f t="shared" si="32"/>
        <v>#N/A</v>
      </c>
      <c r="CM32" s="207" t="e">
        <f t="shared" si="14"/>
        <v>#N/A</v>
      </c>
      <c r="CN32" s="79" t="e">
        <f t="shared" si="15"/>
        <v>#N/A</v>
      </c>
      <c r="CO32" s="79" t="e">
        <f t="shared" si="16"/>
        <v>#N/A</v>
      </c>
      <c r="CP32" s="79" t="e">
        <f t="shared" si="17"/>
        <v>#N/A</v>
      </c>
      <c r="CQ32" s="79" t="e">
        <f t="shared" si="18"/>
        <v>#N/A</v>
      </c>
      <c r="CR32" s="79" t="e">
        <f t="shared" si="19"/>
        <v>#N/A</v>
      </c>
      <c r="CS32" s="79" t="e">
        <f t="shared" si="20"/>
        <v>#N/A</v>
      </c>
      <c r="CT32" s="79" t="e">
        <f t="shared" si="21"/>
        <v>#N/A</v>
      </c>
      <c r="CU32" s="79" t="e">
        <f t="shared" si="22"/>
        <v>#N/A</v>
      </c>
      <c r="CV32" s="109">
        <v>30</v>
      </c>
      <c r="CW32" s="50" t="e">
        <f t="shared" si="1"/>
        <v>#N/A</v>
      </c>
      <c r="CX32" s="50" t="e">
        <f t="shared" si="2"/>
        <v>#N/A</v>
      </c>
      <c r="CY32" s="50" t="e">
        <f t="shared" si="3"/>
        <v>#N/A</v>
      </c>
      <c r="CZ32" s="50" t="e">
        <f t="shared" si="4"/>
        <v>#N/A</v>
      </c>
      <c r="DA32" s="50" t="e">
        <f t="shared" si="5"/>
        <v>#N/A</v>
      </c>
      <c r="DB32" s="50" t="e">
        <f t="shared" si="6"/>
        <v>#N/A</v>
      </c>
      <c r="DC32" s="50" t="e">
        <f t="shared" si="7"/>
        <v>#N/A</v>
      </c>
      <c r="DD32" s="50" t="e">
        <f t="shared" si="8"/>
        <v>#N/A</v>
      </c>
      <c r="DE32" s="50" t="e">
        <f t="shared" si="9"/>
        <v>#N/A</v>
      </c>
      <c r="DF32" s="207">
        <f t="shared" si="10"/>
        <v>0</v>
      </c>
      <c r="DG32" s="79" t="e">
        <f>IF(DF32=0,NA(),SUM($DF$3:DF32))</f>
        <v>#N/A</v>
      </c>
    </row>
    <row r="33" spans="1:111" ht="12" customHeight="1" x14ac:dyDescent="0.2">
      <c r="A33" s="90"/>
      <c r="B33" s="181" t="str">
        <f t="shared" si="33"/>
        <v/>
      </c>
      <c r="C33" s="838" t="str">
        <f t="shared" si="34"/>
        <v/>
      </c>
      <c r="D33" s="182" t="str">
        <f t="shared" si="25"/>
        <v/>
      </c>
      <c r="E33" s="183">
        <v>27</v>
      </c>
      <c r="F33" s="603"/>
      <c r="G33" s="184"/>
      <c r="H33" s="185"/>
      <c r="I33" s="186"/>
      <c r="J33" s="184"/>
      <c r="K33" s="184"/>
      <c r="L33" s="186"/>
      <c r="M33" s="187"/>
      <c r="N33" s="189" t="str">
        <f t="shared" si="35"/>
        <v/>
      </c>
      <c r="O33" s="202" t="str">
        <f t="shared" si="36"/>
        <v/>
      </c>
      <c r="P33" s="189" t="str">
        <f t="shared" si="37"/>
        <v/>
      </c>
      <c r="Q33" s="203"/>
      <c r="R33" s="191" t="str">
        <f t="shared" si="38"/>
        <v/>
      </c>
      <c r="S33" s="192"/>
      <c r="T33" s="193" t="str">
        <f t="shared" si="26"/>
        <v/>
      </c>
      <c r="U33" s="165"/>
      <c r="V33" s="169">
        <f t="shared" si="23"/>
        <v>9.5E-4</v>
      </c>
      <c r="W33" s="170"/>
      <c r="X33" s="170"/>
      <c r="Y33" s="170"/>
      <c r="Z33" s="170"/>
      <c r="AA33" s="170"/>
      <c r="AB33" s="170"/>
      <c r="AC33" s="171">
        <f t="shared" si="24"/>
        <v>9.5E-4</v>
      </c>
      <c r="AD33" s="195" t="s">
        <v>339</v>
      </c>
      <c r="AE33" s="196" t="str">
        <f t="shared" si="39"/>
        <v/>
      </c>
      <c r="AF33" s="197" t="s">
        <v>261</v>
      </c>
      <c r="AG33" s="196" t="str">
        <f t="shared" si="40"/>
        <v/>
      </c>
      <c r="AH33" s="198" t="s">
        <v>259</v>
      </c>
      <c r="AI33" s="176"/>
      <c r="AJ33" s="176"/>
      <c r="AK33" s="176"/>
      <c r="AL33" s="176"/>
      <c r="AM33" s="176"/>
      <c r="AN33" s="176"/>
      <c r="AO33" s="176"/>
      <c r="AP33" s="176"/>
      <c r="AW33" s="102"/>
      <c r="AX33" s="102"/>
      <c r="AY33" s="102"/>
      <c r="AZ33" s="102"/>
      <c r="BA33" s="102"/>
      <c r="BB33" s="102"/>
      <c r="BC33" s="102"/>
      <c r="BD33" s="102"/>
      <c r="BE33" s="102"/>
      <c r="BF33" s="102"/>
      <c r="BG33" s="102"/>
      <c r="BH33" s="102"/>
      <c r="BI33" s="102"/>
      <c r="BJ33" s="102"/>
      <c r="BK33" s="102"/>
      <c r="BL33" s="102"/>
      <c r="BM33" s="102"/>
      <c r="BN33" s="102"/>
      <c r="BO33" s="102"/>
      <c r="BQ33" s="199" t="b">
        <v>1</v>
      </c>
      <c r="BR33" s="50">
        <v>27</v>
      </c>
      <c r="BS33" s="200" t="b">
        <f t="shared" si="53"/>
        <v>0</v>
      </c>
      <c r="BT33" s="90" t="str">
        <f t="shared" si="41"/>
        <v/>
      </c>
      <c r="BU33" s="127" t="str">
        <f t="shared" si="42"/>
        <v/>
      </c>
      <c r="BV33" s="201" t="str">
        <f t="shared" si="27"/>
        <v/>
      </c>
      <c r="BW33" s="90" t="e">
        <f t="shared" si="43"/>
        <v>#N/A</v>
      </c>
      <c r="BX33" s="201" t="e">
        <f t="shared" si="44"/>
        <v>#N/A</v>
      </c>
      <c r="BY33" s="90" t="e">
        <f t="shared" si="28"/>
        <v>#N/A</v>
      </c>
      <c r="BZ33" s="127" t="str">
        <f t="shared" si="29"/>
        <v/>
      </c>
      <c r="CA33" s="127" t="str">
        <f t="shared" si="30"/>
        <v/>
      </c>
      <c r="CB33" s="90" t="str">
        <f t="shared" si="45"/>
        <v/>
      </c>
      <c r="CC33" s="90" t="str">
        <f t="shared" si="31"/>
        <v/>
      </c>
      <c r="CD33" s="90"/>
      <c r="CE33" s="90" t="str">
        <f t="shared" si="46"/>
        <v/>
      </c>
      <c r="CF33" s="90" t="str">
        <f t="shared" si="47"/>
        <v/>
      </c>
      <c r="CG33" s="90" t="str">
        <f t="shared" si="48"/>
        <v/>
      </c>
      <c r="CH33" s="90" t="str">
        <f t="shared" si="49"/>
        <v/>
      </c>
      <c r="CI33" s="90" t="str">
        <f t="shared" si="50"/>
        <v/>
      </c>
      <c r="CJ33" s="90" t="str">
        <f t="shared" si="51"/>
        <v/>
      </c>
      <c r="CK33" s="90" t="e">
        <f t="shared" si="52"/>
        <v>#N/A</v>
      </c>
      <c r="CL33" s="113" t="e">
        <f t="shared" si="32"/>
        <v>#N/A</v>
      </c>
      <c r="CM33" s="207"/>
      <c r="CN33" s="79"/>
      <c r="CO33" s="79"/>
      <c r="CP33" s="79"/>
      <c r="CQ33" s="79"/>
      <c r="CR33" s="79"/>
      <c r="CS33" s="79"/>
      <c r="CT33" s="79"/>
      <c r="CU33" s="79"/>
      <c r="CV33" s="109"/>
      <c r="DF33" s="207"/>
      <c r="DG33" s="79">
        <f>IF(BV5,SUM(DF3:DF32)+2,NA())</f>
        <v>12</v>
      </c>
    </row>
    <row r="34" spans="1:111" ht="12" customHeight="1" x14ac:dyDescent="0.2">
      <c r="A34" s="90"/>
      <c r="B34" s="181" t="str">
        <f t="shared" si="33"/>
        <v/>
      </c>
      <c r="C34" s="838" t="str">
        <f t="shared" si="34"/>
        <v/>
      </c>
      <c r="D34" s="182" t="str">
        <f t="shared" si="25"/>
        <v/>
      </c>
      <c r="E34" s="204">
        <v>28</v>
      </c>
      <c r="F34" s="603"/>
      <c r="G34" s="184"/>
      <c r="H34" s="185"/>
      <c r="I34" s="186"/>
      <c r="J34" s="184"/>
      <c r="K34" s="184"/>
      <c r="L34" s="186"/>
      <c r="M34" s="187"/>
      <c r="N34" s="189" t="str">
        <f t="shared" si="35"/>
        <v/>
      </c>
      <c r="O34" s="202" t="str">
        <f t="shared" si="36"/>
        <v/>
      </c>
      <c r="P34" s="189" t="str">
        <f t="shared" si="37"/>
        <v/>
      </c>
      <c r="Q34" s="203"/>
      <c r="R34" s="191" t="str">
        <f t="shared" si="38"/>
        <v/>
      </c>
      <c r="S34" s="192"/>
      <c r="T34" s="193" t="str">
        <f t="shared" si="26"/>
        <v/>
      </c>
      <c r="U34" s="165"/>
      <c r="V34" s="169">
        <f t="shared" si="23"/>
        <v>9.5E-4</v>
      </c>
      <c r="W34" s="170"/>
      <c r="X34" s="170"/>
      <c r="Y34" s="170"/>
      <c r="Z34" s="170"/>
      <c r="AA34" s="170"/>
      <c r="AB34" s="170"/>
      <c r="AC34" s="171">
        <f t="shared" si="24"/>
        <v>9.5E-4</v>
      </c>
      <c r="AD34" s="195" t="s">
        <v>339</v>
      </c>
      <c r="AE34" s="196" t="str">
        <f t="shared" si="39"/>
        <v/>
      </c>
      <c r="AF34" s="197" t="s">
        <v>261</v>
      </c>
      <c r="AG34" s="196" t="str">
        <f t="shared" si="40"/>
        <v/>
      </c>
      <c r="AH34" s="198" t="s">
        <v>259</v>
      </c>
      <c r="AI34" s="176"/>
      <c r="AJ34" s="176"/>
      <c r="AK34" s="176"/>
      <c r="AL34" s="176"/>
      <c r="AM34" s="176"/>
      <c r="AN34" s="176"/>
      <c r="AO34" s="176"/>
      <c r="AP34" s="176"/>
      <c r="AW34" s="206"/>
      <c r="AX34" s="206"/>
      <c r="AY34" s="206"/>
      <c r="AZ34" s="206"/>
      <c r="BA34" s="206"/>
      <c r="BB34" s="206"/>
      <c r="BC34" s="206"/>
      <c r="BD34" s="206"/>
      <c r="BE34" s="206"/>
      <c r="BF34" s="206"/>
      <c r="BG34" s="206"/>
      <c r="BH34" s="206"/>
      <c r="BI34" s="206"/>
      <c r="BJ34" s="206"/>
      <c r="BK34" s="206"/>
      <c r="BL34" s="206"/>
      <c r="BM34" s="206"/>
      <c r="BN34" s="206"/>
      <c r="BO34" s="206"/>
      <c r="BQ34" s="199" t="b">
        <v>1</v>
      </c>
      <c r="BR34" s="50">
        <v>28</v>
      </c>
      <c r="BS34" s="200" t="b">
        <f t="shared" si="53"/>
        <v>0</v>
      </c>
      <c r="BT34" s="90" t="str">
        <f t="shared" si="41"/>
        <v/>
      </c>
      <c r="BU34" s="127" t="str">
        <f t="shared" si="42"/>
        <v/>
      </c>
      <c r="BV34" s="201" t="str">
        <f t="shared" si="27"/>
        <v/>
      </c>
      <c r="BW34" s="90" t="e">
        <f t="shared" si="43"/>
        <v>#N/A</v>
      </c>
      <c r="BX34" s="201" t="e">
        <f t="shared" si="44"/>
        <v>#N/A</v>
      </c>
      <c r="BY34" s="90" t="e">
        <f t="shared" si="28"/>
        <v>#N/A</v>
      </c>
      <c r="BZ34" s="127" t="str">
        <f t="shared" si="29"/>
        <v/>
      </c>
      <c r="CA34" s="127" t="str">
        <f t="shared" si="30"/>
        <v/>
      </c>
      <c r="CB34" s="90" t="str">
        <f t="shared" si="45"/>
        <v/>
      </c>
      <c r="CC34" s="90" t="str">
        <f t="shared" si="31"/>
        <v/>
      </c>
      <c r="CD34" s="90"/>
      <c r="CE34" s="90" t="str">
        <f t="shared" si="46"/>
        <v/>
      </c>
      <c r="CF34" s="90" t="str">
        <f t="shared" si="47"/>
        <v/>
      </c>
      <c r="CG34" s="90" t="str">
        <f t="shared" si="48"/>
        <v/>
      </c>
      <c r="CH34" s="90" t="str">
        <f t="shared" si="49"/>
        <v/>
      </c>
      <c r="CI34" s="90" t="str">
        <f t="shared" si="50"/>
        <v/>
      </c>
      <c r="CJ34" s="90" t="str">
        <f t="shared" si="51"/>
        <v/>
      </c>
      <c r="CK34" s="90" t="e">
        <f t="shared" si="52"/>
        <v>#N/A</v>
      </c>
      <c r="CL34" s="113" t="e">
        <f t="shared" si="32"/>
        <v>#N/A</v>
      </c>
    </row>
    <row r="35" spans="1:111" ht="12" customHeight="1" x14ac:dyDescent="0.2">
      <c r="A35" s="90"/>
      <c r="B35" s="181" t="str">
        <f t="shared" si="33"/>
        <v/>
      </c>
      <c r="C35" s="838" t="str">
        <f t="shared" si="34"/>
        <v/>
      </c>
      <c r="D35" s="182" t="str">
        <f t="shared" si="25"/>
        <v/>
      </c>
      <c r="E35" s="183">
        <v>29</v>
      </c>
      <c r="F35" s="603"/>
      <c r="G35" s="184"/>
      <c r="H35" s="185"/>
      <c r="I35" s="186"/>
      <c r="J35" s="184"/>
      <c r="K35" s="184"/>
      <c r="L35" s="186"/>
      <c r="M35" s="187"/>
      <c r="N35" s="189" t="str">
        <f t="shared" si="35"/>
        <v/>
      </c>
      <c r="O35" s="202" t="str">
        <f t="shared" si="36"/>
        <v/>
      </c>
      <c r="P35" s="189" t="str">
        <f t="shared" si="37"/>
        <v/>
      </c>
      <c r="Q35" s="203"/>
      <c r="R35" s="191" t="str">
        <f t="shared" si="38"/>
        <v/>
      </c>
      <c r="S35" s="192"/>
      <c r="T35" s="193" t="str">
        <f t="shared" si="26"/>
        <v/>
      </c>
      <c r="U35" s="165"/>
      <c r="V35" s="169">
        <f t="shared" si="23"/>
        <v>9.5E-4</v>
      </c>
      <c r="W35" s="170"/>
      <c r="X35" s="170"/>
      <c r="Y35" s="170"/>
      <c r="Z35" s="170"/>
      <c r="AA35" s="170"/>
      <c r="AB35" s="170"/>
      <c r="AC35" s="171">
        <f t="shared" si="24"/>
        <v>9.5E-4</v>
      </c>
      <c r="AD35" s="195" t="s">
        <v>339</v>
      </c>
      <c r="AE35" s="196" t="str">
        <f t="shared" si="39"/>
        <v/>
      </c>
      <c r="AF35" s="197" t="s">
        <v>261</v>
      </c>
      <c r="AG35" s="196" t="str">
        <f t="shared" si="40"/>
        <v/>
      </c>
      <c r="AH35" s="198" t="s">
        <v>259</v>
      </c>
      <c r="AI35" s="176"/>
      <c r="AJ35" s="176"/>
      <c r="AK35" s="176"/>
      <c r="AL35" s="176"/>
      <c r="AM35" s="176"/>
      <c r="AN35" s="176"/>
      <c r="AO35" s="176"/>
      <c r="AP35" s="176"/>
      <c r="AW35" s="206"/>
      <c r="AX35" s="206"/>
      <c r="AY35" s="206"/>
      <c r="AZ35" s="206"/>
      <c r="BA35" s="206"/>
      <c r="BB35" s="206"/>
      <c r="BC35" s="206"/>
      <c r="BD35" s="206"/>
      <c r="BE35" s="206"/>
      <c r="BF35" s="206"/>
      <c r="BG35" s="206"/>
      <c r="BH35" s="206"/>
      <c r="BI35" s="206"/>
      <c r="BJ35" s="206"/>
      <c r="BK35" s="206"/>
      <c r="BL35" s="206"/>
      <c r="BM35" s="206"/>
      <c r="BN35" s="206"/>
      <c r="BO35" s="206"/>
      <c r="BQ35" s="199" t="b">
        <v>1</v>
      </c>
      <c r="BR35" s="50">
        <v>29</v>
      </c>
      <c r="BS35" s="200" t="b">
        <f t="shared" si="53"/>
        <v>0</v>
      </c>
      <c r="BT35" s="90" t="str">
        <f t="shared" si="41"/>
        <v/>
      </c>
      <c r="BU35" s="127" t="str">
        <f t="shared" si="42"/>
        <v/>
      </c>
      <c r="BV35" s="201" t="str">
        <f t="shared" si="27"/>
        <v/>
      </c>
      <c r="BW35" s="90" t="e">
        <f t="shared" si="43"/>
        <v>#N/A</v>
      </c>
      <c r="BX35" s="201" t="e">
        <f t="shared" si="44"/>
        <v>#N/A</v>
      </c>
      <c r="BY35" s="90" t="e">
        <f t="shared" si="28"/>
        <v>#N/A</v>
      </c>
      <c r="BZ35" s="127" t="str">
        <f t="shared" si="29"/>
        <v/>
      </c>
      <c r="CA35" s="127" t="str">
        <f t="shared" si="30"/>
        <v/>
      </c>
      <c r="CB35" s="90" t="str">
        <f t="shared" si="45"/>
        <v/>
      </c>
      <c r="CC35" s="90" t="str">
        <f t="shared" si="31"/>
        <v/>
      </c>
      <c r="CD35" s="90"/>
      <c r="CE35" s="90" t="str">
        <f t="shared" si="46"/>
        <v/>
      </c>
      <c r="CF35" s="90" t="str">
        <f t="shared" si="47"/>
        <v/>
      </c>
      <c r="CG35" s="90" t="str">
        <f t="shared" si="48"/>
        <v/>
      </c>
      <c r="CH35" s="90" t="str">
        <f t="shared" si="49"/>
        <v/>
      </c>
      <c r="CI35" s="90" t="str">
        <f t="shared" si="50"/>
        <v/>
      </c>
      <c r="CJ35" s="90" t="str">
        <f t="shared" si="51"/>
        <v/>
      </c>
      <c r="CK35" s="90" t="e">
        <f t="shared" si="52"/>
        <v>#N/A</v>
      </c>
      <c r="CL35" s="113" t="e">
        <f t="shared" si="32"/>
        <v>#N/A</v>
      </c>
    </row>
    <row r="36" spans="1:111" ht="12" customHeight="1" thickBot="1" x14ac:dyDescent="0.25">
      <c r="A36" s="90"/>
      <c r="B36" s="208" t="str">
        <f t="shared" si="33"/>
        <v/>
      </c>
      <c r="C36" s="839" t="str">
        <f t="shared" si="34"/>
        <v/>
      </c>
      <c r="D36" s="209" t="str">
        <f t="shared" si="25"/>
        <v/>
      </c>
      <c r="E36" s="210">
        <v>30</v>
      </c>
      <c r="F36" s="605"/>
      <c r="G36" s="211"/>
      <c r="H36" s="212"/>
      <c r="I36" s="186"/>
      <c r="J36" s="211"/>
      <c r="K36" s="211"/>
      <c r="L36" s="213"/>
      <c r="M36" s="187"/>
      <c r="N36" s="215" t="str">
        <f t="shared" si="35"/>
        <v/>
      </c>
      <c r="O36" s="214" t="str">
        <f t="shared" si="36"/>
        <v/>
      </c>
      <c r="P36" s="215" t="str">
        <f t="shared" si="37"/>
        <v/>
      </c>
      <c r="Q36" s="216"/>
      <c r="R36" s="217" t="str">
        <f t="shared" si="38"/>
        <v/>
      </c>
      <c r="S36" s="218"/>
      <c r="T36" s="219" t="str">
        <f t="shared" si="26"/>
        <v/>
      </c>
      <c r="U36" s="205"/>
      <c r="V36" s="169">
        <f t="shared" si="23"/>
        <v>9.5E-4</v>
      </c>
      <c r="W36" s="170"/>
      <c r="X36" s="170"/>
      <c r="Y36" s="170"/>
      <c r="Z36" s="170"/>
      <c r="AA36" s="170"/>
      <c r="AB36" s="170"/>
      <c r="AC36" s="171">
        <f t="shared" si="24"/>
        <v>9.5E-4</v>
      </c>
      <c r="AD36" s="220" t="s">
        <v>339</v>
      </c>
      <c r="AE36" s="221" t="str">
        <f t="shared" si="39"/>
        <v/>
      </c>
      <c r="AF36" s="222" t="s">
        <v>261</v>
      </c>
      <c r="AG36" s="221" t="str">
        <f t="shared" si="40"/>
        <v/>
      </c>
      <c r="AH36" s="223" t="s">
        <v>259</v>
      </c>
      <c r="AI36" s="176"/>
      <c r="AJ36" s="176"/>
      <c r="AK36" s="176"/>
      <c r="AL36" s="176"/>
      <c r="AM36" s="176"/>
      <c r="AN36" s="176"/>
      <c r="AO36" s="176"/>
      <c r="AP36" s="176"/>
      <c r="AV36" s="102"/>
      <c r="AW36" s="102"/>
      <c r="AX36" s="102"/>
      <c r="AY36" s="102"/>
      <c r="AZ36" s="102"/>
      <c r="BA36" s="102"/>
      <c r="BB36" s="102"/>
      <c r="BC36" s="102"/>
      <c r="BD36" s="102"/>
      <c r="BE36" s="102"/>
      <c r="BF36" s="102"/>
      <c r="BG36" s="102"/>
      <c r="BH36" s="102"/>
      <c r="BI36" s="102"/>
      <c r="BJ36" s="102"/>
      <c r="BK36" s="102"/>
      <c r="BL36" s="102"/>
      <c r="BM36" s="102"/>
      <c r="BN36" s="102"/>
      <c r="BO36" s="102"/>
      <c r="BQ36" s="108" t="b">
        <v>1</v>
      </c>
      <c r="BR36" s="79">
        <v>30</v>
      </c>
      <c r="BS36" s="224" t="b">
        <f t="shared" si="53"/>
        <v>0</v>
      </c>
      <c r="BT36" s="79" t="str">
        <f t="shared" si="41"/>
        <v/>
      </c>
      <c r="BU36" s="225" t="str">
        <f t="shared" si="42"/>
        <v/>
      </c>
      <c r="BV36" s="226" t="str">
        <f t="shared" si="27"/>
        <v/>
      </c>
      <c r="BW36" s="79" t="e">
        <f t="shared" si="43"/>
        <v>#N/A</v>
      </c>
      <c r="BX36" s="226" t="e">
        <f t="shared" si="44"/>
        <v>#N/A</v>
      </c>
      <c r="BY36" s="79" t="e">
        <f t="shared" si="28"/>
        <v>#N/A</v>
      </c>
      <c r="BZ36" s="225" t="str">
        <f t="shared" si="29"/>
        <v/>
      </c>
      <c r="CA36" s="225" t="str">
        <f t="shared" si="30"/>
        <v/>
      </c>
      <c r="CB36" s="79" t="str">
        <f t="shared" si="45"/>
        <v/>
      </c>
      <c r="CC36" s="90" t="str">
        <f t="shared" si="31"/>
        <v/>
      </c>
      <c r="CD36" s="79"/>
      <c r="CE36" s="79" t="str">
        <f t="shared" si="46"/>
        <v/>
      </c>
      <c r="CF36" s="79" t="str">
        <f t="shared" si="47"/>
        <v/>
      </c>
      <c r="CG36" s="79" t="str">
        <f t="shared" si="48"/>
        <v/>
      </c>
      <c r="CH36" s="79" t="str">
        <f t="shared" si="49"/>
        <v/>
      </c>
      <c r="CI36" s="79" t="str">
        <f t="shared" si="50"/>
        <v/>
      </c>
      <c r="CJ36" s="79" t="str">
        <f t="shared" si="51"/>
        <v/>
      </c>
      <c r="CK36" s="79" t="e">
        <f t="shared" si="52"/>
        <v>#N/A</v>
      </c>
      <c r="CL36" s="109" t="e">
        <f t="shared" si="32"/>
        <v>#N/A</v>
      </c>
    </row>
    <row r="37" spans="1:111" ht="12" customHeight="1" thickTop="1" thickBot="1" x14ac:dyDescent="0.25">
      <c r="A37" s="97"/>
      <c r="B37" s="227"/>
      <c r="C37" s="840"/>
      <c r="D37" s="459"/>
      <c r="E37" s="596"/>
      <c r="F37" s="228"/>
      <c r="G37" s="228"/>
      <c r="H37" s="227"/>
      <c r="I37" s="227"/>
      <c r="J37" s="228"/>
      <c r="K37" s="24" t="s">
        <v>351</v>
      </c>
      <c r="L37" s="623" t="s">
        <v>517</v>
      </c>
      <c r="M37" s="227"/>
      <c r="N37" s="621"/>
      <c r="O37" s="32" t="s">
        <v>260</v>
      </c>
      <c r="P37" s="8"/>
      <c r="Q37" s="229"/>
      <c r="R37" s="621" t="s">
        <v>516</v>
      </c>
      <c r="S37" s="229"/>
      <c r="T37" s="230"/>
      <c r="U37" s="231"/>
      <c r="V37" s="169">
        <f>$V$4</f>
        <v>9.5E-4</v>
      </c>
      <c r="W37" s="170"/>
      <c r="X37" s="170"/>
      <c r="Y37" s="170"/>
      <c r="Z37" s="170"/>
      <c r="AA37" s="170"/>
      <c r="AB37" s="170"/>
      <c r="AC37" s="171">
        <f>$V$4</f>
        <v>9.5E-4</v>
      </c>
      <c r="AD37" s="232"/>
      <c r="AE37" s="233"/>
      <c r="AF37" s="234"/>
      <c r="AG37" s="233"/>
      <c r="AH37" s="235"/>
      <c r="AI37" s="236"/>
      <c r="AJ37" s="236"/>
      <c r="AK37" s="236"/>
      <c r="AL37" s="236"/>
      <c r="AM37" s="236"/>
      <c r="AN37" s="236"/>
      <c r="AO37" s="236"/>
      <c r="AP37" s="236"/>
      <c r="AV37" s="206"/>
      <c r="BS37" s="90"/>
      <c r="BT37" s="90"/>
      <c r="BV37" s="237"/>
      <c r="BW37" s="67" t="s">
        <v>316</v>
      </c>
      <c r="BX37" s="238">
        <f>IF($BV$5,SQRT(1/SUM(CB7:CB36)),"")</f>
        <v>2.8963670072328279E-2</v>
      </c>
      <c r="CB37" s="102">
        <f>SUM(CB7:CB36)</f>
        <v>1192.0454557949886</v>
      </c>
      <c r="CC37" s="55"/>
      <c r="CD37" s="102" t="s">
        <v>325</v>
      </c>
      <c r="CE37" s="102">
        <f t="shared" ref="CE37:CJ37" si="55">SUM(CE7:CE36)</f>
        <v>81.598470387939244</v>
      </c>
      <c r="CF37" s="102">
        <f t="shared" si="55"/>
        <v>289441.89390104229</v>
      </c>
      <c r="CG37" s="102">
        <f t="shared" si="55"/>
        <v>19.417926592738176</v>
      </c>
      <c r="CH37" s="102">
        <f t="shared" si="55"/>
        <v>0.22031720478808992</v>
      </c>
      <c r="CI37" s="102">
        <f t="shared" si="55"/>
        <v>610.34962414507561</v>
      </c>
      <c r="CJ37" s="102">
        <f t="shared" si="55"/>
        <v>57.565933236683364</v>
      </c>
      <c r="CL37" s="70">
        <f t="shared" si="32"/>
        <v>12</v>
      </c>
    </row>
    <row r="38" spans="1:111" ht="12" customHeight="1" thickTop="1" thickBot="1" x14ac:dyDescent="0.25">
      <c r="A38" s="239"/>
      <c r="B38" s="594" t="str">
        <f>IF(AND($BV$1,$BV$5,$BX$4,BV39&lt;&gt;""), IF(fixedrandom=1,BV39,CE51),"")</f>
        <v/>
      </c>
      <c r="C38" s="841" t="str">
        <f>IF(B38&lt;&gt;"",2*(1-NORMSDIST(ABS(B38))),"")</f>
        <v/>
      </c>
      <c r="D38" s="595" t="str">
        <f>IF(B38&lt;&gt;"",IF(C38&lt;0.001,"***",(IF(C38&lt;0.01,"**",(IF(C38&lt;0.05,"*",(IF(C38&lt;0.1,"?","ns"))))))),"")</f>
        <v/>
      </c>
      <c r="E38" s="240"/>
      <c r="F38" s="240"/>
      <c r="G38" s="624"/>
      <c r="H38" s="624"/>
      <c r="I38" s="624"/>
      <c r="J38" s="624"/>
      <c r="K38" s="242"/>
      <c r="L38" s="624"/>
      <c r="M38" s="625" t="str">
        <f>IF(BV5,IF(fixedrandom=1,"Fixed effect ","Random effects "),"")</f>
        <v xml:space="preserve">Fixed effect </v>
      </c>
      <c r="N38" s="622">
        <f>IF(AND($BV$5,$CF$2),IF(fixedrandom=1,SUMPRODUCT(BT7:BT36,CB7:CB36)/SUM(CB7:CB36),CE45),"")</f>
        <v>6.8452482236527043E-2</v>
      </c>
      <c r="O38" s="243"/>
      <c r="P38" s="244">
        <f>IF($CF$2,IF(fixedrandom=1,BX37^2,CE46),"")</f>
        <v>8.3889418405868482E-4</v>
      </c>
      <c r="Q38" s="245"/>
      <c r="R38" s="589">
        <f>IF(BV39&lt;&gt;"",BY39,"")</f>
        <v>5.6767750201864038E-2</v>
      </c>
      <c r="S38" s="246"/>
      <c r="T38" s="247"/>
      <c r="U38" s="248"/>
      <c r="V38" s="169">
        <f>$V$4</f>
        <v>9.5E-4</v>
      </c>
      <c r="W38" s="170"/>
      <c r="X38" s="170"/>
      <c r="Y38" s="170"/>
      <c r="Z38" s="170"/>
      <c r="AA38" s="170"/>
      <c r="AB38" s="170"/>
      <c r="AC38" s="171">
        <f>$V$4</f>
        <v>9.5E-4</v>
      </c>
      <c r="AD38" s="592" t="s">
        <v>339</v>
      </c>
      <c r="AE38" s="590">
        <f>IF(BV39&lt;&gt;"",N38-R38,"")</f>
        <v>1.1684732034663005E-2</v>
      </c>
      <c r="AF38" s="591" t="s">
        <v>261</v>
      </c>
      <c r="AG38" s="590">
        <f>IF(BV39&lt;&gt;"",N38+R38,"")</f>
        <v>0.12522023243839109</v>
      </c>
      <c r="AH38" s="593" t="s">
        <v>259</v>
      </c>
      <c r="AI38" s="236"/>
      <c r="AJ38" s="236"/>
      <c r="AK38" s="236"/>
      <c r="AL38" s="236"/>
      <c r="AM38" s="236"/>
      <c r="AN38" s="236"/>
      <c r="AO38" s="236"/>
      <c r="AP38" s="236"/>
      <c r="AR38" s="249"/>
      <c r="AS38" s="250"/>
      <c r="AV38" s="102"/>
      <c r="BV38" s="251" t="s">
        <v>315</v>
      </c>
      <c r="BX38" s="1"/>
      <c r="BY38" s="63" t="s">
        <v>299</v>
      </c>
      <c r="BZ38" s="55"/>
      <c r="CB38" s="67" t="s">
        <v>296</v>
      </c>
      <c r="CC38" s="252">
        <f>IF(fixedrandom=1,MAX(CB7:CB36),MAX(CI7:CI36))</f>
        <v>425.17016807979013</v>
      </c>
      <c r="CD38" s="253" t="s">
        <v>334</v>
      </c>
      <c r="CE38" s="254" t="s">
        <v>335</v>
      </c>
      <c r="CF38" s="255"/>
      <c r="CG38" s="256"/>
      <c r="CH38" s="256"/>
      <c r="CI38" s="256"/>
      <c r="CJ38" s="256"/>
      <c r="CK38" s="67" t="s">
        <v>364</v>
      </c>
      <c r="CL38" s="69" t="e">
        <f>IF(AND(NOT(CD3),BV39&lt;&gt;""),CL37,NA())</f>
        <v>#N/A</v>
      </c>
    </row>
    <row r="39" spans="1:111" ht="12" customHeight="1" thickTop="1" x14ac:dyDescent="0.2">
      <c r="B39" s="249"/>
      <c r="C39" s="249"/>
      <c r="D39" s="249"/>
      <c r="E39" s="249"/>
      <c r="H39" s="249" t="s">
        <v>744</v>
      </c>
      <c r="I39" s="249"/>
      <c r="J39" s="249"/>
      <c r="L39"/>
      <c r="M39"/>
      <c r="N39"/>
      <c r="P39" s="12"/>
      <c r="Q39" s="249"/>
      <c r="S39" s="257"/>
      <c r="T39" s="258"/>
      <c r="U39" s="249"/>
      <c r="V39" s="259"/>
      <c r="W39" s="249"/>
      <c r="X39" s="249"/>
      <c r="Y39" s="249"/>
      <c r="Z39" s="249"/>
      <c r="AA39" s="249"/>
      <c r="AB39" s="249"/>
      <c r="AC39" s="53"/>
      <c r="AD39" s="53"/>
      <c r="AE39" s="260"/>
      <c r="AF39" s="53"/>
      <c r="AG39" s="260"/>
      <c r="AV39" s="206"/>
      <c r="BT39" s="261">
        <f>IF($BV39&lt;&gt;"",N38,"")</f>
        <v>6.8452482236527043E-2</v>
      </c>
      <c r="BU39" s="262" t="str">
        <f>IF($BV39&lt;&gt;"",K37,"")</f>
        <v xml:space="preserve">11  </v>
      </c>
      <c r="BV39" s="263">
        <f>IF($BV$5,(N38-$BT$3)/BX37,"")</f>
        <v>2.363391174722921</v>
      </c>
      <c r="BW39" s="264" t="e">
        <f>IF(AND($BV$5,$CF$2),IF(NOT(CD3),N38,NA()),NA())</f>
        <v>#N/A</v>
      </c>
      <c r="BX39" s="265">
        <f>IF(AND(NOT(CD3),BV39&lt;&gt;""),32,32)</f>
        <v>32</v>
      </c>
      <c r="BY39" s="264">
        <f>IF(BV39&lt;&gt;"",IF(fixedrandom=1,NORMSINV((100+$M$2)/200)*BX37,CE48),NA())</f>
        <v>5.6767750201864038E-2</v>
      </c>
      <c r="BZ39" s="262"/>
      <c r="CA39" s="262">
        <f>IF(BV39&lt;&gt;"",(K37-1),"")</f>
        <v>10</v>
      </c>
      <c r="CB39" s="266"/>
      <c r="CC39" s="267"/>
      <c r="CD39" s="268" t="s">
        <v>267</v>
      </c>
      <c r="CE39" s="113">
        <f>COUNT(CE7:CE36)-1</f>
        <v>9</v>
      </c>
    </row>
    <row r="40" spans="1:111" ht="12" customHeight="1" x14ac:dyDescent="0.2">
      <c r="B40" s="249"/>
      <c r="C40" s="249"/>
      <c r="D40" s="249"/>
      <c r="E40" s="7" t="s">
        <v>367</v>
      </c>
      <c r="F40" s="249" t="s">
        <v>743</v>
      </c>
      <c r="H40" s="249"/>
      <c r="I40" s="249"/>
      <c r="J40" s="249"/>
      <c r="K40"/>
      <c r="L40"/>
      <c r="O40"/>
      <c r="P40" s="249"/>
      <c r="Q40" s="588" t="s">
        <v>747</v>
      </c>
      <c r="R40" s="626">
        <f>IF(BV39&lt;&gt;"",BS40,"")</f>
        <v>1.397516896958003</v>
      </c>
      <c r="S40" s="36"/>
      <c r="T40" s="249"/>
      <c r="U40" s="249"/>
      <c r="V40" s="259"/>
      <c r="W40" s="249"/>
      <c r="X40" s="249"/>
      <c r="Y40" s="249"/>
      <c r="Z40" s="249"/>
      <c r="AA40" s="249"/>
      <c r="AB40" s="249"/>
      <c r="AC40" s="53"/>
      <c r="AD40" s="53"/>
      <c r="AE40" s="53"/>
      <c r="AF40" s="53"/>
      <c r="AG40" s="53"/>
      <c r="AV40" s="102"/>
      <c r="BR40" s="59" t="s">
        <v>80</v>
      </c>
      <c r="BS40" s="50">
        <f>IF(BV39&lt;&gt;"",CE48/(NORMSINV((100+$M$2)/200)*BX37),NA())</f>
        <v>1.397516896958003</v>
      </c>
      <c r="BV40" s="1"/>
      <c r="BW40" s="50">
        <f>N38</f>
        <v>6.8452482236527043E-2</v>
      </c>
      <c r="BX40" s="1">
        <v>32</v>
      </c>
      <c r="BZ40" s="55"/>
      <c r="CA40" s="67" t="s">
        <v>297</v>
      </c>
      <c r="CB40" s="269">
        <f>MIN(CB7:CB37)</f>
        <v>25.572973495871949</v>
      </c>
      <c r="CC40" s="99"/>
      <c r="CD40" s="268" t="s">
        <v>326</v>
      </c>
      <c r="CE40" s="270">
        <f>IF(CB37=0,"",CG37-CE37^2/CB37)</f>
        <v>13.832308747979987</v>
      </c>
      <c r="CF40" s="271"/>
      <c r="CG40" s="102"/>
    </row>
    <row r="41" spans="1:111" ht="12" customHeight="1" x14ac:dyDescent="0.2">
      <c r="H41" s="50" t="s">
        <v>745</v>
      </c>
      <c r="K41"/>
      <c r="L41"/>
      <c r="M41"/>
      <c r="N41"/>
      <c r="O41"/>
      <c r="P41" s="249"/>
      <c r="Q41" s="249"/>
      <c r="R41" s="249"/>
      <c r="S41" s="36"/>
      <c r="T41" s="273"/>
      <c r="U41" s="249"/>
      <c r="V41" s="249"/>
      <c r="W41" s="249"/>
      <c r="X41" s="249"/>
      <c r="Y41" s="249"/>
      <c r="Z41" s="249"/>
      <c r="AA41" s="249"/>
      <c r="AB41" s="249"/>
      <c r="AC41" s="53"/>
      <c r="AD41" s="53"/>
      <c r="AE41" s="53"/>
      <c r="AF41" s="53"/>
      <c r="AG41" s="53"/>
      <c r="BV41" s="1"/>
      <c r="BW41" s="90"/>
      <c r="BX41" s="90"/>
      <c r="BY41" s="90"/>
      <c r="CD41" s="268" t="s">
        <v>352</v>
      </c>
      <c r="CE41" s="113">
        <f>CHIDIST(CE40,CE39)</f>
        <v>0.12841661518712341</v>
      </c>
      <c r="CG41" s="94"/>
      <c r="CH41" s="94"/>
      <c r="CI41" s="94"/>
      <c r="CJ41" s="94"/>
      <c r="CK41" s="274">
        <v>0</v>
      </c>
      <c r="CL41" s="95">
        <v>0.1</v>
      </c>
      <c r="CM41" s="94" t="s">
        <v>293</v>
      </c>
      <c r="CN41" s="275" t="s">
        <v>294</v>
      </c>
      <c r="CO41" s="276" t="s">
        <v>295</v>
      </c>
      <c r="CP41" s="277">
        <v>0</v>
      </c>
      <c r="CQ41" s="95">
        <v>0.2</v>
      </c>
      <c r="CR41" s="90"/>
    </row>
    <row r="42" spans="1:111" ht="12" customHeight="1" x14ac:dyDescent="0.2">
      <c r="K42"/>
      <c r="L42"/>
      <c r="M42"/>
      <c r="N42"/>
      <c r="O42"/>
      <c r="P42" s="249"/>
      <c r="Q42" s="249"/>
      <c r="R42" s="249"/>
      <c r="S42" s="278"/>
      <c r="T42" s="279"/>
      <c r="U42" s="249"/>
      <c r="V42" s="249"/>
      <c r="W42" s="249"/>
      <c r="X42" s="249"/>
      <c r="Y42" s="249"/>
      <c r="Z42" s="249"/>
      <c r="AA42" s="249"/>
      <c r="AB42" s="249"/>
      <c r="AC42" s="53"/>
      <c r="AD42" s="53"/>
      <c r="AE42" s="53"/>
      <c r="AF42" s="53"/>
      <c r="AG42" s="53"/>
      <c r="BV42" s="1"/>
      <c r="BW42" s="59" t="s">
        <v>300</v>
      </c>
      <c r="BX42" s="50">
        <v>0.4</v>
      </c>
      <c r="CD42" s="268" t="s">
        <v>251</v>
      </c>
      <c r="CE42" s="280">
        <f>CB37-CF37/CB37</f>
        <v>949.23433437847325</v>
      </c>
      <c r="CF42" s="90"/>
      <c r="CG42" s="90"/>
      <c r="CH42" s="90"/>
      <c r="CI42" s="90"/>
      <c r="CJ42" s="90"/>
      <c r="CK42" s="281">
        <f t="shared" ref="CK42:CK49" si="56">AVERAGE(CO42:CO43)</f>
        <v>1.1599999999999999</v>
      </c>
      <c r="CL42" s="113">
        <v>0.1</v>
      </c>
      <c r="CM42" s="90">
        <f t="shared" ref="CM42:CM50" si="57">$CC$38*CK42/$CK$50</f>
        <v>17.231108218099628</v>
      </c>
      <c r="CN42" s="282">
        <v>3</v>
      </c>
      <c r="CO42" s="283">
        <v>0.36</v>
      </c>
      <c r="CP42" s="284">
        <f t="shared" ref="CP42:CP50" si="58">CO42</f>
        <v>0.36</v>
      </c>
      <c r="CQ42" s="113">
        <v>0.2</v>
      </c>
      <c r="CR42" s="90"/>
      <c r="CS42" s="50">
        <f>CO42</f>
        <v>0.36</v>
      </c>
      <c r="CT42" s="50">
        <f t="shared" ref="CT42:CT49" si="59">CS42-CS41</f>
        <v>0.36</v>
      </c>
    </row>
    <row r="43" spans="1:111" ht="12" customHeight="1" x14ac:dyDescent="0.2">
      <c r="BS43" s="59" t="s">
        <v>301</v>
      </c>
      <c r="BT43" s="50">
        <f>BW40-BY39</f>
        <v>1.1684732034663005E-2</v>
      </c>
      <c r="BW43" s="91" t="s">
        <v>309</v>
      </c>
      <c r="BY43" s="63" t="s">
        <v>313</v>
      </c>
      <c r="CD43" s="268" t="s">
        <v>327</v>
      </c>
      <c r="CE43" s="113">
        <f>IF(CE42=0,0,MAX(0,(CE40-CE39)/CE42))</f>
        <v>5.0907437425807191E-3</v>
      </c>
      <c r="CF43" s="285"/>
      <c r="CK43" s="281">
        <f t="shared" si="56"/>
        <v>3.0608</v>
      </c>
      <c r="CL43" s="113">
        <v>0.1</v>
      </c>
      <c r="CM43" s="90">
        <f t="shared" si="57"/>
        <v>45.466358649964945</v>
      </c>
      <c r="CN43" s="286">
        <v>4</v>
      </c>
      <c r="CO43" s="287">
        <v>1.96</v>
      </c>
      <c r="CP43" s="284">
        <f t="shared" si="58"/>
        <v>1.96</v>
      </c>
      <c r="CQ43" s="113">
        <v>0.2</v>
      </c>
      <c r="CR43" s="90"/>
      <c r="CS43" s="50">
        <f t="shared" ref="CS43:CS49" si="60">CO43-CO42</f>
        <v>1.6</v>
      </c>
      <c r="CT43" s="50">
        <f t="shared" si="59"/>
        <v>1.2400000000000002</v>
      </c>
    </row>
    <row r="44" spans="1:111" ht="12" customHeight="1" x14ac:dyDescent="0.2">
      <c r="BS44" s="59" t="s">
        <v>302</v>
      </c>
      <c r="BT44" s="50">
        <f>BW40+BY39</f>
        <v>0.12522023243839109</v>
      </c>
      <c r="BW44" s="97">
        <f>IF(AND($CF$2,$BV$5),IF($CD$3,BW40,NA()),NA())</f>
        <v>6.8452482236527043E-2</v>
      </c>
      <c r="BX44" s="95">
        <f>IF($CD$3,BX40+BX42,NA())</f>
        <v>32.4</v>
      </c>
      <c r="BY44" s="70">
        <f>IF($CD$3,CL37+BX42,NA())</f>
        <v>12.4</v>
      </c>
      <c r="CD44" s="268" t="s">
        <v>340</v>
      </c>
      <c r="CE44" s="113">
        <f>SQRT(CE43)</f>
        <v>7.1349448088830508E-2</v>
      </c>
      <c r="CK44" s="281">
        <f t="shared" si="56"/>
        <v>5.4607999999999999</v>
      </c>
      <c r="CL44" s="113">
        <v>0.1</v>
      </c>
      <c r="CM44" s="90">
        <f t="shared" si="57"/>
        <v>81.116927377067626</v>
      </c>
      <c r="CN44" s="288">
        <v>6</v>
      </c>
      <c r="CO44" s="289">
        <v>4.1616</v>
      </c>
      <c r="CP44" s="284">
        <f t="shared" si="58"/>
        <v>4.1616</v>
      </c>
      <c r="CQ44" s="113">
        <v>0.2</v>
      </c>
      <c r="CR44" s="90"/>
      <c r="CS44" s="50">
        <f t="shared" si="60"/>
        <v>2.2016</v>
      </c>
      <c r="CT44" s="50">
        <f t="shared" si="59"/>
        <v>0.60159999999999991</v>
      </c>
    </row>
    <row r="45" spans="1:111" ht="12" customHeight="1" x14ac:dyDescent="0.2">
      <c r="BS45" s="59" t="s">
        <v>303</v>
      </c>
      <c r="BT45" s="50">
        <v>200</v>
      </c>
      <c r="BW45" s="106">
        <f>IF(AND($CF$2,$BV$5),IF($CD$3,BW40-BY39,NA()),NA())</f>
        <v>1.1684732034663005E-2</v>
      </c>
      <c r="BX45" s="113">
        <f>IF($CD$3,BX40,NA())</f>
        <v>32</v>
      </c>
      <c r="BY45" s="290">
        <f>IF($CD$3,CL37,NA())</f>
        <v>12</v>
      </c>
      <c r="CD45" s="291" t="s">
        <v>328</v>
      </c>
      <c r="CE45" s="113">
        <f>CJ37/CI37</f>
        <v>9.4316324544832297E-2</v>
      </c>
      <c r="CF45" s="90"/>
      <c r="CG45" s="102"/>
      <c r="CH45" s="102"/>
      <c r="CI45" s="102"/>
      <c r="CJ45" s="102"/>
      <c r="CK45" s="281">
        <f t="shared" si="56"/>
        <v>8.3412499999999987</v>
      </c>
      <c r="CL45" s="113">
        <v>0.1</v>
      </c>
      <c r="CM45" s="90">
        <f t="shared" si="57"/>
        <v>123.90429433122715</v>
      </c>
      <c r="CN45" s="292">
        <v>7</v>
      </c>
      <c r="CO45" s="283">
        <v>6.76</v>
      </c>
      <c r="CP45" s="284">
        <f t="shared" si="58"/>
        <v>6.76</v>
      </c>
      <c r="CQ45" s="113">
        <v>0.2</v>
      </c>
      <c r="CR45" s="90"/>
      <c r="CS45" s="50">
        <f t="shared" si="60"/>
        <v>2.5983999999999998</v>
      </c>
      <c r="CT45" s="50">
        <f t="shared" si="59"/>
        <v>0.39679999999999982</v>
      </c>
    </row>
    <row r="46" spans="1:111" ht="12" customHeight="1" x14ac:dyDescent="0.2">
      <c r="T46" s="293"/>
      <c r="BS46" s="59" t="s">
        <v>304</v>
      </c>
      <c r="BT46" s="50">
        <f>(BT44-BT43)/BT45</f>
        <v>5.6767750201864046E-4</v>
      </c>
      <c r="BW46" s="106">
        <f>IF(AND($CF$2,$BV$5),IF($CD$3,BW40,NA()),NA())</f>
        <v>6.8452482236527043E-2</v>
      </c>
      <c r="BX46" s="113">
        <f>IF($CD$3,BX40-BX42,NA())</f>
        <v>31.6</v>
      </c>
      <c r="BY46" s="290">
        <f>IF($CD$3,CL37-BX42,NA())</f>
        <v>11.6</v>
      </c>
      <c r="CD46" s="268" t="s">
        <v>329</v>
      </c>
      <c r="CE46" s="113">
        <f>1/CI37</f>
        <v>1.6384052032484048E-3</v>
      </c>
      <c r="CK46" s="281">
        <f t="shared" si="56"/>
        <v>11.806249999999999</v>
      </c>
      <c r="CL46" s="113">
        <v>0.1</v>
      </c>
      <c r="CM46" s="90">
        <f t="shared" si="57"/>
        <v>175.37480293098164</v>
      </c>
      <c r="CN46" s="294">
        <v>9</v>
      </c>
      <c r="CO46" s="287">
        <v>9.9224999999999994</v>
      </c>
      <c r="CP46" s="284">
        <f t="shared" si="58"/>
        <v>9.9224999999999994</v>
      </c>
      <c r="CQ46" s="113">
        <v>0.2</v>
      </c>
      <c r="CR46" s="90"/>
      <c r="CS46" s="50">
        <f t="shared" si="60"/>
        <v>3.1624999999999996</v>
      </c>
      <c r="CT46" s="50">
        <f t="shared" si="59"/>
        <v>0.56409999999999982</v>
      </c>
    </row>
    <row r="47" spans="1:111" ht="12" customHeight="1" x14ac:dyDescent="0.2">
      <c r="BS47" s="59" t="s">
        <v>307</v>
      </c>
      <c r="BT47" s="50">
        <v>0.04</v>
      </c>
      <c r="BW47" s="106">
        <f>IF(AND($CF$2,$BV$5),IF($CD$3,BW40+BY39,NA()),NA())</f>
        <v>0.12522023243839109</v>
      </c>
      <c r="BX47" s="113">
        <f>IF($CD$3,BX40,NA())</f>
        <v>32</v>
      </c>
      <c r="BY47" s="290">
        <f>IF($CD$3,CL37,NA())</f>
        <v>12</v>
      </c>
      <c r="CD47" s="268" t="s">
        <v>330</v>
      </c>
      <c r="CE47" s="113">
        <f>SQRT(CE46)</f>
        <v>4.0477218323995597E-2</v>
      </c>
      <c r="CK47" s="281">
        <f t="shared" si="56"/>
        <v>15.876249999999999</v>
      </c>
      <c r="CL47" s="113">
        <v>0.1</v>
      </c>
      <c r="CM47" s="90">
        <f t="shared" si="57"/>
        <v>235.83222573069327</v>
      </c>
      <c r="CN47" s="295">
        <v>10</v>
      </c>
      <c r="CO47" s="289">
        <v>13.69</v>
      </c>
      <c r="CP47" s="284">
        <f t="shared" si="58"/>
        <v>13.69</v>
      </c>
      <c r="CQ47" s="113">
        <v>0.2</v>
      </c>
      <c r="CR47" s="90"/>
      <c r="CS47" s="50">
        <f t="shared" si="60"/>
        <v>3.7675000000000001</v>
      </c>
      <c r="CT47" s="50">
        <f t="shared" si="59"/>
        <v>0.60500000000000043</v>
      </c>
    </row>
    <row r="48" spans="1:111" ht="12" customHeight="1" x14ac:dyDescent="0.2">
      <c r="BW48" s="207">
        <f>IF(AND($CF$2,$BV$5),IF($CD$3,BW40,NA()),NA())</f>
        <v>6.8452482236527043E-2</v>
      </c>
      <c r="BX48" s="109">
        <f>IF($CD$3,BX40+BX42,NA())</f>
        <v>32.4</v>
      </c>
      <c r="BY48" s="124">
        <f>IF($CD$3,CL37+BX42,NA())</f>
        <v>12.4</v>
      </c>
      <c r="CD48" s="268" t="s">
        <v>331</v>
      </c>
      <c r="CE48" s="113">
        <f>NORMSINV((100+$M$2)/200)*CE47</f>
        <v>7.933389010939608E-2</v>
      </c>
      <c r="CK48" s="281">
        <f t="shared" si="56"/>
        <v>20.55125</v>
      </c>
      <c r="CL48" s="113">
        <v>0.1</v>
      </c>
      <c r="CM48" s="90">
        <f t="shared" si="57"/>
        <v>305.276562730362</v>
      </c>
      <c r="CN48" s="296">
        <v>12</v>
      </c>
      <c r="CO48" s="283">
        <v>18.0625</v>
      </c>
      <c r="CP48" s="284">
        <f t="shared" si="58"/>
        <v>18.0625</v>
      </c>
      <c r="CQ48" s="113">
        <v>0.2</v>
      </c>
      <c r="CR48" s="90"/>
      <c r="CS48" s="50">
        <f t="shared" si="60"/>
        <v>4.3725000000000005</v>
      </c>
      <c r="CT48" s="50">
        <f t="shared" si="59"/>
        <v>0.60500000000000043</v>
      </c>
    </row>
    <row r="49" spans="6:98" ht="12" customHeight="1" x14ac:dyDescent="0.2">
      <c r="BX49" s="63" t="s">
        <v>313</v>
      </c>
      <c r="CC49" s="63"/>
      <c r="CD49" s="268" t="s">
        <v>332</v>
      </c>
      <c r="CE49" s="113">
        <f>CE45-CE48</f>
        <v>1.4982434435436218E-2</v>
      </c>
      <c r="CK49" s="281">
        <f t="shared" si="56"/>
        <v>25.831249999999997</v>
      </c>
      <c r="CL49" s="113">
        <v>0.1</v>
      </c>
      <c r="CM49" s="90">
        <f t="shared" si="57"/>
        <v>383.70781392998788</v>
      </c>
      <c r="CN49" s="297">
        <v>13</v>
      </c>
      <c r="CO49" s="287">
        <v>23.04</v>
      </c>
      <c r="CP49" s="284">
        <f t="shared" si="58"/>
        <v>23.04</v>
      </c>
      <c r="CQ49" s="113">
        <v>0.2</v>
      </c>
      <c r="CR49" s="90"/>
      <c r="CS49" s="50">
        <f t="shared" si="60"/>
        <v>4.9774999999999991</v>
      </c>
      <c r="CT49" s="50">
        <f t="shared" si="59"/>
        <v>0.60499999999999865</v>
      </c>
    </row>
    <row r="50" spans="6:98" ht="12" customHeight="1" x14ac:dyDescent="0.2">
      <c r="F50" s="298"/>
      <c r="BS50" s="63" t="s">
        <v>305</v>
      </c>
      <c r="BT50" s="50" t="s">
        <v>308</v>
      </c>
      <c r="BU50" s="63" t="s">
        <v>264</v>
      </c>
      <c r="BV50" s="63" t="s">
        <v>263</v>
      </c>
      <c r="BW50" s="63" t="s">
        <v>306</v>
      </c>
      <c r="BX50" s="154" t="s">
        <v>268</v>
      </c>
      <c r="BY50" s="63"/>
      <c r="BZ50" s="63"/>
      <c r="CA50" s="63"/>
      <c r="CC50" s="154"/>
      <c r="CD50" s="268" t="s">
        <v>333</v>
      </c>
      <c r="CE50" s="113">
        <f>CE45+CE48</f>
        <v>0.17365021465422836</v>
      </c>
      <c r="CF50" s="102"/>
      <c r="CK50" s="299">
        <f>CO50</f>
        <v>28.622499999999999</v>
      </c>
      <c r="CL50" s="109">
        <v>0.1</v>
      </c>
      <c r="CM50" s="79">
        <f t="shared" si="57"/>
        <v>425.17016807979013</v>
      </c>
      <c r="CN50" s="300">
        <v>15</v>
      </c>
      <c r="CO50" s="289">
        <v>28.622499999999999</v>
      </c>
      <c r="CP50" s="301">
        <f t="shared" si="58"/>
        <v>28.622499999999999</v>
      </c>
      <c r="CQ50" s="109">
        <v>0.2</v>
      </c>
      <c r="CR50" s="90"/>
      <c r="CS50" s="50">
        <f>CO50-CO49</f>
        <v>5.5824999999999996</v>
      </c>
      <c r="CT50" s="50">
        <f>CS50-CS49</f>
        <v>0.60500000000000043</v>
      </c>
    </row>
    <row r="51" spans="6:98" ht="12" customHeight="1" x14ac:dyDescent="0.2">
      <c r="BS51" s="50">
        <v>0</v>
      </c>
      <c r="BT51" s="50">
        <f t="shared" ref="BT51:BT114" si="61">1-ABS($BW$40-BU51)/$BY$39</f>
        <v>0</v>
      </c>
      <c r="BU51" s="50">
        <f>IF($CD$3,BT43,NA())</f>
        <v>1.1684732034663005E-2</v>
      </c>
      <c r="BV51" s="50">
        <f>IF($CD$3,BX40,NA())</f>
        <v>32</v>
      </c>
      <c r="BW51" s="50">
        <f t="shared" ref="BW51:BW114" si="62">MAX($BX$42*BT51-$BT$47,0)</f>
        <v>0</v>
      </c>
      <c r="BX51" s="50">
        <f>IF($CD$3,CL37,NA())</f>
        <v>12</v>
      </c>
      <c r="CD51" s="268" t="s">
        <v>315</v>
      </c>
      <c r="CE51" s="113">
        <f>(CE45-$BT$3)/CE47</f>
        <v>2.3301088476457865</v>
      </c>
    </row>
    <row r="52" spans="6:98" ht="12" customHeight="1" x14ac:dyDescent="0.2">
      <c r="F52" s="59"/>
      <c r="BS52" s="50">
        <v>1</v>
      </c>
      <c r="BT52" s="50">
        <f t="shared" si="61"/>
        <v>1.000000000000012E-2</v>
      </c>
      <c r="BU52" s="50">
        <f t="shared" ref="BU52:BU83" si="63">IF($CD$3,BU51+$BT$46,NA())</f>
        <v>1.2252409536681646E-2</v>
      </c>
      <c r="BV52" s="50">
        <f t="shared" ref="BV52:BV83" si="64">BV51</f>
        <v>32</v>
      </c>
      <c r="BW52" s="50">
        <f>MAX($BX$42*BT52-$BT$47,0)</f>
        <v>0</v>
      </c>
      <c r="BX52" s="50">
        <f t="shared" ref="BX52:BX83" si="65">BX51</f>
        <v>12</v>
      </c>
      <c r="CD52" s="268" t="s">
        <v>266</v>
      </c>
      <c r="CE52" s="113">
        <f>2*(1-NORMSDIST(ABS(CE51)))</f>
        <v>1.9800398926326235E-2</v>
      </c>
    </row>
    <row r="53" spans="6:98" ht="12" customHeight="1" x14ac:dyDescent="0.2">
      <c r="F53" s="59"/>
      <c r="S53" s="59"/>
      <c r="T53" s="302"/>
      <c r="BS53" s="50">
        <v>2</v>
      </c>
      <c r="BT53" s="50">
        <f t="shared" si="61"/>
        <v>2.0000000000000018E-2</v>
      </c>
      <c r="BU53" s="50">
        <f t="shared" si="63"/>
        <v>1.2820087038700287E-2</v>
      </c>
      <c r="BV53" s="50">
        <f t="shared" si="64"/>
        <v>32</v>
      </c>
      <c r="BW53" s="50">
        <f t="shared" si="62"/>
        <v>0</v>
      </c>
      <c r="BX53" s="50">
        <f t="shared" si="65"/>
        <v>12</v>
      </c>
      <c r="CD53" s="303" t="s">
        <v>341</v>
      </c>
      <c r="CE53" s="304">
        <f>MAX(0,(CE40-CE39)/CE40)</f>
        <v>0.3493493990065597</v>
      </c>
    </row>
    <row r="54" spans="6:98" ht="12" customHeight="1" x14ac:dyDescent="0.2">
      <c r="BS54" s="50">
        <v>3</v>
      </c>
      <c r="BT54" s="50">
        <f t="shared" si="61"/>
        <v>3.0000000000000027E-2</v>
      </c>
      <c r="BU54" s="50">
        <f t="shared" si="63"/>
        <v>1.3387764540718928E-2</v>
      </c>
      <c r="BV54" s="50">
        <f t="shared" si="64"/>
        <v>32</v>
      </c>
      <c r="BW54" s="50">
        <f t="shared" si="62"/>
        <v>0</v>
      </c>
      <c r="BX54" s="50">
        <f t="shared" si="65"/>
        <v>12</v>
      </c>
      <c r="CD54" s="106" t="s">
        <v>342</v>
      </c>
      <c r="CE54" s="113"/>
    </row>
    <row r="55" spans="6:98" ht="12" customHeight="1" x14ac:dyDescent="0.2">
      <c r="BS55" s="50">
        <v>4</v>
      </c>
      <c r="BT55" s="50">
        <f t="shared" si="61"/>
        <v>4.0000000000000036E-2</v>
      </c>
      <c r="BU55" s="50">
        <f t="shared" si="63"/>
        <v>1.3955442042737569E-2</v>
      </c>
      <c r="BV55" s="50">
        <f t="shared" si="64"/>
        <v>32</v>
      </c>
      <c r="BW55" s="50">
        <f t="shared" si="62"/>
        <v>0</v>
      </c>
      <c r="BX55" s="50">
        <f t="shared" si="65"/>
        <v>12</v>
      </c>
      <c r="CD55" s="268" t="s">
        <v>343</v>
      </c>
      <c r="CE55" s="113">
        <f>0.5*(LN(CE40)-LN(CE39))/(SQRT(2*CE40)-SQRT(2*CE39-1))</f>
        <v>0.18906316474476026</v>
      </c>
    </row>
    <row r="56" spans="6:98" ht="12" customHeight="1" x14ac:dyDescent="0.2">
      <c r="BS56" s="50">
        <v>5</v>
      </c>
      <c r="BT56" s="50">
        <f t="shared" si="61"/>
        <v>5.0000000000000155E-2</v>
      </c>
      <c r="BU56" s="50">
        <f t="shared" si="63"/>
        <v>1.452311954475621E-2</v>
      </c>
      <c r="BV56" s="50">
        <f t="shared" si="64"/>
        <v>32</v>
      </c>
      <c r="BW56" s="50">
        <f t="shared" si="62"/>
        <v>0</v>
      </c>
      <c r="BX56" s="50">
        <f t="shared" si="65"/>
        <v>12</v>
      </c>
      <c r="CD56" s="268" t="s">
        <v>344</v>
      </c>
      <c r="CE56" s="305">
        <f>SQRT(1/(2*(CE39-1)*(1-(1/(3*(CE39-1)^2)))))</f>
        <v>0.25065359588661412</v>
      </c>
    </row>
    <row r="57" spans="6:98" ht="12" customHeight="1" x14ac:dyDescent="0.2">
      <c r="BS57" s="50">
        <v>6</v>
      </c>
      <c r="BT57" s="50">
        <f t="shared" si="61"/>
        <v>6.0000000000000053E-2</v>
      </c>
      <c r="BU57" s="50">
        <f t="shared" si="63"/>
        <v>1.5090797046774851E-2</v>
      </c>
      <c r="BV57" s="50">
        <f t="shared" si="64"/>
        <v>32</v>
      </c>
      <c r="BW57" s="50">
        <f t="shared" si="62"/>
        <v>0</v>
      </c>
      <c r="BX57" s="50">
        <f t="shared" si="65"/>
        <v>12</v>
      </c>
      <c r="CD57" s="268" t="s">
        <v>258</v>
      </c>
      <c r="CE57" s="305">
        <f>IF(CE40&gt;(CE39+1),CE55,CE56)</f>
        <v>0.18906316474476026</v>
      </c>
    </row>
    <row r="58" spans="6:98" ht="12" customHeight="1" x14ac:dyDescent="0.2">
      <c r="BS58" s="50">
        <v>7</v>
      </c>
      <c r="BT58" s="50">
        <f t="shared" si="61"/>
        <v>7.0000000000000062E-2</v>
      </c>
      <c r="BU58" s="50">
        <f t="shared" si="63"/>
        <v>1.5658474548793492E-2</v>
      </c>
      <c r="BV58" s="50">
        <f t="shared" si="64"/>
        <v>32</v>
      </c>
      <c r="BW58" s="50">
        <f t="shared" si="62"/>
        <v>0</v>
      </c>
      <c r="BX58" s="50">
        <f t="shared" si="65"/>
        <v>12</v>
      </c>
      <c r="CD58" s="268" t="s">
        <v>345</v>
      </c>
      <c r="CE58" s="113">
        <f>EXP(0.5*LN(CE40/CE39)-NORMSINV((100+$M$2)/200)*CE57)</f>
        <v>0.85584521082799758</v>
      </c>
      <c r="CF58" s="306"/>
      <c r="CG58" s="63"/>
      <c r="CH58" s="63"/>
      <c r="CI58" s="63"/>
      <c r="CJ58" s="63"/>
    </row>
    <row r="59" spans="6:98" ht="12" customHeight="1" x14ac:dyDescent="0.2">
      <c r="BS59" s="50">
        <v>8</v>
      </c>
      <c r="BT59" s="50">
        <f t="shared" si="61"/>
        <v>8.0000000000000071E-2</v>
      </c>
      <c r="BU59" s="50">
        <f t="shared" si="63"/>
        <v>1.6226152050812133E-2</v>
      </c>
      <c r="BV59" s="50">
        <f t="shared" si="64"/>
        <v>32</v>
      </c>
      <c r="BW59" s="50">
        <f t="shared" si="62"/>
        <v>0</v>
      </c>
      <c r="BX59" s="50">
        <f t="shared" si="65"/>
        <v>12</v>
      </c>
      <c r="CD59" s="268" t="s">
        <v>346</v>
      </c>
      <c r="CE59" s="113">
        <f>EXP(0.5*LN(CE40/CE39)+NORMSINV((100+$M$2)/200)*CE57)</f>
        <v>1.7957957522868933</v>
      </c>
      <c r="CG59" s="154"/>
      <c r="CH59" s="154"/>
      <c r="CI59" s="154"/>
      <c r="CJ59" s="154"/>
    </row>
    <row r="60" spans="6:98" ht="12" customHeight="1" x14ac:dyDescent="0.2">
      <c r="BS60" s="50">
        <v>9</v>
      </c>
      <c r="BT60" s="50">
        <f t="shared" si="61"/>
        <v>9.0000000000000191E-2</v>
      </c>
      <c r="BU60" s="50">
        <f t="shared" si="63"/>
        <v>1.6793829552830774E-2</v>
      </c>
      <c r="BV60" s="50">
        <f t="shared" si="64"/>
        <v>32</v>
      </c>
      <c r="BW60" s="50">
        <f t="shared" si="62"/>
        <v>0</v>
      </c>
      <c r="BX60" s="50">
        <f t="shared" si="65"/>
        <v>12</v>
      </c>
      <c r="CD60" s="268" t="s">
        <v>347</v>
      </c>
      <c r="CE60" s="113">
        <f>MAX(0,CE39*(CE58^2-1)/CE42)</f>
        <v>0</v>
      </c>
    </row>
    <row r="61" spans="6:98" ht="12" customHeight="1" x14ac:dyDescent="0.2">
      <c r="BS61" s="50">
        <v>10</v>
      </c>
      <c r="BT61" s="50">
        <f t="shared" si="61"/>
        <v>0.10000000000000009</v>
      </c>
      <c r="BU61" s="50">
        <f t="shared" si="63"/>
        <v>1.7361507054849415E-2</v>
      </c>
      <c r="BV61" s="50">
        <f t="shared" si="64"/>
        <v>32</v>
      </c>
      <c r="BW61" s="50">
        <f t="shared" si="62"/>
        <v>3.4694469519536142E-17</v>
      </c>
      <c r="BX61" s="50">
        <f t="shared" si="65"/>
        <v>12</v>
      </c>
      <c r="CD61" s="268" t="s">
        <v>348</v>
      </c>
      <c r="CE61" s="113">
        <f>MAX(0,CE39*(CE59^2-1)/CE42)</f>
        <v>2.1094834784390563E-2</v>
      </c>
      <c r="CF61" s="63"/>
    </row>
    <row r="62" spans="6:98" ht="12" customHeight="1" x14ac:dyDescent="0.2">
      <c r="BS62" s="50">
        <v>11</v>
      </c>
      <c r="BT62" s="50">
        <f t="shared" si="61"/>
        <v>0.1100000000000001</v>
      </c>
      <c r="BU62" s="50">
        <f t="shared" si="63"/>
        <v>1.7929184556868056E-2</v>
      </c>
      <c r="BV62" s="50">
        <f t="shared" si="64"/>
        <v>32</v>
      </c>
      <c r="BW62" s="50">
        <f t="shared" si="62"/>
        <v>4.0000000000000382E-3</v>
      </c>
      <c r="BX62" s="50">
        <f t="shared" si="65"/>
        <v>12</v>
      </c>
      <c r="CD62" s="268" t="s">
        <v>349</v>
      </c>
      <c r="CE62" s="113">
        <f>SQRT(CE60)</f>
        <v>0</v>
      </c>
      <c r="CF62" s="154"/>
    </row>
    <row r="63" spans="6:98" ht="12" customHeight="1" x14ac:dyDescent="0.2">
      <c r="BS63" s="50">
        <v>12</v>
      </c>
      <c r="BT63" s="50">
        <f t="shared" si="61"/>
        <v>0.12000000000000011</v>
      </c>
      <c r="BU63" s="50">
        <f t="shared" si="63"/>
        <v>1.8496862058886697E-2</v>
      </c>
      <c r="BV63" s="50">
        <f t="shared" si="64"/>
        <v>32</v>
      </c>
      <c r="BW63" s="50">
        <f t="shared" si="62"/>
        <v>8.0000000000000418E-3</v>
      </c>
      <c r="BX63" s="50">
        <f t="shared" si="65"/>
        <v>12</v>
      </c>
      <c r="CD63" s="107" t="s">
        <v>350</v>
      </c>
      <c r="CE63" s="109">
        <f>SQRT(CE61)</f>
        <v>0.14524060996976901</v>
      </c>
    </row>
    <row r="64" spans="6:98" ht="12" customHeight="1" x14ac:dyDescent="0.2">
      <c r="BS64" s="50">
        <v>13</v>
      </c>
      <c r="BT64" s="50">
        <f t="shared" si="61"/>
        <v>0.13000000000000023</v>
      </c>
      <c r="BU64" s="50">
        <f t="shared" si="63"/>
        <v>1.9064539560905338E-2</v>
      </c>
      <c r="BV64" s="50">
        <f t="shared" si="64"/>
        <v>32</v>
      </c>
      <c r="BW64" s="50">
        <f t="shared" si="62"/>
        <v>1.2000000000000094E-2</v>
      </c>
      <c r="BX64" s="50">
        <f t="shared" si="65"/>
        <v>12</v>
      </c>
    </row>
    <row r="65" spans="71:76" ht="12" customHeight="1" x14ac:dyDescent="0.2">
      <c r="BS65" s="50">
        <v>14</v>
      </c>
      <c r="BT65" s="50">
        <f t="shared" si="61"/>
        <v>0.14000000000000012</v>
      </c>
      <c r="BU65" s="50">
        <f t="shared" si="63"/>
        <v>1.9632217062923979E-2</v>
      </c>
      <c r="BV65" s="50">
        <f t="shared" si="64"/>
        <v>32</v>
      </c>
      <c r="BW65" s="50">
        <f t="shared" si="62"/>
        <v>1.6000000000000049E-2</v>
      </c>
      <c r="BX65" s="50">
        <f t="shared" si="65"/>
        <v>12</v>
      </c>
    </row>
    <row r="66" spans="71:76" ht="12" customHeight="1" x14ac:dyDescent="0.2">
      <c r="BS66" s="50">
        <v>15</v>
      </c>
      <c r="BT66" s="50">
        <f t="shared" si="61"/>
        <v>0.15000000000000013</v>
      </c>
      <c r="BU66" s="50">
        <f t="shared" si="63"/>
        <v>2.019989456494262E-2</v>
      </c>
      <c r="BV66" s="50">
        <f t="shared" si="64"/>
        <v>32</v>
      </c>
      <c r="BW66" s="50">
        <f t="shared" si="62"/>
        <v>2.0000000000000052E-2</v>
      </c>
      <c r="BX66" s="50">
        <f t="shared" si="65"/>
        <v>12</v>
      </c>
    </row>
    <row r="67" spans="71:76" ht="12" customHeight="1" x14ac:dyDescent="0.2">
      <c r="BS67" s="50">
        <v>16</v>
      </c>
      <c r="BT67" s="50">
        <f t="shared" si="61"/>
        <v>0.16000000000000014</v>
      </c>
      <c r="BU67" s="50">
        <f t="shared" si="63"/>
        <v>2.0767572066961261E-2</v>
      </c>
      <c r="BV67" s="50">
        <f t="shared" si="64"/>
        <v>32</v>
      </c>
      <c r="BW67" s="50">
        <f t="shared" si="62"/>
        <v>2.4000000000000056E-2</v>
      </c>
      <c r="BX67" s="50">
        <f t="shared" si="65"/>
        <v>12</v>
      </c>
    </row>
    <row r="68" spans="71:76" ht="12" customHeight="1" x14ac:dyDescent="0.2">
      <c r="BS68" s="50">
        <v>17</v>
      </c>
      <c r="BT68" s="50">
        <f t="shared" si="61"/>
        <v>0.17000000000000026</v>
      </c>
      <c r="BU68" s="50">
        <f t="shared" si="63"/>
        <v>2.1335249568979902E-2</v>
      </c>
      <c r="BV68" s="50">
        <f t="shared" si="64"/>
        <v>32</v>
      </c>
      <c r="BW68" s="50">
        <f t="shared" si="62"/>
        <v>2.8000000000000101E-2</v>
      </c>
      <c r="BX68" s="50">
        <f t="shared" si="65"/>
        <v>12</v>
      </c>
    </row>
    <row r="69" spans="71:76" ht="12" customHeight="1" x14ac:dyDescent="0.2">
      <c r="BS69" s="50">
        <v>18</v>
      </c>
      <c r="BT69" s="50">
        <f t="shared" si="61"/>
        <v>0.18000000000000016</v>
      </c>
      <c r="BU69" s="50">
        <f t="shared" si="63"/>
        <v>2.1902927070998543E-2</v>
      </c>
      <c r="BV69" s="50">
        <f t="shared" si="64"/>
        <v>32</v>
      </c>
      <c r="BW69" s="50">
        <f t="shared" si="62"/>
        <v>3.2000000000000063E-2</v>
      </c>
      <c r="BX69" s="50">
        <f t="shared" si="65"/>
        <v>12</v>
      </c>
    </row>
    <row r="70" spans="71:76" ht="12" customHeight="1" x14ac:dyDescent="0.2">
      <c r="BS70" s="50">
        <v>19</v>
      </c>
      <c r="BT70" s="50">
        <f t="shared" si="61"/>
        <v>0.19000000000000017</v>
      </c>
      <c r="BU70" s="50">
        <f t="shared" si="63"/>
        <v>2.2470604573017184E-2</v>
      </c>
      <c r="BV70" s="50">
        <f t="shared" si="64"/>
        <v>32</v>
      </c>
      <c r="BW70" s="50">
        <f t="shared" si="62"/>
        <v>3.6000000000000067E-2</v>
      </c>
      <c r="BX70" s="50">
        <f t="shared" si="65"/>
        <v>12</v>
      </c>
    </row>
    <row r="71" spans="71:76" ht="12" customHeight="1" x14ac:dyDescent="0.2">
      <c r="BS71" s="50">
        <v>20</v>
      </c>
      <c r="BT71" s="50">
        <f t="shared" si="61"/>
        <v>0.20000000000000018</v>
      </c>
      <c r="BU71" s="50">
        <f t="shared" si="63"/>
        <v>2.3038282075035825E-2</v>
      </c>
      <c r="BV71" s="50">
        <f t="shared" si="64"/>
        <v>32</v>
      </c>
      <c r="BW71" s="50">
        <f t="shared" si="62"/>
        <v>4.000000000000007E-2</v>
      </c>
      <c r="BX71" s="50">
        <f t="shared" si="65"/>
        <v>12</v>
      </c>
    </row>
    <row r="72" spans="71:76" ht="12" customHeight="1" x14ac:dyDescent="0.2">
      <c r="BS72" s="50">
        <v>21</v>
      </c>
      <c r="BT72" s="50">
        <f t="shared" si="61"/>
        <v>0.2100000000000003</v>
      </c>
      <c r="BU72" s="50">
        <f t="shared" si="63"/>
        <v>2.3605959577054466E-2</v>
      </c>
      <c r="BV72" s="50">
        <f t="shared" si="64"/>
        <v>32</v>
      </c>
      <c r="BW72" s="50">
        <f t="shared" si="62"/>
        <v>4.4000000000000129E-2</v>
      </c>
      <c r="BX72" s="50">
        <f t="shared" si="65"/>
        <v>12</v>
      </c>
    </row>
    <row r="73" spans="71:76" ht="12" customHeight="1" x14ac:dyDescent="0.2">
      <c r="BS73" s="50">
        <v>22</v>
      </c>
      <c r="BT73" s="50">
        <f t="shared" si="61"/>
        <v>0.2200000000000002</v>
      </c>
      <c r="BU73" s="50">
        <f t="shared" si="63"/>
        <v>2.4173637079073107E-2</v>
      </c>
      <c r="BV73" s="50">
        <f t="shared" si="64"/>
        <v>32</v>
      </c>
      <c r="BW73" s="50">
        <f t="shared" si="62"/>
        <v>4.8000000000000077E-2</v>
      </c>
      <c r="BX73" s="50">
        <f t="shared" si="65"/>
        <v>12</v>
      </c>
    </row>
    <row r="74" spans="71:76" ht="12" customHeight="1" x14ac:dyDescent="0.2">
      <c r="BS74" s="50">
        <v>23</v>
      </c>
      <c r="BT74" s="50">
        <f t="shared" si="61"/>
        <v>0.2300000000000002</v>
      </c>
      <c r="BU74" s="50">
        <f t="shared" si="63"/>
        <v>2.4741314581091748E-2</v>
      </c>
      <c r="BV74" s="50">
        <f t="shared" si="64"/>
        <v>32</v>
      </c>
      <c r="BW74" s="50">
        <f t="shared" si="62"/>
        <v>5.2000000000000081E-2</v>
      </c>
      <c r="BX74" s="50">
        <f t="shared" si="65"/>
        <v>12</v>
      </c>
    </row>
    <row r="75" spans="71:76" ht="12" customHeight="1" x14ac:dyDescent="0.2">
      <c r="BS75" s="50">
        <v>24</v>
      </c>
      <c r="BT75" s="50">
        <f t="shared" si="61"/>
        <v>0.24000000000000021</v>
      </c>
      <c r="BU75" s="50">
        <f t="shared" si="63"/>
        <v>2.5308992083110389E-2</v>
      </c>
      <c r="BV75" s="50">
        <f t="shared" si="64"/>
        <v>32</v>
      </c>
      <c r="BW75" s="50">
        <f t="shared" si="62"/>
        <v>5.6000000000000084E-2</v>
      </c>
      <c r="BX75" s="50">
        <f t="shared" si="65"/>
        <v>12</v>
      </c>
    </row>
    <row r="76" spans="71:76" ht="12" customHeight="1" x14ac:dyDescent="0.2">
      <c r="BS76" s="50">
        <v>25</v>
      </c>
      <c r="BT76" s="50">
        <f t="shared" si="61"/>
        <v>0.25000000000000033</v>
      </c>
      <c r="BU76" s="50">
        <f t="shared" si="63"/>
        <v>2.587666958512903E-2</v>
      </c>
      <c r="BV76" s="50">
        <f t="shared" si="64"/>
        <v>32</v>
      </c>
      <c r="BW76" s="50">
        <f t="shared" si="62"/>
        <v>6.0000000000000143E-2</v>
      </c>
      <c r="BX76" s="50">
        <f t="shared" si="65"/>
        <v>12</v>
      </c>
    </row>
    <row r="77" spans="71:76" ht="12" customHeight="1" x14ac:dyDescent="0.2">
      <c r="BS77" s="50">
        <v>26</v>
      </c>
      <c r="BT77" s="50">
        <f t="shared" si="61"/>
        <v>0.26000000000000023</v>
      </c>
      <c r="BU77" s="50">
        <f t="shared" si="63"/>
        <v>2.6444347087147671E-2</v>
      </c>
      <c r="BV77" s="50">
        <f t="shared" si="64"/>
        <v>32</v>
      </c>
      <c r="BW77" s="50">
        <f t="shared" si="62"/>
        <v>6.4000000000000085E-2</v>
      </c>
      <c r="BX77" s="50">
        <f t="shared" si="65"/>
        <v>12</v>
      </c>
    </row>
    <row r="78" spans="71:76" ht="12" customHeight="1" x14ac:dyDescent="0.2">
      <c r="BS78" s="50">
        <v>27</v>
      </c>
      <c r="BT78" s="50">
        <f t="shared" si="61"/>
        <v>0.27000000000000024</v>
      </c>
      <c r="BU78" s="50">
        <f t="shared" si="63"/>
        <v>2.7012024589166312E-2</v>
      </c>
      <c r="BV78" s="50">
        <f t="shared" si="64"/>
        <v>32</v>
      </c>
      <c r="BW78" s="50">
        <f t="shared" si="62"/>
        <v>6.8000000000000088E-2</v>
      </c>
      <c r="BX78" s="50">
        <f t="shared" si="65"/>
        <v>12</v>
      </c>
    </row>
    <row r="79" spans="71:76" ht="12" customHeight="1" x14ac:dyDescent="0.2">
      <c r="BS79" s="50">
        <v>28</v>
      </c>
      <c r="BT79" s="50">
        <f t="shared" si="61"/>
        <v>0.28000000000000036</v>
      </c>
      <c r="BU79" s="50">
        <f t="shared" si="63"/>
        <v>2.7579702091184953E-2</v>
      </c>
      <c r="BV79" s="50">
        <f t="shared" si="64"/>
        <v>32</v>
      </c>
      <c r="BW79" s="50">
        <f t="shared" si="62"/>
        <v>7.2000000000000147E-2</v>
      </c>
      <c r="BX79" s="50">
        <f t="shared" si="65"/>
        <v>12</v>
      </c>
    </row>
    <row r="80" spans="71:76" ht="12" customHeight="1" x14ac:dyDescent="0.2">
      <c r="BS80" s="50">
        <v>29</v>
      </c>
      <c r="BT80" s="50">
        <f t="shared" si="61"/>
        <v>0.29000000000000037</v>
      </c>
      <c r="BU80" s="50">
        <f t="shared" si="63"/>
        <v>2.8147379593203594E-2</v>
      </c>
      <c r="BV80" s="50">
        <f t="shared" si="64"/>
        <v>32</v>
      </c>
      <c r="BW80" s="50">
        <f t="shared" si="62"/>
        <v>7.6000000000000151E-2</v>
      </c>
      <c r="BX80" s="50">
        <f t="shared" si="65"/>
        <v>12</v>
      </c>
    </row>
    <row r="81" spans="71:76" ht="12" customHeight="1" x14ac:dyDescent="0.2">
      <c r="BS81" s="50">
        <v>30</v>
      </c>
      <c r="BT81" s="50">
        <f t="shared" si="61"/>
        <v>0.30000000000000038</v>
      </c>
      <c r="BU81" s="50">
        <f t="shared" si="63"/>
        <v>2.8715057095222235E-2</v>
      </c>
      <c r="BV81" s="50">
        <f t="shared" si="64"/>
        <v>32</v>
      </c>
      <c r="BW81" s="50">
        <f t="shared" si="62"/>
        <v>8.0000000000000154E-2</v>
      </c>
      <c r="BX81" s="50">
        <f t="shared" si="65"/>
        <v>12</v>
      </c>
    </row>
    <row r="82" spans="71:76" ht="12" customHeight="1" x14ac:dyDescent="0.2">
      <c r="BS82" s="50">
        <v>31</v>
      </c>
      <c r="BT82" s="50">
        <f t="shared" si="61"/>
        <v>0.31000000000000028</v>
      </c>
      <c r="BU82" s="50">
        <f t="shared" si="63"/>
        <v>2.9282734597240876E-2</v>
      </c>
      <c r="BV82" s="50">
        <f t="shared" si="64"/>
        <v>32</v>
      </c>
      <c r="BW82" s="50">
        <f t="shared" si="62"/>
        <v>8.4000000000000102E-2</v>
      </c>
      <c r="BX82" s="50">
        <f t="shared" si="65"/>
        <v>12</v>
      </c>
    </row>
    <row r="83" spans="71:76" ht="12" customHeight="1" x14ac:dyDescent="0.2">
      <c r="BS83" s="50">
        <v>32</v>
      </c>
      <c r="BT83" s="50">
        <f t="shared" si="61"/>
        <v>0.3200000000000004</v>
      </c>
      <c r="BU83" s="50">
        <f t="shared" si="63"/>
        <v>2.9850412099259517E-2</v>
      </c>
      <c r="BV83" s="50">
        <f t="shared" si="64"/>
        <v>32</v>
      </c>
      <c r="BW83" s="50">
        <f t="shared" si="62"/>
        <v>8.8000000000000161E-2</v>
      </c>
      <c r="BX83" s="50">
        <f t="shared" si="65"/>
        <v>12</v>
      </c>
    </row>
    <row r="84" spans="71:76" ht="12" customHeight="1" x14ac:dyDescent="0.2">
      <c r="BS84" s="50">
        <v>33</v>
      </c>
      <c r="BT84" s="50">
        <f t="shared" si="61"/>
        <v>0.3300000000000004</v>
      </c>
      <c r="BU84" s="50">
        <f t="shared" ref="BU84:BU115" si="66">IF($CD$3,BU83+$BT$46,NA())</f>
        <v>3.0418089601278158E-2</v>
      </c>
      <c r="BV84" s="50">
        <f t="shared" ref="BV84:BV115" si="67">BV83</f>
        <v>32</v>
      </c>
      <c r="BW84" s="50">
        <f t="shared" si="62"/>
        <v>9.2000000000000165E-2</v>
      </c>
      <c r="BX84" s="50">
        <f t="shared" ref="BX84:BX115" si="68">BX83</f>
        <v>12</v>
      </c>
    </row>
    <row r="85" spans="71:76" ht="12" customHeight="1" x14ac:dyDescent="0.2">
      <c r="BS85" s="50">
        <v>34</v>
      </c>
      <c r="BT85" s="50">
        <f t="shared" si="61"/>
        <v>0.34000000000000041</v>
      </c>
      <c r="BU85" s="50">
        <f t="shared" si="66"/>
        <v>3.0985767103296799E-2</v>
      </c>
      <c r="BV85" s="50">
        <f t="shared" si="67"/>
        <v>32</v>
      </c>
      <c r="BW85" s="50">
        <f t="shared" si="62"/>
        <v>9.6000000000000169E-2</v>
      </c>
      <c r="BX85" s="50">
        <f t="shared" si="68"/>
        <v>12</v>
      </c>
    </row>
    <row r="86" spans="71:76" ht="12" customHeight="1" x14ac:dyDescent="0.2">
      <c r="BS86" s="50">
        <v>35</v>
      </c>
      <c r="BT86" s="50">
        <f t="shared" si="61"/>
        <v>0.35000000000000031</v>
      </c>
      <c r="BU86" s="50">
        <f t="shared" si="66"/>
        <v>3.1553444605315437E-2</v>
      </c>
      <c r="BV86" s="50">
        <f t="shared" si="67"/>
        <v>32</v>
      </c>
      <c r="BW86" s="50">
        <f t="shared" si="62"/>
        <v>0.10000000000000012</v>
      </c>
      <c r="BX86" s="50">
        <f t="shared" si="68"/>
        <v>12</v>
      </c>
    </row>
    <row r="87" spans="71:76" ht="12" customHeight="1" x14ac:dyDescent="0.2">
      <c r="BS87" s="50">
        <v>36</v>
      </c>
      <c r="BT87" s="50">
        <f t="shared" si="61"/>
        <v>0.36000000000000032</v>
      </c>
      <c r="BU87" s="50">
        <f t="shared" si="66"/>
        <v>3.2121122107334074E-2</v>
      </c>
      <c r="BV87" s="50">
        <f t="shared" si="67"/>
        <v>32</v>
      </c>
      <c r="BW87" s="50">
        <f t="shared" si="62"/>
        <v>0.10400000000000012</v>
      </c>
      <c r="BX87" s="50">
        <f t="shared" si="68"/>
        <v>12</v>
      </c>
    </row>
    <row r="88" spans="71:76" ht="12" customHeight="1" x14ac:dyDescent="0.2">
      <c r="BS88" s="50">
        <v>37</v>
      </c>
      <c r="BT88" s="50">
        <f t="shared" si="61"/>
        <v>0.37000000000000022</v>
      </c>
      <c r="BU88" s="50">
        <f t="shared" si="66"/>
        <v>3.2688799609352712E-2</v>
      </c>
      <c r="BV88" s="50">
        <f t="shared" si="67"/>
        <v>32</v>
      </c>
      <c r="BW88" s="50">
        <f t="shared" si="62"/>
        <v>0.1080000000000001</v>
      </c>
      <c r="BX88" s="50">
        <f t="shared" si="68"/>
        <v>12</v>
      </c>
    </row>
    <row r="89" spans="71:76" ht="12" customHeight="1" x14ac:dyDescent="0.2">
      <c r="BS89" s="50">
        <v>38</v>
      </c>
      <c r="BT89" s="50">
        <f t="shared" si="61"/>
        <v>0.38000000000000023</v>
      </c>
      <c r="BU89" s="50">
        <f t="shared" si="66"/>
        <v>3.3256477111371349E-2</v>
      </c>
      <c r="BV89" s="50">
        <f t="shared" si="67"/>
        <v>32</v>
      </c>
      <c r="BW89" s="50">
        <f t="shared" si="62"/>
        <v>0.1120000000000001</v>
      </c>
      <c r="BX89" s="50">
        <f t="shared" si="68"/>
        <v>12</v>
      </c>
    </row>
    <row r="90" spans="71:76" ht="12" customHeight="1" x14ac:dyDescent="0.2">
      <c r="BS90" s="50">
        <v>39</v>
      </c>
      <c r="BT90" s="50">
        <f t="shared" si="61"/>
        <v>0.39000000000000012</v>
      </c>
      <c r="BU90" s="50">
        <f t="shared" si="66"/>
        <v>3.3824154613389987E-2</v>
      </c>
      <c r="BV90" s="50">
        <f t="shared" si="67"/>
        <v>32</v>
      </c>
      <c r="BW90" s="50">
        <f t="shared" si="62"/>
        <v>0.11600000000000005</v>
      </c>
      <c r="BX90" s="50">
        <f t="shared" si="68"/>
        <v>12</v>
      </c>
    </row>
    <row r="91" spans="71:76" ht="12" customHeight="1" x14ac:dyDescent="0.2">
      <c r="BS91" s="50">
        <v>40</v>
      </c>
      <c r="BT91" s="50">
        <f t="shared" si="61"/>
        <v>0.4</v>
      </c>
      <c r="BU91" s="50">
        <f t="shared" si="66"/>
        <v>3.4391832115408624E-2</v>
      </c>
      <c r="BV91" s="50">
        <f t="shared" si="67"/>
        <v>32</v>
      </c>
      <c r="BW91" s="50">
        <f t="shared" si="62"/>
        <v>0.12000000000000002</v>
      </c>
      <c r="BX91" s="50">
        <f t="shared" si="68"/>
        <v>12</v>
      </c>
    </row>
    <row r="92" spans="71:76" ht="12" customHeight="1" x14ac:dyDescent="0.2">
      <c r="BS92" s="50">
        <v>41</v>
      </c>
      <c r="BT92" s="50">
        <f t="shared" si="61"/>
        <v>0.41000000000000003</v>
      </c>
      <c r="BU92" s="50">
        <f t="shared" si="66"/>
        <v>3.4959509617427262E-2</v>
      </c>
      <c r="BV92" s="50">
        <f t="shared" si="67"/>
        <v>32</v>
      </c>
      <c r="BW92" s="50">
        <f t="shared" si="62"/>
        <v>0.12400000000000003</v>
      </c>
      <c r="BX92" s="50">
        <f t="shared" si="68"/>
        <v>12</v>
      </c>
    </row>
    <row r="93" spans="71:76" ht="12" customHeight="1" x14ac:dyDescent="0.2">
      <c r="BS93" s="50">
        <v>42</v>
      </c>
      <c r="BT93" s="50">
        <f t="shared" si="61"/>
        <v>0.41999999999999993</v>
      </c>
      <c r="BU93" s="50">
        <f t="shared" si="66"/>
        <v>3.5527187119445899E-2</v>
      </c>
      <c r="BV93" s="50">
        <f t="shared" si="67"/>
        <v>32</v>
      </c>
      <c r="BW93" s="50">
        <f t="shared" si="62"/>
        <v>0.12799999999999997</v>
      </c>
      <c r="BX93" s="50">
        <f t="shared" si="68"/>
        <v>12</v>
      </c>
    </row>
    <row r="94" spans="71:76" ht="12" customHeight="1" x14ac:dyDescent="0.2">
      <c r="BS94" s="50">
        <v>43</v>
      </c>
      <c r="BT94" s="50">
        <f t="shared" si="61"/>
        <v>0.42999999999999994</v>
      </c>
      <c r="BU94" s="50">
        <f t="shared" si="66"/>
        <v>3.6094864621464537E-2</v>
      </c>
      <c r="BV94" s="50">
        <f t="shared" si="67"/>
        <v>32</v>
      </c>
      <c r="BW94" s="50">
        <f t="shared" si="62"/>
        <v>0.13199999999999998</v>
      </c>
      <c r="BX94" s="50">
        <f t="shared" si="68"/>
        <v>12</v>
      </c>
    </row>
    <row r="95" spans="71:76" ht="12" customHeight="1" x14ac:dyDescent="0.2">
      <c r="BS95" s="50">
        <v>44</v>
      </c>
      <c r="BT95" s="50">
        <f t="shared" si="61"/>
        <v>0.43999999999999984</v>
      </c>
      <c r="BU95" s="50">
        <f t="shared" si="66"/>
        <v>3.6662542123483174E-2</v>
      </c>
      <c r="BV95" s="50">
        <f t="shared" si="67"/>
        <v>32</v>
      </c>
      <c r="BW95" s="50">
        <f t="shared" si="62"/>
        <v>0.13599999999999993</v>
      </c>
      <c r="BX95" s="50">
        <f t="shared" si="68"/>
        <v>12</v>
      </c>
    </row>
    <row r="96" spans="71:76" ht="12" customHeight="1" x14ac:dyDescent="0.2">
      <c r="BS96" s="50">
        <v>45</v>
      </c>
      <c r="BT96" s="50">
        <f t="shared" si="61"/>
        <v>0.44999999999999984</v>
      </c>
      <c r="BU96" s="50">
        <f t="shared" si="66"/>
        <v>3.7230219625501812E-2</v>
      </c>
      <c r="BV96" s="50">
        <f t="shared" si="67"/>
        <v>32</v>
      </c>
      <c r="BW96" s="50">
        <f t="shared" si="62"/>
        <v>0.13999999999999993</v>
      </c>
      <c r="BX96" s="50">
        <f t="shared" si="68"/>
        <v>12</v>
      </c>
    </row>
    <row r="97" spans="71:76" ht="12" customHeight="1" x14ac:dyDescent="0.2">
      <c r="BS97" s="50">
        <v>46</v>
      </c>
      <c r="BT97" s="50">
        <f t="shared" si="61"/>
        <v>0.45999999999999974</v>
      </c>
      <c r="BU97" s="50">
        <f t="shared" si="66"/>
        <v>3.779789712752045E-2</v>
      </c>
      <c r="BV97" s="50">
        <f t="shared" si="67"/>
        <v>32</v>
      </c>
      <c r="BW97" s="50">
        <f t="shared" si="62"/>
        <v>0.14399999999999991</v>
      </c>
      <c r="BX97" s="50">
        <f t="shared" si="68"/>
        <v>12</v>
      </c>
    </row>
    <row r="98" spans="71:76" ht="12" customHeight="1" x14ac:dyDescent="0.2">
      <c r="BS98" s="50">
        <v>47</v>
      </c>
      <c r="BT98" s="50">
        <f t="shared" si="61"/>
        <v>0.46999999999999975</v>
      </c>
      <c r="BU98" s="50">
        <f t="shared" si="66"/>
        <v>3.8365574629539087E-2</v>
      </c>
      <c r="BV98" s="50">
        <f t="shared" si="67"/>
        <v>32</v>
      </c>
      <c r="BW98" s="50">
        <f t="shared" si="62"/>
        <v>0.14799999999999991</v>
      </c>
      <c r="BX98" s="50">
        <f t="shared" si="68"/>
        <v>12</v>
      </c>
    </row>
    <row r="99" spans="71:76" ht="12" customHeight="1" x14ac:dyDescent="0.2">
      <c r="BS99" s="50">
        <v>48</v>
      </c>
      <c r="BT99" s="50">
        <f t="shared" si="61"/>
        <v>0.47999999999999965</v>
      </c>
      <c r="BU99" s="50">
        <f t="shared" si="66"/>
        <v>3.8933252131557725E-2</v>
      </c>
      <c r="BV99" s="50">
        <f t="shared" si="67"/>
        <v>32</v>
      </c>
      <c r="BW99" s="50">
        <f t="shared" si="62"/>
        <v>0.15199999999999986</v>
      </c>
      <c r="BX99" s="50">
        <f t="shared" si="68"/>
        <v>12</v>
      </c>
    </row>
    <row r="100" spans="71:76" ht="12" customHeight="1" x14ac:dyDescent="0.2">
      <c r="BS100" s="50">
        <v>49</v>
      </c>
      <c r="BT100" s="50">
        <f t="shared" si="61"/>
        <v>0.48999999999999966</v>
      </c>
      <c r="BU100" s="50">
        <f t="shared" si="66"/>
        <v>3.9500929633576362E-2</v>
      </c>
      <c r="BV100" s="50">
        <f t="shared" si="67"/>
        <v>32</v>
      </c>
      <c r="BW100" s="50">
        <f t="shared" si="62"/>
        <v>0.15599999999999986</v>
      </c>
      <c r="BX100" s="50">
        <f t="shared" si="68"/>
        <v>12</v>
      </c>
    </row>
    <row r="101" spans="71:76" ht="12" customHeight="1" x14ac:dyDescent="0.2">
      <c r="BS101" s="50">
        <v>50</v>
      </c>
      <c r="BT101" s="50">
        <f t="shared" si="61"/>
        <v>0.49999999999999956</v>
      </c>
      <c r="BU101" s="50">
        <f t="shared" si="66"/>
        <v>4.0068607135595E-2</v>
      </c>
      <c r="BV101" s="50">
        <f t="shared" si="67"/>
        <v>32</v>
      </c>
      <c r="BW101" s="50">
        <f t="shared" si="62"/>
        <v>0.15999999999999984</v>
      </c>
      <c r="BX101" s="50">
        <f t="shared" si="68"/>
        <v>12</v>
      </c>
    </row>
    <row r="102" spans="71:76" ht="12" customHeight="1" x14ac:dyDescent="0.2">
      <c r="BS102" s="50">
        <v>51</v>
      </c>
      <c r="BT102" s="50">
        <f t="shared" si="61"/>
        <v>0.50999999999999956</v>
      </c>
      <c r="BU102" s="50">
        <f t="shared" si="66"/>
        <v>4.0636284637613637E-2</v>
      </c>
      <c r="BV102" s="50">
        <f t="shared" si="67"/>
        <v>32</v>
      </c>
      <c r="BW102" s="50">
        <f t="shared" si="62"/>
        <v>0.16399999999999984</v>
      </c>
      <c r="BX102" s="50">
        <f t="shared" si="68"/>
        <v>12</v>
      </c>
    </row>
    <row r="103" spans="71:76" ht="12" customHeight="1" x14ac:dyDescent="0.2">
      <c r="BS103" s="50">
        <v>52</v>
      </c>
      <c r="BT103" s="50">
        <f t="shared" si="61"/>
        <v>0.51999999999999946</v>
      </c>
      <c r="BU103" s="50">
        <f t="shared" si="66"/>
        <v>4.1203962139632275E-2</v>
      </c>
      <c r="BV103" s="50">
        <f t="shared" si="67"/>
        <v>32</v>
      </c>
      <c r="BW103" s="50">
        <f t="shared" si="62"/>
        <v>0.16799999999999979</v>
      </c>
      <c r="BX103" s="50">
        <f t="shared" si="68"/>
        <v>12</v>
      </c>
    </row>
    <row r="104" spans="71:76" ht="12" customHeight="1" x14ac:dyDescent="0.2">
      <c r="BS104" s="50">
        <v>53</v>
      </c>
      <c r="BT104" s="50">
        <f t="shared" si="61"/>
        <v>0.52999999999999936</v>
      </c>
      <c r="BU104" s="50">
        <f t="shared" si="66"/>
        <v>4.1771639641650912E-2</v>
      </c>
      <c r="BV104" s="50">
        <f t="shared" si="67"/>
        <v>32</v>
      </c>
      <c r="BW104" s="50">
        <f t="shared" si="62"/>
        <v>0.17199999999999974</v>
      </c>
      <c r="BX104" s="50">
        <f t="shared" si="68"/>
        <v>12</v>
      </c>
    </row>
    <row r="105" spans="71:76" ht="12" customHeight="1" x14ac:dyDescent="0.2">
      <c r="BS105" s="50">
        <v>54</v>
      </c>
      <c r="BT105" s="50">
        <f t="shared" si="61"/>
        <v>0.53999999999999937</v>
      </c>
      <c r="BU105" s="50">
        <f t="shared" si="66"/>
        <v>4.233931714366955E-2</v>
      </c>
      <c r="BV105" s="50">
        <f t="shared" si="67"/>
        <v>32</v>
      </c>
      <c r="BW105" s="50">
        <f t="shared" si="62"/>
        <v>0.17599999999999974</v>
      </c>
      <c r="BX105" s="50">
        <f t="shared" si="68"/>
        <v>12</v>
      </c>
    </row>
    <row r="106" spans="71:76" ht="12" customHeight="1" x14ac:dyDescent="0.2">
      <c r="BS106" s="50">
        <v>55</v>
      </c>
      <c r="BT106" s="50">
        <f t="shared" si="61"/>
        <v>0.54999999999999938</v>
      </c>
      <c r="BU106" s="50">
        <f t="shared" si="66"/>
        <v>4.2906994645688187E-2</v>
      </c>
      <c r="BV106" s="50">
        <f t="shared" si="67"/>
        <v>32</v>
      </c>
      <c r="BW106" s="50">
        <f t="shared" si="62"/>
        <v>0.17999999999999974</v>
      </c>
      <c r="BX106" s="50">
        <f t="shared" si="68"/>
        <v>12</v>
      </c>
    </row>
    <row r="107" spans="71:76" ht="12" customHeight="1" x14ac:dyDescent="0.2">
      <c r="BS107" s="50">
        <v>56</v>
      </c>
      <c r="BT107" s="50">
        <f t="shared" si="61"/>
        <v>0.55999999999999928</v>
      </c>
      <c r="BU107" s="50">
        <f t="shared" si="66"/>
        <v>4.3474672147706825E-2</v>
      </c>
      <c r="BV107" s="50">
        <f t="shared" si="67"/>
        <v>32</v>
      </c>
      <c r="BW107" s="50">
        <f t="shared" si="62"/>
        <v>0.18399999999999972</v>
      </c>
      <c r="BX107" s="50">
        <f t="shared" si="68"/>
        <v>12</v>
      </c>
    </row>
    <row r="108" spans="71:76" ht="12" customHeight="1" x14ac:dyDescent="0.2">
      <c r="BS108" s="50">
        <v>57</v>
      </c>
      <c r="BT108" s="50">
        <f t="shared" si="61"/>
        <v>0.56999999999999917</v>
      </c>
      <c r="BU108" s="50">
        <f t="shared" si="66"/>
        <v>4.4042349649725462E-2</v>
      </c>
      <c r="BV108" s="50">
        <f t="shared" si="67"/>
        <v>32</v>
      </c>
      <c r="BW108" s="50">
        <f t="shared" si="62"/>
        <v>0.18799999999999967</v>
      </c>
      <c r="BX108" s="50">
        <f t="shared" si="68"/>
        <v>12</v>
      </c>
    </row>
    <row r="109" spans="71:76" ht="12" customHeight="1" x14ac:dyDescent="0.2">
      <c r="BS109" s="50">
        <v>58</v>
      </c>
      <c r="BT109" s="50">
        <f t="shared" si="61"/>
        <v>0.57999999999999918</v>
      </c>
      <c r="BU109" s="50">
        <f t="shared" si="66"/>
        <v>4.46100271517441E-2</v>
      </c>
      <c r="BV109" s="50">
        <f t="shared" si="67"/>
        <v>32</v>
      </c>
      <c r="BW109" s="50">
        <f t="shared" si="62"/>
        <v>0.19199999999999967</v>
      </c>
      <c r="BX109" s="50">
        <f t="shared" si="68"/>
        <v>12</v>
      </c>
    </row>
    <row r="110" spans="71:76" ht="12" customHeight="1" x14ac:dyDescent="0.2">
      <c r="BS110" s="50">
        <v>59</v>
      </c>
      <c r="BT110" s="50">
        <f t="shared" si="61"/>
        <v>0.58999999999999919</v>
      </c>
      <c r="BU110" s="50">
        <f t="shared" si="66"/>
        <v>4.5177704653762737E-2</v>
      </c>
      <c r="BV110" s="50">
        <f t="shared" si="67"/>
        <v>32</v>
      </c>
      <c r="BW110" s="50">
        <f t="shared" si="62"/>
        <v>0.19599999999999967</v>
      </c>
      <c r="BX110" s="50">
        <f t="shared" si="68"/>
        <v>12</v>
      </c>
    </row>
    <row r="111" spans="71:76" ht="12" customHeight="1" x14ac:dyDescent="0.2">
      <c r="BS111" s="50">
        <v>60</v>
      </c>
      <c r="BT111" s="50">
        <f t="shared" si="61"/>
        <v>0.59999999999999909</v>
      </c>
      <c r="BU111" s="50">
        <f t="shared" si="66"/>
        <v>4.5745382155781375E-2</v>
      </c>
      <c r="BV111" s="50">
        <f t="shared" si="67"/>
        <v>32</v>
      </c>
      <c r="BW111" s="50">
        <f t="shared" si="62"/>
        <v>0.19999999999999965</v>
      </c>
      <c r="BX111" s="50">
        <f t="shared" si="68"/>
        <v>12</v>
      </c>
    </row>
    <row r="112" spans="71:76" ht="12" customHeight="1" x14ac:dyDescent="0.2">
      <c r="BS112" s="50">
        <v>61</v>
      </c>
      <c r="BT112" s="50">
        <f t="shared" si="61"/>
        <v>0.60999999999999899</v>
      </c>
      <c r="BU112" s="50">
        <f t="shared" si="66"/>
        <v>4.6313059657800013E-2</v>
      </c>
      <c r="BV112" s="50">
        <f t="shared" si="67"/>
        <v>32</v>
      </c>
      <c r="BW112" s="50">
        <f t="shared" si="62"/>
        <v>0.2039999999999996</v>
      </c>
      <c r="BX112" s="50">
        <f t="shared" si="68"/>
        <v>12</v>
      </c>
    </row>
    <row r="113" spans="71:76" ht="12" customHeight="1" x14ac:dyDescent="0.2">
      <c r="BS113" s="50">
        <v>62</v>
      </c>
      <c r="BT113" s="50">
        <f t="shared" si="61"/>
        <v>0.619999999999999</v>
      </c>
      <c r="BU113" s="50">
        <f t="shared" si="66"/>
        <v>4.688073715981865E-2</v>
      </c>
      <c r="BV113" s="50">
        <f t="shared" si="67"/>
        <v>32</v>
      </c>
      <c r="BW113" s="50">
        <f t="shared" si="62"/>
        <v>0.2079999999999996</v>
      </c>
      <c r="BX113" s="50">
        <f t="shared" si="68"/>
        <v>12</v>
      </c>
    </row>
    <row r="114" spans="71:76" ht="12" customHeight="1" x14ac:dyDescent="0.2">
      <c r="BS114" s="50">
        <v>63</v>
      </c>
      <c r="BT114" s="50">
        <f t="shared" si="61"/>
        <v>0.62999999999999889</v>
      </c>
      <c r="BU114" s="50">
        <f t="shared" si="66"/>
        <v>4.7448414661837288E-2</v>
      </c>
      <c r="BV114" s="50">
        <f t="shared" si="67"/>
        <v>32</v>
      </c>
      <c r="BW114" s="50">
        <f t="shared" si="62"/>
        <v>0.21199999999999955</v>
      </c>
      <c r="BX114" s="50">
        <f t="shared" si="68"/>
        <v>12</v>
      </c>
    </row>
    <row r="115" spans="71:76" ht="12" customHeight="1" x14ac:dyDescent="0.2">
      <c r="BS115" s="50">
        <v>64</v>
      </c>
      <c r="BT115" s="50">
        <f t="shared" ref="BT115:BT178" si="69">1-ABS($BW$40-BU115)/$BY$39</f>
        <v>0.63999999999999879</v>
      </c>
      <c r="BU115" s="50">
        <f t="shared" si="66"/>
        <v>4.8016092163855925E-2</v>
      </c>
      <c r="BV115" s="50">
        <f t="shared" si="67"/>
        <v>32</v>
      </c>
      <c r="BW115" s="50">
        <f t="shared" ref="BW115:BW178" si="70">MAX($BX$42*BT115-$BT$47,0)</f>
        <v>0.2159999999999995</v>
      </c>
      <c r="BX115" s="50">
        <f t="shared" si="68"/>
        <v>12</v>
      </c>
    </row>
    <row r="116" spans="71:76" ht="12" customHeight="1" x14ac:dyDescent="0.2">
      <c r="BS116" s="50">
        <v>65</v>
      </c>
      <c r="BT116" s="50">
        <f t="shared" si="69"/>
        <v>0.6499999999999988</v>
      </c>
      <c r="BU116" s="50">
        <f t="shared" ref="BU116:BU147" si="71">IF($CD$3,BU115+$BT$46,NA())</f>
        <v>4.8583769665874563E-2</v>
      </c>
      <c r="BV116" s="50">
        <f t="shared" ref="BV116:BV147" si="72">BV115</f>
        <v>32</v>
      </c>
      <c r="BW116" s="50">
        <f t="shared" si="70"/>
        <v>0.2199999999999995</v>
      </c>
      <c r="BX116" s="50">
        <f t="shared" ref="BX116:BX147" si="73">BX115</f>
        <v>12</v>
      </c>
    </row>
    <row r="117" spans="71:76" ht="12" customHeight="1" x14ac:dyDescent="0.2">
      <c r="BS117" s="50">
        <v>66</v>
      </c>
      <c r="BT117" s="50">
        <f t="shared" si="69"/>
        <v>0.65999999999999881</v>
      </c>
      <c r="BU117" s="50">
        <f t="shared" si="71"/>
        <v>4.91514471678932E-2</v>
      </c>
      <c r="BV117" s="50">
        <f t="shared" si="72"/>
        <v>32</v>
      </c>
      <c r="BW117" s="50">
        <f t="shared" si="70"/>
        <v>0.22399999999999951</v>
      </c>
      <c r="BX117" s="50">
        <f t="shared" si="73"/>
        <v>12</v>
      </c>
    </row>
    <row r="118" spans="71:76" ht="12" customHeight="1" x14ac:dyDescent="0.2">
      <c r="BS118" s="50">
        <v>67</v>
      </c>
      <c r="BT118" s="50">
        <f t="shared" si="69"/>
        <v>0.66999999999999871</v>
      </c>
      <c r="BU118" s="50">
        <f t="shared" si="71"/>
        <v>4.9719124669911838E-2</v>
      </c>
      <c r="BV118" s="50">
        <f t="shared" si="72"/>
        <v>32</v>
      </c>
      <c r="BW118" s="50">
        <f t="shared" si="70"/>
        <v>0.22799999999999951</v>
      </c>
      <c r="BX118" s="50">
        <f t="shared" si="73"/>
        <v>12</v>
      </c>
    </row>
    <row r="119" spans="71:76" ht="12" customHeight="1" x14ac:dyDescent="0.2">
      <c r="BS119" s="50">
        <v>68</v>
      </c>
      <c r="BT119" s="50">
        <f t="shared" si="69"/>
        <v>0.67999999999999861</v>
      </c>
      <c r="BU119" s="50">
        <f t="shared" si="71"/>
        <v>5.0286802171930475E-2</v>
      </c>
      <c r="BV119" s="50">
        <f t="shared" si="72"/>
        <v>32</v>
      </c>
      <c r="BW119" s="50">
        <f t="shared" si="70"/>
        <v>0.23199999999999946</v>
      </c>
      <c r="BX119" s="50">
        <f t="shared" si="73"/>
        <v>12</v>
      </c>
    </row>
    <row r="120" spans="71:76" ht="12" customHeight="1" x14ac:dyDescent="0.2">
      <c r="BS120" s="50">
        <v>69</v>
      </c>
      <c r="BT120" s="50">
        <f t="shared" si="69"/>
        <v>0.68999999999999861</v>
      </c>
      <c r="BU120" s="50">
        <f t="shared" si="71"/>
        <v>5.0854479673949113E-2</v>
      </c>
      <c r="BV120" s="50">
        <f t="shared" si="72"/>
        <v>32</v>
      </c>
      <c r="BW120" s="50">
        <f t="shared" si="70"/>
        <v>0.23599999999999946</v>
      </c>
      <c r="BX120" s="50">
        <f t="shared" si="73"/>
        <v>12</v>
      </c>
    </row>
    <row r="121" spans="71:76" ht="12" customHeight="1" x14ac:dyDescent="0.2">
      <c r="BS121" s="50">
        <v>70</v>
      </c>
      <c r="BT121" s="50">
        <f t="shared" si="69"/>
        <v>0.69999999999999862</v>
      </c>
      <c r="BU121" s="50">
        <f t="shared" si="71"/>
        <v>5.142215717596775E-2</v>
      </c>
      <c r="BV121" s="50">
        <f t="shared" si="72"/>
        <v>32</v>
      </c>
      <c r="BW121" s="50">
        <f t="shared" si="70"/>
        <v>0.23999999999999946</v>
      </c>
      <c r="BX121" s="50">
        <f t="shared" si="73"/>
        <v>12</v>
      </c>
    </row>
    <row r="122" spans="71:76" ht="12" customHeight="1" x14ac:dyDescent="0.2">
      <c r="BS122" s="50">
        <v>71</v>
      </c>
      <c r="BT122" s="50">
        <f t="shared" si="69"/>
        <v>0.70999999999999852</v>
      </c>
      <c r="BU122" s="50">
        <f t="shared" si="71"/>
        <v>5.1989834677986388E-2</v>
      </c>
      <c r="BV122" s="50">
        <f t="shared" si="72"/>
        <v>32</v>
      </c>
      <c r="BW122" s="50">
        <f t="shared" si="70"/>
        <v>0.24399999999999941</v>
      </c>
      <c r="BX122" s="50">
        <f t="shared" si="73"/>
        <v>12</v>
      </c>
    </row>
    <row r="123" spans="71:76" ht="12" customHeight="1" x14ac:dyDescent="0.2">
      <c r="BS123" s="50">
        <v>72</v>
      </c>
      <c r="BT123" s="50">
        <f t="shared" si="69"/>
        <v>0.71999999999999842</v>
      </c>
      <c r="BU123" s="50">
        <f t="shared" si="71"/>
        <v>5.2557512180005025E-2</v>
      </c>
      <c r="BV123" s="50">
        <f t="shared" si="72"/>
        <v>32</v>
      </c>
      <c r="BW123" s="50">
        <f t="shared" si="70"/>
        <v>0.24799999999999936</v>
      </c>
      <c r="BX123" s="50">
        <f t="shared" si="73"/>
        <v>12</v>
      </c>
    </row>
    <row r="124" spans="71:76" ht="12" customHeight="1" x14ac:dyDescent="0.2">
      <c r="BS124" s="50">
        <v>73</v>
      </c>
      <c r="BT124" s="50">
        <f t="shared" si="69"/>
        <v>0.72999999999999843</v>
      </c>
      <c r="BU124" s="50">
        <f t="shared" si="71"/>
        <v>5.3125189682023663E-2</v>
      </c>
      <c r="BV124" s="50">
        <f t="shared" si="72"/>
        <v>32</v>
      </c>
      <c r="BW124" s="50">
        <f t="shared" si="70"/>
        <v>0.25199999999999939</v>
      </c>
      <c r="BX124" s="50">
        <f t="shared" si="73"/>
        <v>12</v>
      </c>
    </row>
    <row r="125" spans="71:76" ht="12" customHeight="1" x14ac:dyDescent="0.2">
      <c r="BS125" s="50">
        <v>74</v>
      </c>
      <c r="BT125" s="50">
        <f t="shared" si="69"/>
        <v>0.73999999999999844</v>
      </c>
      <c r="BU125" s="50">
        <f t="shared" si="71"/>
        <v>5.3692867184042301E-2</v>
      </c>
      <c r="BV125" s="50">
        <f t="shared" si="72"/>
        <v>32</v>
      </c>
      <c r="BW125" s="50">
        <f t="shared" si="70"/>
        <v>0.25599999999999939</v>
      </c>
      <c r="BX125" s="50">
        <f t="shared" si="73"/>
        <v>12</v>
      </c>
    </row>
    <row r="126" spans="71:76" ht="12" customHeight="1" x14ac:dyDescent="0.2">
      <c r="BS126" s="50">
        <v>75</v>
      </c>
      <c r="BT126" s="50">
        <f t="shared" si="69"/>
        <v>0.74999999999999833</v>
      </c>
      <c r="BU126" s="50">
        <f t="shared" si="71"/>
        <v>5.4260544686060938E-2</v>
      </c>
      <c r="BV126" s="50">
        <f t="shared" si="72"/>
        <v>32</v>
      </c>
      <c r="BW126" s="50">
        <f t="shared" si="70"/>
        <v>0.2599999999999994</v>
      </c>
      <c r="BX126" s="50">
        <f t="shared" si="73"/>
        <v>12</v>
      </c>
    </row>
    <row r="127" spans="71:76" ht="12" customHeight="1" x14ac:dyDescent="0.2">
      <c r="BS127" s="50">
        <v>76</v>
      </c>
      <c r="BT127" s="50">
        <f t="shared" si="69"/>
        <v>0.75999999999999823</v>
      </c>
      <c r="BU127" s="50">
        <f t="shared" si="71"/>
        <v>5.4828222188079576E-2</v>
      </c>
      <c r="BV127" s="50">
        <f t="shared" si="72"/>
        <v>32</v>
      </c>
      <c r="BW127" s="50">
        <f t="shared" si="70"/>
        <v>0.26399999999999935</v>
      </c>
      <c r="BX127" s="50">
        <f t="shared" si="73"/>
        <v>12</v>
      </c>
    </row>
    <row r="128" spans="71:76" ht="12" customHeight="1" x14ac:dyDescent="0.2">
      <c r="BS128" s="50">
        <v>77</v>
      </c>
      <c r="BT128" s="50">
        <f t="shared" si="69"/>
        <v>0.76999999999999824</v>
      </c>
      <c r="BU128" s="50">
        <f t="shared" si="71"/>
        <v>5.5395899690098213E-2</v>
      </c>
      <c r="BV128" s="50">
        <f t="shared" si="72"/>
        <v>32</v>
      </c>
      <c r="BW128" s="50">
        <f t="shared" si="70"/>
        <v>0.26799999999999935</v>
      </c>
      <c r="BX128" s="50">
        <f t="shared" si="73"/>
        <v>12</v>
      </c>
    </row>
    <row r="129" spans="71:76" ht="12" customHeight="1" x14ac:dyDescent="0.2">
      <c r="BS129" s="50">
        <v>78</v>
      </c>
      <c r="BT129" s="50">
        <f t="shared" si="69"/>
        <v>0.77999999999999814</v>
      </c>
      <c r="BU129" s="50">
        <f t="shared" si="71"/>
        <v>5.5963577192116851E-2</v>
      </c>
      <c r="BV129" s="50">
        <f t="shared" si="72"/>
        <v>32</v>
      </c>
      <c r="BW129" s="50">
        <f t="shared" si="70"/>
        <v>0.2719999999999993</v>
      </c>
      <c r="BX129" s="50">
        <f t="shared" si="73"/>
        <v>12</v>
      </c>
    </row>
    <row r="130" spans="71:76" ht="12" customHeight="1" x14ac:dyDescent="0.2">
      <c r="BS130" s="50">
        <v>79</v>
      </c>
      <c r="BT130" s="50">
        <f t="shared" si="69"/>
        <v>0.78999999999999815</v>
      </c>
      <c r="BU130" s="50">
        <f t="shared" si="71"/>
        <v>5.6531254694135488E-2</v>
      </c>
      <c r="BV130" s="50">
        <f t="shared" si="72"/>
        <v>32</v>
      </c>
      <c r="BW130" s="50">
        <f t="shared" si="70"/>
        <v>0.2759999999999993</v>
      </c>
      <c r="BX130" s="50">
        <f t="shared" si="73"/>
        <v>12</v>
      </c>
    </row>
    <row r="131" spans="71:76" ht="12" customHeight="1" x14ac:dyDescent="0.2">
      <c r="BS131" s="50">
        <v>80</v>
      </c>
      <c r="BT131" s="50">
        <f t="shared" si="69"/>
        <v>0.79999999999999805</v>
      </c>
      <c r="BU131" s="50">
        <f t="shared" si="71"/>
        <v>5.7098932196154126E-2</v>
      </c>
      <c r="BV131" s="50">
        <f t="shared" si="72"/>
        <v>32</v>
      </c>
      <c r="BW131" s="50">
        <f t="shared" si="70"/>
        <v>0.27999999999999925</v>
      </c>
      <c r="BX131" s="50">
        <f t="shared" si="73"/>
        <v>12</v>
      </c>
    </row>
    <row r="132" spans="71:76" ht="12" customHeight="1" x14ac:dyDescent="0.2">
      <c r="BS132" s="50">
        <v>81</v>
      </c>
      <c r="BT132" s="50">
        <f t="shared" si="69"/>
        <v>0.80999999999999805</v>
      </c>
      <c r="BU132" s="50">
        <f t="shared" si="71"/>
        <v>5.7666609698172763E-2</v>
      </c>
      <c r="BV132" s="50">
        <f t="shared" si="72"/>
        <v>32</v>
      </c>
      <c r="BW132" s="50">
        <f t="shared" si="70"/>
        <v>0.28399999999999925</v>
      </c>
      <c r="BX132" s="50">
        <f t="shared" si="73"/>
        <v>12</v>
      </c>
    </row>
    <row r="133" spans="71:76" ht="12" customHeight="1" x14ac:dyDescent="0.2">
      <c r="BS133" s="50">
        <v>82</v>
      </c>
      <c r="BT133" s="50">
        <f t="shared" si="69"/>
        <v>0.81999999999999795</v>
      </c>
      <c r="BU133" s="50">
        <f t="shared" si="71"/>
        <v>5.8234287200191401E-2</v>
      </c>
      <c r="BV133" s="50">
        <f t="shared" si="72"/>
        <v>32</v>
      </c>
      <c r="BW133" s="50">
        <f t="shared" si="70"/>
        <v>0.2879999999999992</v>
      </c>
      <c r="BX133" s="50">
        <f t="shared" si="73"/>
        <v>12</v>
      </c>
    </row>
    <row r="134" spans="71:76" ht="12" customHeight="1" x14ac:dyDescent="0.2">
      <c r="BS134" s="50">
        <v>83</v>
      </c>
      <c r="BT134" s="50">
        <f t="shared" si="69"/>
        <v>0.82999999999999785</v>
      </c>
      <c r="BU134" s="50">
        <f t="shared" si="71"/>
        <v>5.8801964702210038E-2</v>
      </c>
      <c r="BV134" s="50">
        <f t="shared" si="72"/>
        <v>32</v>
      </c>
      <c r="BW134" s="50">
        <f t="shared" si="70"/>
        <v>0.2919999999999992</v>
      </c>
      <c r="BX134" s="50">
        <f t="shared" si="73"/>
        <v>12</v>
      </c>
    </row>
    <row r="135" spans="71:76" ht="12" customHeight="1" x14ac:dyDescent="0.2">
      <c r="BS135" s="50">
        <v>84</v>
      </c>
      <c r="BT135" s="50">
        <f t="shared" si="69"/>
        <v>0.83999999999999786</v>
      </c>
      <c r="BU135" s="50">
        <f t="shared" si="71"/>
        <v>5.9369642204228676E-2</v>
      </c>
      <c r="BV135" s="50">
        <f t="shared" si="72"/>
        <v>32</v>
      </c>
      <c r="BW135" s="50">
        <f t="shared" si="70"/>
        <v>0.29599999999999921</v>
      </c>
      <c r="BX135" s="50">
        <f t="shared" si="73"/>
        <v>12</v>
      </c>
    </row>
    <row r="136" spans="71:76" ht="12" customHeight="1" x14ac:dyDescent="0.2">
      <c r="BS136" s="50">
        <v>85</v>
      </c>
      <c r="BT136" s="50">
        <f t="shared" si="69"/>
        <v>0.84999999999999787</v>
      </c>
      <c r="BU136" s="50">
        <f t="shared" si="71"/>
        <v>5.9937319706247313E-2</v>
      </c>
      <c r="BV136" s="50">
        <f t="shared" si="72"/>
        <v>32</v>
      </c>
      <c r="BW136" s="50">
        <f t="shared" si="70"/>
        <v>0.29999999999999921</v>
      </c>
      <c r="BX136" s="50">
        <f t="shared" si="73"/>
        <v>12</v>
      </c>
    </row>
    <row r="137" spans="71:76" ht="12" customHeight="1" x14ac:dyDescent="0.2">
      <c r="BS137" s="50">
        <v>86</v>
      </c>
      <c r="BT137" s="50">
        <f t="shared" si="69"/>
        <v>0.85999999999999777</v>
      </c>
      <c r="BU137" s="50">
        <f t="shared" si="71"/>
        <v>6.0504997208265951E-2</v>
      </c>
      <c r="BV137" s="50">
        <f t="shared" si="72"/>
        <v>32</v>
      </c>
      <c r="BW137" s="50">
        <f t="shared" si="70"/>
        <v>0.30399999999999916</v>
      </c>
      <c r="BX137" s="50">
        <f t="shared" si="73"/>
        <v>12</v>
      </c>
    </row>
    <row r="138" spans="71:76" ht="12" customHeight="1" x14ac:dyDescent="0.2">
      <c r="BS138" s="50">
        <v>87</v>
      </c>
      <c r="BT138" s="50">
        <f t="shared" si="69"/>
        <v>0.86999999999999766</v>
      </c>
      <c r="BU138" s="50">
        <f t="shared" si="71"/>
        <v>6.1072674710284588E-2</v>
      </c>
      <c r="BV138" s="50">
        <f t="shared" si="72"/>
        <v>32</v>
      </c>
      <c r="BW138" s="50">
        <f t="shared" si="70"/>
        <v>0.30799999999999911</v>
      </c>
      <c r="BX138" s="50">
        <f t="shared" si="73"/>
        <v>12</v>
      </c>
    </row>
    <row r="139" spans="71:76" ht="12" customHeight="1" x14ac:dyDescent="0.2">
      <c r="BS139" s="50">
        <v>88</v>
      </c>
      <c r="BT139" s="50">
        <f t="shared" si="69"/>
        <v>0.87999999999999767</v>
      </c>
      <c r="BU139" s="50">
        <f t="shared" si="71"/>
        <v>6.1640352212303226E-2</v>
      </c>
      <c r="BV139" s="50">
        <f t="shared" si="72"/>
        <v>32</v>
      </c>
      <c r="BW139" s="50">
        <f t="shared" si="70"/>
        <v>0.31199999999999911</v>
      </c>
      <c r="BX139" s="50">
        <f t="shared" si="73"/>
        <v>12</v>
      </c>
    </row>
    <row r="140" spans="71:76" ht="12" customHeight="1" x14ac:dyDescent="0.2">
      <c r="BS140" s="50">
        <v>89</v>
      </c>
      <c r="BT140" s="50">
        <f t="shared" si="69"/>
        <v>0.88999999999999757</v>
      </c>
      <c r="BU140" s="50">
        <f t="shared" si="71"/>
        <v>6.2208029714321864E-2</v>
      </c>
      <c r="BV140" s="50">
        <f t="shared" si="72"/>
        <v>32</v>
      </c>
      <c r="BW140" s="50">
        <f t="shared" si="70"/>
        <v>0.31599999999999906</v>
      </c>
      <c r="BX140" s="50">
        <f t="shared" si="73"/>
        <v>12</v>
      </c>
    </row>
    <row r="141" spans="71:76" ht="12" customHeight="1" x14ac:dyDescent="0.2">
      <c r="BS141" s="50">
        <v>90</v>
      </c>
      <c r="BT141" s="50">
        <f t="shared" si="69"/>
        <v>0.89999999999999758</v>
      </c>
      <c r="BU141" s="50">
        <f t="shared" si="71"/>
        <v>6.2775707216340501E-2</v>
      </c>
      <c r="BV141" s="50">
        <f t="shared" si="72"/>
        <v>32</v>
      </c>
      <c r="BW141" s="50">
        <f t="shared" si="70"/>
        <v>0.31999999999999906</v>
      </c>
      <c r="BX141" s="50">
        <f t="shared" si="73"/>
        <v>12</v>
      </c>
    </row>
    <row r="142" spans="71:76" ht="12" customHeight="1" x14ac:dyDescent="0.2">
      <c r="BS142" s="50">
        <v>91</v>
      </c>
      <c r="BT142" s="50">
        <f t="shared" si="69"/>
        <v>0.90999999999999748</v>
      </c>
      <c r="BU142" s="50">
        <f t="shared" si="71"/>
        <v>6.3343384718359139E-2</v>
      </c>
      <c r="BV142" s="50">
        <f t="shared" si="72"/>
        <v>32</v>
      </c>
      <c r="BW142" s="50">
        <f t="shared" si="70"/>
        <v>0.32399999999999901</v>
      </c>
      <c r="BX142" s="50">
        <f t="shared" si="73"/>
        <v>12</v>
      </c>
    </row>
    <row r="143" spans="71:76" ht="12" customHeight="1" x14ac:dyDescent="0.2">
      <c r="BS143" s="50">
        <v>92</v>
      </c>
      <c r="BT143" s="50">
        <f t="shared" si="69"/>
        <v>0.91999999999999749</v>
      </c>
      <c r="BU143" s="50">
        <f t="shared" si="71"/>
        <v>6.3911062220377776E-2</v>
      </c>
      <c r="BV143" s="50">
        <f t="shared" si="72"/>
        <v>32</v>
      </c>
      <c r="BW143" s="50">
        <f t="shared" si="70"/>
        <v>0.32799999999999901</v>
      </c>
      <c r="BX143" s="50">
        <f t="shared" si="73"/>
        <v>12</v>
      </c>
    </row>
    <row r="144" spans="71:76" ht="12" customHeight="1" x14ac:dyDescent="0.2">
      <c r="BS144" s="50">
        <v>93</v>
      </c>
      <c r="BT144" s="50">
        <f t="shared" si="69"/>
        <v>0.92999999999999738</v>
      </c>
      <c r="BU144" s="50">
        <f t="shared" si="71"/>
        <v>6.4478739722396414E-2</v>
      </c>
      <c r="BV144" s="50">
        <f t="shared" si="72"/>
        <v>32</v>
      </c>
      <c r="BW144" s="50">
        <f t="shared" si="70"/>
        <v>0.33199999999999902</v>
      </c>
      <c r="BX144" s="50">
        <f t="shared" si="73"/>
        <v>12</v>
      </c>
    </row>
    <row r="145" spans="71:76" ht="12" customHeight="1" x14ac:dyDescent="0.2">
      <c r="BS145" s="50">
        <v>94</v>
      </c>
      <c r="BT145" s="50">
        <f t="shared" si="69"/>
        <v>0.93999999999999739</v>
      </c>
      <c r="BU145" s="50">
        <f t="shared" si="71"/>
        <v>6.5046417224415051E-2</v>
      </c>
      <c r="BV145" s="50">
        <f t="shared" si="72"/>
        <v>32</v>
      </c>
      <c r="BW145" s="50">
        <f t="shared" si="70"/>
        <v>0.33599999999999902</v>
      </c>
      <c r="BX145" s="50">
        <f t="shared" si="73"/>
        <v>12</v>
      </c>
    </row>
    <row r="146" spans="71:76" ht="12" customHeight="1" x14ac:dyDescent="0.2">
      <c r="BS146" s="50">
        <v>95</v>
      </c>
      <c r="BT146" s="50">
        <f t="shared" si="69"/>
        <v>0.94999999999999729</v>
      </c>
      <c r="BU146" s="50">
        <f t="shared" si="71"/>
        <v>6.5614094726433689E-2</v>
      </c>
      <c r="BV146" s="50">
        <f t="shared" si="72"/>
        <v>32</v>
      </c>
      <c r="BW146" s="50">
        <f t="shared" si="70"/>
        <v>0.33999999999999897</v>
      </c>
      <c r="BX146" s="50">
        <f t="shared" si="73"/>
        <v>12</v>
      </c>
    </row>
    <row r="147" spans="71:76" ht="12" customHeight="1" x14ac:dyDescent="0.2">
      <c r="BS147" s="50">
        <v>96</v>
      </c>
      <c r="BT147" s="50">
        <f t="shared" si="69"/>
        <v>0.9599999999999973</v>
      </c>
      <c r="BU147" s="50">
        <f t="shared" si="71"/>
        <v>6.6181772228452326E-2</v>
      </c>
      <c r="BV147" s="50">
        <f t="shared" si="72"/>
        <v>32</v>
      </c>
      <c r="BW147" s="50">
        <f t="shared" si="70"/>
        <v>0.34399999999999897</v>
      </c>
      <c r="BX147" s="50">
        <f t="shared" si="73"/>
        <v>12</v>
      </c>
    </row>
    <row r="148" spans="71:76" ht="12" customHeight="1" x14ac:dyDescent="0.2">
      <c r="BS148" s="50">
        <v>97</v>
      </c>
      <c r="BT148" s="50">
        <f t="shared" si="69"/>
        <v>0.9699999999999972</v>
      </c>
      <c r="BU148" s="50">
        <f t="shared" ref="BU148:BU179" si="74">IF($CD$3,BU147+$BT$46,NA())</f>
        <v>6.6749449730470964E-2</v>
      </c>
      <c r="BV148" s="50">
        <f t="shared" ref="BV148:BV179" si="75">BV147</f>
        <v>32</v>
      </c>
      <c r="BW148" s="50">
        <f t="shared" si="70"/>
        <v>0.34799999999999892</v>
      </c>
      <c r="BX148" s="50">
        <f t="shared" ref="BX148:BX179" si="76">BX147</f>
        <v>12</v>
      </c>
    </row>
    <row r="149" spans="71:76" ht="12" customHeight="1" x14ac:dyDescent="0.2">
      <c r="BS149" s="50">
        <v>98</v>
      </c>
      <c r="BT149" s="50">
        <f t="shared" si="69"/>
        <v>0.97999999999999721</v>
      </c>
      <c r="BU149" s="50">
        <f t="shared" si="74"/>
        <v>6.7317127232489601E-2</v>
      </c>
      <c r="BV149" s="50">
        <f t="shared" si="75"/>
        <v>32</v>
      </c>
      <c r="BW149" s="50">
        <f t="shared" si="70"/>
        <v>0.35199999999999892</v>
      </c>
      <c r="BX149" s="50">
        <f t="shared" si="76"/>
        <v>12</v>
      </c>
    </row>
    <row r="150" spans="71:76" ht="12" customHeight="1" x14ac:dyDescent="0.2">
      <c r="BS150" s="50">
        <v>99</v>
      </c>
      <c r="BT150" s="50">
        <f t="shared" si="69"/>
        <v>0.9899999999999971</v>
      </c>
      <c r="BU150" s="50">
        <f t="shared" si="74"/>
        <v>6.7884804734508239E-2</v>
      </c>
      <c r="BV150" s="50">
        <f t="shared" si="75"/>
        <v>32</v>
      </c>
      <c r="BW150" s="50">
        <f t="shared" si="70"/>
        <v>0.35599999999999887</v>
      </c>
      <c r="BX150" s="50">
        <f t="shared" si="76"/>
        <v>12</v>
      </c>
    </row>
    <row r="151" spans="71:76" ht="12" customHeight="1" x14ac:dyDescent="0.2">
      <c r="BS151" s="50">
        <v>100</v>
      </c>
      <c r="BT151" s="50">
        <f t="shared" si="69"/>
        <v>0.99999999999999711</v>
      </c>
      <c r="BU151" s="50">
        <f t="shared" si="74"/>
        <v>6.8452482236526876E-2</v>
      </c>
      <c r="BV151" s="50">
        <f t="shared" si="75"/>
        <v>32</v>
      </c>
      <c r="BW151" s="50">
        <f t="shared" si="70"/>
        <v>0.35999999999999888</v>
      </c>
      <c r="BX151" s="50">
        <f t="shared" si="76"/>
        <v>12</v>
      </c>
    </row>
    <row r="152" spans="71:76" ht="12" customHeight="1" x14ac:dyDescent="0.2">
      <c r="BS152" s="50">
        <v>101</v>
      </c>
      <c r="BT152" s="50">
        <f t="shared" si="69"/>
        <v>0.99000000000000299</v>
      </c>
      <c r="BU152" s="50">
        <f t="shared" si="74"/>
        <v>6.9020159738545514E-2</v>
      </c>
      <c r="BV152" s="50">
        <f t="shared" si="75"/>
        <v>32</v>
      </c>
      <c r="BW152" s="50">
        <f t="shared" si="70"/>
        <v>0.35600000000000126</v>
      </c>
      <c r="BX152" s="50">
        <f t="shared" si="76"/>
        <v>12</v>
      </c>
    </row>
    <row r="153" spans="71:76" ht="12" customHeight="1" x14ac:dyDescent="0.2">
      <c r="BS153" s="50">
        <v>102</v>
      </c>
      <c r="BT153" s="50">
        <f t="shared" si="69"/>
        <v>0.98000000000000309</v>
      </c>
      <c r="BU153" s="50">
        <f t="shared" si="74"/>
        <v>6.9587837240564152E-2</v>
      </c>
      <c r="BV153" s="50">
        <f t="shared" si="75"/>
        <v>32</v>
      </c>
      <c r="BW153" s="50">
        <f t="shared" si="70"/>
        <v>0.35200000000000126</v>
      </c>
      <c r="BX153" s="50">
        <f t="shared" si="76"/>
        <v>12</v>
      </c>
    </row>
    <row r="154" spans="71:76" ht="12" customHeight="1" x14ac:dyDescent="0.2">
      <c r="BS154" s="50">
        <v>103</v>
      </c>
      <c r="BT154" s="50">
        <f t="shared" si="69"/>
        <v>0.97000000000000308</v>
      </c>
      <c r="BU154" s="50">
        <f t="shared" si="74"/>
        <v>7.0155514742582789E-2</v>
      </c>
      <c r="BV154" s="50">
        <f t="shared" si="75"/>
        <v>32</v>
      </c>
      <c r="BW154" s="50">
        <f t="shared" si="70"/>
        <v>0.34800000000000125</v>
      </c>
      <c r="BX154" s="50">
        <f t="shared" si="76"/>
        <v>12</v>
      </c>
    </row>
    <row r="155" spans="71:76" ht="12" customHeight="1" x14ac:dyDescent="0.2">
      <c r="BS155" s="50">
        <v>104</v>
      </c>
      <c r="BT155" s="50">
        <f t="shared" si="69"/>
        <v>0.96000000000000318</v>
      </c>
      <c r="BU155" s="50">
        <f t="shared" si="74"/>
        <v>7.0723192244601427E-2</v>
      </c>
      <c r="BV155" s="50">
        <f t="shared" si="75"/>
        <v>32</v>
      </c>
      <c r="BW155" s="50">
        <f t="shared" si="70"/>
        <v>0.3440000000000013</v>
      </c>
      <c r="BX155" s="50">
        <f t="shared" si="76"/>
        <v>12</v>
      </c>
    </row>
    <row r="156" spans="71:76" ht="12" customHeight="1" x14ac:dyDescent="0.2">
      <c r="BS156" s="50">
        <v>105</v>
      </c>
      <c r="BT156" s="50">
        <f t="shared" si="69"/>
        <v>0.95000000000000318</v>
      </c>
      <c r="BU156" s="50">
        <f t="shared" si="74"/>
        <v>7.1290869746620064E-2</v>
      </c>
      <c r="BV156" s="50">
        <f t="shared" si="75"/>
        <v>32</v>
      </c>
      <c r="BW156" s="50">
        <f t="shared" si="70"/>
        <v>0.3400000000000013</v>
      </c>
      <c r="BX156" s="50">
        <f t="shared" si="76"/>
        <v>12</v>
      </c>
    </row>
    <row r="157" spans="71:76" ht="12" customHeight="1" x14ac:dyDescent="0.2">
      <c r="BS157" s="50">
        <v>106</v>
      </c>
      <c r="BT157" s="50">
        <f t="shared" si="69"/>
        <v>0.94000000000000328</v>
      </c>
      <c r="BU157" s="50">
        <f t="shared" si="74"/>
        <v>7.1858547248638702E-2</v>
      </c>
      <c r="BV157" s="50">
        <f t="shared" si="75"/>
        <v>32</v>
      </c>
      <c r="BW157" s="50">
        <f t="shared" si="70"/>
        <v>0.33600000000000135</v>
      </c>
      <c r="BX157" s="50">
        <f t="shared" si="76"/>
        <v>12</v>
      </c>
    </row>
    <row r="158" spans="71:76" ht="12" customHeight="1" x14ac:dyDescent="0.2">
      <c r="BS158" s="50">
        <v>107</v>
      </c>
      <c r="BT158" s="50">
        <f t="shared" si="69"/>
        <v>0.93000000000000327</v>
      </c>
      <c r="BU158" s="50">
        <f t="shared" si="74"/>
        <v>7.2426224750657339E-2</v>
      </c>
      <c r="BV158" s="50">
        <f t="shared" si="75"/>
        <v>32</v>
      </c>
      <c r="BW158" s="50">
        <f t="shared" si="70"/>
        <v>0.33200000000000135</v>
      </c>
      <c r="BX158" s="50">
        <f t="shared" si="76"/>
        <v>12</v>
      </c>
    </row>
    <row r="159" spans="71:76" ht="12" customHeight="1" x14ac:dyDescent="0.2">
      <c r="BS159" s="50">
        <v>108</v>
      </c>
      <c r="BT159" s="50">
        <f t="shared" si="69"/>
        <v>0.92000000000000337</v>
      </c>
      <c r="BU159" s="50">
        <f t="shared" si="74"/>
        <v>7.2993902252675977E-2</v>
      </c>
      <c r="BV159" s="50">
        <f t="shared" si="75"/>
        <v>32</v>
      </c>
      <c r="BW159" s="50">
        <f t="shared" si="70"/>
        <v>0.3280000000000014</v>
      </c>
      <c r="BX159" s="50">
        <f t="shared" si="76"/>
        <v>12</v>
      </c>
    </row>
    <row r="160" spans="71:76" ht="12" customHeight="1" x14ac:dyDescent="0.2">
      <c r="BS160" s="50">
        <v>109</v>
      </c>
      <c r="BT160" s="50">
        <f t="shared" si="69"/>
        <v>0.91000000000000336</v>
      </c>
      <c r="BU160" s="50">
        <f t="shared" si="74"/>
        <v>7.3561579754694614E-2</v>
      </c>
      <c r="BV160" s="50">
        <f t="shared" si="75"/>
        <v>32</v>
      </c>
      <c r="BW160" s="50">
        <f t="shared" si="70"/>
        <v>0.3240000000000014</v>
      </c>
      <c r="BX160" s="50">
        <f t="shared" si="76"/>
        <v>12</v>
      </c>
    </row>
    <row r="161" spans="71:76" ht="12" customHeight="1" x14ac:dyDescent="0.2">
      <c r="BS161" s="50">
        <v>110</v>
      </c>
      <c r="BT161" s="50">
        <f t="shared" si="69"/>
        <v>0.90000000000000346</v>
      </c>
      <c r="BU161" s="50">
        <f t="shared" si="74"/>
        <v>7.4129257256713252E-2</v>
      </c>
      <c r="BV161" s="50">
        <f t="shared" si="75"/>
        <v>32</v>
      </c>
      <c r="BW161" s="50">
        <f t="shared" si="70"/>
        <v>0.32000000000000145</v>
      </c>
      <c r="BX161" s="50">
        <f t="shared" si="76"/>
        <v>12</v>
      </c>
    </row>
    <row r="162" spans="71:76" ht="12" customHeight="1" x14ac:dyDescent="0.2">
      <c r="BS162" s="50">
        <v>111</v>
      </c>
      <c r="BT162" s="50">
        <f t="shared" si="69"/>
        <v>0.89000000000000346</v>
      </c>
      <c r="BU162" s="50">
        <f t="shared" si="74"/>
        <v>7.4696934758731889E-2</v>
      </c>
      <c r="BV162" s="50">
        <f t="shared" si="75"/>
        <v>32</v>
      </c>
      <c r="BW162" s="50">
        <f t="shared" si="70"/>
        <v>0.31600000000000145</v>
      </c>
      <c r="BX162" s="50">
        <f t="shared" si="76"/>
        <v>12</v>
      </c>
    </row>
    <row r="163" spans="71:76" ht="12" customHeight="1" x14ac:dyDescent="0.2">
      <c r="BS163" s="50">
        <v>112</v>
      </c>
      <c r="BT163" s="50">
        <f t="shared" si="69"/>
        <v>0.88000000000000356</v>
      </c>
      <c r="BU163" s="50">
        <f t="shared" si="74"/>
        <v>7.5264612260750527E-2</v>
      </c>
      <c r="BV163" s="50">
        <f t="shared" si="75"/>
        <v>32</v>
      </c>
      <c r="BW163" s="50">
        <f t="shared" si="70"/>
        <v>0.31200000000000144</v>
      </c>
      <c r="BX163" s="50">
        <f t="shared" si="76"/>
        <v>12</v>
      </c>
    </row>
    <row r="164" spans="71:76" ht="12" customHeight="1" x14ac:dyDescent="0.2">
      <c r="BS164" s="50">
        <v>113</v>
      </c>
      <c r="BT164" s="50">
        <f t="shared" si="69"/>
        <v>0.87000000000000355</v>
      </c>
      <c r="BU164" s="50">
        <f t="shared" si="74"/>
        <v>7.5832289762769164E-2</v>
      </c>
      <c r="BV164" s="50">
        <f t="shared" si="75"/>
        <v>32</v>
      </c>
      <c r="BW164" s="50">
        <f t="shared" si="70"/>
        <v>0.30800000000000144</v>
      </c>
      <c r="BX164" s="50">
        <f t="shared" si="76"/>
        <v>12</v>
      </c>
    </row>
    <row r="165" spans="71:76" ht="12" customHeight="1" x14ac:dyDescent="0.2">
      <c r="BS165" s="50">
        <v>114</v>
      </c>
      <c r="BT165" s="50">
        <f t="shared" si="69"/>
        <v>0.86000000000000365</v>
      </c>
      <c r="BU165" s="50">
        <f t="shared" si="74"/>
        <v>7.6399967264787802E-2</v>
      </c>
      <c r="BV165" s="50">
        <f t="shared" si="75"/>
        <v>32</v>
      </c>
      <c r="BW165" s="50">
        <f t="shared" si="70"/>
        <v>0.30400000000000149</v>
      </c>
      <c r="BX165" s="50">
        <f t="shared" si="76"/>
        <v>12</v>
      </c>
    </row>
    <row r="166" spans="71:76" ht="12" customHeight="1" x14ac:dyDescent="0.2">
      <c r="BS166" s="50">
        <v>115</v>
      </c>
      <c r="BT166" s="50">
        <f t="shared" si="69"/>
        <v>0.85000000000000364</v>
      </c>
      <c r="BU166" s="50">
        <f t="shared" si="74"/>
        <v>7.696764476680644E-2</v>
      </c>
      <c r="BV166" s="50">
        <f t="shared" si="75"/>
        <v>32</v>
      </c>
      <c r="BW166" s="50">
        <f t="shared" si="70"/>
        <v>0.30000000000000149</v>
      </c>
      <c r="BX166" s="50">
        <f t="shared" si="76"/>
        <v>12</v>
      </c>
    </row>
    <row r="167" spans="71:76" ht="12" customHeight="1" x14ac:dyDescent="0.2">
      <c r="BS167" s="50">
        <v>116</v>
      </c>
      <c r="BT167" s="50">
        <f t="shared" si="69"/>
        <v>0.84000000000000374</v>
      </c>
      <c r="BU167" s="50">
        <f t="shared" si="74"/>
        <v>7.7535322268825077E-2</v>
      </c>
      <c r="BV167" s="50">
        <f t="shared" si="75"/>
        <v>32</v>
      </c>
      <c r="BW167" s="50">
        <f t="shared" si="70"/>
        <v>0.29600000000000154</v>
      </c>
      <c r="BX167" s="50">
        <f t="shared" si="76"/>
        <v>12</v>
      </c>
    </row>
    <row r="168" spans="71:76" ht="12" customHeight="1" x14ac:dyDescent="0.2">
      <c r="BS168" s="50">
        <v>117</v>
      </c>
      <c r="BT168" s="50">
        <f t="shared" si="69"/>
        <v>0.83000000000000385</v>
      </c>
      <c r="BU168" s="50">
        <f t="shared" si="74"/>
        <v>7.8102999770843715E-2</v>
      </c>
      <c r="BV168" s="50">
        <f t="shared" si="75"/>
        <v>32</v>
      </c>
      <c r="BW168" s="50">
        <f t="shared" si="70"/>
        <v>0.29200000000000159</v>
      </c>
      <c r="BX168" s="50">
        <f t="shared" si="76"/>
        <v>12</v>
      </c>
    </row>
    <row r="169" spans="71:76" ht="12" customHeight="1" x14ac:dyDescent="0.2">
      <c r="BS169" s="50">
        <v>118</v>
      </c>
      <c r="BT169" s="50">
        <f t="shared" si="69"/>
        <v>0.82000000000000384</v>
      </c>
      <c r="BU169" s="50">
        <f t="shared" si="74"/>
        <v>7.8670677272862352E-2</v>
      </c>
      <c r="BV169" s="50">
        <f t="shared" si="75"/>
        <v>32</v>
      </c>
      <c r="BW169" s="50">
        <f t="shared" si="70"/>
        <v>0.28800000000000159</v>
      </c>
      <c r="BX169" s="50">
        <f t="shared" si="76"/>
        <v>12</v>
      </c>
    </row>
    <row r="170" spans="71:76" ht="12" customHeight="1" x14ac:dyDescent="0.2">
      <c r="BS170" s="50">
        <v>119</v>
      </c>
      <c r="BT170" s="50">
        <f t="shared" si="69"/>
        <v>0.81000000000000383</v>
      </c>
      <c r="BU170" s="50">
        <f t="shared" si="74"/>
        <v>7.923835477488099E-2</v>
      </c>
      <c r="BV170" s="50">
        <f t="shared" si="75"/>
        <v>32</v>
      </c>
      <c r="BW170" s="50">
        <f t="shared" si="70"/>
        <v>0.28400000000000158</v>
      </c>
      <c r="BX170" s="50">
        <f t="shared" si="76"/>
        <v>12</v>
      </c>
    </row>
    <row r="171" spans="71:76" ht="12" customHeight="1" x14ac:dyDescent="0.2">
      <c r="BS171" s="50">
        <v>120</v>
      </c>
      <c r="BT171" s="50">
        <f t="shared" si="69"/>
        <v>0.80000000000000393</v>
      </c>
      <c r="BU171" s="50">
        <f t="shared" si="74"/>
        <v>7.9806032276899627E-2</v>
      </c>
      <c r="BV171" s="50">
        <f t="shared" si="75"/>
        <v>32</v>
      </c>
      <c r="BW171" s="50">
        <f t="shared" si="70"/>
        <v>0.28000000000000164</v>
      </c>
      <c r="BX171" s="50">
        <f t="shared" si="76"/>
        <v>12</v>
      </c>
    </row>
    <row r="172" spans="71:76" ht="12" customHeight="1" x14ac:dyDescent="0.2">
      <c r="BS172" s="50">
        <v>121</v>
      </c>
      <c r="BT172" s="50">
        <f t="shared" si="69"/>
        <v>0.79000000000000403</v>
      </c>
      <c r="BU172" s="50">
        <f t="shared" si="74"/>
        <v>8.0373709778918265E-2</v>
      </c>
      <c r="BV172" s="50">
        <f t="shared" si="75"/>
        <v>32</v>
      </c>
      <c r="BW172" s="50">
        <f t="shared" si="70"/>
        <v>0.27600000000000163</v>
      </c>
      <c r="BX172" s="50">
        <f t="shared" si="76"/>
        <v>12</v>
      </c>
    </row>
    <row r="173" spans="71:76" ht="12" customHeight="1" x14ac:dyDescent="0.2">
      <c r="BS173" s="50">
        <v>122</v>
      </c>
      <c r="BT173" s="50">
        <f t="shared" si="69"/>
        <v>0.78000000000000402</v>
      </c>
      <c r="BU173" s="50">
        <f t="shared" si="74"/>
        <v>8.0941387280936902E-2</v>
      </c>
      <c r="BV173" s="50">
        <f t="shared" si="75"/>
        <v>32</v>
      </c>
      <c r="BW173" s="50">
        <f t="shared" si="70"/>
        <v>0.27200000000000163</v>
      </c>
      <c r="BX173" s="50">
        <f t="shared" si="76"/>
        <v>12</v>
      </c>
    </row>
    <row r="174" spans="71:76" ht="12" customHeight="1" x14ac:dyDescent="0.2">
      <c r="BS174" s="50">
        <v>123</v>
      </c>
      <c r="BT174" s="50">
        <f t="shared" si="69"/>
        <v>0.77000000000000413</v>
      </c>
      <c r="BU174" s="50">
        <f t="shared" si="74"/>
        <v>8.150906478295554E-2</v>
      </c>
      <c r="BV174" s="50">
        <f t="shared" si="75"/>
        <v>32</v>
      </c>
      <c r="BW174" s="50">
        <f t="shared" si="70"/>
        <v>0.26800000000000168</v>
      </c>
      <c r="BX174" s="50">
        <f t="shared" si="76"/>
        <v>12</v>
      </c>
    </row>
    <row r="175" spans="71:76" ht="12" customHeight="1" x14ac:dyDescent="0.2">
      <c r="BS175" s="50">
        <v>124</v>
      </c>
      <c r="BT175" s="50">
        <f t="shared" si="69"/>
        <v>0.76000000000000412</v>
      </c>
      <c r="BU175" s="50">
        <f t="shared" si="74"/>
        <v>8.2076742284974177E-2</v>
      </c>
      <c r="BV175" s="50">
        <f t="shared" si="75"/>
        <v>32</v>
      </c>
      <c r="BW175" s="50">
        <f t="shared" si="70"/>
        <v>0.26400000000000168</v>
      </c>
      <c r="BX175" s="50">
        <f t="shared" si="76"/>
        <v>12</v>
      </c>
    </row>
    <row r="176" spans="71:76" ht="12" customHeight="1" x14ac:dyDescent="0.2">
      <c r="BS176" s="50">
        <v>125</v>
      </c>
      <c r="BT176" s="50">
        <f t="shared" si="69"/>
        <v>0.75000000000000422</v>
      </c>
      <c r="BU176" s="50">
        <f t="shared" si="74"/>
        <v>8.2644419786992815E-2</v>
      </c>
      <c r="BV176" s="50">
        <f t="shared" si="75"/>
        <v>32</v>
      </c>
      <c r="BW176" s="50">
        <f t="shared" si="70"/>
        <v>0.26000000000000173</v>
      </c>
      <c r="BX176" s="50">
        <f t="shared" si="76"/>
        <v>12</v>
      </c>
    </row>
    <row r="177" spans="71:76" ht="12" customHeight="1" x14ac:dyDescent="0.2">
      <c r="BS177" s="50">
        <v>126</v>
      </c>
      <c r="BT177" s="50">
        <f t="shared" si="69"/>
        <v>0.74000000000000421</v>
      </c>
      <c r="BU177" s="50">
        <f t="shared" si="74"/>
        <v>8.3212097289011452E-2</v>
      </c>
      <c r="BV177" s="50">
        <f t="shared" si="75"/>
        <v>32</v>
      </c>
      <c r="BW177" s="50">
        <f t="shared" si="70"/>
        <v>0.25600000000000173</v>
      </c>
      <c r="BX177" s="50">
        <f t="shared" si="76"/>
        <v>12</v>
      </c>
    </row>
    <row r="178" spans="71:76" ht="12" customHeight="1" x14ac:dyDescent="0.2">
      <c r="BS178" s="50">
        <v>127</v>
      </c>
      <c r="BT178" s="50">
        <f t="shared" si="69"/>
        <v>0.73000000000000431</v>
      </c>
      <c r="BU178" s="50">
        <f t="shared" si="74"/>
        <v>8.377977479103009E-2</v>
      </c>
      <c r="BV178" s="50">
        <f t="shared" si="75"/>
        <v>32</v>
      </c>
      <c r="BW178" s="50">
        <f t="shared" si="70"/>
        <v>0.25200000000000178</v>
      </c>
      <c r="BX178" s="50">
        <f t="shared" si="76"/>
        <v>12</v>
      </c>
    </row>
    <row r="179" spans="71:76" ht="12" customHeight="1" x14ac:dyDescent="0.2">
      <c r="BS179" s="50">
        <v>128</v>
      </c>
      <c r="BT179" s="50">
        <f t="shared" ref="BT179:BT242" si="77">1-ABS($BW$40-BU179)/$BY$39</f>
        <v>0.72000000000000441</v>
      </c>
      <c r="BU179" s="50">
        <f t="shared" si="74"/>
        <v>8.4347452293048727E-2</v>
      </c>
      <c r="BV179" s="50">
        <f t="shared" si="75"/>
        <v>32</v>
      </c>
      <c r="BW179" s="50">
        <f t="shared" ref="BW179:BW242" si="78">MAX($BX$42*BT179-$BT$47,0)</f>
        <v>0.24800000000000175</v>
      </c>
      <c r="BX179" s="50">
        <f t="shared" si="76"/>
        <v>12</v>
      </c>
    </row>
    <row r="180" spans="71:76" ht="12" customHeight="1" x14ac:dyDescent="0.2">
      <c r="BS180" s="50">
        <v>129</v>
      </c>
      <c r="BT180" s="50">
        <f t="shared" si="77"/>
        <v>0.71000000000000441</v>
      </c>
      <c r="BU180" s="50">
        <f t="shared" ref="BU180:BU211" si="79">IF($CD$3,BU179+$BT$46,NA())</f>
        <v>8.4915129795067365E-2</v>
      </c>
      <c r="BV180" s="50">
        <f t="shared" ref="BV180:BV211" si="80">BV179</f>
        <v>32</v>
      </c>
      <c r="BW180" s="50">
        <f t="shared" si="78"/>
        <v>0.24400000000000174</v>
      </c>
      <c r="BX180" s="50">
        <f t="shared" ref="BX180:BX211" si="81">BX179</f>
        <v>12</v>
      </c>
    </row>
    <row r="181" spans="71:76" ht="12" customHeight="1" x14ac:dyDescent="0.2">
      <c r="BS181" s="50">
        <v>130</v>
      </c>
      <c r="BT181" s="50">
        <f t="shared" si="77"/>
        <v>0.7000000000000044</v>
      </c>
      <c r="BU181" s="50">
        <f t="shared" si="79"/>
        <v>8.5482807297086003E-2</v>
      </c>
      <c r="BV181" s="50">
        <f t="shared" si="80"/>
        <v>32</v>
      </c>
      <c r="BW181" s="50">
        <f t="shared" si="78"/>
        <v>0.24000000000000174</v>
      </c>
      <c r="BX181" s="50">
        <f t="shared" si="81"/>
        <v>12</v>
      </c>
    </row>
    <row r="182" spans="71:76" ht="12" customHeight="1" x14ac:dyDescent="0.2">
      <c r="BS182" s="50">
        <v>131</v>
      </c>
      <c r="BT182" s="50">
        <f t="shared" si="77"/>
        <v>0.6900000000000045</v>
      </c>
      <c r="BU182" s="50">
        <f t="shared" si="79"/>
        <v>8.605048479910464E-2</v>
      </c>
      <c r="BV182" s="50">
        <f t="shared" si="80"/>
        <v>32</v>
      </c>
      <c r="BW182" s="50">
        <f t="shared" si="78"/>
        <v>0.23600000000000179</v>
      </c>
      <c r="BX182" s="50">
        <f t="shared" si="81"/>
        <v>12</v>
      </c>
    </row>
    <row r="183" spans="71:76" ht="12" customHeight="1" x14ac:dyDescent="0.2">
      <c r="BS183" s="50">
        <v>132</v>
      </c>
      <c r="BT183" s="50">
        <f t="shared" si="77"/>
        <v>0.6800000000000046</v>
      </c>
      <c r="BU183" s="50">
        <f t="shared" si="79"/>
        <v>8.6618162301123278E-2</v>
      </c>
      <c r="BV183" s="50">
        <f t="shared" si="80"/>
        <v>32</v>
      </c>
      <c r="BW183" s="50">
        <f t="shared" si="78"/>
        <v>0.23200000000000184</v>
      </c>
      <c r="BX183" s="50">
        <f t="shared" si="81"/>
        <v>12</v>
      </c>
    </row>
    <row r="184" spans="71:76" ht="12" customHeight="1" x14ac:dyDescent="0.2">
      <c r="BS184" s="50">
        <v>133</v>
      </c>
      <c r="BT184" s="50">
        <f t="shared" si="77"/>
        <v>0.67000000000000459</v>
      </c>
      <c r="BU184" s="50">
        <f t="shared" si="79"/>
        <v>8.7185839803141915E-2</v>
      </c>
      <c r="BV184" s="50">
        <f t="shared" si="80"/>
        <v>32</v>
      </c>
      <c r="BW184" s="50">
        <f t="shared" si="78"/>
        <v>0.22800000000000184</v>
      </c>
      <c r="BX184" s="50">
        <f t="shared" si="81"/>
        <v>12</v>
      </c>
    </row>
    <row r="185" spans="71:76" ht="12" customHeight="1" x14ac:dyDescent="0.2">
      <c r="BS185" s="50">
        <v>134</v>
      </c>
      <c r="BT185" s="50">
        <f t="shared" si="77"/>
        <v>0.66000000000000458</v>
      </c>
      <c r="BU185" s="50">
        <f t="shared" si="79"/>
        <v>8.7753517305160553E-2</v>
      </c>
      <c r="BV185" s="50">
        <f t="shared" si="80"/>
        <v>32</v>
      </c>
      <c r="BW185" s="50">
        <f t="shared" si="78"/>
        <v>0.22400000000000184</v>
      </c>
      <c r="BX185" s="50">
        <f t="shared" si="81"/>
        <v>12</v>
      </c>
    </row>
    <row r="186" spans="71:76" ht="12" customHeight="1" x14ac:dyDescent="0.2">
      <c r="BS186" s="50">
        <v>135</v>
      </c>
      <c r="BT186" s="50">
        <f t="shared" si="77"/>
        <v>0.65000000000000469</v>
      </c>
      <c r="BU186" s="50">
        <f t="shared" si="79"/>
        <v>8.832119480717919E-2</v>
      </c>
      <c r="BV186" s="50">
        <f t="shared" si="80"/>
        <v>32</v>
      </c>
      <c r="BW186" s="50">
        <f t="shared" si="78"/>
        <v>0.22000000000000189</v>
      </c>
      <c r="BX186" s="50">
        <f t="shared" si="81"/>
        <v>12</v>
      </c>
    </row>
    <row r="187" spans="71:76" ht="12" customHeight="1" x14ac:dyDescent="0.2">
      <c r="BS187" s="50">
        <v>136</v>
      </c>
      <c r="BT187" s="50">
        <f t="shared" si="77"/>
        <v>0.64000000000000479</v>
      </c>
      <c r="BU187" s="50">
        <f t="shared" si="79"/>
        <v>8.8888872309197828E-2</v>
      </c>
      <c r="BV187" s="50">
        <f t="shared" si="80"/>
        <v>32</v>
      </c>
      <c r="BW187" s="50">
        <f t="shared" si="78"/>
        <v>0.21600000000000194</v>
      </c>
      <c r="BX187" s="50">
        <f t="shared" si="81"/>
        <v>12</v>
      </c>
    </row>
    <row r="188" spans="71:76" ht="12" customHeight="1" x14ac:dyDescent="0.2">
      <c r="BS188" s="50">
        <v>137</v>
      </c>
      <c r="BT188" s="50">
        <f t="shared" si="77"/>
        <v>0.63000000000000478</v>
      </c>
      <c r="BU188" s="50">
        <f t="shared" si="79"/>
        <v>8.9456549811216465E-2</v>
      </c>
      <c r="BV188" s="50">
        <f t="shared" si="80"/>
        <v>32</v>
      </c>
      <c r="BW188" s="50">
        <f t="shared" si="78"/>
        <v>0.21200000000000194</v>
      </c>
      <c r="BX188" s="50">
        <f t="shared" si="81"/>
        <v>12</v>
      </c>
    </row>
    <row r="189" spans="71:76" ht="12" customHeight="1" x14ac:dyDescent="0.2">
      <c r="BS189" s="50">
        <v>138</v>
      </c>
      <c r="BT189" s="50">
        <f t="shared" si="77"/>
        <v>0.62000000000000477</v>
      </c>
      <c r="BU189" s="50">
        <f t="shared" si="79"/>
        <v>9.0024227313235103E-2</v>
      </c>
      <c r="BV189" s="50">
        <f t="shared" si="80"/>
        <v>32</v>
      </c>
      <c r="BW189" s="50">
        <f t="shared" si="78"/>
        <v>0.20800000000000191</v>
      </c>
      <c r="BX189" s="50">
        <f t="shared" si="81"/>
        <v>12</v>
      </c>
    </row>
    <row r="190" spans="71:76" ht="12" customHeight="1" x14ac:dyDescent="0.2">
      <c r="BS190" s="50">
        <v>139</v>
      </c>
      <c r="BT190" s="50">
        <f t="shared" si="77"/>
        <v>0.61000000000000487</v>
      </c>
      <c r="BU190" s="50">
        <f t="shared" si="79"/>
        <v>9.059190481525374E-2</v>
      </c>
      <c r="BV190" s="50">
        <f t="shared" si="80"/>
        <v>32</v>
      </c>
      <c r="BW190" s="50">
        <f t="shared" si="78"/>
        <v>0.20400000000000196</v>
      </c>
      <c r="BX190" s="50">
        <f t="shared" si="81"/>
        <v>12</v>
      </c>
    </row>
    <row r="191" spans="71:76" ht="12" customHeight="1" x14ac:dyDescent="0.2">
      <c r="BS191" s="50">
        <v>140</v>
      </c>
      <c r="BT191" s="50">
        <f t="shared" si="77"/>
        <v>0.60000000000000497</v>
      </c>
      <c r="BU191" s="50">
        <f t="shared" si="79"/>
        <v>9.1159582317272378E-2</v>
      </c>
      <c r="BV191" s="50">
        <f t="shared" si="80"/>
        <v>32</v>
      </c>
      <c r="BW191" s="50">
        <f t="shared" si="78"/>
        <v>0.20000000000000198</v>
      </c>
      <c r="BX191" s="50">
        <f t="shared" si="81"/>
        <v>12</v>
      </c>
    </row>
    <row r="192" spans="71:76" ht="12" customHeight="1" x14ac:dyDescent="0.2">
      <c r="BS192" s="50">
        <v>141</v>
      </c>
      <c r="BT192" s="50">
        <f t="shared" si="77"/>
        <v>0.59000000000000496</v>
      </c>
      <c r="BU192" s="50">
        <f t="shared" si="79"/>
        <v>9.1727259819291015E-2</v>
      </c>
      <c r="BV192" s="50">
        <f t="shared" si="80"/>
        <v>32</v>
      </c>
      <c r="BW192" s="50">
        <f t="shared" si="78"/>
        <v>0.19600000000000198</v>
      </c>
      <c r="BX192" s="50">
        <f t="shared" si="81"/>
        <v>12</v>
      </c>
    </row>
    <row r="193" spans="71:76" ht="12" customHeight="1" x14ac:dyDescent="0.2">
      <c r="BS193" s="50">
        <v>142</v>
      </c>
      <c r="BT193" s="50">
        <f t="shared" si="77"/>
        <v>0.58000000000000496</v>
      </c>
      <c r="BU193" s="50">
        <f t="shared" si="79"/>
        <v>9.2294937321309653E-2</v>
      </c>
      <c r="BV193" s="50">
        <f t="shared" si="80"/>
        <v>32</v>
      </c>
      <c r="BW193" s="50">
        <f t="shared" si="78"/>
        <v>0.19200000000000197</v>
      </c>
      <c r="BX193" s="50">
        <f t="shared" si="81"/>
        <v>12</v>
      </c>
    </row>
    <row r="194" spans="71:76" ht="12" customHeight="1" x14ac:dyDescent="0.2">
      <c r="BS194" s="50">
        <v>143</v>
      </c>
      <c r="BT194" s="50">
        <f t="shared" si="77"/>
        <v>0.57000000000000517</v>
      </c>
      <c r="BU194" s="50">
        <f t="shared" si="79"/>
        <v>9.2862614823328291E-2</v>
      </c>
      <c r="BV194" s="50">
        <f t="shared" si="80"/>
        <v>32</v>
      </c>
      <c r="BW194" s="50">
        <f t="shared" si="78"/>
        <v>0.18800000000000208</v>
      </c>
      <c r="BX194" s="50">
        <f t="shared" si="81"/>
        <v>12</v>
      </c>
    </row>
    <row r="195" spans="71:76" ht="12" customHeight="1" x14ac:dyDescent="0.2">
      <c r="BS195" s="50">
        <v>144</v>
      </c>
      <c r="BT195" s="50">
        <f t="shared" si="77"/>
        <v>0.56000000000000516</v>
      </c>
      <c r="BU195" s="50">
        <f t="shared" si="79"/>
        <v>9.3430292325346928E-2</v>
      </c>
      <c r="BV195" s="50">
        <f t="shared" si="80"/>
        <v>32</v>
      </c>
      <c r="BW195" s="50">
        <f t="shared" si="78"/>
        <v>0.18400000000000208</v>
      </c>
      <c r="BX195" s="50">
        <f t="shared" si="81"/>
        <v>12</v>
      </c>
    </row>
    <row r="196" spans="71:76" ht="12" customHeight="1" x14ac:dyDescent="0.2">
      <c r="BS196" s="50">
        <v>145</v>
      </c>
      <c r="BT196" s="50">
        <f t="shared" si="77"/>
        <v>0.55000000000000515</v>
      </c>
      <c r="BU196" s="50">
        <f t="shared" si="79"/>
        <v>9.3997969827365566E-2</v>
      </c>
      <c r="BV196" s="50">
        <f t="shared" si="80"/>
        <v>32</v>
      </c>
      <c r="BW196" s="50">
        <f t="shared" si="78"/>
        <v>0.18000000000000208</v>
      </c>
      <c r="BX196" s="50">
        <f t="shared" si="81"/>
        <v>12</v>
      </c>
    </row>
    <row r="197" spans="71:76" ht="12" customHeight="1" x14ac:dyDescent="0.2">
      <c r="BS197" s="50">
        <v>146</v>
      </c>
      <c r="BT197" s="50">
        <f t="shared" si="77"/>
        <v>0.54000000000000525</v>
      </c>
      <c r="BU197" s="50">
        <f t="shared" si="79"/>
        <v>9.4565647329384203E-2</v>
      </c>
      <c r="BV197" s="50">
        <f t="shared" si="80"/>
        <v>32</v>
      </c>
      <c r="BW197" s="50">
        <f t="shared" si="78"/>
        <v>0.1760000000000021</v>
      </c>
      <c r="BX197" s="50">
        <f t="shared" si="81"/>
        <v>12</v>
      </c>
    </row>
    <row r="198" spans="71:76" ht="12" customHeight="1" x14ac:dyDescent="0.2">
      <c r="BS198" s="50">
        <v>147</v>
      </c>
      <c r="BT198" s="50">
        <f t="shared" si="77"/>
        <v>0.53000000000000536</v>
      </c>
      <c r="BU198" s="50">
        <f t="shared" si="79"/>
        <v>9.5133324831402841E-2</v>
      </c>
      <c r="BV198" s="50">
        <f t="shared" si="80"/>
        <v>32</v>
      </c>
      <c r="BW198" s="50">
        <f t="shared" si="78"/>
        <v>0.17200000000000215</v>
      </c>
      <c r="BX198" s="50">
        <f t="shared" si="81"/>
        <v>12</v>
      </c>
    </row>
    <row r="199" spans="71:76" ht="12" customHeight="1" x14ac:dyDescent="0.2">
      <c r="BS199" s="50">
        <v>148</v>
      </c>
      <c r="BT199" s="50">
        <f t="shared" si="77"/>
        <v>0.52000000000000535</v>
      </c>
      <c r="BU199" s="50">
        <f t="shared" si="79"/>
        <v>9.5701002333421478E-2</v>
      </c>
      <c r="BV199" s="50">
        <f t="shared" si="80"/>
        <v>32</v>
      </c>
      <c r="BW199" s="50">
        <f t="shared" si="78"/>
        <v>0.16800000000000215</v>
      </c>
      <c r="BX199" s="50">
        <f t="shared" si="81"/>
        <v>12</v>
      </c>
    </row>
    <row r="200" spans="71:76" ht="12" customHeight="1" x14ac:dyDescent="0.2">
      <c r="BS200" s="50">
        <v>149</v>
      </c>
      <c r="BT200" s="50">
        <f t="shared" si="77"/>
        <v>0.51000000000000534</v>
      </c>
      <c r="BU200" s="50">
        <f t="shared" si="79"/>
        <v>9.6268679835440116E-2</v>
      </c>
      <c r="BV200" s="50">
        <f t="shared" si="80"/>
        <v>32</v>
      </c>
      <c r="BW200" s="50">
        <f t="shared" si="78"/>
        <v>0.16400000000000214</v>
      </c>
      <c r="BX200" s="50">
        <f t="shared" si="81"/>
        <v>12</v>
      </c>
    </row>
    <row r="201" spans="71:76" ht="12" customHeight="1" x14ac:dyDescent="0.2">
      <c r="BS201" s="50">
        <v>150</v>
      </c>
      <c r="BT201" s="50">
        <f t="shared" si="77"/>
        <v>0.50000000000000544</v>
      </c>
      <c r="BU201" s="50">
        <f t="shared" si="79"/>
        <v>9.6836357337458753E-2</v>
      </c>
      <c r="BV201" s="50">
        <f t="shared" si="80"/>
        <v>32</v>
      </c>
      <c r="BW201" s="50">
        <f t="shared" si="78"/>
        <v>0.16000000000000217</v>
      </c>
      <c r="BX201" s="50">
        <f t="shared" si="81"/>
        <v>12</v>
      </c>
    </row>
    <row r="202" spans="71:76" ht="12" customHeight="1" x14ac:dyDescent="0.2">
      <c r="BS202" s="50">
        <v>151</v>
      </c>
      <c r="BT202" s="50">
        <f t="shared" si="77"/>
        <v>0.49000000000000554</v>
      </c>
      <c r="BU202" s="50">
        <f t="shared" si="79"/>
        <v>9.7404034839477391E-2</v>
      </c>
      <c r="BV202" s="50">
        <f t="shared" si="80"/>
        <v>32</v>
      </c>
      <c r="BW202" s="50">
        <f t="shared" si="78"/>
        <v>0.15600000000000222</v>
      </c>
      <c r="BX202" s="50">
        <f t="shared" si="81"/>
        <v>12</v>
      </c>
    </row>
    <row r="203" spans="71:76" ht="12" customHeight="1" x14ac:dyDescent="0.2">
      <c r="BS203" s="50">
        <v>152</v>
      </c>
      <c r="BT203" s="50">
        <f t="shared" si="77"/>
        <v>0.48000000000000553</v>
      </c>
      <c r="BU203" s="50">
        <f t="shared" si="79"/>
        <v>9.7971712341496028E-2</v>
      </c>
      <c r="BV203" s="50">
        <f t="shared" si="80"/>
        <v>32</v>
      </c>
      <c r="BW203" s="50">
        <f t="shared" si="78"/>
        <v>0.15200000000000222</v>
      </c>
      <c r="BX203" s="50">
        <f t="shared" si="81"/>
        <v>12</v>
      </c>
    </row>
    <row r="204" spans="71:76" ht="12" customHeight="1" x14ac:dyDescent="0.2">
      <c r="BS204" s="50">
        <v>153</v>
      </c>
      <c r="BT204" s="50">
        <f t="shared" si="77"/>
        <v>0.47000000000000564</v>
      </c>
      <c r="BU204" s="50">
        <f t="shared" si="79"/>
        <v>9.8539389843514666E-2</v>
      </c>
      <c r="BV204" s="50">
        <f t="shared" si="80"/>
        <v>32</v>
      </c>
      <c r="BW204" s="50">
        <f t="shared" si="78"/>
        <v>0.14800000000000227</v>
      </c>
      <c r="BX204" s="50">
        <f t="shared" si="81"/>
        <v>12</v>
      </c>
    </row>
    <row r="205" spans="71:76" ht="12" customHeight="1" x14ac:dyDescent="0.2">
      <c r="BS205" s="50">
        <v>154</v>
      </c>
      <c r="BT205" s="50">
        <f t="shared" si="77"/>
        <v>0.46000000000000563</v>
      </c>
      <c r="BU205" s="50">
        <f t="shared" si="79"/>
        <v>9.9107067345533303E-2</v>
      </c>
      <c r="BV205" s="50">
        <f t="shared" si="80"/>
        <v>32</v>
      </c>
      <c r="BW205" s="50">
        <f t="shared" si="78"/>
        <v>0.14400000000000227</v>
      </c>
      <c r="BX205" s="50">
        <f t="shared" si="81"/>
        <v>12</v>
      </c>
    </row>
    <row r="206" spans="71:76" ht="12" customHeight="1" x14ac:dyDescent="0.2">
      <c r="BS206" s="50">
        <v>155</v>
      </c>
      <c r="BT206" s="50">
        <f t="shared" si="77"/>
        <v>0.45000000000000573</v>
      </c>
      <c r="BU206" s="50">
        <f t="shared" si="79"/>
        <v>9.9674744847551941E-2</v>
      </c>
      <c r="BV206" s="50">
        <f t="shared" si="80"/>
        <v>32</v>
      </c>
      <c r="BW206" s="50">
        <f t="shared" si="78"/>
        <v>0.14000000000000229</v>
      </c>
      <c r="BX206" s="50">
        <f t="shared" si="81"/>
        <v>12</v>
      </c>
    </row>
    <row r="207" spans="71:76" ht="12" customHeight="1" x14ac:dyDescent="0.2">
      <c r="BS207" s="50">
        <v>156</v>
      </c>
      <c r="BT207" s="50">
        <f t="shared" si="77"/>
        <v>0.44000000000000572</v>
      </c>
      <c r="BU207" s="50">
        <f t="shared" si="79"/>
        <v>0.10024242234957058</v>
      </c>
      <c r="BV207" s="50">
        <f t="shared" si="80"/>
        <v>32</v>
      </c>
      <c r="BW207" s="50">
        <f t="shared" si="78"/>
        <v>0.13600000000000229</v>
      </c>
      <c r="BX207" s="50">
        <f t="shared" si="81"/>
        <v>12</v>
      </c>
    </row>
    <row r="208" spans="71:76" ht="12" customHeight="1" x14ac:dyDescent="0.2">
      <c r="BS208" s="50">
        <v>157</v>
      </c>
      <c r="BT208" s="50">
        <f t="shared" si="77"/>
        <v>0.43000000000000582</v>
      </c>
      <c r="BU208" s="50">
        <f t="shared" si="79"/>
        <v>0.10081009985158922</v>
      </c>
      <c r="BV208" s="50">
        <f t="shared" si="80"/>
        <v>32</v>
      </c>
      <c r="BW208" s="50">
        <f t="shared" si="78"/>
        <v>0.13200000000000234</v>
      </c>
      <c r="BX208" s="50">
        <f t="shared" si="81"/>
        <v>12</v>
      </c>
    </row>
    <row r="209" spans="71:76" ht="12" customHeight="1" x14ac:dyDescent="0.2">
      <c r="BS209" s="50">
        <v>158</v>
      </c>
      <c r="BT209" s="50">
        <f t="shared" si="77"/>
        <v>0.42000000000000581</v>
      </c>
      <c r="BU209" s="50">
        <f t="shared" si="79"/>
        <v>0.10137777735360785</v>
      </c>
      <c r="BV209" s="50">
        <f t="shared" si="80"/>
        <v>32</v>
      </c>
      <c r="BW209" s="50">
        <f t="shared" si="78"/>
        <v>0.12800000000000233</v>
      </c>
      <c r="BX209" s="50">
        <f t="shared" si="81"/>
        <v>12</v>
      </c>
    </row>
    <row r="210" spans="71:76" ht="12" customHeight="1" x14ac:dyDescent="0.2">
      <c r="BS210" s="50">
        <v>159</v>
      </c>
      <c r="BT210" s="50">
        <f t="shared" si="77"/>
        <v>0.41000000000000592</v>
      </c>
      <c r="BU210" s="50">
        <f t="shared" si="79"/>
        <v>0.10194545485562649</v>
      </c>
      <c r="BV210" s="50">
        <f t="shared" si="80"/>
        <v>32</v>
      </c>
      <c r="BW210" s="50">
        <f t="shared" si="78"/>
        <v>0.12400000000000236</v>
      </c>
      <c r="BX210" s="50">
        <f t="shared" si="81"/>
        <v>12</v>
      </c>
    </row>
    <row r="211" spans="71:76" ht="12" customHeight="1" x14ac:dyDescent="0.2">
      <c r="BS211" s="50">
        <v>160</v>
      </c>
      <c r="BT211" s="50">
        <f t="shared" si="77"/>
        <v>0.40000000000000591</v>
      </c>
      <c r="BU211" s="50">
        <f t="shared" si="79"/>
        <v>0.10251313235764513</v>
      </c>
      <c r="BV211" s="50">
        <f t="shared" si="80"/>
        <v>32</v>
      </c>
      <c r="BW211" s="50">
        <f t="shared" si="78"/>
        <v>0.12000000000000235</v>
      </c>
      <c r="BX211" s="50">
        <f t="shared" si="81"/>
        <v>12</v>
      </c>
    </row>
    <row r="212" spans="71:76" ht="12" customHeight="1" x14ac:dyDescent="0.2">
      <c r="BS212" s="50">
        <v>161</v>
      </c>
      <c r="BT212" s="50">
        <f t="shared" si="77"/>
        <v>0.39000000000000601</v>
      </c>
      <c r="BU212" s="50">
        <f t="shared" ref="BU212:BU243" si="82">IF($CD$3,BU211+$BT$46,NA())</f>
        <v>0.10308080985966377</v>
      </c>
      <c r="BV212" s="50">
        <f t="shared" ref="BV212:BV243" si="83">BV211</f>
        <v>32</v>
      </c>
      <c r="BW212" s="50">
        <f t="shared" si="78"/>
        <v>0.11600000000000241</v>
      </c>
      <c r="BX212" s="50">
        <f t="shared" ref="BX212:BX243" si="84">BX211</f>
        <v>12</v>
      </c>
    </row>
    <row r="213" spans="71:76" ht="12" customHeight="1" x14ac:dyDescent="0.2">
      <c r="BS213" s="50">
        <v>162</v>
      </c>
      <c r="BT213" s="50">
        <f t="shared" si="77"/>
        <v>0.380000000000006</v>
      </c>
      <c r="BU213" s="50">
        <f t="shared" si="82"/>
        <v>0.1036484873616824</v>
      </c>
      <c r="BV213" s="50">
        <f t="shared" si="83"/>
        <v>32</v>
      </c>
      <c r="BW213" s="50">
        <f t="shared" si="78"/>
        <v>0.1120000000000024</v>
      </c>
      <c r="BX213" s="50">
        <f t="shared" si="84"/>
        <v>12</v>
      </c>
    </row>
    <row r="214" spans="71:76" ht="12" customHeight="1" x14ac:dyDescent="0.2">
      <c r="BS214" s="50">
        <v>163</v>
      </c>
      <c r="BT214" s="50">
        <f t="shared" si="77"/>
        <v>0.3700000000000061</v>
      </c>
      <c r="BU214" s="50">
        <f t="shared" si="82"/>
        <v>0.10421616486370104</v>
      </c>
      <c r="BV214" s="50">
        <f t="shared" si="83"/>
        <v>32</v>
      </c>
      <c r="BW214" s="50">
        <f t="shared" si="78"/>
        <v>0.10800000000000243</v>
      </c>
      <c r="BX214" s="50">
        <f t="shared" si="84"/>
        <v>12</v>
      </c>
    </row>
    <row r="215" spans="71:76" ht="12" customHeight="1" x14ac:dyDescent="0.2">
      <c r="BS215" s="50">
        <v>164</v>
      </c>
      <c r="BT215" s="50">
        <f t="shared" si="77"/>
        <v>0.36000000000000609</v>
      </c>
      <c r="BU215" s="50">
        <f t="shared" si="82"/>
        <v>0.10478384236571968</v>
      </c>
      <c r="BV215" s="50">
        <f t="shared" si="83"/>
        <v>32</v>
      </c>
      <c r="BW215" s="50">
        <f t="shared" si="78"/>
        <v>0.10400000000000242</v>
      </c>
      <c r="BX215" s="50">
        <f t="shared" si="84"/>
        <v>12</v>
      </c>
    </row>
    <row r="216" spans="71:76" ht="12" customHeight="1" x14ac:dyDescent="0.2">
      <c r="BS216" s="50">
        <v>165</v>
      </c>
      <c r="BT216" s="50">
        <f t="shared" si="77"/>
        <v>0.3500000000000062</v>
      </c>
      <c r="BU216" s="50">
        <f t="shared" si="82"/>
        <v>0.10535151986773832</v>
      </c>
      <c r="BV216" s="50">
        <f t="shared" si="83"/>
        <v>32</v>
      </c>
      <c r="BW216" s="50">
        <f t="shared" si="78"/>
        <v>0.10000000000000248</v>
      </c>
      <c r="BX216" s="50">
        <f t="shared" si="84"/>
        <v>12</v>
      </c>
    </row>
    <row r="217" spans="71:76" ht="12" customHeight="1" x14ac:dyDescent="0.2">
      <c r="BS217" s="50">
        <v>166</v>
      </c>
      <c r="BT217" s="50">
        <f t="shared" si="77"/>
        <v>0.34000000000000619</v>
      </c>
      <c r="BU217" s="50">
        <f t="shared" si="82"/>
        <v>0.10591919736975695</v>
      </c>
      <c r="BV217" s="50">
        <f t="shared" si="83"/>
        <v>32</v>
      </c>
      <c r="BW217" s="50">
        <f t="shared" si="78"/>
        <v>9.6000000000002472E-2</v>
      </c>
      <c r="BX217" s="50">
        <f t="shared" si="84"/>
        <v>12</v>
      </c>
    </row>
    <row r="218" spans="71:76" ht="12" customHeight="1" x14ac:dyDescent="0.2">
      <c r="BS218" s="50">
        <v>167</v>
      </c>
      <c r="BT218" s="50">
        <f t="shared" si="77"/>
        <v>0.33000000000000629</v>
      </c>
      <c r="BU218" s="50">
        <f t="shared" si="82"/>
        <v>0.10648687487177559</v>
      </c>
      <c r="BV218" s="50">
        <f t="shared" si="83"/>
        <v>32</v>
      </c>
      <c r="BW218" s="50">
        <f t="shared" si="78"/>
        <v>9.2000000000002524E-2</v>
      </c>
      <c r="BX218" s="50">
        <f t="shared" si="84"/>
        <v>12</v>
      </c>
    </row>
    <row r="219" spans="71:76" ht="12" customHeight="1" x14ac:dyDescent="0.2">
      <c r="BS219" s="50">
        <v>168</v>
      </c>
      <c r="BT219" s="50">
        <f t="shared" si="77"/>
        <v>0.32000000000000639</v>
      </c>
      <c r="BU219" s="50">
        <f t="shared" si="82"/>
        <v>0.10705455237379423</v>
      </c>
      <c r="BV219" s="50">
        <f t="shared" si="83"/>
        <v>32</v>
      </c>
      <c r="BW219" s="50">
        <f t="shared" si="78"/>
        <v>8.8000000000002548E-2</v>
      </c>
      <c r="BX219" s="50">
        <f t="shared" si="84"/>
        <v>12</v>
      </c>
    </row>
    <row r="220" spans="71:76" ht="12" customHeight="1" x14ac:dyDescent="0.2">
      <c r="BS220" s="50">
        <v>169</v>
      </c>
      <c r="BT220" s="50">
        <f t="shared" si="77"/>
        <v>0.31000000000000638</v>
      </c>
      <c r="BU220" s="50">
        <f t="shared" si="82"/>
        <v>0.10762222987581287</v>
      </c>
      <c r="BV220" s="50">
        <f t="shared" si="83"/>
        <v>32</v>
      </c>
      <c r="BW220" s="50">
        <f t="shared" si="78"/>
        <v>8.4000000000002545E-2</v>
      </c>
      <c r="BX220" s="50">
        <f t="shared" si="84"/>
        <v>12</v>
      </c>
    </row>
    <row r="221" spans="71:76" ht="12" customHeight="1" x14ac:dyDescent="0.2">
      <c r="BS221" s="50">
        <v>170</v>
      </c>
      <c r="BT221" s="50">
        <f t="shared" si="77"/>
        <v>0.30000000000000648</v>
      </c>
      <c r="BU221" s="50">
        <f t="shared" si="82"/>
        <v>0.1081899073778315</v>
      </c>
      <c r="BV221" s="50">
        <f t="shared" si="83"/>
        <v>32</v>
      </c>
      <c r="BW221" s="50">
        <f t="shared" si="78"/>
        <v>8.0000000000002597E-2</v>
      </c>
      <c r="BX221" s="50">
        <f t="shared" si="84"/>
        <v>12</v>
      </c>
    </row>
    <row r="222" spans="71:76" ht="12" customHeight="1" x14ac:dyDescent="0.2">
      <c r="BS222" s="50">
        <v>171</v>
      </c>
      <c r="BT222" s="50">
        <f t="shared" si="77"/>
        <v>0.29000000000000647</v>
      </c>
      <c r="BU222" s="50">
        <f t="shared" si="82"/>
        <v>0.10875758487985014</v>
      </c>
      <c r="BV222" s="50">
        <f t="shared" si="83"/>
        <v>32</v>
      </c>
      <c r="BW222" s="50">
        <f t="shared" si="78"/>
        <v>7.6000000000002593E-2</v>
      </c>
      <c r="BX222" s="50">
        <f t="shared" si="84"/>
        <v>12</v>
      </c>
    </row>
    <row r="223" spans="71:76" ht="12" customHeight="1" x14ac:dyDescent="0.2">
      <c r="BS223" s="50">
        <v>172</v>
      </c>
      <c r="BT223" s="50">
        <f t="shared" si="77"/>
        <v>0.28000000000000658</v>
      </c>
      <c r="BU223" s="50">
        <f t="shared" si="82"/>
        <v>0.10932526238186878</v>
      </c>
      <c r="BV223" s="50">
        <f t="shared" si="83"/>
        <v>32</v>
      </c>
      <c r="BW223" s="50">
        <f t="shared" si="78"/>
        <v>7.2000000000002645E-2</v>
      </c>
      <c r="BX223" s="50">
        <f t="shared" si="84"/>
        <v>12</v>
      </c>
    </row>
    <row r="224" spans="71:76" ht="12" customHeight="1" x14ac:dyDescent="0.2">
      <c r="BS224" s="50">
        <v>173</v>
      </c>
      <c r="BT224" s="50">
        <f t="shared" si="77"/>
        <v>0.27000000000000657</v>
      </c>
      <c r="BU224" s="50">
        <f t="shared" si="82"/>
        <v>0.10989293988388742</v>
      </c>
      <c r="BV224" s="50">
        <f t="shared" si="83"/>
        <v>32</v>
      </c>
      <c r="BW224" s="50">
        <f t="shared" si="78"/>
        <v>6.8000000000002642E-2</v>
      </c>
      <c r="BX224" s="50">
        <f t="shared" si="84"/>
        <v>12</v>
      </c>
    </row>
    <row r="225" spans="71:76" ht="12" customHeight="1" x14ac:dyDescent="0.2">
      <c r="BS225" s="50">
        <v>174</v>
      </c>
      <c r="BT225" s="50">
        <f t="shared" si="77"/>
        <v>0.26000000000000667</v>
      </c>
      <c r="BU225" s="50">
        <f t="shared" si="82"/>
        <v>0.11046061738590605</v>
      </c>
      <c r="BV225" s="50">
        <f t="shared" si="83"/>
        <v>32</v>
      </c>
      <c r="BW225" s="50">
        <f t="shared" si="78"/>
        <v>6.4000000000002666E-2</v>
      </c>
      <c r="BX225" s="50">
        <f t="shared" si="84"/>
        <v>12</v>
      </c>
    </row>
    <row r="226" spans="71:76" ht="12" customHeight="1" x14ac:dyDescent="0.2">
      <c r="BS226" s="50">
        <v>175</v>
      </c>
      <c r="BT226" s="50">
        <f t="shared" si="77"/>
        <v>0.25000000000000666</v>
      </c>
      <c r="BU226" s="50">
        <f t="shared" si="82"/>
        <v>0.11102829488792469</v>
      </c>
      <c r="BV226" s="50">
        <f t="shared" si="83"/>
        <v>32</v>
      </c>
      <c r="BW226" s="50">
        <f t="shared" si="78"/>
        <v>6.0000000000002669E-2</v>
      </c>
      <c r="BX226" s="50">
        <f t="shared" si="84"/>
        <v>12</v>
      </c>
    </row>
    <row r="227" spans="71:76" ht="12" customHeight="1" x14ac:dyDescent="0.2">
      <c r="BS227" s="50">
        <v>176</v>
      </c>
      <c r="BT227" s="50">
        <f t="shared" si="77"/>
        <v>0.24000000000000676</v>
      </c>
      <c r="BU227" s="50">
        <f t="shared" si="82"/>
        <v>0.11159597238994333</v>
      </c>
      <c r="BV227" s="50">
        <f t="shared" si="83"/>
        <v>32</v>
      </c>
      <c r="BW227" s="50">
        <f t="shared" si="78"/>
        <v>5.6000000000002707E-2</v>
      </c>
      <c r="BX227" s="50">
        <f t="shared" si="84"/>
        <v>12</v>
      </c>
    </row>
    <row r="228" spans="71:76" ht="12" customHeight="1" x14ac:dyDescent="0.2">
      <c r="BS228" s="50">
        <v>177</v>
      </c>
      <c r="BT228" s="50">
        <f t="shared" si="77"/>
        <v>0.23000000000000675</v>
      </c>
      <c r="BU228" s="50">
        <f t="shared" si="82"/>
        <v>0.11216364989196197</v>
      </c>
      <c r="BV228" s="50">
        <f t="shared" si="83"/>
        <v>32</v>
      </c>
      <c r="BW228" s="50">
        <f t="shared" si="78"/>
        <v>5.2000000000002704E-2</v>
      </c>
      <c r="BX228" s="50">
        <f t="shared" si="84"/>
        <v>12</v>
      </c>
    </row>
    <row r="229" spans="71:76" ht="12" customHeight="1" x14ac:dyDescent="0.2">
      <c r="BS229" s="50">
        <v>178</v>
      </c>
      <c r="BT229" s="50">
        <f t="shared" si="77"/>
        <v>0.22000000000000686</v>
      </c>
      <c r="BU229" s="50">
        <f t="shared" si="82"/>
        <v>0.1127313273939806</v>
      </c>
      <c r="BV229" s="50">
        <f t="shared" si="83"/>
        <v>32</v>
      </c>
      <c r="BW229" s="50">
        <f t="shared" si="78"/>
        <v>4.8000000000002742E-2</v>
      </c>
      <c r="BX229" s="50">
        <f t="shared" si="84"/>
        <v>12</v>
      </c>
    </row>
    <row r="230" spans="71:76" ht="12" customHeight="1" x14ac:dyDescent="0.2">
      <c r="BS230" s="50">
        <v>179</v>
      </c>
      <c r="BT230" s="50">
        <f t="shared" si="77"/>
        <v>0.21000000000000685</v>
      </c>
      <c r="BU230" s="50">
        <f t="shared" si="82"/>
        <v>0.11329900489599924</v>
      </c>
      <c r="BV230" s="50">
        <f t="shared" si="83"/>
        <v>32</v>
      </c>
      <c r="BW230" s="50">
        <f t="shared" si="78"/>
        <v>4.4000000000002738E-2</v>
      </c>
      <c r="BX230" s="50">
        <f t="shared" si="84"/>
        <v>12</v>
      </c>
    </row>
    <row r="231" spans="71:76" ht="12" customHeight="1" x14ac:dyDescent="0.2">
      <c r="BS231" s="50">
        <v>180</v>
      </c>
      <c r="BT231" s="50">
        <f t="shared" si="77"/>
        <v>0.20000000000000695</v>
      </c>
      <c r="BU231" s="50">
        <f t="shared" si="82"/>
        <v>0.11386668239801788</v>
      </c>
      <c r="BV231" s="50">
        <f t="shared" si="83"/>
        <v>32</v>
      </c>
      <c r="BW231" s="50">
        <f t="shared" si="78"/>
        <v>4.000000000000279E-2</v>
      </c>
      <c r="BX231" s="50">
        <f t="shared" si="84"/>
        <v>12</v>
      </c>
    </row>
    <row r="232" spans="71:76" ht="12" customHeight="1" x14ac:dyDescent="0.2">
      <c r="BS232" s="50">
        <v>181</v>
      </c>
      <c r="BT232" s="50">
        <f t="shared" si="77"/>
        <v>0.19000000000000694</v>
      </c>
      <c r="BU232" s="50">
        <f t="shared" si="82"/>
        <v>0.11443435990003652</v>
      </c>
      <c r="BV232" s="50">
        <f t="shared" si="83"/>
        <v>32</v>
      </c>
      <c r="BW232" s="50">
        <f t="shared" si="78"/>
        <v>3.6000000000002787E-2</v>
      </c>
      <c r="BX232" s="50">
        <f t="shared" si="84"/>
        <v>12</v>
      </c>
    </row>
    <row r="233" spans="71:76" ht="12" customHeight="1" x14ac:dyDescent="0.2">
      <c r="BS233" s="50">
        <v>182</v>
      </c>
      <c r="BT233" s="50">
        <f t="shared" si="77"/>
        <v>0.18000000000000704</v>
      </c>
      <c r="BU233" s="50">
        <f t="shared" si="82"/>
        <v>0.11500203740205515</v>
      </c>
      <c r="BV233" s="50">
        <f t="shared" si="83"/>
        <v>32</v>
      </c>
      <c r="BW233" s="50">
        <f t="shared" si="78"/>
        <v>3.2000000000002825E-2</v>
      </c>
      <c r="BX233" s="50">
        <f t="shared" si="84"/>
        <v>12</v>
      </c>
    </row>
    <row r="234" spans="71:76" ht="12" customHeight="1" x14ac:dyDescent="0.2">
      <c r="BS234" s="50">
        <v>183</v>
      </c>
      <c r="BT234" s="50">
        <f t="shared" si="77"/>
        <v>0.17000000000000715</v>
      </c>
      <c r="BU234" s="50">
        <f t="shared" si="82"/>
        <v>0.11556971490407379</v>
      </c>
      <c r="BV234" s="50">
        <f t="shared" si="83"/>
        <v>32</v>
      </c>
      <c r="BW234" s="50">
        <f t="shared" si="78"/>
        <v>2.8000000000002863E-2</v>
      </c>
      <c r="BX234" s="50">
        <f t="shared" si="84"/>
        <v>12</v>
      </c>
    </row>
    <row r="235" spans="71:76" ht="12" customHeight="1" x14ac:dyDescent="0.2">
      <c r="BS235" s="50">
        <v>184</v>
      </c>
      <c r="BT235" s="50">
        <f t="shared" si="77"/>
        <v>0.16000000000000714</v>
      </c>
      <c r="BU235" s="50">
        <f t="shared" si="82"/>
        <v>0.11613739240609243</v>
      </c>
      <c r="BV235" s="50">
        <f t="shared" si="83"/>
        <v>32</v>
      </c>
      <c r="BW235" s="50">
        <f t="shared" si="78"/>
        <v>2.4000000000002859E-2</v>
      </c>
      <c r="BX235" s="50">
        <f t="shared" si="84"/>
        <v>12</v>
      </c>
    </row>
    <row r="236" spans="71:76" ht="12" customHeight="1" x14ac:dyDescent="0.2">
      <c r="BS236" s="50">
        <v>185</v>
      </c>
      <c r="BT236" s="50">
        <f t="shared" si="77"/>
        <v>0.15000000000000724</v>
      </c>
      <c r="BU236" s="50">
        <f t="shared" si="82"/>
        <v>0.11670506990811107</v>
      </c>
      <c r="BV236" s="50">
        <f t="shared" si="83"/>
        <v>32</v>
      </c>
      <c r="BW236" s="50">
        <f t="shared" si="78"/>
        <v>2.0000000000002897E-2</v>
      </c>
      <c r="BX236" s="50">
        <f t="shared" si="84"/>
        <v>12</v>
      </c>
    </row>
    <row r="237" spans="71:76" ht="12" customHeight="1" x14ac:dyDescent="0.2">
      <c r="BS237" s="50">
        <v>186</v>
      </c>
      <c r="BT237" s="50">
        <f t="shared" si="77"/>
        <v>0.14000000000000723</v>
      </c>
      <c r="BU237" s="50">
        <f t="shared" si="82"/>
        <v>0.1172727474101297</v>
      </c>
      <c r="BV237" s="50">
        <f t="shared" si="83"/>
        <v>32</v>
      </c>
      <c r="BW237" s="50">
        <f t="shared" si="78"/>
        <v>1.6000000000002894E-2</v>
      </c>
      <c r="BX237" s="50">
        <f t="shared" si="84"/>
        <v>12</v>
      </c>
    </row>
    <row r="238" spans="71:76" ht="12" customHeight="1" x14ac:dyDescent="0.2">
      <c r="BS238" s="50">
        <v>187</v>
      </c>
      <c r="BT238" s="50">
        <f t="shared" si="77"/>
        <v>0.13000000000000733</v>
      </c>
      <c r="BU238" s="50">
        <f t="shared" si="82"/>
        <v>0.11784042491214834</v>
      </c>
      <c r="BV238" s="50">
        <f t="shared" si="83"/>
        <v>32</v>
      </c>
      <c r="BW238" s="50">
        <f t="shared" si="78"/>
        <v>1.2000000000002932E-2</v>
      </c>
      <c r="BX238" s="50">
        <f t="shared" si="84"/>
        <v>12</v>
      </c>
    </row>
    <row r="239" spans="71:76" ht="12" customHeight="1" x14ac:dyDescent="0.2">
      <c r="BS239" s="50">
        <v>188</v>
      </c>
      <c r="BT239" s="50">
        <f t="shared" si="77"/>
        <v>0.12000000000000732</v>
      </c>
      <c r="BU239" s="50">
        <f t="shared" si="82"/>
        <v>0.11840810241416698</v>
      </c>
      <c r="BV239" s="50">
        <f t="shared" si="83"/>
        <v>32</v>
      </c>
      <c r="BW239" s="50">
        <f t="shared" si="78"/>
        <v>8.0000000000029284E-3</v>
      </c>
      <c r="BX239" s="50">
        <f t="shared" si="84"/>
        <v>12</v>
      </c>
    </row>
    <row r="240" spans="71:76" ht="12" customHeight="1" x14ac:dyDescent="0.2">
      <c r="BS240" s="50">
        <v>189</v>
      </c>
      <c r="BT240" s="50">
        <f t="shared" si="77"/>
        <v>0.11000000000000743</v>
      </c>
      <c r="BU240" s="50">
        <f t="shared" si="82"/>
        <v>0.11897577991618562</v>
      </c>
      <c r="BV240" s="50">
        <f t="shared" si="83"/>
        <v>32</v>
      </c>
      <c r="BW240" s="50">
        <f t="shared" si="78"/>
        <v>4.0000000000029734E-3</v>
      </c>
      <c r="BX240" s="50">
        <f t="shared" si="84"/>
        <v>12</v>
      </c>
    </row>
    <row r="241" spans="71:76" ht="12" customHeight="1" x14ac:dyDescent="0.2">
      <c r="BS241" s="50">
        <v>190</v>
      </c>
      <c r="BT241" s="50">
        <f t="shared" si="77"/>
        <v>0.10000000000000742</v>
      </c>
      <c r="BU241" s="50">
        <f t="shared" si="82"/>
        <v>0.11954345741820425</v>
      </c>
      <c r="BV241" s="50">
        <f t="shared" si="83"/>
        <v>32</v>
      </c>
      <c r="BW241" s="50">
        <f t="shared" si="78"/>
        <v>2.9698465908722937E-15</v>
      </c>
      <c r="BX241" s="50">
        <f t="shared" si="84"/>
        <v>12</v>
      </c>
    </row>
    <row r="242" spans="71:76" ht="12" customHeight="1" x14ac:dyDescent="0.2">
      <c r="BS242" s="50">
        <v>191</v>
      </c>
      <c r="BT242" s="50">
        <f t="shared" si="77"/>
        <v>9.0000000000007518E-2</v>
      </c>
      <c r="BU242" s="50">
        <f t="shared" si="82"/>
        <v>0.12011113492022289</v>
      </c>
      <c r="BV242" s="50">
        <f t="shared" si="83"/>
        <v>32</v>
      </c>
      <c r="BW242" s="50">
        <f t="shared" si="78"/>
        <v>0</v>
      </c>
      <c r="BX242" s="50">
        <f t="shared" si="84"/>
        <v>12</v>
      </c>
    </row>
    <row r="243" spans="71:76" ht="12" customHeight="1" x14ac:dyDescent="0.2">
      <c r="BS243" s="50">
        <v>192</v>
      </c>
      <c r="BT243" s="50">
        <f t="shared" ref="BT243:BT251" si="85">1-ABS($BW$40-BU243)/$BY$39</f>
        <v>8.000000000000751E-2</v>
      </c>
      <c r="BU243" s="50">
        <f t="shared" si="82"/>
        <v>0.12067881242224153</v>
      </c>
      <c r="BV243" s="50">
        <f t="shared" si="83"/>
        <v>32</v>
      </c>
      <c r="BW243" s="50">
        <f t="shared" ref="BW243:BW251" si="86">MAX($BX$42*BT243-$BT$47,0)</f>
        <v>0</v>
      </c>
      <c r="BX243" s="50">
        <f t="shared" si="84"/>
        <v>12</v>
      </c>
    </row>
    <row r="244" spans="71:76" ht="12" customHeight="1" x14ac:dyDescent="0.2">
      <c r="BS244" s="50">
        <v>193</v>
      </c>
      <c r="BT244" s="50">
        <f t="shared" si="85"/>
        <v>7.0000000000007612E-2</v>
      </c>
      <c r="BU244" s="50">
        <f t="shared" ref="BU244:BU251" si="87">IF($CD$3,BU243+$BT$46,NA())</f>
        <v>0.12124648992426017</v>
      </c>
      <c r="BV244" s="50">
        <f t="shared" ref="BV244:BV251" si="88">BV243</f>
        <v>32</v>
      </c>
      <c r="BW244" s="50">
        <f t="shared" si="86"/>
        <v>0</v>
      </c>
      <c r="BX244" s="50">
        <f t="shared" ref="BX244:BX251" si="89">BX243</f>
        <v>12</v>
      </c>
    </row>
    <row r="245" spans="71:76" ht="12" customHeight="1" x14ac:dyDescent="0.2">
      <c r="BS245" s="50">
        <v>194</v>
      </c>
      <c r="BT245" s="50">
        <f t="shared" si="85"/>
        <v>6.0000000000007603E-2</v>
      </c>
      <c r="BU245" s="50">
        <f t="shared" si="87"/>
        <v>0.1218141674262788</v>
      </c>
      <c r="BV245" s="50">
        <f t="shared" si="88"/>
        <v>32</v>
      </c>
      <c r="BW245" s="50">
        <f t="shared" si="86"/>
        <v>0</v>
      </c>
      <c r="BX245" s="50">
        <f t="shared" si="89"/>
        <v>12</v>
      </c>
    </row>
    <row r="246" spans="71:76" ht="12" customHeight="1" x14ac:dyDescent="0.2">
      <c r="BS246" s="50">
        <v>195</v>
      </c>
      <c r="BT246" s="50">
        <f t="shared" si="85"/>
        <v>5.0000000000007705E-2</v>
      </c>
      <c r="BU246" s="50">
        <f t="shared" si="87"/>
        <v>0.12238184492829744</v>
      </c>
      <c r="BV246" s="50">
        <f t="shared" si="88"/>
        <v>32</v>
      </c>
      <c r="BW246" s="50">
        <f t="shared" si="86"/>
        <v>0</v>
      </c>
      <c r="BX246" s="50">
        <f t="shared" si="89"/>
        <v>12</v>
      </c>
    </row>
    <row r="247" spans="71:76" ht="12" customHeight="1" x14ac:dyDescent="0.2">
      <c r="BS247" s="50">
        <v>196</v>
      </c>
      <c r="BT247" s="50">
        <f t="shared" si="85"/>
        <v>4.0000000000007696E-2</v>
      </c>
      <c r="BU247" s="50">
        <f t="shared" si="87"/>
        <v>0.12294952243031608</v>
      </c>
      <c r="BV247" s="50">
        <f t="shared" si="88"/>
        <v>32</v>
      </c>
      <c r="BW247" s="50">
        <f t="shared" si="86"/>
        <v>0</v>
      </c>
      <c r="BX247" s="50">
        <f t="shared" si="89"/>
        <v>12</v>
      </c>
    </row>
    <row r="248" spans="71:76" ht="12" customHeight="1" x14ac:dyDescent="0.2">
      <c r="BS248" s="50">
        <v>197</v>
      </c>
      <c r="BT248" s="50">
        <f t="shared" si="85"/>
        <v>3.0000000000007798E-2</v>
      </c>
      <c r="BU248" s="50">
        <f t="shared" si="87"/>
        <v>0.12351719993233472</v>
      </c>
      <c r="BV248" s="50">
        <f t="shared" si="88"/>
        <v>32</v>
      </c>
      <c r="BW248" s="50">
        <f t="shared" si="86"/>
        <v>0</v>
      </c>
      <c r="BX248" s="50">
        <f t="shared" si="89"/>
        <v>12</v>
      </c>
    </row>
    <row r="249" spans="71:76" ht="12" customHeight="1" x14ac:dyDescent="0.2">
      <c r="BS249" s="50">
        <v>198</v>
      </c>
      <c r="BT249" s="50">
        <f t="shared" si="85"/>
        <v>2.00000000000079E-2</v>
      </c>
      <c r="BU249" s="50">
        <f t="shared" si="87"/>
        <v>0.12408487743435336</v>
      </c>
      <c r="BV249" s="50">
        <f t="shared" si="88"/>
        <v>32</v>
      </c>
      <c r="BW249" s="50">
        <f t="shared" si="86"/>
        <v>0</v>
      </c>
      <c r="BX249" s="50">
        <f t="shared" si="89"/>
        <v>12</v>
      </c>
    </row>
    <row r="250" spans="71:76" ht="12" customHeight="1" x14ac:dyDescent="0.2">
      <c r="BS250" s="50">
        <v>199</v>
      </c>
      <c r="BT250" s="50">
        <f t="shared" si="85"/>
        <v>1.0000000000007891E-2</v>
      </c>
      <c r="BU250" s="50">
        <f t="shared" si="87"/>
        <v>0.12465255493637199</v>
      </c>
      <c r="BV250" s="50">
        <f t="shared" si="88"/>
        <v>32</v>
      </c>
      <c r="BW250" s="50">
        <f t="shared" si="86"/>
        <v>0</v>
      </c>
      <c r="BX250" s="50">
        <f t="shared" si="89"/>
        <v>12</v>
      </c>
    </row>
    <row r="251" spans="71:76" ht="12" customHeight="1" x14ac:dyDescent="0.2">
      <c r="BS251" s="50">
        <v>200</v>
      </c>
      <c r="BT251" s="50">
        <f t="shared" si="85"/>
        <v>7.6605388699135801E-15</v>
      </c>
      <c r="BU251" s="50">
        <f t="shared" si="87"/>
        <v>0.12522023243839064</v>
      </c>
      <c r="BV251" s="50">
        <f t="shared" si="88"/>
        <v>32</v>
      </c>
      <c r="BW251" s="50">
        <f t="shared" si="86"/>
        <v>0</v>
      </c>
      <c r="BX251" s="50">
        <f t="shared" si="89"/>
        <v>12</v>
      </c>
    </row>
  </sheetData>
  <sheetProtection sheet="1" objects="1" scenarios="1" selectLockedCells="1"/>
  <mergeCells count="3">
    <mergeCell ref="H4:I4"/>
    <mergeCell ref="G5:I5"/>
    <mergeCell ref="J5:L5"/>
  </mergeCells>
  <phoneticPr fontId="2" type="noConversion"/>
  <conditionalFormatting sqref="D7">
    <cfRule type="cellIs" dxfId="46" priority="1" stopIfTrue="1" operator="equal">
      <formula>"ns"</formula>
    </cfRule>
    <cfRule type="cellIs" dxfId="45" priority="2" stopIfTrue="1" operator="equal">
      <formula>"?"</formula>
    </cfRule>
  </conditionalFormatting>
  <dataValidations count="5">
    <dataValidation type="decimal" allowBlank="1" showErrorMessage="1" errorTitle="Confidence level" error="Number, min 0, max 99.9" sqref="M2">
      <formula1>0</formula1>
      <formula2>99.9</formula2>
    </dataValidation>
    <dataValidation type="decimal" showErrorMessage="1" errorTitle="Reference value for mean" error="Must be a number" sqref="BT3">
      <formula1>-999999999999</formula1>
      <formula2>999999999999</formula2>
    </dataValidation>
    <dataValidation type="decimal" allowBlank="1" showInputMessage="1" showErrorMessage="1" errorTitle="Enter standard deviation" error="Must be a number_x000a_(or press Delete for Blank)" sqref="H7:H16">
      <formula1>-999999999999</formula1>
      <formula2>999999999999</formula2>
    </dataValidation>
    <dataValidation type="whole" allowBlank="1" showErrorMessage="1" errorTitle="Sample size" error="Integer, min 2, max 500_x000a_(or press Delete for Blank)" sqref="I7:I16">
      <formula1>2</formula1>
      <formula2>500</formula2>
    </dataValidation>
    <dataValidation type="decimal" allowBlank="1" showInputMessage="1" showErrorMessage="1" errorTitle="Enter mean" error="Must be a number_x000a_(or press Delete for Blank)" sqref="G7:G16">
      <formula1>-999999999999</formula1>
      <formula2>999999999999</formula2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2789" r:id="rId4" name="Check Box 1541">
              <controlPr defaultSize="0" autoFill="0" autoLine="0" autoPict="0">
                <anchor moveWithCells="1">
                  <from>
                    <xdr:col>12</xdr:col>
                    <xdr:colOff>85725</xdr:colOff>
                    <xdr:row>5</xdr:row>
                    <xdr:rowOff>123825</xdr:rowOff>
                  </from>
                  <to>
                    <xdr:col>13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29" r:id="rId5" name="Option Button 1">
              <controlPr defaultSize="0" autoFill="0" autoLine="0" autoPict="0">
                <anchor moveWithCells="1">
                  <from>
                    <xdr:col>6</xdr:col>
                    <xdr:colOff>276225</xdr:colOff>
                    <xdr:row>37</xdr:row>
                    <xdr:rowOff>123825</xdr:rowOff>
                  </from>
                  <to>
                    <xdr:col>7</xdr:col>
                    <xdr:colOff>133350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5" r:id="rId6" name="Spinner 17">
              <controlPr defaultSize="0" autoPict="0">
                <anchor moveWithCells="1">
                  <from>
                    <xdr:col>13</xdr:col>
                    <xdr:colOff>9525</xdr:colOff>
                    <xdr:row>0</xdr:row>
                    <xdr:rowOff>104775</xdr:rowOff>
                  </from>
                  <to>
                    <xdr:col>13</xdr:col>
                    <xdr:colOff>152400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6" r:id="rId7" name="Check Box 1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95250</xdr:rowOff>
                  </from>
                  <to>
                    <xdr:col>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78" r:id="rId8" name="Check Box 50">
              <controlPr defaultSize="0" autoFill="0" autoLine="0" autoPict="0">
                <anchor moveWithCells="1">
                  <from>
                    <xdr:col>16</xdr:col>
                    <xdr:colOff>0</xdr:colOff>
                    <xdr:row>0</xdr:row>
                    <xdr:rowOff>114300</xdr:rowOff>
                  </from>
                  <to>
                    <xdr:col>17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91" r:id="rId9" name="Check Box 63">
              <controlPr defaultSize="0" autoFill="0" autoLine="0" autoPict="0">
                <anchor moveWithCells="1">
                  <from>
                    <xdr:col>7</xdr:col>
                    <xdr:colOff>0</xdr:colOff>
                    <xdr:row>1</xdr:row>
                    <xdr:rowOff>95250</xdr:rowOff>
                  </from>
                  <to>
                    <xdr:col>7</xdr:col>
                    <xdr:colOff>304800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59" r:id="rId10" name="Option Button 131">
              <controlPr defaultSize="0" autoFill="0" autoLine="0" autoPict="0">
                <anchor moveWithCells="1">
                  <from>
                    <xdr:col>6</xdr:col>
                    <xdr:colOff>276225</xdr:colOff>
                    <xdr:row>39</xdr:row>
                    <xdr:rowOff>114300</xdr:rowOff>
                  </from>
                  <to>
                    <xdr:col>7</xdr:col>
                    <xdr:colOff>133350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93" r:id="rId11" name="Check Box 1345">
              <controlPr defaultSize="0" autoFill="0" autoLine="0" autoPict="0">
                <anchor moveWithCells="1">
                  <from>
                    <xdr:col>12</xdr:col>
                    <xdr:colOff>85725</xdr:colOff>
                    <xdr:row>6</xdr:row>
                    <xdr:rowOff>104775</xdr:rowOff>
                  </from>
                  <to>
                    <xdr:col>13</xdr:col>
                    <xdr:colOff>19050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94" r:id="rId12" name="Check Box 1346">
              <controlPr defaultSize="0" autoFill="0" autoLine="0" autoPict="0">
                <anchor moveWithCells="1">
                  <from>
                    <xdr:col>12</xdr:col>
                    <xdr:colOff>85725</xdr:colOff>
                    <xdr:row>7</xdr:row>
                    <xdr:rowOff>104775</xdr:rowOff>
                  </from>
                  <to>
                    <xdr:col>13</xdr:col>
                    <xdr:colOff>19050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95" r:id="rId13" name="Check Box 1347">
              <controlPr defaultSize="0" autoFill="0" autoLine="0" autoPict="0">
                <anchor moveWithCells="1">
                  <from>
                    <xdr:col>12</xdr:col>
                    <xdr:colOff>85725</xdr:colOff>
                    <xdr:row>8</xdr:row>
                    <xdr:rowOff>104775</xdr:rowOff>
                  </from>
                  <to>
                    <xdr:col>13</xdr:col>
                    <xdr:colOff>19050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96" r:id="rId14" name="Check Box 1348">
              <controlPr defaultSize="0" autoFill="0" autoLine="0" autoPict="0">
                <anchor moveWithCells="1">
                  <from>
                    <xdr:col>12</xdr:col>
                    <xdr:colOff>85725</xdr:colOff>
                    <xdr:row>9</xdr:row>
                    <xdr:rowOff>104775</xdr:rowOff>
                  </from>
                  <to>
                    <xdr:col>13</xdr:col>
                    <xdr:colOff>19050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97" r:id="rId15" name="Check Box 1349">
              <controlPr defaultSize="0" autoFill="0" autoLine="0" autoPict="0">
                <anchor moveWithCells="1">
                  <from>
                    <xdr:col>12</xdr:col>
                    <xdr:colOff>85725</xdr:colOff>
                    <xdr:row>10</xdr:row>
                    <xdr:rowOff>104775</xdr:rowOff>
                  </from>
                  <to>
                    <xdr:col>13</xdr:col>
                    <xdr:colOff>19050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98" r:id="rId16" name="Check Box 1350">
              <controlPr defaultSize="0" autoFill="0" autoLine="0" autoPict="0">
                <anchor moveWithCells="1">
                  <from>
                    <xdr:col>12</xdr:col>
                    <xdr:colOff>85725</xdr:colOff>
                    <xdr:row>11</xdr:row>
                    <xdr:rowOff>104775</xdr:rowOff>
                  </from>
                  <to>
                    <xdr:col>13</xdr:col>
                    <xdr:colOff>19050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99" r:id="rId17" name="Check Box 1351">
              <controlPr defaultSize="0" autoFill="0" autoLine="0" autoPict="0">
                <anchor moveWithCells="1">
                  <from>
                    <xdr:col>12</xdr:col>
                    <xdr:colOff>85725</xdr:colOff>
                    <xdr:row>12</xdr:row>
                    <xdr:rowOff>104775</xdr:rowOff>
                  </from>
                  <to>
                    <xdr:col>13</xdr:col>
                    <xdr:colOff>19050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0" r:id="rId18" name="Check Box 1352">
              <controlPr defaultSize="0" autoFill="0" autoLine="0" autoPict="0">
                <anchor moveWithCells="1">
                  <from>
                    <xdr:col>12</xdr:col>
                    <xdr:colOff>85725</xdr:colOff>
                    <xdr:row>13</xdr:row>
                    <xdr:rowOff>104775</xdr:rowOff>
                  </from>
                  <to>
                    <xdr:col>13</xdr:col>
                    <xdr:colOff>19050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1" r:id="rId19" name="Check Box 1353">
              <controlPr defaultSize="0" autoFill="0" autoLine="0" autoPict="0">
                <anchor moveWithCells="1">
                  <from>
                    <xdr:col>12</xdr:col>
                    <xdr:colOff>85725</xdr:colOff>
                    <xdr:row>14</xdr:row>
                    <xdr:rowOff>104775</xdr:rowOff>
                  </from>
                  <to>
                    <xdr:col>13</xdr:col>
                    <xdr:colOff>19050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2" r:id="rId20" name="Check Box 1354">
              <controlPr defaultSize="0" autoFill="0" autoLine="0" autoPict="0">
                <anchor moveWithCells="1">
                  <from>
                    <xdr:col>12</xdr:col>
                    <xdr:colOff>85725</xdr:colOff>
                    <xdr:row>15</xdr:row>
                    <xdr:rowOff>104775</xdr:rowOff>
                  </from>
                  <to>
                    <xdr:col>13</xdr:col>
                    <xdr:colOff>19050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3" r:id="rId21" name="Check Box 1355">
              <controlPr defaultSize="0" autoFill="0" autoLine="0" autoPict="0">
                <anchor moveWithCells="1">
                  <from>
                    <xdr:col>12</xdr:col>
                    <xdr:colOff>85725</xdr:colOff>
                    <xdr:row>16</xdr:row>
                    <xdr:rowOff>104775</xdr:rowOff>
                  </from>
                  <to>
                    <xdr:col>13</xdr:col>
                    <xdr:colOff>19050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4" r:id="rId22" name="Check Box 1356">
              <controlPr defaultSize="0" autoFill="0" autoLine="0" autoPict="0">
                <anchor moveWithCells="1">
                  <from>
                    <xdr:col>12</xdr:col>
                    <xdr:colOff>85725</xdr:colOff>
                    <xdr:row>17</xdr:row>
                    <xdr:rowOff>104775</xdr:rowOff>
                  </from>
                  <to>
                    <xdr:col>13</xdr:col>
                    <xdr:colOff>19050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5" r:id="rId23" name="Check Box 1357">
              <controlPr defaultSize="0" autoFill="0" autoLine="0" autoPict="0">
                <anchor moveWithCells="1">
                  <from>
                    <xdr:col>12</xdr:col>
                    <xdr:colOff>85725</xdr:colOff>
                    <xdr:row>18</xdr:row>
                    <xdr:rowOff>104775</xdr:rowOff>
                  </from>
                  <to>
                    <xdr:col>13</xdr:col>
                    <xdr:colOff>19050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6" r:id="rId24" name="Check Box 1358">
              <controlPr defaultSize="0" autoFill="0" autoLine="0" autoPict="0">
                <anchor moveWithCells="1">
                  <from>
                    <xdr:col>12</xdr:col>
                    <xdr:colOff>85725</xdr:colOff>
                    <xdr:row>19</xdr:row>
                    <xdr:rowOff>104775</xdr:rowOff>
                  </from>
                  <to>
                    <xdr:col>13</xdr:col>
                    <xdr:colOff>19050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7" r:id="rId25" name="Check Box 1359">
              <controlPr defaultSize="0" autoFill="0" autoLine="0" autoPict="0">
                <anchor moveWithCells="1">
                  <from>
                    <xdr:col>12</xdr:col>
                    <xdr:colOff>85725</xdr:colOff>
                    <xdr:row>20</xdr:row>
                    <xdr:rowOff>104775</xdr:rowOff>
                  </from>
                  <to>
                    <xdr:col>13</xdr:col>
                    <xdr:colOff>19050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8" r:id="rId26" name="Check Box 1360">
              <controlPr defaultSize="0" autoFill="0" autoLine="0" autoPict="0">
                <anchor moveWithCells="1">
                  <from>
                    <xdr:col>12</xdr:col>
                    <xdr:colOff>85725</xdr:colOff>
                    <xdr:row>21</xdr:row>
                    <xdr:rowOff>104775</xdr:rowOff>
                  </from>
                  <to>
                    <xdr:col>13</xdr:col>
                    <xdr:colOff>19050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09" r:id="rId27" name="Check Box 1361">
              <controlPr defaultSize="0" autoFill="0" autoLine="0" autoPict="0">
                <anchor moveWithCells="1">
                  <from>
                    <xdr:col>12</xdr:col>
                    <xdr:colOff>85725</xdr:colOff>
                    <xdr:row>22</xdr:row>
                    <xdr:rowOff>104775</xdr:rowOff>
                  </from>
                  <to>
                    <xdr:col>13</xdr:col>
                    <xdr:colOff>19050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0" r:id="rId28" name="Check Box 1362">
              <controlPr defaultSize="0" autoFill="0" autoLine="0" autoPict="0">
                <anchor moveWithCells="1">
                  <from>
                    <xdr:col>12</xdr:col>
                    <xdr:colOff>85725</xdr:colOff>
                    <xdr:row>23</xdr:row>
                    <xdr:rowOff>104775</xdr:rowOff>
                  </from>
                  <to>
                    <xdr:col>13</xdr:col>
                    <xdr:colOff>19050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1" r:id="rId29" name="Check Box 1363">
              <controlPr defaultSize="0" autoFill="0" autoLine="0" autoPict="0">
                <anchor moveWithCells="1">
                  <from>
                    <xdr:col>12</xdr:col>
                    <xdr:colOff>85725</xdr:colOff>
                    <xdr:row>24</xdr:row>
                    <xdr:rowOff>104775</xdr:rowOff>
                  </from>
                  <to>
                    <xdr:col>13</xdr:col>
                    <xdr:colOff>19050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2" r:id="rId30" name="Check Box 1364">
              <controlPr defaultSize="0" autoFill="0" autoLine="0" autoPict="0">
                <anchor moveWithCells="1">
                  <from>
                    <xdr:col>12</xdr:col>
                    <xdr:colOff>85725</xdr:colOff>
                    <xdr:row>25</xdr:row>
                    <xdr:rowOff>104775</xdr:rowOff>
                  </from>
                  <to>
                    <xdr:col>13</xdr:col>
                    <xdr:colOff>19050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3" r:id="rId31" name="Check Box 1365">
              <controlPr defaultSize="0" autoFill="0" autoLine="0" autoPict="0">
                <anchor moveWithCells="1">
                  <from>
                    <xdr:col>12</xdr:col>
                    <xdr:colOff>85725</xdr:colOff>
                    <xdr:row>26</xdr:row>
                    <xdr:rowOff>104775</xdr:rowOff>
                  </from>
                  <to>
                    <xdr:col>13</xdr:col>
                    <xdr:colOff>19050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4" r:id="rId32" name="Check Box 1366">
              <controlPr defaultSize="0" autoFill="0" autoLine="0" autoPict="0">
                <anchor moveWithCells="1">
                  <from>
                    <xdr:col>12</xdr:col>
                    <xdr:colOff>85725</xdr:colOff>
                    <xdr:row>27</xdr:row>
                    <xdr:rowOff>104775</xdr:rowOff>
                  </from>
                  <to>
                    <xdr:col>13</xdr:col>
                    <xdr:colOff>19050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5" r:id="rId33" name="Check Box 1367">
              <controlPr defaultSize="0" autoFill="0" autoLine="0" autoPict="0">
                <anchor moveWithCells="1">
                  <from>
                    <xdr:col>12</xdr:col>
                    <xdr:colOff>85725</xdr:colOff>
                    <xdr:row>28</xdr:row>
                    <xdr:rowOff>104775</xdr:rowOff>
                  </from>
                  <to>
                    <xdr:col>13</xdr:col>
                    <xdr:colOff>19050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6" r:id="rId34" name="Check Box 1368">
              <controlPr defaultSize="0" autoFill="0" autoLine="0" autoPict="0">
                <anchor moveWithCells="1">
                  <from>
                    <xdr:col>12</xdr:col>
                    <xdr:colOff>85725</xdr:colOff>
                    <xdr:row>29</xdr:row>
                    <xdr:rowOff>104775</xdr:rowOff>
                  </from>
                  <to>
                    <xdr:col>13</xdr:col>
                    <xdr:colOff>19050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7" r:id="rId35" name="Check Box 1369">
              <controlPr defaultSize="0" autoFill="0" autoLine="0" autoPict="0">
                <anchor moveWithCells="1">
                  <from>
                    <xdr:col>12</xdr:col>
                    <xdr:colOff>85725</xdr:colOff>
                    <xdr:row>30</xdr:row>
                    <xdr:rowOff>104775</xdr:rowOff>
                  </from>
                  <to>
                    <xdr:col>13</xdr:col>
                    <xdr:colOff>19050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8" r:id="rId36" name="Check Box 1370">
              <controlPr defaultSize="0" autoFill="0" autoLine="0" autoPict="0">
                <anchor moveWithCells="1">
                  <from>
                    <xdr:col>12</xdr:col>
                    <xdr:colOff>85725</xdr:colOff>
                    <xdr:row>31</xdr:row>
                    <xdr:rowOff>104775</xdr:rowOff>
                  </from>
                  <to>
                    <xdr:col>13</xdr:col>
                    <xdr:colOff>19050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19" r:id="rId37" name="Check Box 1371">
              <controlPr defaultSize="0" autoFill="0" autoLine="0" autoPict="0">
                <anchor moveWithCells="1">
                  <from>
                    <xdr:col>12</xdr:col>
                    <xdr:colOff>85725</xdr:colOff>
                    <xdr:row>32</xdr:row>
                    <xdr:rowOff>104775</xdr:rowOff>
                  </from>
                  <to>
                    <xdr:col>13</xdr:col>
                    <xdr:colOff>19050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20" r:id="rId38" name="Check Box 1372">
              <controlPr defaultSize="0" autoFill="0" autoLine="0" autoPict="0">
                <anchor moveWithCells="1">
                  <from>
                    <xdr:col>12</xdr:col>
                    <xdr:colOff>85725</xdr:colOff>
                    <xdr:row>33</xdr:row>
                    <xdr:rowOff>104775</xdr:rowOff>
                  </from>
                  <to>
                    <xdr:col>13</xdr:col>
                    <xdr:colOff>19050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21" r:id="rId39" name="Check Box 1373">
              <controlPr defaultSize="0" autoFill="0" autoLine="0" autoPict="0">
                <anchor moveWithCells="1">
                  <from>
                    <xdr:col>12</xdr:col>
                    <xdr:colOff>85725</xdr:colOff>
                    <xdr:row>34</xdr:row>
                    <xdr:rowOff>104775</xdr:rowOff>
                  </from>
                  <to>
                    <xdr:col>13</xdr:col>
                    <xdr:colOff>19050</xdr:colOff>
                    <xdr:row>36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EE211"/>
  <sheetViews>
    <sheetView showGridLines="0" showRowColHeaders="0" workbookViewId="0">
      <selection activeCell="H5" sqref="H5:I5"/>
    </sheetView>
  </sheetViews>
  <sheetFormatPr defaultRowHeight="12" customHeight="1" x14ac:dyDescent="0.2"/>
  <cols>
    <col min="1" max="1" width="0.28515625" style="50" customWidth="1"/>
    <col min="2" max="2" width="5.42578125" style="50" customWidth="1"/>
    <col min="3" max="3" width="5.7109375" style="50" customWidth="1"/>
    <col min="4" max="4" width="3.42578125" style="50" customWidth="1"/>
    <col min="5" max="5" width="4.28515625" style="50" customWidth="1"/>
    <col min="6" max="6" width="11.42578125" style="50" customWidth="1"/>
    <col min="7" max="8" width="6.7109375" style="50" customWidth="1"/>
    <col min="9" max="9" width="6.140625" style="50" customWidth="1"/>
    <col min="10" max="11" width="6.7109375" style="50" customWidth="1"/>
    <col min="12" max="12" width="6.140625" style="50" customWidth="1"/>
    <col min="13" max="14" width="8.140625" style="50" customWidth="1"/>
    <col min="15" max="15" width="8.140625" style="50" hidden="1" customWidth="1"/>
    <col min="16" max="16" width="6.85546875" style="50" hidden="1" customWidth="1"/>
    <col min="17" max="17" width="3.28515625" style="50" customWidth="1"/>
    <col min="18" max="18" width="6.42578125" style="50" customWidth="1"/>
    <col min="19" max="19" width="3.28515625" style="50" customWidth="1"/>
    <col min="20" max="20" width="6.7109375" style="50" customWidth="1"/>
    <col min="21" max="21" width="2.5703125" style="50" customWidth="1"/>
    <col min="22" max="22" width="7.7109375" style="85" customWidth="1"/>
    <col min="23" max="24" width="9.140625" style="50"/>
    <col min="25" max="25" width="3.42578125" style="50" customWidth="1"/>
    <col min="26" max="30" width="7.140625" style="50" customWidth="1"/>
    <col min="31" max="31" width="10.140625" style="50" customWidth="1"/>
    <col min="32" max="32" width="8.5703125" style="52" customWidth="1"/>
    <col min="33" max="33" width="1.5703125" style="52" customWidth="1"/>
    <col min="34" max="34" width="6.42578125" style="52" customWidth="1"/>
    <col min="35" max="35" width="1" style="52" customWidth="1"/>
    <col min="36" max="36" width="6.42578125" style="52" customWidth="1"/>
    <col min="37" max="37" width="1.42578125" style="52" customWidth="1"/>
    <col min="38" max="71" width="7.28515625" style="50" customWidth="1"/>
    <col min="72" max="73" width="6.140625" style="50" customWidth="1"/>
    <col min="74" max="74" width="7.5703125" style="50" customWidth="1"/>
    <col min="75" max="75" width="5.7109375" style="50" customWidth="1"/>
    <col min="76" max="76" width="7.140625" style="50" customWidth="1"/>
    <col min="77" max="77" width="6" style="50" customWidth="1"/>
    <col min="78" max="78" width="6.85546875" style="50" customWidth="1"/>
    <col min="79" max="83" width="5.7109375" style="50" customWidth="1"/>
    <col min="84" max="86" width="8.5703125" style="50" customWidth="1"/>
    <col min="87" max="88" width="5.7109375" style="50" customWidth="1"/>
    <col min="89" max="89" width="8.5703125" style="50" customWidth="1"/>
    <col min="90" max="91" width="5.7109375" style="50" customWidth="1"/>
    <col min="92" max="92" width="8.5703125" style="50" customWidth="1"/>
    <col min="93" max="95" width="5.7109375" style="50" customWidth="1"/>
    <col min="96" max="96" width="8.5703125" style="50" customWidth="1"/>
    <col min="97" max="101" width="5.7109375" style="50" customWidth="1"/>
    <col min="102" max="112" width="5.7109375" style="206" customWidth="1"/>
    <col min="113" max="113" width="5.7109375" style="307" customWidth="1"/>
    <col min="114" max="118" width="5.7109375" style="90" customWidth="1"/>
    <col min="119" max="119" width="5.7109375" style="308" customWidth="1"/>
    <col min="120" max="120" width="5.7109375" style="307" customWidth="1"/>
    <col min="121" max="123" width="5.7109375" style="90" customWidth="1"/>
    <col min="124" max="124" width="5.7109375" style="308" customWidth="1"/>
    <col min="125" max="125" width="5.7109375" style="307" customWidth="1"/>
    <col min="126" max="128" width="5.7109375" style="90" customWidth="1"/>
    <col min="129" max="129" width="5.7109375" style="308" customWidth="1"/>
    <col min="130" max="137" width="5.7109375" style="50" customWidth="1"/>
    <col min="138" max="16384" width="9.140625" style="50"/>
  </cols>
  <sheetData>
    <row r="1" spans="1:135" ht="12" customHeight="1" thickBot="1" x14ac:dyDescent="0.25">
      <c r="C1" s="11" t="s">
        <v>215</v>
      </c>
      <c r="G1" s="11"/>
      <c r="H1" s="11"/>
      <c r="I1" s="11"/>
    </row>
    <row r="2" spans="1:135" ht="12" customHeight="1" x14ac:dyDescent="0.2">
      <c r="F2" s="249"/>
      <c r="G2" s="249"/>
      <c r="H2" s="249"/>
      <c r="I2" s="249"/>
      <c r="L2" s="597" t="s">
        <v>513</v>
      </c>
      <c r="M2" s="64">
        <v>95</v>
      </c>
      <c r="N2" s="31" t="s">
        <v>366</v>
      </c>
      <c r="R2" s="14" t="s">
        <v>515</v>
      </c>
      <c r="S2" s="309"/>
      <c r="V2" s="51"/>
      <c r="X2" s="49"/>
      <c r="Y2" s="310"/>
      <c r="Z2" s="311"/>
      <c r="AA2" s="312"/>
      <c r="AB2" s="313"/>
      <c r="AC2" s="313"/>
      <c r="AD2" s="313"/>
      <c r="AG2"/>
      <c r="AH2"/>
      <c r="AI2"/>
      <c r="AJ2"/>
      <c r="AK2"/>
      <c r="AV2" s="314"/>
      <c r="BJ2" s="315" t="s">
        <v>469</v>
      </c>
      <c r="BK2" s="170">
        <f>IF(AND($CJ$2,$BX$5),$BK$7,NA())</f>
        <v>-0.21147064429470147</v>
      </c>
      <c r="BL2" s="316">
        <v>32</v>
      </c>
      <c r="BS2" s="97"/>
      <c r="BT2" s="95"/>
      <c r="BU2" s="94"/>
      <c r="BV2" s="55"/>
      <c r="BW2" s="56"/>
      <c r="BX2" s="57" t="s">
        <v>76</v>
      </c>
      <c r="BY2" s="58" t="b">
        <v>1</v>
      </c>
      <c r="BZ2" s="249"/>
      <c r="CA2" s="298" t="s">
        <v>311</v>
      </c>
      <c r="CB2" s="317">
        <v>2</v>
      </c>
      <c r="CC2" s="249" t="s">
        <v>312</v>
      </c>
      <c r="CD2" s="249"/>
      <c r="CE2" s="249"/>
      <c r="CF2" s="318" t="s">
        <v>353</v>
      </c>
      <c r="CG2" s="319" t="b">
        <f>IF(COUNT(BY8:BY37)&gt;1,TRUE,FALSE)</f>
        <v>1</v>
      </c>
      <c r="CI2" s="318" t="s">
        <v>470</v>
      </c>
      <c r="CJ2" s="319" t="b">
        <f>IF(AND(COUNT(BY82:BY111)&gt;1,COUNT(BY45:BY74)&gt;1,M8&lt;&gt;""),TRUE,FALSE)</f>
        <v>1</v>
      </c>
      <c r="DI2" s="320"/>
      <c r="DJ2" s="321"/>
      <c r="DK2" s="322" t="s">
        <v>434</v>
      </c>
      <c r="DL2" s="323"/>
      <c r="DM2" s="323"/>
      <c r="DN2" s="323"/>
      <c r="DO2" s="324"/>
      <c r="DP2" s="325" t="s">
        <v>433</v>
      </c>
      <c r="DQ2" s="326"/>
      <c r="DR2" s="326"/>
      <c r="DS2" s="326"/>
      <c r="DT2" s="327"/>
      <c r="DU2" s="328" t="s">
        <v>435</v>
      </c>
      <c r="DV2" s="329"/>
      <c r="DW2" s="329"/>
      <c r="DX2" s="329"/>
      <c r="DY2" s="330"/>
      <c r="DZ2" s="331" t="s">
        <v>437</v>
      </c>
      <c r="EA2" s="331"/>
      <c r="EB2" s="331"/>
      <c r="EC2" s="153" t="s">
        <v>438</v>
      </c>
      <c r="ED2" s="153" t="s">
        <v>438</v>
      </c>
      <c r="EE2" s="153" t="s">
        <v>438</v>
      </c>
    </row>
    <row r="3" spans="1:135" ht="12" customHeight="1" x14ac:dyDescent="0.2">
      <c r="C3" s="4"/>
      <c r="F3" s="9" t="s">
        <v>511</v>
      </c>
      <c r="G3" s="119" t="s">
        <v>520</v>
      </c>
      <c r="H3" s="9"/>
      <c r="I3" s="9"/>
      <c r="K3" s="90"/>
      <c r="L3" s="7"/>
      <c r="V3" s="65"/>
      <c r="Z3" s="66"/>
      <c r="AH3" s="17"/>
      <c r="AI3" s="53"/>
      <c r="AV3" s="332"/>
      <c r="AW3" s="333"/>
      <c r="AX3" s="333"/>
      <c r="AY3" s="333"/>
      <c r="AZ3" s="333"/>
      <c r="BA3" s="333"/>
      <c r="BB3" s="333"/>
      <c r="BC3" s="333"/>
      <c r="BD3" s="333"/>
      <c r="BJ3" s="106"/>
      <c r="BK3" s="170">
        <f>IF(AND($CJ$2,$BX$5),$BK$7,NA())</f>
        <v>-0.21147064429470147</v>
      </c>
      <c r="BL3" s="334">
        <v>33</v>
      </c>
      <c r="BS3" s="207"/>
      <c r="BT3" s="109"/>
      <c r="BU3" s="79"/>
      <c r="BV3" s="335"/>
      <c r="BW3" s="336"/>
      <c r="BX3" s="57" t="s">
        <v>272</v>
      </c>
      <c r="BY3" s="337" t="b">
        <v>0</v>
      </c>
      <c r="BZ3" s="335" t="str">
        <f>IF(H5="","",H5)&amp;""</f>
        <v>Rating difference</v>
      </c>
      <c r="CA3" s="336"/>
      <c r="CB3" s="319"/>
      <c r="CC3" s="338"/>
      <c r="CD3" s="335"/>
      <c r="CE3" s="336"/>
      <c r="CF3" s="57" t="s">
        <v>271</v>
      </c>
      <c r="CG3" s="58" t="b">
        <v>1</v>
      </c>
      <c r="CH3" s="249"/>
      <c r="DK3" s="339" t="s">
        <v>300</v>
      </c>
      <c r="DL3" s="340">
        <v>0.4</v>
      </c>
      <c r="DM3" s="97"/>
      <c r="DN3" s="341" t="s">
        <v>429</v>
      </c>
      <c r="DO3" s="95"/>
      <c r="DP3" s="94"/>
      <c r="DQ3" s="94"/>
      <c r="DR3" s="342" t="s">
        <v>300</v>
      </c>
      <c r="DS3" s="94">
        <f>DL3</f>
        <v>0.4</v>
      </c>
      <c r="DT3" s="343"/>
      <c r="DU3" s="344"/>
      <c r="DV3" s="94"/>
      <c r="DW3" s="342" t="s">
        <v>300</v>
      </c>
      <c r="DX3" s="94">
        <f>DS3</f>
        <v>0.4</v>
      </c>
      <c r="DY3" s="343"/>
      <c r="DZ3" s="345" t="s">
        <v>294</v>
      </c>
      <c r="EA3" s="346" t="s">
        <v>295</v>
      </c>
      <c r="EB3" s="347">
        <v>0</v>
      </c>
      <c r="EC3" s="348" t="s">
        <v>439</v>
      </c>
      <c r="ED3" s="349" t="s">
        <v>365</v>
      </c>
      <c r="EE3" s="350" t="s">
        <v>440</v>
      </c>
    </row>
    <row r="4" spans="1:135" ht="12" customHeight="1" thickBot="1" x14ac:dyDescent="0.25">
      <c r="C4" s="4"/>
      <c r="D4" s="9"/>
      <c r="E4" s="82"/>
      <c r="F4" s="82"/>
      <c r="G4" s="82"/>
      <c r="H4" s="82"/>
      <c r="I4" s="82"/>
      <c r="J4" s="82"/>
      <c r="K4" s="82"/>
      <c r="L4" s="13" t="s">
        <v>514</v>
      </c>
      <c r="M4" s="351" t="s">
        <v>217</v>
      </c>
      <c r="N4" s="351"/>
      <c r="O4" s="351"/>
      <c r="Q4" s="82"/>
      <c r="R4" s="84"/>
      <c r="S4" s="82"/>
      <c r="T4" s="82"/>
      <c r="U4" s="84"/>
      <c r="AG4" s="86"/>
      <c r="AH4" s="86"/>
      <c r="AI4" s="86"/>
      <c r="AJ4" s="86"/>
      <c r="AK4" s="86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314"/>
      <c r="AW4" s="52"/>
      <c r="AX4" s="52"/>
      <c r="AY4" s="52"/>
      <c r="AZ4" s="52"/>
      <c r="BA4" s="52"/>
      <c r="BB4" s="52"/>
      <c r="BC4" s="52"/>
      <c r="BD4" s="52"/>
      <c r="BJ4" s="106"/>
      <c r="BK4" s="170">
        <f>IF(AND($CJ$2,$BX$5),$BK$7,NA())</f>
        <v>-0.21147064429470147</v>
      </c>
      <c r="BL4" s="334">
        <v>34</v>
      </c>
      <c r="BV4" s="55"/>
      <c r="BW4" s="56"/>
      <c r="BX4" s="67" t="s">
        <v>273</v>
      </c>
      <c r="BY4" s="337" t="b">
        <v>0</v>
      </c>
      <c r="BZ4" s="93">
        <f>IF(BY2,0,NA())</f>
        <v>0</v>
      </c>
      <c r="CA4" s="94">
        <v>0.85</v>
      </c>
      <c r="CB4" s="95">
        <f>34.7-CA4</f>
        <v>33.85</v>
      </c>
      <c r="CC4" s="96"/>
      <c r="CD4" s="55"/>
      <c r="CE4" s="56"/>
      <c r="CF4" s="67" t="s">
        <v>298</v>
      </c>
      <c r="CG4" s="68" t="b">
        <v>1</v>
      </c>
      <c r="CI4" s="90"/>
      <c r="CJ4" s="90"/>
      <c r="CK4" s="90"/>
      <c r="CL4" s="90"/>
      <c r="CP4" s="90"/>
      <c r="CR4" s="59"/>
      <c r="DK4" s="106"/>
      <c r="DM4" s="207" t="s">
        <v>426</v>
      </c>
      <c r="DN4" s="79" t="s">
        <v>471</v>
      </c>
      <c r="DO4" s="352"/>
      <c r="DP4" s="90"/>
      <c r="DR4" s="88" t="s">
        <v>429</v>
      </c>
      <c r="DT4" s="353"/>
      <c r="DW4" s="88" t="s">
        <v>429</v>
      </c>
      <c r="DY4" s="353"/>
      <c r="DZ4" s="282">
        <v>3</v>
      </c>
      <c r="EA4" s="283">
        <v>0.36</v>
      </c>
      <c r="EB4" s="354">
        <f t="shared" ref="EB4:EB11" si="0">AVERAGE(EA4:EA5)</f>
        <v>1.1599999999999999</v>
      </c>
      <c r="EC4" s="290">
        <f t="shared" ref="EC4:EC12" si="1">$CF$39*EB4/$EB$12</f>
        <v>5.4452445774606915</v>
      </c>
      <c r="ED4" s="290">
        <f t="shared" ref="ED4:ED12" si="2">$CF$76*EB4/$EB$12</f>
        <v>17.231108218099628</v>
      </c>
      <c r="EE4" s="290">
        <f t="shared" ref="EE4:EE12" si="3">$CF$113*EB4/$EB$12</f>
        <v>4.3785595595797187</v>
      </c>
    </row>
    <row r="5" spans="1:135" ht="12" customHeight="1" thickTop="1" x14ac:dyDescent="0.2">
      <c r="C5" s="10" t="s">
        <v>512</v>
      </c>
      <c r="E5" s="20">
        <v>2</v>
      </c>
      <c r="F5" s="6"/>
      <c r="G5" s="26" t="s">
        <v>77</v>
      </c>
      <c r="H5" s="910" t="s">
        <v>861</v>
      </c>
      <c r="I5" s="911"/>
      <c r="J5" s="355"/>
      <c r="K5" s="99"/>
      <c r="L5" s="99"/>
      <c r="M5" s="19"/>
      <c r="N5" s="48" t="s">
        <v>751</v>
      </c>
      <c r="O5" s="100"/>
      <c r="P5" s="101" t="s">
        <v>317</v>
      </c>
      <c r="Q5" s="102"/>
      <c r="R5" s="356" t="s">
        <v>275</v>
      </c>
      <c r="S5" s="18">
        <v>10</v>
      </c>
      <c r="T5" s="357" t="s">
        <v>276</v>
      </c>
      <c r="U5" s="90"/>
      <c r="V5" s="105">
        <f>(Z2+M2)/100000</f>
        <v>9.5E-4</v>
      </c>
      <c r="W5" s="105">
        <f t="shared" ref="W5:AF5" si="4">$V$5</f>
        <v>9.5E-4</v>
      </c>
      <c r="X5" s="105">
        <f t="shared" si="4"/>
        <v>9.5E-4</v>
      </c>
      <c r="Y5" s="105">
        <f t="shared" si="4"/>
        <v>9.5E-4</v>
      </c>
      <c r="Z5" s="87">
        <f t="shared" si="4"/>
        <v>9.5E-4</v>
      </c>
      <c r="AA5" s="87">
        <f t="shared" si="4"/>
        <v>9.5E-4</v>
      </c>
      <c r="AB5" s="105">
        <f t="shared" si="4"/>
        <v>9.5E-4</v>
      </c>
      <c r="AC5" s="105">
        <f t="shared" si="4"/>
        <v>9.5E-4</v>
      </c>
      <c r="AD5" s="105">
        <f t="shared" si="4"/>
        <v>9.5E-4</v>
      </c>
      <c r="AE5" s="105">
        <f t="shared" si="4"/>
        <v>9.5E-4</v>
      </c>
      <c r="AF5" s="87">
        <f t="shared" si="4"/>
        <v>9.5E-4</v>
      </c>
      <c r="AG5" s="87"/>
      <c r="AH5" s="21" t="s">
        <v>753</v>
      </c>
      <c r="AJ5" s="87"/>
      <c r="AK5" s="87"/>
      <c r="AV5" s="314"/>
      <c r="BJ5" s="207"/>
      <c r="BK5" s="358">
        <f>IF(AND($CJ$2,$BX$5),$BK$7,NA())</f>
        <v>-0.21147064429470147</v>
      </c>
      <c r="BL5" s="359">
        <v>38</v>
      </c>
      <c r="BW5" s="59" t="s">
        <v>218</v>
      </c>
      <c r="BX5" s="66" t="b">
        <v>1</v>
      </c>
      <c r="BY5" s="106" t="s">
        <v>277</v>
      </c>
      <c r="BZ5" s="107" t="s">
        <v>278</v>
      </c>
      <c r="CA5" s="108" t="b">
        <v>0</v>
      </c>
      <c r="CB5" s="109"/>
      <c r="CC5" s="72" t="s">
        <v>460</v>
      </c>
      <c r="CD5" s="360">
        <f>NORMSINV(0.5+M2/200)</f>
        <v>1.9599639845400536</v>
      </c>
      <c r="CE5" s="111"/>
      <c r="CF5" s="112" t="s">
        <v>337</v>
      </c>
      <c r="CG5" s="361"/>
      <c r="CH5" s="111"/>
      <c r="CI5" s="111"/>
      <c r="CJ5" s="111"/>
      <c r="CK5" s="111"/>
      <c r="CL5" s="111"/>
      <c r="CT5" s="206"/>
      <c r="CU5" s="206"/>
      <c r="CV5" s="206"/>
      <c r="CW5" s="206"/>
      <c r="DK5" s="268" t="s">
        <v>301</v>
      </c>
      <c r="DL5" s="90">
        <f>BZ38-CB39</f>
        <v>1.4982434435436218E-2</v>
      </c>
      <c r="DM5" s="97">
        <f>IF(AND($CG$2,$BY$6,$CJ$2),IF($CG$4,BZ38,NA()),NA())</f>
        <v>9.4316324544832297E-2</v>
      </c>
      <c r="DN5" s="94" t="e">
        <f>IF(AND($CG$2,$BY$6,NOT($BX$5)),IF($CG$4,BZ38,NA()),NA())</f>
        <v>#N/A</v>
      </c>
      <c r="DO5" s="95">
        <f>IF($CG$4,CA38+DL3,NA())</f>
        <v>32.4</v>
      </c>
      <c r="DP5" s="110" t="s">
        <v>301</v>
      </c>
      <c r="DQ5" s="90">
        <f>BZ75-CB76</f>
        <v>-3.0854640124536627E-2</v>
      </c>
      <c r="DR5" s="97">
        <f>IF(AND($BX$5,$CJ$2,$BY$6),IF($CG$4,BZ75,NA()),NA())</f>
        <v>3.2436981189514734E-2</v>
      </c>
      <c r="DS5" s="95">
        <f>IF(IF($BX$5,$CG$4),CA75+DS3,NA())</f>
        <v>33.4</v>
      </c>
      <c r="DT5" s="362"/>
      <c r="DU5" s="363" t="s">
        <v>301</v>
      </c>
      <c r="DV5" s="90">
        <f>BZ112-CB113</f>
        <v>8.8253150933166102E-2</v>
      </c>
      <c r="DW5" s="97">
        <f>IF(AND($BX$5,$CJ$2,$BY$6),IF($CG$4,BZ112,NA()),NA())</f>
        <v>0.21663309576896628</v>
      </c>
      <c r="DX5" s="95">
        <f>IF(IF($BX$5,$CG$4),CA112+DX3,NA())</f>
        <v>34.4</v>
      </c>
      <c r="DY5" s="362"/>
      <c r="DZ5" s="286">
        <v>4</v>
      </c>
      <c r="EA5" s="287">
        <v>1.96</v>
      </c>
      <c r="EB5" s="354">
        <f t="shared" si="0"/>
        <v>3.0608</v>
      </c>
      <c r="EC5" s="290">
        <f t="shared" si="1"/>
        <v>14.367935002320417</v>
      </c>
      <c r="ED5" s="290">
        <f t="shared" si="2"/>
        <v>45.466358649964945</v>
      </c>
      <c r="EE5" s="290">
        <f t="shared" si="3"/>
        <v>11.553357844794485</v>
      </c>
    </row>
    <row r="6" spans="1:135" ht="12" customHeight="1" thickBot="1" x14ac:dyDescent="0.25">
      <c r="A6" s="82"/>
      <c r="B6" s="82" t="s">
        <v>754</v>
      </c>
      <c r="C6" s="82"/>
      <c r="D6" s="82"/>
      <c r="E6" s="114" t="s">
        <v>276</v>
      </c>
      <c r="F6" s="23"/>
      <c r="G6" s="904" t="s">
        <v>503</v>
      </c>
      <c r="H6" s="905"/>
      <c r="I6" s="906"/>
      <c r="J6" s="907" t="s">
        <v>504</v>
      </c>
      <c r="K6" s="908"/>
      <c r="L6" s="912"/>
      <c r="M6" s="42">
        <v>8</v>
      </c>
      <c r="N6" s="63" t="s">
        <v>292</v>
      </c>
      <c r="O6" s="117" t="s">
        <v>362</v>
      </c>
      <c r="P6" s="117" t="s">
        <v>363</v>
      </c>
      <c r="Q6" s="118"/>
      <c r="R6" s="356" t="s">
        <v>516</v>
      </c>
      <c r="S6" s="103"/>
      <c r="T6" s="357" t="s">
        <v>518</v>
      </c>
      <c r="U6" s="119"/>
      <c r="V6" s="105">
        <f t="shared" ref="V6:V49" si="5">$V$5</f>
        <v>9.5E-4</v>
      </c>
      <c r="W6" s="90"/>
      <c r="X6" s="90"/>
      <c r="Y6" s="90"/>
      <c r="Z6" s="90"/>
      <c r="AA6" s="90"/>
      <c r="AB6" s="90"/>
      <c r="AC6" s="90"/>
      <c r="AD6" s="90"/>
      <c r="AE6" s="90"/>
      <c r="AF6" s="87">
        <f t="shared" ref="AF6:AF49" si="6">$V$5</f>
        <v>9.5E-4</v>
      </c>
      <c r="AG6" s="87"/>
      <c r="AH6" s="120" t="s">
        <v>332</v>
      </c>
      <c r="AI6" s="120"/>
      <c r="AJ6" s="120" t="s">
        <v>333</v>
      </c>
      <c r="AK6" s="87"/>
      <c r="AV6" s="314"/>
      <c r="BI6" s="364" t="s">
        <v>466</v>
      </c>
      <c r="BJ6" s="365" t="s">
        <v>459</v>
      </c>
      <c r="BK6" s="365"/>
      <c r="BL6" s="365"/>
      <c r="BM6" s="365"/>
      <c r="BN6" s="366"/>
      <c r="BQ6" s="367" t="s">
        <v>442</v>
      </c>
      <c r="BR6" s="368"/>
      <c r="BU6" s="63" t="s">
        <v>276</v>
      </c>
      <c r="BV6" s="121"/>
      <c r="BW6" s="122" t="s">
        <v>280</v>
      </c>
      <c r="BX6" s="122" t="s">
        <v>280</v>
      </c>
      <c r="BY6" s="124" t="b">
        <f>IF(OR(BY8="",COUNT(BY8:BY37)=0),FALSE,TRUE)</f>
        <v>1</v>
      </c>
      <c r="BZ6" s="125" t="s">
        <v>281</v>
      </c>
      <c r="CA6" s="90"/>
      <c r="CB6" s="752" t="s">
        <v>282</v>
      </c>
      <c r="CC6" s="110"/>
      <c r="CD6" s="90"/>
      <c r="CE6" s="90"/>
      <c r="CF6" s="128" t="s">
        <v>338</v>
      </c>
      <c r="CG6" s="129" t="s">
        <v>324</v>
      </c>
      <c r="CH6" s="129"/>
      <c r="CI6" s="129"/>
      <c r="CJ6" s="130"/>
      <c r="CK6" s="130"/>
      <c r="CL6" s="130"/>
      <c r="CM6" s="369" t="s">
        <v>270</v>
      </c>
      <c r="CN6" s="61"/>
      <c r="CO6" s="61"/>
      <c r="CP6" s="61"/>
      <c r="CQ6" s="61"/>
      <c r="CR6" s="61"/>
      <c r="CS6" s="61"/>
      <c r="CT6" s="61"/>
      <c r="CU6" s="61"/>
      <c r="CV6" s="61"/>
      <c r="CW6" s="61"/>
      <c r="DK6" s="268" t="s">
        <v>302</v>
      </c>
      <c r="DL6" s="90">
        <f>BZ38+CB39</f>
        <v>0.17365021465422836</v>
      </c>
      <c r="DM6" s="106">
        <f>IF(AND($CG$2,$BY$6,$CJ$2),IF($CG$4,BZ38-CB39,NA()),NA())</f>
        <v>1.4982434435436218E-2</v>
      </c>
      <c r="DN6" s="90" t="e">
        <f>IF(AND($CG$2,$BY$6,NOT($BX$5)),IF($CG$4,BZ38-CB39,NA()),NA())</f>
        <v>#N/A</v>
      </c>
      <c r="DO6" s="113">
        <f>IF($CG$4,CA38,NA())</f>
        <v>32</v>
      </c>
      <c r="DP6" s="110" t="s">
        <v>302</v>
      </c>
      <c r="DQ6" s="90">
        <f>BZ75+CB76</f>
        <v>9.5728602503566101E-2</v>
      </c>
      <c r="DR6" s="106">
        <f>IF(AND($BX$5,$CJ$2,$BY$6),IF($CG$4,BZ75-CB76,NA()),NA())</f>
        <v>-3.0854640124536627E-2</v>
      </c>
      <c r="DS6" s="113">
        <f>IF(IF($BX$5,$CG$4),CA75,NA())</f>
        <v>33</v>
      </c>
      <c r="DT6" s="370"/>
      <c r="DU6" s="363" t="s">
        <v>302</v>
      </c>
      <c r="DV6" s="90">
        <f>BZ112+CB113</f>
        <v>0.34501304060476645</v>
      </c>
      <c r="DW6" s="106">
        <f>IF(AND($BX$5,$CJ$2,$BY$6),IF($CG$4,BZ112-CB113,NA()),NA())</f>
        <v>8.8253150933166102E-2</v>
      </c>
      <c r="DX6" s="113">
        <f>IF(IF($BX$5,$CG$4),CA112,NA())</f>
        <v>34</v>
      </c>
      <c r="DY6" s="370"/>
      <c r="DZ6" s="288">
        <v>6</v>
      </c>
      <c r="EA6" s="289">
        <v>4.1616</v>
      </c>
      <c r="EB6" s="354">
        <f t="shared" si="0"/>
        <v>5.4607999999999999</v>
      </c>
      <c r="EC6" s="290">
        <f t="shared" si="1"/>
        <v>25.633958266032195</v>
      </c>
      <c r="ED6" s="290">
        <f t="shared" si="2"/>
        <v>81.116927377067626</v>
      </c>
      <c r="EE6" s="290">
        <f t="shared" si="3"/>
        <v>20.612446588752523</v>
      </c>
    </row>
    <row r="7" spans="1:135" ht="12.75" customHeight="1" thickTop="1" thickBot="1" x14ac:dyDescent="0.3">
      <c r="A7" s="131"/>
      <c r="B7" s="132" t="str">
        <f>IF(CA5,"t","")</f>
        <v/>
      </c>
      <c r="C7" s="34" t="str">
        <f>IF(CA5,"p","")</f>
        <v/>
      </c>
      <c r="D7" s="82"/>
      <c r="E7" s="133" t="s">
        <v>283</v>
      </c>
      <c r="F7" s="133" t="s">
        <v>310</v>
      </c>
      <c r="G7" s="620" t="s">
        <v>73</v>
      </c>
      <c r="H7" s="372" t="s">
        <v>74</v>
      </c>
      <c r="I7" s="618" t="s">
        <v>358</v>
      </c>
      <c r="J7" s="371" t="s">
        <v>79</v>
      </c>
      <c r="K7" s="372" t="s">
        <v>501</v>
      </c>
      <c r="L7" s="618" t="s">
        <v>502</v>
      </c>
      <c r="M7" s="373" t="s">
        <v>216</v>
      </c>
      <c r="N7" s="779" t="s">
        <v>78</v>
      </c>
      <c r="O7" s="136" t="s">
        <v>256</v>
      </c>
      <c r="P7" s="137" t="s">
        <v>292</v>
      </c>
      <c r="Q7" s="82"/>
      <c r="R7" s="63" t="str">
        <f>IF($H$5&lt;&gt;"",$H$5,"")</f>
        <v>Rating difference</v>
      </c>
      <c r="S7" s="139"/>
      <c r="T7" s="374" t="s">
        <v>285</v>
      </c>
      <c r="V7" s="105">
        <f t="shared" si="5"/>
        <v>9.5E-4</v>
      </c>
      <c r="W7" s="90"/>
      <c r="X7" s="90"/>
      <c r="Y7" s="90"/>
      <c r="Z7" s="90"/>
      <c r="AA7" s="90"/>
      <c r="AB7" s="90"/>
      <c r="AC7" s="90"/>
      <c r="AD7" s="90"/>
      <c r="AE7" s="90"/>
      <c r="AF7" s="87">
        <f t="shared" si="6"/>
        <v>9.5E-4</v>
      </c>
      <c r="AG7" s="87"/>
      <c r="AH7" s="141"/>
      <c r="AI7" s="120" t="str">
        <f>IF($H$5&lt;&gt;"",$H$5,"")</f>
        <v>Rating difference</v>
      </c>
      <c r="AJ7" s="141"/>
      <c r="AK7" s="87"/>
      <c r="AV7" s="314"/>
      <c r="BG7" s="342" t="s">
        <v>468</v>
      </c>
      <c r="BH7" s="375" t="s">
        <v>452</v>
      </c>
      <c r="BI7" s="376" t="s">
        <v>467</v>
      </c>
      <c r="BJ7" s="342" t="s">
        <v>444</v>
      </c>
      <c r="BK7" s="95">
        <f>MIN(AH8:AH37,AH40,AH41,J40+AH45)</f>
        <v>-0.21147064429470147</v>
      </c>
      <c r="BL7" s="93" t="s">
        <v>454</v>
      </c>
      <c r="BM7" s="94">
        <f>IF(AND($CJ$2,$BX$5),J41,NA())</f>
        <v>0.21663309576896628</v>
      </c>
      <c r="BN7" s="95">
        <v>38</v>
      </c>
      <c r="BQ7" s="377" t="s">
        <v>443</v>
      </c>
      <c r="BR7" s="378"/>
      <c r="BS7" s="379" t="s">
        <v>441</v>
      </c>
      <c r="BU7" s="63" t="s">
        <v>779</v>
      </c>
      <c r="BV7" s="121" t="s">
        <v>216</v>
      </c>
      <c r="BW7" s="122" t="s">
        <v>257</v>
      </c>
      <c r="BX7" s="380" t="s">
        <v>269</v>
      </c>
      <c r="BY7" s="146" t="s">
        <v>265</v>
      </c>
      <c r="BZ7" s="147" t="s">
        <v>287</v>
      </c>
      <c r="CA7" s="63" t="s">
        <v>268</v>
      </c>
      <c r="CB7" s="147" t="s">
        <v>288</v>
      </c>
      <c r="CC7" s="148" t="s">
        <v>289</v>
      </c>
      <c r="CD7" s="148" t="s">
        <v>290</v>
      </c>
      <c r="CE7" s="149" t="s">
        <v>291</v>
      </c>
      <c r="CF7" s="150" t="s">
        <v>291</v>
      </c>
      <c r="CG7" s="151" t="s">
        <v>318</v>
      </c>
      <c r="CH7" s="151" t="s">
        <v>319</v>
      </c>
      <c r="CI7" s="151" t="s">
        <v>320</v>
      </c>
      <c r="CJ7" s="153" t="s">
        <v>321</v>
      </c>
      <c r="CK7" s="153" t="s">
        <v>322</v>
      </c>
      <c r="CL7" s="153" t="s">
        <v>323</v>
      </c>
      <c r="CM7" s="76">
        <v>3</v>
      </c>
      <c r="CN7" s="77">
        <v>4</v>
      </c>
      <c r="CO7" s="78">
        <v>6</v>
      </c>
      <c r="CP7" s="76">
        <v>7</v>
      </c>
      <c r="CQ7" s="77">
        <v>9</v>
      </c>
      <c r="CR7" s="78">
        <v>10</v>
      </c>
      <c r="CS7" s="76">
        <v>12</v>
      </c>
      <c r="CT7" s="77">
        <v>13</v>
      </c>
      <c r="CU7" s="78">
        <v>15</v>
      </c>
      <c r="DK7" s="268" t="s">
        <v>431</v>
      </c>
      <c r="DL7" s="90">
        <v>200</v>
      </c>
      <c r="DM7" s="106">
        <f>IF(AND($CG$2,$BY$6,$CJ$2),IF($CG$4,BZ38,NA()),NA())</f>
        <v>9.4316324544832297E-2</v>
      </c>
      <c r="DN7" s="90" t="e">
        <f>IF(AND($CG$2,$BY$6,NOT($BX$5)),IF($CG$4,BZ38,NA()),NA())</f>
        <v>#N/A</v>
      </c>
      <c r="DO7" s="113">
        <f>IF($CG$4,CA38-DL3,NA())</f>
        <v>31.6</v>
      </c>
      <c r="DP7" s="110" t="s">
        <v>431</v>
      </c>
      <c r="DQ7" s="90">
        <v>200</v>
      </c>
      <c r="DR7" s="106">
        <f>IF(AND($BX$5,$CJ$2,$BY$6),IF($CG$4,BZ75,NA()),NA())</f>
        <v>3.2436981189514734E-2</v>
      </c>
      <c r="DS7" s="113">
        <f>IF(IF($BX$5,$CG$4),CA75-DS3,NA())</f>
        <v>32.6</v>
      </c>
      <c r="DT7" s="370"/>
      <c r="DU7" s="363" t="s">
        <v>431</v>
      </c>
      <c r="DV7" s="90">
        <v>200</v>
      </c>
      <c r="DW7" s="106">
        <f>IF(AND($BX$5,$CJ$2,$BY$6),IF($CG$4,BZ112,NA()),NA())</f>
        <v>0.21663309576896628</v>
      </c>
      <c r="DX7" s="113">
        <f>IF(IF($BX$5,$CG$4),CA112-DX3,NA())</f>
        <v>33.6</v>
      </c>
      <c r="DY7" s="370"/>
      <c r="DZ7" s="292">
        <v>7</v>
      </c>
      <c r="EA7" s="283">
        <v>6.76</v>
      </c>
      <c r="EB7" s="354">
        <f t="shared" si="0"/>
        <v>8.3412499999999987</v>
      </c>
      <c r="EC7" s="290">
        <f t="shared" si="1"/>
        <v>39.155298561848262</v>
      </c>
      <c r="ED7" s="290">
        <f t="shared" si="2"/>
        <v>123.90429433122715</v>
      </c>
      <c r="EE7" s="290">
        <f t="shared" si="3"/>
        <v>31.485051660641659</v>
      </c>
    </row>
    <row r="8" spans="1:135" ht="12" customHeight="1" thickTop="1" x14ac:dyDescent="0.2">
      <c r="B8" s="155" t="str">
        <f>IF(AND($BY$6,$CA$5,$BY$2,BY8&lt;&gt;""), BY8,"")</f>
        <v/>
      </c>
      <c r="C8" s="837" t="str">
        <f t="shared" ref="C8:C37" si="7">IF(B8&lt;&gt;"",TDIST(ABS(BY8),L8-1,2),"")</f>
        <v/>
      </c>
      <c r="D8" s="156" t="str">
        <f t="shared" ref="D8:D37" si="8">IF(B8&lt;&gt;"",IF(C8&lt;0.001,"***",(IF(C8&lt;0.01,"**",(IF(C8&lt;0.05,"*",(IF(C8&lt;0.1,"?","ns"))))))),"")</f>
        <v/>
      </c>
      <c r="E8" s="157">
        <v>1</v>
      </c>
      <c r="F8" s="161" t="s">
        <v>522</v>
      </c>
      <c r="G8" s="161">
        <v>2.89</v>
      </c>
      <c r="H8" s="381">
        <v>0.79</v>
      </c>
      <c r="I8" s="617">
        <v>28</v>
      </c>
      <c r="J8" s="161">
        <v>3.12</v>
      </c>
      <c r="K8" s="381">
        <v>0.65</v>
      </c>
      <c r="L8" s="617">
        <v>26</v>
      </c>
      <c r="M8" s="160" t="s">
        <v>532</v>
      </c>
      <c r="N8" s="578">
        <f>IF(BU8,J8-G8,"")</f>
        <v>0.22999999999999998</v>
      </c>
      <c r="O8" s="580">
        <f>IF(BU8,SQRT(((I8-1)*H8^2+(L8-1)*K8^2)/(I8+L8-2)),"")</f>
        <v>0.72606950292442607</v>
      </c>
      <c r="P8" s="164">
        <f>IF(BU8,O8^2*(1/I8+1/L8),"")</f>
        <v>3.9103782755705842E-2</v>
      </c>
      <c r="Q8" s="165"/>
      <c r="R8" s="382">
        <f t="shared" ref="R8:R37" si="9">IF(BY8&lt;&gt;"",CB8,"")</f>
        <v>0.3968079126141989</v>
      </c>
      <c r="S8" s="383"/>
      <c r="T8" s="384">
        <f t="shared" ref="T8:T37" si="10">IF(AND($BY$6,$CG$2),IF(BS8&lt;&gt;"",IF(NOT($BX$5),BS8,IF($CJ$2,IF(BV8=1,BS45,BS82),"")),""),"")</f>
        <v>2.6667204317388422</v>
      </c>
      <c r="U8" s="385"/>
      <c r="V8" s="386">
        <f t="shared" si="5"/>
        <v>9.5E-4</v>
      </c>
      <c r="W8" s="387"/>
      <c r="X8" s="387"/>
      <c r="Y8" s="387"/>
      <c r="Z8" s="387"/>
      <c r="AA8" s="387"/>
      <c r="AB8" s="387"/>
      <c r="AC8" s="387"/>
      <c r="AD8" s="387"/>
      <c r="AE8" s="387"/>
      <c r="AF8" s="388">
        <f t="shared" si="6"/>
        <v>9.5E-4</v>
      </c>
      <c r="AG8" s="389" t="s">
        <v>339</v>
      </c>
      <c r="AH8" s="390">
        <f>IF(BY8&lt;&gt;"",N8-R8,"")</f>
        <v>-0.16680791261419892</v>
      </c>
      <c r="AI8" s="391" t="s">
        <v>261</v>
      </c>
      <c r="AJ8" s="390">
        <f>IF(BY8&lt;&gt;"",N8+R8,"")</f>
        <v>0.62680791261419888</v>
      </c>
      <c r="AK8" s="392" t="s">
        <v>259</v>
      </c>
      <c r="AV8" s="314"/>
      <c r="BG8" s="94" t="str">
        <f>IF(OR(NOT($BX$5),G8="",H8="",I8="",J8="",K8="",L8=""),-999999999999,IF(M8=$M$8,"zzzzzzzzzzzz",-999999999999))</f>
        <v>zzzzzzzzzzzz</v>
      </c>
      <c r="BH8" s="95" t="str">
        <f>IF(OR(NOT($BX$5),G8="",H8="",I8="",J8="",K8="",L8=""),"zzzzzzzzzzzz",IF(M8=$M$8,"zzzzzzzzzzzz",-999999999999))</f>
        <v>zzzzzzzzzzzz</v>
      </c>
      <c r="BI8" s="290"/>
      <c r="BJ8" s="110" t="s">
        <v>445</v>
      </c>
      <c r="BK8" s="113">
        <f>MAX(AJ8:AJ37)</f>
        <v>0.64910145180667833</v>
      </c>
      <c r="BL8" s="107" t="s">
        <v>423</v>
      </c>
      <c r="BM8" s="79">
        <f>IF(AND($CJ$2,$BX$5),(J40+J41)/2,NA())</f>
        <v>0.12453503847924051</v>
      </c>
      <c r="BN8" s="113">
        <v>41.6</v>
      </c>
      <c r="BQ8" s="393">
        <f>IF(NOT($BX$5),-999,IF(BV8=1,-999,999))</f>
        <v>-999</v>
      </c>
      <c r="BR8" s="394">
        <f>IF(NOT($BX$5),999,IF(BV8=1,-999,999))</f>
        <v>-999</v>
      </c>
      <c r="BS8" s="290">
        <f>IF(CF8&lt;&gt;"",100*CF8/$CF$38,"")</f>
        <v>3.7072581902465371</v>
      </c>
      <c r="BT8" s="95">
        <v>1</v>
      </c>
      <c r="BU8" s="95" t="b">
        <f>AND(G8&lt;&gt;"",H8&lt;&gt;"",I8&gt;1,J8&lt;&gt;"",K8&lt;&gt;"",L8&gt;1,OR(NOT($BX$5),M8&lt;&gt;""))</f>
        <v>1</v>
      </c>
      <c r="BV8" s="395">
        <f t="shared" ref="BV8:BV37" si="11">IF(AND(M8&lt;&gt;"",BY8&lt;&gt;""),IF(M8=$M$8,1,2),"")</f>
        <v>1</v>
      </c>
      <c r="BW8" s="97">
        <f>IF(AND($BY$6,$BY8&lt;&gt;""),N8,"")</f>
        <v>0.22999999999999998</v>
      </c>
      <c r="BX8" s="94">
        <f t="shared" ref="BX8:BX37" si="12">IF($BY8&lt;&gt;"",L8,"")</f>
        <v>26</v>
      </c>
      <c r="BY8" s="179">
        <f>IF(BU8,N8/SQRT(P8),"")</f>
        <v>1.1631037348111415</v>
      </c>
      <c r="BZ8" s="94" t="e">
        <f>IF(AND(NOT($BX$5),$BY$6),IF($CG$3,NA(),N8),NA())</f>
        <v>#N/A</v>
      </c>
      <c r="CA8" s="179" t="e">
        <f>IF(AND(NOT($BX$5),BY8&lt;&gt;""),BT8,NA())</f>
        <v>#N/A</v>
      </c>
      <c r="CB8" s="94">
        <f t="shared" ref="CB8:CB37" si="13">IF(BU8,SQRT(P8)*TINV((100-$M$2)/100,I8+L8-2),NA())</f>
        <v>0.3968079126141989</v>
      </c>
      <c r="CC8" s="178">
        <f t="shared" ref="CC8:CC37" si="14">IF(BY8&lt;&gt;"",K8*K8*(L8-1),"")</f>
        <v>10.562500000000002</v>
      </c>
      <c r="CD8" s="178">
        <f t="shared" ref="CD8:CD37" si="15">IF(BY8&lt;&gt;"",(L8-1),"")</f>
        <v>25</v>
      </c>
      <c r="CE8" s="94">
        <f t="shared" ref="CE8:CE37" si="16">IF($BY$6,IF(BY8&lt;&gt;"",1/P8,""),"")</f>
        <v>25.572973495871949</v>
      </c>
      <c r="CF8" s="94">
        <f t="shared" ref="CF8:CF37" si="17">IF(fixedrandom=1,CE8,CK8)</f>
        <v>22.62723643025727</v>
      </c>
      <c r="CG8" s="94">
        <f>IF(AND(CE8&lt;&gt;""),BW8*CE8,"")</f>
        <v>5.8817839040505477</v>
      </c>
      <c r="CH8" s="94">
        <f>IF(AND(CE8&lt;&gt;""),CE8*CE8,"")</f>
        <v>653.97697342056915</v>
      </c>
      <c r="CI8" s="94">
        <f>IF(AND(CE8&lt;&gt;""),BW8^2*CE8,"")</f>
        <v>1.3528102979316259</v>
      </c>
      <c r="CJ8" s="94">
        <f>IF(AND(CE8&lt;&gt;""),1/CE8+$BP$19,"")</f>
        <v>4.4194526498286563E-2</v>
      </c>
      <c r="CK8" s="94">
        <f t="shared" ref="CK8:CK37" si="18">IF(AND(CE8&lt;&gt;""),1/CJ8,"")</f>
        <v>22.62723643025727</v>
      </c>
      <c r="CL8" s="94">
        <f t="shared" ref="CL8:CL37" si="19">IF(AND(CE8&lt;&gt;""),CK8*BW8,"")</f>
        <v>5.2042643789591718</v>
      </c>
      <c r="CM8" s="97" t="e">
        <f t="shared" ref="CM8:CM37" si="20">IF(AND(CF8&lt;=$EC$4,$CG$3,NOT($BX$5)),N8,NA())</f>
        <v>#N/A</v>
      </c>
      <c r="CN8" s="94" t="e">
        <f t="shared" ref="CN8:CN37" si="21">IF(AND(CF8&gt;$EC$4,CF8&lt;=$EC$5,$CG$3,NOT($BX$5)),N8,NA())</f>
        <v>#N/A</v>
      </c>
      <c r="CO8" s="94" t="e">
        <f t="shared" ref="CO8:CO37" si="22">IF(AND(CF8&gt;$EC$5,CF8&lt;=$EC$6,$CG$3,NOT($BX$5)),N8,NA())</f>
        <v>#N/A</v>
      </c>
      <c r="CP8" s="94" t="e">
        <f t="shared" ref="CP8:CP37" si="23">IF(AND(CF8&gt;$EC$6,CF8&lt;=$EC$7,$CG$3,NOT($BX$5)),N8,NA())</f>
        <v>#N/A</v>
      </c>
      <c r="CQ8" s="94" t="e">
        <f t="shared" ref="CQ8:CQ37" si="24">IF(AND(CF8&gt;$EC$7,CF8&lt;=$EC$8,$CG$3,NOT($BX$5)),N8,NA())</f>
        <v>#N/A</v>
      </c>
      <c r="CR8" s="94" t="e">
        <f t="shared" ref="CR8:CR37" si="25">IF(AND(CF8&gt;$EC$8,CF8&lt;=$EC$9,$CG$3,NOT($BX$5)),N8,NA())</f>
        <v>#N/A</v>
      </c>
      <c r="CS8" s="94" t="e">
        <f t="shared" ref="CS8:CS37" si="26">IF(AND(CF8&gt;$EC$9,CF8&lt;=$EC$10,$CG$3,NOT($BX$5)),N8,NA())</f>
        <v>#N/A</v>
      </c>
      <c r="CT8" s="94" t="e">
        <f t="shared" ref="CT8:CT37" si="27">IF(AND(CF8&gt;$EC$10,CF8&lt;=$EC$11,$CG$3,NOT($BX$5)),N8,NA())</f>
        <v>#N/A</v>
      </c>
      <c r="CU8" s="94" t="e">
        <f t="shared" ref="CU8:CU37" si="28">IF(AND(CF8&lt;&gt;"",CF8&gt;$EC$11,$CG$3,NOT($BX$5)),N8,NA())</f>
        <v>#N/A</v>
      </c>
      <c r="CV8" s="97">
        <v>1</v>
      </c>
      <c r="CW8" s="90"/>
      <c r="CX8" s="102"/>
      <c r="CY8" s="102"/>
      <c r="CZ8" s="102"/>
      <c r="DA8" s="102"/>
      <c r="DB8" s="102"/>
      <c r="DC8" s="102"/>
      <c r="DD8" s="102"/>
      <c r="DE8" s="102"/>
      <c r="DF8" s="102"/>
      <c r="DG8" s="102"/>
      <c r="DH8" s="102"/>
      <c r="DK8" s="268" t="s">
        <v>304</v>
      </c>
      <c r="DL8" s="90">
        <f>(DL6-DL5)/DL7</f>
        <v>7.9333890109396061E-4</v>
      </c>
      <c r="DM8" s="106">
        <f>IF(AND($CG$2,$BY$6,$CJ$2),IF($CG$4,BZ38+CB39,NA()),NA())</f>
        <v>0.17365021465422836</v>
      </c>
      <c r="DN8" s="90" t="e">
        <f>IF(AND($CG$2,$BY$6,NOT($BX$5)),IF($CG$4,BZ38+CB39,NA()),NA())</f>
        <v>#N/A</v>
      </c>
      <c r="DO8" s="113">
        <f>IF($CG$4,CA38,NA())</f>
        <v>32</v>
      </c>
      <c r="DP8" s="110" t="s">
        <v>304</v>
      </c>
      <c r="DQ8" s="90">
        <f>(DQ6-DQ5)/DQ7</f>
        <v>6.3291621314051356E-4</v>
      </c>
      <c r="DR8" s="106">
        <f>IF(AND($BX$5,$CJ$2,$BY$6),IF($CG$4,BZ75+CB76,NA()),NA())</f>
        <v>9.5728602503566101E-2</v>
      </c>
      <c r="DS8" s="113">
        <f>IF(IF($BX$5,$CG$4),CA75,NA())</f>
        <v>33</v>
      </c>
      <c r="DT8" s="370"/>
      <c r="DU8" s="363" t="s">
        <v>304</v>
      </c>
      <c r="DV8" s="90">
        <f>(DV6-DV5)/DV7</f>
        <v>1.2837994483580017E-3</v>
      </c>
      <c r="DW8" s="106">
        <f>IF(AND($BX$5,$CJ$2,$BY$6),IF($CG$4,BZ112+CB113,NA()),NA())</f>
        <v>0.34501304060476645</v>
      </c>
      <c r="DX8" s="113">
        <f>IF(IF($BX$5,$CG$4),CA112,NA())</f>
        <v>34</v>
      </c>
      <c r="DY8" s="370"/>
      <c r="DZ8" s="294">
        <v>9</v>
      </c>
      <c r="EA8" s="287">
        <v>9.9224999999999994</v>
      </c>
      <c r="EB8" s="354">
        <f t="shared" si="0"/>
        <v>11.806249999999999</v>
      </c>
      <c r="EC8" s="290">
        <f t="shared" si="1"/>
        <v>55.420619648832144</v>
      </c>
      <c r="ED8" s="290">
        <f t="shared" si="2"/>
        <v>175.37480293098164</v>
      </c>
      <c r="EE8" s="290">
        <f t="shared" si="3"/>
        <v>44.56411103473107</v>
      </c>
    </row>
    <row r="9" spans="1:135" ht="12" customHeight="1" x14ac:dyDescent="0.2">
      <c r="A9" s="180"/>
      <c r="B9" s="181" t="str">
        <f t="shared" ref="B9:B37" si="29">IF(AND($BY$6,$CA$5,$BY$2,BY9&lt;&gt;""), BY9,"")</f>
        <v/>
      </c>
      <c r="C9" s="838" t="str">
        <f t="shared" si="7"/>
        <v/>
      </c>
      <c r="D9" s="182" t="str">
        <f t="shared" si="8"/>
        <v/>
      </c>
      <c r="E9" s="183">
        <v>2</v>
      </c>
      <c r="F9" s="186" t="s">
        <v>528</v>
      </c>
      <c r="G9" s="186">
        <v>2.69</v>
      </c>
      <c r="H9" s="186">
        <v>0.55000000000000004</v>
      </c>
      <c r="I9" s="186">
        <v>26</v>
      </c>
      <c r="J9" s="186">
        <v>3</v>
      </c>
      <c r="K9" s="396">
        <v>0.54</v>
      </c>
      <c r="L9" s="186">
        <v>28</v>
      </c>
      <c r="M9" s="186" t="s">
        <v>533</v>
      </c>
      <c r="N9" s="579">
        <f t="shared" ref="N9:N37" si="30">IF(BU9,J9-G9,"")</f>
        <v>0.31000000000000005</v>
      </c>
      <c r="O9" s="579">
        <f t="shared" ref="O9:O37" si="31">IF(BU9,SQRT(((I9-1)*H9^2+(L9-1)*K9^2)/(I9+L9-2)),"")</f>
        <v>0.54483060176112041</v>
      </c>
      <c r="P9" s="189">
        <f t="shared" ref="P9:P37" si="32">IF(BU9,O9^2*(1/I9+1/L9),"")</f>
        <v>2.2018380177514792E-2</v>
      </c>
      <c r="Q9" s="194"/>
      <c r="R9" s="397">
        <f t="shared" si="9"/>
        <v>0.297758125003731</v>
      </c>
      <c r="S9" s="192"/>
      <c r="T9" s="193">
        <f t="shared" si="10"/>
        <v>19.485556845360641</v>
      </c>
      <c r="U9" s="398"/>
      <c r="V9" s="105">
        <f t="shared" si="5"/>
        <v>9.5E-4</v>
      </c>
      <c r="W9" s="90"/>
      <c r="X9" s="90"/>
      <c r="Y9" s="90"/>
      <c r="Z9" s="90"/>
      <c r="AA9" s="90"/>
      <c r="AB9" s="90"/>
      <c r="AC9" s="90"/>
      <c r="AD9" s="90"/>
      <c r="AE9" s="90"/>
      <c r="AF9" s="87">
        <f t="shared" si="6"/>
        <v>9.5E-4</v>
      </c>
      <c r="AG9" s="399" t="s">
        <v>339</v>
      </c>
      <c r="AH9" s="400">
        <f t="shared" ref="AH9:AH37" si="33">IF(BY9&lt;&gt;"",N9-R9,"")</f>
        <v>1.2241874996269053E-2</v>
      </c>
      <c r="AI9" s="197" t="s">
        <v>261</v>
      </c>
      <c r="AJ9" s="400">
        <f t="shared" ref="AJ9:AJ37" si="34">IF(BY9&lt;&gt;"",N9+R9,"")</f>
        <v>0.60775812500373105</v>
      </c>
      <c r="AK9" s="401" t="s">
        <v>259</v>
      </c>
      <c r="AV9" s="314"/>
      <c r="BG9" s="94">
        <f t="shared" ref="BG9:BG37" si="35">IF(OR(NOT($BX$5),G9="",H9="",I9="",J9="",K9="",L9=""),-999999999999,IF(M9=$M$8,"zzzzzzzzzzzz",-999999999999))</f>
        <v>-999999999999</v>
      </c>
      <c r="BH9" s="95">
        <f t="shared" ref="BH9:BH37" si="36">IF(OR(NOT($BX$5),G9="",H9="",I9="",J9="",K9="",L9=""),"zzzzzzzzzzzz",IF(M9=$M$8,"zzzzzzzzzzzz",-999999999999))</f>
        <v>-999999999999</v>
      </c>
      <c r="BI9" s="290">
        <f>IF(AND($BX$5,M9="",G9&lt;&gt;"",H9&lt;&gt;"",I9&gt;1,J9&lt;&gt;"",K9&lt;&gt;"",L9&gt;1),"zzzzzzzzzzzz",-999999999999)</f>
        <v>-999999999999</v>
      </c>
      <c r="BJ9" s="402" t="s">
        <v>446</v>
      </c>
      <c r="BK9" s="113">
        <f>BK8-BK7</f>
        <v>0.86057209610137986</v>
      </c>
      <c r="BL9" s="106" t="s">
        <v>457</v>
      </c>
      <c r="BM9" s="113"/>
      <c r="BN9" s="403" t="s">
        <v>299</v>
      </c>
      <c r="BQ9" s="404">
        <f t="shared" ref="BQ9:BQ37" si="37">IF(NOT($BX$5),-999,IF(BV9=1,-999,999))</f>
        <v>999</v>
      </c>
      <c r="BR9" s="405">
        <f t="shared" ref="BR9:BR37" si="38">IF(NOT($BX$5),999,IF(BV9=1,-999,999))</f>
        <v>999</v>
      </c>
      <c r="BS9" s="290">
        <f t="shared" ref="BS9:BS37" si="39">IF(CF9&lt;&gt;"",100*CF9/$CF$38,"")</f>
        <v>6.0437408751298083</v>
      </c>
      <c r="BT9" s="113">
        <v>2</v>
      </c>
      <c r="BU9" s="95" t="b">
        <f t="shared" ref="BU9:BU37" si="40">AND(G9&lt;&gt;"",H9&lt;&gt;"",I9&gt;1,J9&lt;&gt;"",K9&lt;&gt;"",L9&gt;1,OR(NOT($BX$5),M9&lt;&gt;""))</f>
        <v>1</v>
      </c>
      <c r="BV9" s="406">
        <f t="shared" si="11"/>
        <v>2</v>
      </c>
      <c r="BW9" s="90">
        <f t="shared" ref="BW9:BW37" si="41">IF(AND($BY$6,$BY9&lt;&gt;""),N9,"")</f>
        <v>0.31000000000000005</v>
      </c>
      <c r="BX9" s="90">
        <f t="shared" si="12"/>
        <v>28</v>
      </c>
      <c r="BY9" s="201">
        <f t="shared" ref="BY9:BY37" si="42">IF(BU9,N9/SQRT(P9),"")</f>
        <v>2.0891470537078654</v>
      </c>
      <c r="BZ9" s="90" t="e">
        <f t="shared" ref="BZ9:BZ37" si="43">IF(AND(NOT($BX$5),$BY$6),IF($CG$3,NA(),N9),NA())</f>
        <v>#N/A</v>
      </c>
      <c r="CA9" s="201" t="e">
        <f t="shared" ref="CA9:CA37" si="44">IF(AND(NOT($BX$5),BY9&lt;&gt;""),BT9,NA())</f>
        <v>#N/A</v>
      </c>
      <c r="CB9" s="90">
        <f t="shared" si="13"/>
        <v>0.297758125003731</v>
      </c>
      <c r="CC9" s="127">
        <f t="shared" si="14"/>
        <v>7.8732000000000006</v>
      </c>
      <c r="CD9" s="127">
        <f t="shared" si="15"/>
        <v>27</v>
      </c>
      <c r="CE9" s="90">
        <f t="shared" si="16"/>
        <v>45.416601581854863</v>
      </c>
      <c r="CF9" s="90">
        <f t="shared" si="17"/>
        <v>36.887949715657086</v>
      </c>
      <c r="CG9" s="90">
        <f t="shared" ref="CG9:CG37" si="45">IF(AND(CE9&lt;&gt;""),BW9*CE9,"")</f>
        <v>14.07914649037501</v>
      </c>
      <c r="CH9" s="90">
        <f t="shared" ref="CH9:CH37" si="46">IF(AND(CE9&lt;&gt;""),CE9*CE9,"")</f>
        <v>2062.6676992449416</v>
      </c>
      <c r="CI9" s="90">
        <f t="shared" ref="CI9:CI37" si="47">IF(AND(CE9&lt;&gt;""),BW9^2*CE9,"")</f>
        <v>4.3645354120162541</v>
      </c>
      <c r="CJ9" s="90">
        <f t="shared" ref="CJ9:CJ37" si="48">IF(AND(CE9&lt;&gt;""),1/CE9+$BP$19,"")</f>
        <v>2.7109123920095513E-2</v>
      </c>
      <c r="CK9" s="90">
        <f t="shared" si="18"/>
        <v>36.887949715657086</v>
      </c>
      <c r="CL9" s="90">
        <f t="shared" si="19"/>
        <v>11.435264411853698</v>
      </c>
      <c r="CM9" s="106" t="e">
        <f t="shared" si="20"/>
        <v>#N/A</v>
      </c>
      <c r="CN9" s="90" t="e">
        <f t="shared" si="21"/>
        <v>#N/A</v>
      </c>
      <c r="CO9" s="90" t="e">
        <f t="shared" si="22"/>
        <v>#N/A</v>
      </c>
      <c r="CP9" s="90" t="e">
        <f t="shared" si="23"/>
        <v>#N/A</v>
      </c>
      <c r="CQ9" s="90" t="e">
        <f t="shared" si="24"/>
        <v>#N/A</v>
      </c>
      <c r="CR9" s="90" t="e">
        <f t="shared" si="25"/>
        <v>#N/A</v>
      </c>
      <c r="CS9" s="90" t="e">
        <f t="shared" si="26"/>
        <v>#N/A</v>
      </c>
      <c r="CT9" s="90" t="e">
        <f t="shared" si="27"/>
        <v>#N/A</v>
      </c>
      <c r="CU9" s="90" t="e">
        <f t="shared" si="28"/>
        <v>#N/A</v>
      </c>
      <c r="CV9" s="106">
        <v>2</v>
      </c>
      <c r="CW9" s="90"/>
      <c r="CX9" s="102"/>
      <c r="CY9" s="102"/>
      <c r="CZ9" s="102"/>
      <c r="DA9" s="102"/>
      <c r="DB9" s="102"/>
      <c r="DC9" s="102"/>
      <c r="DD9" s="102"/>
      <c r="DE9" s="102"/>
      <c r="DF9" s="102"/>
      <c r="DG9" s="102"/>
      <c r="DH9" s="102"/>
      <c r="DK9" s="268" t="s">
        <v>307</v>
      </c>
      <c r="DL9" s="90">
        <v>0.02</v>
      </c>
      <c r="DM9" s="207">
        <f>IF(AND($CG$2,$BY$6,$CJ$2),IF($CG$4,BZ38,NA()),NA())</f>
        <v>9.4316324544832297E-2</v>
      </c>
      <c r="DN9" s="79" t="e">
        <f>IF(AND($CG$2,$BY$6,NOT($BX$5)),IF($CG$4,BZ38,NA()),NA())</f>
        <v>#N/A</v>
      </c>
      <c r="DO9" s="109">
        <f>IF($CG$4,CA38+DL3,NA())</f>
        <v>32.4</v>
      </c>
      <c r="DP9" s="110" t="s">
        <v>307</v>
      </c>
      <c r="DQ9" s="90">
        <v>0.02</v>
      </c>
      <c r="DR9" s="207">
        <f>IF(AND($BX$5,$CJ$2,$BY$6),IF($CG$4,BZ75,NA()),NA())</f>
        <v>3.2436981189514734E-2</v>
      </c>
      <c r="DS9" s="109">
        <f>IF(IF($BX$5,$CG$4),CA75+DS3,NA())</f>
        <v>33.4</v>
      </c>
      <c r="DT9" s="407"/>
      <c r="DU9" s="363" t="s">
        <v>307</v>
      </c>
      <c r="DV9" s="90">
        <v>0.02</v>
      </c>
      <c r="DW9" s="207">
        <f>IF(AND($BX$5,$CJ$2,$BY$6),IF($CG$4,BZ112,NA()),NA())</f>
        <v>0.21663309576896628</v>
      </c>
      <c r="DX9" s="109">
        <f>IF(IF($BX$5,$CG$4),CA112+DX3,NA())</f>
        <v>34.4</v>
      </c>
      <c r="DY9" s="407"/>
      <c r="DZ9" s="295">
        <v>10</v>
      </c>
      <c r="EA9" s="289">
        <v>13.69</v>
      </c>
      <c r="EB9" s="354">
        <f t="shared" si="0"/>
        <v>15.876249999999999</v>
      </c>
      <c r="EC9" s="290">
        <f t="shared" si="1"/>
        <v>74.525917433543356</v>
      </c>
      <c r="ED9" s="290">
        <f t="shared" si="2"/>
        <v>235.83222573069327</v>
      </c>
      <c r="EE9" s="290">
        <f t="shared" si="3"/>
        <v>59.926815696359917</v>
      </c>
    </row>
    <row r="10" spans="1:135" ht="12" customHeight="1" x14ac:dyDescent="0.2">
      <c r="A10" s="180"/>
      <c r="B10" s="181" t="str">
        <f t="shared" si="29"/>
        <v/>
      </c>
      <c r="C10" s="838" t="str">
        <f t="shared" si="7"/>
        <v/>
      </c>
      <c r="D10" s="182" t="str">
        <f t="shared" si="8"/>
        <v/>
      </c>
      <c r="E10" s="183">
        <v>3</v>
      </c>
      <c r="F10" s="186" t="s">
        <v>523</v>
      </c>
      <c r="G10" s="186">
        <v>2.9</v>
      </c>
      <c r="H10" s="186">
        <v>0.57999999999999996</v>
      </c>
      <c r="I10" s="186">
        <v>98</v>
      </c>
      <c r="J10" s="186">
        <v>2.86</v>
      </c>
      <c r="K10" s="396">
        <v>0.61</v>
      </c>
      <c r="L10" s="186">
        <v>99</v>
      </c>
      <c r="M10" s="186" t="s">
        <v>532</v>
      </c>
      <c r="N10" s="579">
        <f t="shared" si="30"/>
        <v>-4.0000000000000036E-2</v>
      </c>
      <c r="O10" s="579">
        <f t="shared" si="31"/>
        <v>0.59526593927549598</v>
      </c>
      <c r="P10" s="189">
        <f t="shared" si="32"/>
        <v>7.1949374435088722E-3</v>
      </c>
      <c r="Q10" s="194"/>
      <c r="R10" s="397">
        <f t="shared" si="9"/>
        <v>0.16728821907031571</v>
      </c>
      <c r="S10" s="192"/>
      <c r="T10" s="193">
        <f t="shared" si="10"/>
        <v>14.493365265739184</v>
      </c>
      <c r="U10" s="398"/>
      <c r="V10" s="105">
        <f t="shared" si="5"/>
        <v>9.5E-4</v>
      </c>
      <c r="W10" s="90"/>
      <c r="X10" s="90"/>
      <c r="Y10" s="90"/>
      <c r="Z10" s="90"/>
      <c r="AA10" s="90"/>
      <c r="AB10" s="90"/>
      <c r="AC10" s="90"/>
      <c r="AD10" s="90"/>
      <c r="AE10" s="90"/>
      <c r="AF10" s="87">
        <f t="shared" si="6"/>
        <v>9.5E-4</v>
      </c>
      <c r="AG10" s="399" t="s">
        <v>339</v>
      </c>
      <c r="AH10" s="400">
        <f t="shared" si="33"/>
        <v>-0.20728821907031575</v>
      </c>
      <c r="AI10" s="197" t="s">
        <v>261</v>
      </c>
      <c r="AJ10" s="400">
        <f t="shared" si="34"/>
        <v>0.12728821907031568</v>
      </c>
      <c r="AK10" s="401" t="s">
        <v>259</v>
      </c>
      <c r="AV10" s="314"/>
      <c r="BG10" s="94" t="str">
        <f t="shared" si="35"/>
        <v>zzzzzzzzzzzz</v>
      </c>
      <c r="BH10" s="95" t="str">
        <f t="shared" si="36"/>
        <v>zzzzzzzzzzzz</v>
      </c>
      <c r="BI10" s="290">
        <f t="shared" ref="BI10:BI37" si="49">IF(AND($BX$5,M10="",G10&lt;&gt;"",H10&lt;&gt;"",I10&gt;1,J10&lt;&gt;"",K10&lt;&gt;"",L10&gt;1),"zzzzzzzzzzzz",-999999999999)</f>
        <v>-999999999999</v>
      </c>
      <c r="BJ10" s="402" t="s">
        <v>447</v>
      </c>
      <c r="BK10" s="113">
        <f>POWER(10,INT(LOG10(BK9)))</f>
        <v>0.1</v>
      </c>
      <c r="BL10" s="106">
        <f>IF(AND($CJ$2,$BX$5),$J$41,NA())</f>
        <v>0.21663309576896628</v>
      </c>
      <c r="BM10" s="113">
        <v>34</v>
      </c>
      <c r="BN10" s="408">
        <f>IF(BN12&lt;&gt;"",CD5*BN12,"")</f>
        <v>0.14313364232284589</v>
      </c>
      <c r="BQ10" s="404">
        <f t="shared" si="37"/>
        <v>-999</v>
      </c>
      <c r="BR10" s="405">
        <f t="shared" si="38"/>
        <v>-999</v>
      </c>
      <c r="BS10" s="290">
        <f t="shared" si="39"/>
        <v>13.33589223447766</v>
      </c>
      <c r="BT10" s="113">
        <v>3</v>
      </c>
      <c r="BU10" s="95" t="b">
        <f t="shared" si="40"/>
        <v>1</v>
      </c>
      <c r="BV10" s="406">
        <f t="shared" si="11"/>
        <v>1</v>
      </c>
      <c r="BW10" s="90">
        <f t="shared" si="41"/>
        <v>-4.0000000000000036E-2</v>
      </c>
      <c r="BX10" s="90">
        <f t="shared" si="12"/>
        <v>99</v>
      </c>
      <c r="BY10" s="201">
        <f t="shared" si="42"/>
        <v>-0.47157033824108741</v>
      </c>
      <c r="BZ10" s="90" t="e">
        <f t="shared" si="43"/>
        <v>#N/A</v>
      </c>
      <c r="CA10" s="201" t="e">
        <f t="shared" si="44"/>
        <v>#N/A</v>
      </c>
      <c r="CB10" s="90">
        <f t="shared" si="13"/>
        <v>0.16728821907031571</v>
      </c>
      <c r="CC10" s="127">
        <f t="shared" si="14"/>
        <v>36.465800000000002</v>
      </c>
      <c r="CD10" s="127">
        <f t="shared" si="15"/>
        <v>98</v>
      </c>
      <c r="CE10" s="90">
        <f t="shared" si="16"/>
        <v>138.98661494300828</v>
      </c>
      <c r="CF10" s="90">
        <f t="shared" si="17"/>
        <v>81.395568129526723</v>
      </c>
      <c r="CG10" s="90">
        <f t="shared" si="45"/>
        <v>-5.5594645977203356</v>
      </c>
      <c r="CH10" s="90">
        <f t="shared" si="46"/>
        <v>19317.279133316053</v>
      </c>
      <c r="CI10" s="90">
        <f t="shared" si="47"/>
        <v>0.22237858390881365</v>
      </c>
      <c r="CJ10" s="90">
        <f t="shared" si="48"/>
        <v>1.2285681186089591E-2</v>
      </c>
      <c r="CK10" s="90">
        <f t="shared" si="18"/>
        <v>81.395568129526723</v>
      </c>
      <c r="CL10" s="90">
        <f t="shared" si="19"/>
        <v>-3.2558227251810719</v>
      </c>
      <c r="CM10" s="106" t="e">
        <f t="shared" si="20"/>
        <v>#N/A</v>
      </c>
      <c r="CN10" s="90" t="e">
        <f t="shared" si="21"/>
        <v>#N/A</v>
      </c>
      <c r="CO10" s="90" t="e">
        <f t="shared" si="22"/>
        <v>#N/A</v>
      </c>
      <c r="CP10" s="90" t="e">
        <f t="shared" si="23"/>
        <v>#N/A</v>
      </c>
      <c r="CQ10" s="90" t="e">
        <f t="shared" si="24"/>
        <v>#N/A</v>
      </c>
      <c r="CR10" s="90" t="e">
        <f t="shared" si="25"/>
        <v>#N/A</v>
      </c>
      <c r="CS10" s="90" t="e">
        <f t="shared" si="26"/>
        <v>#N/A</v>
      </c>
      <c r="CT10" s="90" t="e">
        <f t="shared" si="27"/>
        <v>#N/A</v>
      </c>
      <c r="CU10" s="90" t="e">
        <f t="shared" si="28"/>
        <v>#N/A</v>
      </c>
      <c r="CV10" s="106">
        <v>3</v>
      </c>
      <c r="CW10" s="90"/>
      <c r="CX10" s="102"/>
      <c r="CY10" s="102"/>
      <c r="CZ10" s="102"/>
      <c r="DA10" s="102"/>
      <c r="DB10" s="102"/>
      <c r="DC10" s="102"/>
      <c r="DD10" s="102"/>
      <c r="DE10" s="102"/>
      <c r="DF10" s="102"/>
      <c r="DG10" s="102"/>
      <c r="DH10" s="102"/>
      <c r="DI10" s="409" t="s">
        <v>305</v>
      </c>
      <c r="DJ10" s="80" t="s">
        <v>432</v>
      </c>
      <c r="DK10" s="80" t="s">
        <v>427</v>
      </c>
      <c r="DL10" s="79" t="s">
        <v>428</v>
      </c>
      <c r="DM10" s="80" t="s">
        <v>264</v>
      </c>
      <c r="DN10" s="80" t="s">
        <v>263</v>
      </c>
      <c r="DO10" s="410" t="s">
        <v>306</v>
      </c>
      <c r="DP10" s="409" t="s">
        <v>432</v>
      </c>
      <c r="DQ10" s="80" t="s">
        <v>430</v>
      </c>
      <c r="DR10" s="80" t="s">
        <v>264</v>
      </c>
      <c r="DS10" s="80" t="s">
        <v>263</v>
      </c>
      <c r="DT10" s="410" t="s">
        <v>306</v>
      </c>
      <c r="DU10" s="409" t="s">
        <v>432</v>
      </c>
      <c r="DV10" s="80" t="s">
        <v>436</v>
      </c>
      <c r="DW10" s="80" t="s">
        <v>264</v>
      </c>
      <c r="DX10" s="80" t="s">
        <v>263</v>
      </c>
      <c r="DY10" s="410" t="s">
        <v>306</v>
      </c>
      <c r="DZ10" s="296">
        <v>12</v>
      </c>
      <c r="EA10" s="283">
        <v>18.0625</v>
      </c>
      <c r="EB10" s="354">
        <f t="shared" si="0"/>
        <v>20.55125</v>
      </c>
      <c r="EC10" s="290">
        <f t="shared" si="1"/>
        <v>96.471191915981933</v>
      </c>
      <c r="ED10" s="290">
        <f t="shared" si="2"/>
        <v>305.276562730362</v>
      </c>
      <c r="EE10" s="290">
        <f t="shared" si="3"/>
        <v>77.573165645528178</v>
      </c>
    </row>
    <row r="11" spans="1:135" ht="12" customHeight="1" x14ac:dyDescent="0.2">
      <c r="A11" s="180"/>
      <c r="B11" s="181" t="str">
        <f t="shared" si="29"/>
        <v/>
      </c>
      <c r="C11" s="838" t="str">
        <f t="shared" si="7"/>
        <v/>
      </c>
      <c r="D11" s="182" t="str">
        <f t="shared" si="8"/>
        <v/>
      </c>
      <c r="E11" s="183">
        <v>4</v>
      </c>
      <c r="F11" s="186" t="s">
        <v>524</v>
      </c>
      <c r="G11" s="186">
        <v>2.62</v>
      </c>
      <c r="H11" s="186">
        <v>0.54</v>
      </c>
      <c r="I11" s="186">
        <v>42</v>
      </c>
      <c r="J11" s="186">
        <v>2.85</v>
      </c>
      <c r="K11" s="396">
        <v>0.56999999999999995</v>
      </c>
      <c r="L11" s="186">
        <v>33</v>
      </c>
      <c r="M11" s="186" t="s">
        <v>532</v>
      </c>
      <c r="N11" s="579">
        <f t="shared" si="30"/>
        <v>0.22999999999999998</v>
      </c>
      <c r="O11" s="579">
        <f t="shared" si="31"/>
        <v>0.5533509377185265</v>
      </c>
      <c r="P11" s="189">
        <f t="shared" si="32"/>
        <v>1.6569115815691156E-2</v>
      </c>
      <c r="Q11" s="194"/>
      <c r="R11" s="397">
        <f t="shared" si="9"/>
        <v>0.25654073767646002</v>
      </c>
      <c r="S11" s="192"/>
      <c r="T11" s="193">
        <f t="shared" si="10"/>
        <v>6.2935679605887245</v>
      </c>
      <c r="U11" s="398"/>
      <c r="V11" s="105">
        <f t="shared" si="5"/>
        <v>9.5E-4</v>
      </c>
      <c r="W11" s="90"/>
      <c r="X11" s="90"/>
      <c r="Y11" s="90"/>
      <c r="Z11" s="90"/>
      <c r="AA11" s="90"/>
      <c r="AB11" s="90"/>
      <c r="AC11" s="90"/>
      <c r="AD11" s="90"/>
      <c r="AE11" s="90"/>
      <c r="AF11" s="87">
        <f t="shared" si="6"/>
        <v>9.5E-4</v>
      </c>
      <c r="AG11" s="399" t="s">
        <v>339</v>
      </c>
      <c r="AH11" s="400">
        <f t="shared" si="33"/>
        <v>-2.6540737676460036E-2</v>
      </c>
      <c r="AI11" s="197" t="s">
        <v>261</v>
      </c>
      <c r="AJ11" s="400">
        <f t="shared" si="34"/>
        <v>0.48654073767646</v>
      </c>
      <c r="AK11" s="401" t="s">
        <v>259</v>
      </c>
      <c r="AV11" s="314"/>
      <c r="BG11" s="94" t="str">
        <f t="shared" si="35"/>
        <v>zzzzzzzzzzzz</v>
      </c>
      <c r="BH11" s="95" t="str">
        <f t="shared" si="36"/>
        <v>zzzzzzzzzzzz</v>
      </c>
      <c r="BI11" s="290">
        <f t="shared" si="49"/>
        <v>-999999999999</v>
      </c>
      <c r="BJ11" s="402" t="s">
        <v>448</v>
      </c>
      <c r="BK11" s="113">
        <f>ROUNDUP(BK9/BK10,0)</f>
        <v>9</v>
      </c>
      <c r="BL11" s="106">
        <f>IF(AND($CJ$2,$BX$5),$J$41,NA())</f>
        <v>0.21663309576896628</v>
      </c>
      <c r="BM11" s="113">
        <v>39</v>
      </c>
      <c r="BN11" s="403" t="s">
        <v>464</v>
      </c>
      <c r="BQ11" s="404">
        <f t="shared" si="37"/>
        <v>-999</v>
      </c>
      <c r="BR11" s="405">
        <f t="shared" si="38"/>
        <v>-999</v>
      </c>
      <c r="BS11" s="290">
        <f t="shared" si="39"/>
        <v>7.5642466602360754</v>
      </c>
      <c r="BT11" s="113">
        <v>4</v>
      </c>
      <c r="BU11" s="95" t="b">
        <f t="shared" si="40"/>
        <v>1</v>
      </c>
      <c r="BV11" s="406">
        <f t="shared" si="11"/>
        <v>1</v>
      </c>
      <c r="BW11" s="90">
        <f t="shared" si="41"/>
        <v>0.22999999999999998</v>
      </c>
      <c r="BX11" s="90">
        <f t="shared" si="12"/>
        <v>33</v>
      </c>
      <c r="BY11" s="201">
        <f t="shared" si="42"/>
        <v>1.7868091559507837</v>
      </c>
      <c r="BZ11" s="90" t="e">
        <f t="shared" si="43"/>
        <v>#N/A</v>
      </c>
      <c r="CA11" s="201" t="e">
        <f t="shared" si="44"/>
        <v>#N/A</v>
      </c>
      <c r="CB11" s="90">
        <f t="shared" si="13"/>
        <v>0.25654073767646002</v>
      </c>
      <c r="CC11" s="127">
        <f t="shared" si="14"/>
        <v>10.396799999999999</v>
      </c>
      <c r="CD11" s="127">
        <f t="shared" si="15"/>
        <v>32</v>
      </c>
      <c r="CE11" s="90">
        <f t="shared" si="16"/>
        <v>60.353250657647507</v>
      </c>
      <c r="CF11" s="90">
        <f t="shared" si="17"/>
        <v>46.16835106015732</v>
      </c>
      <c r="CG11" s="90">
        <f t="shared" si="45"/>
        <v>13.881247651258926</v>
      </c>
      <c r="CH11" s="90">
        <f t="shared" si="46"/>
        <v>3642.5148649448292</v>
      </c>
      <c r="CI11" s="90">
        <f t="shared" si="47"/>
        <v>3.1926869597895524</v>
      </c>
      <c r="CJ11" s="90">
        <f t="shared" si="48"/>
        <v>2.1659859558271877E-2</v>
      </c>
      <c r="CK11" s="90">
        <f t="shared" si="18"/>
        <v>46.16835106015732</v>
      </c>
      <c r="CL11" s="90">
        <f t="shared" si="19"/>
        <v>10.618720743836183</v>
      </c>
      <c r="CM11" s="106" t="e">
        <f t="shared" si="20"/>
        <v>#N/A</v>
      </c>
      <c r="CN11" s="90" t="e">
        <f t="shared" si="21"/>
        <v>#N/A</v>
      </c>
      <c r="CO11" s="90" t="e">
        <f t="shared" si="22"/>
        <v>#N/A</v>
      </c>
      <c r="CP11" s="90" t="e">
        <f t="shared" si="23"/>
        <v>#N/A</v>
      </c>
      <c r="CQ11" s="90" t="e">
        <f t="shared" si="24"/>
        <v>#N/A</v>
      </c>
      <c r="CR11" s="90" t="e">
        <f t="shared" si="25"/>
        <v>#N/A</v>
      </c>
      <c r="CS11" s="90" t="e">
        <f t="shared" si="26"/>
        <v>#N/A</v>
      </c>
      <c r="CT11" s="90" t="e">
        <f t="shared" si="27"/>
        <v>#N/A</v>
      </c>
      <c r="CU11" s="90" t="e">
        <f t="shared" si="28"/>
        <v>#N/A</v>
      </c>
      <c r="CV11" s="106">
        <v>4</v>
      </c>
      <c r="CW11" s="90"/>
      <c r="CX11" s="102"/>
      <c r="CY11" s="102"/>
      <c r="CZ11" s="102"/>
      <c r="DA11" s="102"/>
      <c r="DB11" s="102"/>
      <c r="DC11" s="102"/>
      <c r="DD11" s="102"/>
      <c r="DE11" s="102"/>
      <c r="DF11" s="102"/>
      <c r="DG11" s="102"/>
      <c r="DH11" s="102"/>
      <c r="DI11" s="307">
        <v>0</v>
      </c>
      <c r="DJ11" s="90">
        <f t="shared" ref="DJ11:DJ74" si="50">1-ABS($BZ$38-DM11)/$CB$39</f>
        <v>0</v>
      </c>
      <c r="DK11" s="90">
        <f>IF(AND($BX$5,$CG$4,$CJ$2),DL5,NA())</f>
        <v>1.4982434435436218E-2</v>
      </c>
      <c r="DL11" s="90" t="e">
        <f>IF(AND(NOT($BX$5),$CG$4),DL5,NA())</f>
        <v>#N/A</v>
      </c>
      <c r="DM11" s="90">
        <f>IF($CG$4,DL5,NA())</f>
        <v>1.4982434435436218E-2</v>
      </c>
      <c r="DN11" s="90">
        <f>IF($CG$4,CA38,NA())</f>
        <v>32</v>
      </c>
      <c r="DO11" s="308">
        <f t="shared" ref="DO11:DO74" si="51">MAX($DL$3*DJ11-$DL$9,0)</f>
        <v>0</v>
      </c>
      <c r="DP11" s="307">
        <f>1-ABS($BZ$75-DR11)/$CB$76</f>
        <v>0</v>
      </c>
      <c r="DQ11" s="90">
        <f>IF(AND($BX$5,$CG$4),DQ5,NA())</f>
        <v>-3.0854640124536627E-2</v>
      </c>
      <c r="DR11" s="90">
        <f>IF($CG$4,DQ5,NA())</f>
        <v>-3.0854640124536627E-2</v>
      </c>
      <c r="DS11" s="90">
        <f>IF(IF($BX$5,$CG$4),CA75,NA())</f>
        <v>33</v>
      </c>
      <c r="DT11" s="308">
        <f>MAX($DS$3*DP11-$DQ$9,0)</f>
        <v>0</v>
      </c>
      <c r="DU11" s="307">
        <f>1-ABS($BZ$112-DW11)/$CB$113</f>
        <v>0</v>
      </c>
      <c r="DV11" s="90">
        <f>IF(AND($BX$5,$CG$4),DV5,NA())</f>
        <v>8.8253150933166102E-2</v>
      </c>
      <c r="DW11" s="90">
        <f>IF($CG$4,DV5,NA())</f>
        <v>8.8253150933166102E-2</v>
      </c>
      <c r="DX11" s="90">
        <f>IF(IF($BX$5,$CG$4),CA112,NA())</f>
        <v>34</v>
      </c>
      <c r="DY11" s="308">
        <f>MAX($DX$3*DU11-$DV$9,0)</f>
        <v>0</v>
      </c>
      <c r="DZ11" s="297">
        <v>13</v>
      </c>
      <c r="EA11" s="287">
        <v>23.04</v>
      </c>
      <c r="EB11" s="354">
        <f t="shared" si="0"/>
        <v>25.831249999999997</v>
      </c>
      <c r="EC11" s="290">
        <f t="shared" si="1"/>
        <v>121.25644309614782</v>
      </c>
      <c r="ED11" s="290">
        <f t="shared" si="2"/>
        <v>383.70781392998788</v>
      </c>
      <c r="EE11" s="290">
        <f t="shared" si="3"/>
        <v>97.503160882235846</v>
      </c>
    </row>
    <row r="12" spans="1:135" ht="12" customHeight="1" x14ac:dyDescent="0.2">
      <c r="A12" s="180"/>
      <c r="B12" s="181" t="str">
        <f t="shared" si="29"/>
        <v/>
      </c>
      <c r="C12" s="838" t="str">
        <f t="shared" si="7"/>
        <v/>
      </c>
      <c r="D12" s="182" t="str">
        <f t="shared" si="8"/>
        <v/>
      </c>
      <c r="E12" s="183">
        <v>5</v>
      </c>
      <c r="F12" s="186" t="s">
        <v>525</v>
      </c>
      <c r="G12" s="186">
        <v>2.96</v>
      </c>
      <c r="H12" s="186">
        <v>0.36</v>
      </c>
      <c r="I12" s="186">
        <v>24</v>
      </c>
      <c r="J12" s="186">
        <v>3.07</v>
      </c>
      <c r="K12" s="396">
        <v>0.55000000000000004</v>
      </c>
      <c r="L12" s="186">
        <v>21</v>
      </c>
      <c r="M12" s="186" t="s">
        <v>532</v>
      </c>
      <c r="N12" s="579">
        <f t="shared" si="30"/>
        <v>0.10999999999999988</v>
      </c>
      <c r="O12" s="579">
        <f t="shared" si="31"/>
        <v>0.4582778683846328</v>
      </c>
      <c r="P12" s="189">
        <f t="shared" si="32"/>
        <v>1.8751661129568106E-2</v>
      </c>
      <c r="Q12" s="194"/>
      <c r="R12" s="397">
        <f t="shared" si="9"/>
        <v>0.27615918441766368</v>
      </c>
      <c r="S12" s="192"/>
      <c r="T12" s="193">
        <f t="shared" si="10"/>
        <v>5.5610463367689693</v>
      </c>
      <c r="U12" s="398"/>
      <c r="V12" s="105">
        <f t="shared" si="5"/>
        <v>9.5E-4</v>
      </c>
      <c r="W12" s="90"/>
      <c r="X12" s="90"/>
      <c r="Y12" s="90"/>
      <c r="Z12" s="90"/>
      <c r="AA12" s="90"/>
      <c r="AB12" s="90"/>
      <c r="AC12" s="90"/>
      <c r="AD12" s="90"/>
      <c r="AE12" s="90"/>
      <c r="AF12" s="87">
        <f t="shared" si="6"/>
        <v>9.5E-4</v>
      </c>
      <c r="AG12" s="399" t="s">
        <v>339</v>
      </c>
      <c r="AH12" s="400">
        <f t="shared" si="33"/>
        <v>-0.16615918441766381</v>
      </c>
      <c r="AI12" s="197" t="s">
        <v>261</v>
      </c>
      <c r="AJ12" s="400">
        <f t="shared" si="34"/>
        <v>0.38615918441766356</v>
      </c>
      <c r="AK12" s="401" t="s">
        <v>259</v>
      </c>
      <c r="AV12" s="314"/>
      <c r="BG12" s="94" t="str">
        <f t="shared" si="35"/>
        <v>zzzzzzzzzzzz</v>
      </c>
      <c r="BH12" s="95" t="str">
        <f t="shared" si="36"/>
        <v>zzzzzzzzzzzz</v>
      </c>
      <c r="BI12" s="290">
        <f t="shared" si="49"/>
        <v>-999999999999</v>
      </c>
      <c r="BJ12" s="402" t="s">
        <v>449</v>
      </c>
      <c r="BK12" s="113">
        <f>CHOOSE(BK11,10,5,5,2,2,2,2,1,1,1)</f>
        <v>1</v>
      </c>
      <c r="BL12" s="106">
        <f>IF(AND($CJ$2,$BX$5),$J$40,NA())</f>
        <v>3.2436981189514734E-2</v>
      </c>
      <c r="BM12" s="113">
        <v>33</v>
      </c>
      <c r="BN12" s="124">
        <f>IF(AND(P40&lt;&gt;"",P41&lt;&gt;""),SQRT(P40+P41),"")</f>
        <v>7.3028710451756171E-2</v>
      </c>
      <c r="BQ12" s="404">
        <f t="shared" si="37"/>
        <v>-999</v>
      </c>
      <c r="BR12" s="405">
        <f t="shared" si="38"/>
        <v>-999</v>
      </c>
      <c r="BS12" s="290">
        <f t="shared" si="39"/>
        <v>6.8718118496607081</v>
      </c>
      <c r="BT12" s="113">
        <v>5</v>
      </c>
      <c r="BU12" s="95" t="b">
        <f t="shared" si="40"/>
        <v>1</v>
      </c>
      <c r="BV12" s="406">
        <f t="shared" si="11"/>
        <v>1</v>
      </c>
      <c r="BW12" s="90">
        <f t="shared" si="41"/>
        <v>0.10999999999999988</v>
      </c>
      <c r="BX12" s="90">
        <f t="shared" si="12"/>
        <v>21</v>
      </c>
      <c r="BY12" s="201">
        <f t="shared" si="42"/>
        <v>0.80329083525809908</v>
      </c>
      <c r="BZ12" s="90" t="e">
        <f t="shared" si="43"/>
        <v>#N/A</v>
      </c>
      <c r="CA12" s="201" t="e">
        <f t="shared" si="44"/>
        <v>#N/A</v>
      </c>
      <c r="CB12" s="90">
        <f t="shared" si="13"/>
        <v>0.27615918441766368</v>
      </c>
      <c r="CC12" s="127">
        <f t="shared" si="14"/>
        <v>6.0500000000000007</v>
      </c>
      <c r="CD12" s="127">
        <f t="shared" si="15"/>
        <v>20</v>
      </c>
      <c r="CE12" s="90">
        <f t="shared" si="16"/>
        <v>53.328608761128585</v>
      </c>
      <c r="CF12" s="90">
        <f t="shared" si="17"/>
        <v>41.942077796360898</v>
      </c>
      <c r="CG12" s="90">
        <f t="shared" si="45"/>
        <v>5.8661469637241375</v>
      </c>
      <c r="CH12" s="90">
        <f t="shared" si="46"/>
        <v>2843.9405123975207</v>
      </c>
      <c r="CI12" s="90">
        <f t="shared" si="47"/>
        <v>0.64527616600965443</v>
      </c>
      <c r="CJ12" s="90">
        <f t="shared" si="48"/>
        <v>2.3842404872148823E-2</v>
      </c>
      <c r="CK12" s="90">
        <f t="shared" si="18"/>
        <v>41.942077796360898</v>
      </c>
      <c r="CL12" s="90">
        <f t="shared" si="19"/>
        <v>4.6136285575996938</v>
      </c>
      <c r="CM12" s="106" t="e">
        <f t="shared" si="20"/>
        <v>#N/A</v>
      </c>
      <c r="CN12" s="90" t="e">
        <f t="shared" si="21"/>
        <v>#N/A</v>
      </c>
      <c r="CO12" s="90" t="e">
        <f t="shared" si="22"/>
        <v>#N/A</v>
      </c>
      <c r="CP12" s="90" t="e">
        <f t="shared" si="23"/>
        <v>#N/A</v>
      </c>
      <c r="CQ12" s="90" t="e">
        <f t="shared" si="24"/>
        <v>#N/A</v>
      </c>
      <c r="CR12" s="90" t="e">
        <f t="shared" si="25"/>
        <v>#N/A</v>
      </c>
      <c r="CS12" s="90" t="e">
        <f t="shared" si="26"/>
        <v>#N/A</v>
      </c>
      <c r="CT12" s="90" t="e">
        <f t="shared" si="27"/>
        <v>#N/A</v>
      </c>
      <c r="CU12" s="90" t="e">
        <f t="shared" si="28"/>
        <v>#N/A</v>
      </c>
      <c r="CV12" s="106">
        <v>5</v>
      </c>
      <c r="CW12" s="90"/>
      <c r="CX12" s="102"/>
      <c r="CY12" s="102"/>
      <c r="CZ12" s="102"/>
      <c r="DA12" s="102"/>
      <c r="DB12" s="102"/>
      <c r="DC12" s="102"/>
      <c r="DD12" s="102"/>
      <c r="DE12" s="102"/>
      <c r="DF12" s="102"/>
      <c r="DG12" s="102"/>
      <c r="DH12" s="102"/>
      <c r="DI12" s="307">
        <v>1</v>
      </c>
      <c r="DJ12" s="90">
        <f t="shared" si="50"/>
        <v>1.000000000000012E-2</v>
      </c>
      <c r="DK12" s="90">
        <f t="shared" ref="DK12:DK43" si="52">IF(AND($BX$5,$CG$4,$CJ$2),DM11+$DL$8,NA())</f>
        <v>1.5775773336530179E-2</v>
      </c>
      <c r="DL12" s="90" t="e">
        <f t="shared" ref="DL12:DL43" si="53">IF(AND(NOT($BX$5),$CG$4),DM11+$DL$8,NA())</f>
        <v>#N/A</v>
      </c>
      <c r="DM12" s="90">
        <f t="shared" ref="DM12:DM43" si="54">IF($CG$4,DM11+$DL$8,NA())</f>
        <v>1.5775773336530179E-2</v>
      </c>
      <c r="DN12" s="90">
        <f t="shared" ref="DN12:DN43" si="55">DN11</f>
        <v>32</v>
      </c>
      <c r="DO12" s="308">
        <f t="shared" si="51"/>
        <v>0</v>
      </c>
      <c r="DP12" s="307">
        <f>1-ABS($BZ$75-DR12)/$CB$76</f>
        <v>1.0000000000000009E-2</v>
      </c>
      <c r="DQ12" s="90">
        <f t="shared" ref="DQ12:DQ43" si="56">IF(AND($BX$5,$CG$4),DR11+$DQ$8,NA())</f>
        <v>-3.0221723911396114E-2</v>
      </c>
      <c r="DR12" s="90">
        <f t="shared" ref="DR12:DR43" si="57">IF($CG$4,DR11+$DQ$8,NA())</f>
        <v>-3.0221723911396114E-2</v>
      </c>
      <c r="DS12" s="90">
        <f>DS11</f>
        <v>33</v>
      </c>
      <c r="DT12" s="308">
        <f>MAX($DS$3*DP12-$DQ$9,0)</f>
        <v>0</v>
      </c>
      <c r="DU12" s="307">
        <f t="shared" ref="DU12:DU75" si="58">1-ABS($BZ$112-DW12)/$CB$113</f>
        <v>9.9999999999998979E-3</v>
      </c>
      <c r="DV12" s="90">
        <f t="shared" ref="DV12:DV43" si="59">IF(AND($BX$5,$CG$4),DW11+$DV$8,NA())</f>
        <v>8.9536950381524108E-2</v>
      </c>
      <c r="DW12" s="90">
        <f t="shared" ref="DW12:DW43" si="60">IF($CG$4,DW11+$DV$8,NA())</f>
        <v>8.9536950381524108E-2</v>
      </c>
      <c r="DX12" s="90">
        <f t="shared" ref="DX12:DX75" si="61">DX11</f>
        <v>34</v>
      </c>
      <c r="DY12" s="308">
        <f t="shared" ref="DY12:DY75" si="62">MAX($DX$3*DU12-$DV$9,0)</f>
        <v>0</v>
      </c>
      <c r="DZ12" s="300">
        <v>15</v>
      </c>
      <c r="EA12" s="289">
        <v>28.622499999999999</v>
      </c>
      <c r="EB12" s="411">
        <f>EA12</f>
        <v>28.622499999999999</v>
      </c>
      <c r="EC12" s="124">
        <f t="shared" si="1"/>
        <v>134.35906286066262</v>
      </c>
      <c r="ED12" s="124">
        <f t="shared" si="2"/>
        <v>425.17016807979013</v>
      </c>
      <c r="EE12" s="124">
        <f t="shared" si="3"/>
        <v>108.03906982247456</v>
      </c>
    </row>
    <row r="13" spans="1:135" ht="12" customHeight="1" x14ac:dyDescent="0.2">
      <c r="A13" s="180"/>
      <c r="B13" s="181" t="str">
        <f t="shared" si="29"/>
        <v/>
      </c>
      <c r="C13" s="838" t="str">
        <f t="shared" si="7"/>
        <v/>
      </c>
      <c r="D13" s="182" t="str">
        <f t="shared" si="8"/>
        <v/>
      </c>
      <c r="E13" s="183">
        <v>6</v>
      </c>
      <c r="F13" s="186" t="s">
        <v>526</v>
      </c>
      <c r="G13" s="186">
        <v>2.93</v>
      </c>
      <c r="H13" s="186">
        <v>0.6</v>
      </c>
      <c r="I13" s="186">
        <v>184</v>
      </c>
      <c r="J13" s="186">
        <v>2.89</v>
      </c>
      <c r="K13" s="396">
        <v>0.6</v>
      </c>
      <c r="L13" s="186">
        <v>184</v>
      </c>
      <c r="M13" s="186" t="s">
        <v>532</v>
      </c>
      <c r="N13" s="579">
        <f t="shared" si="30"/>
        <v>-4.0000000000000036E-2</v>
      </c>
      <c r="O13" s="579">
        <f t="shared" si="31"/>
        <v>0.6</v>
      </c>
      <c r="P13" s="189">
        <f t="shared" si="32"/>
        <v>3.913043478260869E-3</v>
      </c>
      <c r="Q13" s="194"/>
      <c r="R13" s="397">
        <f t="shared" si="9"/>
        <v>0.12301099692042901</v>
      </c>
      <c r="S13" s="192"/>
      <c r="T13" s="193">
        <f t="shared" si="10"/>
        <v>26.649041088412321</v>
      </c>
      <c r="U13" s="398"/>
      <c r="V13" s="105">
        <f t="shared" si="5"/>
        <v>9.5E-4</v>
      </c>
      <c r="W13" s="90"/>
      <c r="X13" s="90"/>
      <c r="Y13" s="90"/>
      <c r="Z13" s="90"/>
      <c r="AA13" s="90"/>
      <c r="AB13" s="90"/>
      <c r="AC13" s="90"/>
      <c r="AD13" s="90"/>
      <c r="AE13" s="90"/>
      <c r="AF13" s="87">
        <f t="shared" si="6"/>
        <v>9.5E-4</v>
      </c>
      <c r="AG13" s="399" t="s">
        <v>339</v>
      </c>
      <c r="AH13" s="400">
        <f t="shared" si="33"/>
        <v>-0.16301099692042903</v>
      </c>
      <c r="AI13" s="197" t="s">
        <v>261</v>
      </c>
      <c r="AJ13" s="400">
        <f t="shared" si="34"/>
        <v>8.3010996920428973E-2</v>
      </c>
      <c r="AK13" s="401" t="s">
        <v>259</v>
      </c>
      <c r="AV13" s="314"/>
      <c r="BG13" s="94" t="str">
        <f t="shared" si="35"/>
        <v>zzzzzzzzzzzz</v>
      </c>
      <c r="BH13" s="95" t="str">
        <f t="shared" si="36"/>
        <v>zzzzzzzzzzzz</v>
      </c>
      <c r="BI13" s="290">
        <f t="shared" si="49"/>
        <v>-999999999999</v>
      </c>
      <c r="BJ13" s="412" t="s">
        <v>450</v>
      </c>
      <c r="BK13" s="109">
        <f>BK10/BK12</f>
        <v>0.1</v>
      </c>
      <c r="BL13" s="207">
        <f>IF(AND($CJ$2,$BX$5),$J$40,NA())</f>
        <v>3.2436981189514734E-2</v>
      </c>
      <c r="BM13" s="109">
        <v>39</v>
      </c>
      <c r="BN13" s="109"/>
      <c r="BQ13" s="404">
        <f t="shared" si="37"/>
        <v>-999</v>
      </c>
      <c r="BR13" s="405">
        <f t="shared" si="38"/>
        <v>-999</v>
      </c>
      <c r="BS13" s="290">
        <f t="shared" si="39"/>
        <v>18.196844983807409</v>
      </c>
      <c r="BT13" s="113">
        <v>6</v>
      </c>
      <c r="BU13" s="95" t="b">
        <f t="shared" si="40"/>
        <v>1</v>
      </c>
      <c r="BV13" s="406">
        <f t="shared" si="11"/>
        <v>1</v>
      </c>
      <c r="BW13" s="90">
        <f t="shared" si="41"/>
        <v>-4.0000000000000036E-2</v>
      </c>
      <c r="BX13" s="90">
        <f t="shared" si="12"/>
        <v>184</v>
      </c>
      <c r="BY13" s="201">
        <f t="shared" si="42"/>
        <v>-0.63944420310836325</v>
      </c>
      <c r="BZ13" s="90" t="e">
        <f t="shared" si="43"/>
        <v>#N/A</v>
      </c>
      <c r="CA13" s="201" t="e">
        <f t="shared" si="44"/>
        <v>#N/A</v>
      </c>
      <c r="CB13" s="90">
        <f t="shared" si="13"/>
        <v>0.12301099692042901</v>
      </c>
      <c r="CC13" s="127">
        <f t="shared" si="14"/>
        <v>65.88</v>
      </c>
      <c r="CD13" s="127">
        <f t="shared" si="15"/>
        <v>183</v>
      </c>
      <c r="CE13" s="90">
        <f t="shared" si="16"/>
        <v>255.5555555555556</v>
      </c>
      <c r="CF13" s="90">
        <f t="shared" si="17"/>
        <v>111.06437496493055</v>
      </c>
      <c r="CG13" s="90">
        <f t="shared" si="45"/>
        <v>-10.222222222222234</v>
      </c>
      <c r="CH13" s="90">
        <f t="shared" si="46"/>
        <v>65308.641975308667</v>
      </c>
      <c r="CI13" s="90">
        <f t="shared" si="47"/>
        <v>0.40888888888888969</v>
      </c>
      <c r="CJ13" s="90">
        <f t="shared" si="48"/>
        <v>9.0037872208415873E-3</v>
      </c>
      <c r="CK13" s="90">
        <f t="shared" si="18"/>
        <v>111.06437496493055</v>
      </c>
      <c r="CL13" s="90">
        <f t="shared" si="19"/>
        <v>-4.4425749985972258</v>
      </c>
      <c r="CM13" s="106" t="e">
        <f t="shared" si="20"/>
        <v>#N/A</v>
      </c>
      <c r="CN13" s="90" t="e">
        <f t="shared" si="21"/>
        <v>#N/A</v>
      </c>
      <c r="CO13" s="90" t="e">
        <f t="shared" si="22"/>
        <v>#N/A</v>
      </c>
      <c r="CP13" s="90" t="e">
        <f t="shared" si="23"/>
        <v>#N/A</v>
      </c>
      <c r="CQ13" s="90" t="e">
        <f t="shared" si="24"/>
        <v>#N/A</v>
      </c>
      <c r="CR13" s="90" t="e">
        <f t="shared" si="25"/>
        <v>#N/A</v>
      </c>
      <c r="CS13" s="90" t="e">
        <f t="shared" si="26"/>
        <v>#N/A</v>
      </c>
      <c r="CT13" s="90" t="e">
        <f t="shared" si="27"/>
        <v>#N/A</v>
      </c>
      <c r="CU13" s="90" t="e">
        <f t="shared" si="28"/>
        <v>#N/A</v>
      </c>
      <c r="CV13" s="106">
        <v>6</v>
      </c>
      <c r="CW13" s="90"/>
      <c r="CX13" s="102"/>
      <c r="CY13" s="102"/>
      <c r="CZ13" s="102"/>
      <c r="DA13" s="102"/>
      <c r="DB13" s="102"/>
      <c r="DC13" s="102"/>
      <c r="DD13" s="102"/>
      <c r="DE13" s="102"/>
      <c r="DF13" s="102"/>
      <c r="DG13" s="102"/>
      <c r="DH13" s="102"/>
      <c r="DI13" s="307">
        <v>2</v>
      </c>
      <c r="DJ13" s="90">
        <f t="shared" si="50"/>
        <v>2.0000000000000018E-2</v>
      </c>
      <c r="DK13" s="90">
        <f t="shared" si="52"/>
        <v>1.656911223762414E-2</v>
      </c>
      <c r="DL13" s="90" t="e">
        <f t="shared" si="53"/>
        <v>#N/A</v>
      </c>
      <c r="DM13" s="90">
        <f t="shared" si="54"/>
        <v>1.656911223762414E-2</v>
      </c>
      <c r="DN13" s="90">
        <f t="shared" si="55"/>
        <v>32</v>
      </c>
      <c r="DO13" s="308">
        <f t="shared" si="51"/>
        <v>0</v>
      </c>
      <c r="DP13" s="307">
        <f t="shared" ref="DP13:DP76" si="63">1-ABS($BZ$75-DR13)/$CB$76</f>
        <v>2.0000000000000018E-2</v>
      </c>
      <c r="DQ13" s="90">
        <f t="shared" si="56"/>
        <v>-2.9588807698255601E-2</v>
      </c>
      <c r="DR13" s="90">
        <f t="shared" si="57"/>
        <v>-2.9588807698255601E-2</v>
      </c>
      <c r="DS13" s="90">
        <f t="shared" ref="DS13:DS76" si="64">DS12</f>
        <v>33</v>
      </c>
      <c r="DT13" s="308">
        <f t="shared" ref="DT13:DT76" si="65">MAX($DS$3*DP13-$DQ$9,0)</f>
        <v>0</v>
      </c>
      <c r="DU13" s="307">
        <f t="shared" si="58"/>
        <v>2.0000000000000018E-2</v>
      </c>
      <c r="DV13" s="90">
        <f t="shared" si="59"/>
        <v>9.0820749829882114E-2</v>
      </c>
      <c r="DW13" s="90">
        <f t="shared" si="60"/>
        <v>9.0820749829882114E-2</v>
      </c>
      <c r="DX13" s="90">
        <f t="shared" si="61"/>
        <v>34</v>
      </c>
      <c r="DY13" s="308">
        <f t="shared" si="62"/>
        <v>0</v>
      </c>
    </row>
    <row r="14" spans="1:135" ht="12" customHeight="1" x14ac:dyDescent="0.2">
      <c r="A14" s="180"/>
      <c r="B14" s="181" t="str">
        <f t="shared" si="29"/>
        <v/>
      </c>
      <c r="C14" s="838" t="str">
        <f t="shared" si="7"/>
        <v/>
      </c>
      <c r="D14" s="182" t="str">
        <f t="shared" si="8"/>
        <v/>
      </c>
      <c r="E14" s="183">
        <v>7</v>
      </c>
      <c r="F14" s="186" t="s">
        <v>527</v>
      </c>
      <c r="G14" s="186">
        <v>2.86</v>
      </c>
      <c r="H14" s="186">
        <v>0.59</v>
      </c>
      <c r="I14" s="186">
        <v>274</v>
      </c>
      <c r="J14" s="186">
        <v>2.91</v>
      </c>
      <c r="K14" s="396">
        <v>0.52</v>
      </c>
      <c r="L14" s="186">
        <v>255</v>
      </c>
      <c r="M14" s="186" t="s">
        <v>532</v>
      </c>
      <c r="N14" s="579">
        <f t="shared" si="30"/>
        <v>5.0000000000000266E-2</v>
      </c>
      <c r="O14" s="579">
        <f t="shared" si="31"/>
        <v>0.55736044364183435</v>
      </c>
      <c r="P14" s="189">
        <f t="shared" si="32"/>
        <v>2.351999446518867E-3</v>
      </c>
      <c r="Q14" s="194"/>
      <c r="R14" s="397">
        <f t="shared" si="9"/>
        <v>9.5271993543603634E-2</v>
      </c>
      <c r="S14" s="192"/>
      <c r="T14" s="193">
        <f t="shared" si="10"/>
        <v>44.336258916751959</v>
      </c>
      <c r="U14" s="398"/>
      <c r="V14" s="105">
        <f t="shared" si="5"/>
        <v>9.5E-4</v>
      </c>
      <c r="W14" s="90"/>
      <c r="X14" s="90"/>
      <c r="Y14" s="90"/>
      <c r="Z14" s="90"/>
      <c r="AA14" s="90"/>
      <c r="AB14" s="90"/>
      <c r="AC14" s="90"/>
      <c r="AD14" s="90"/>
      <c r="AE14" s="90"/>
      <c r="AF14" s="87">
        <f t="shared" si="6"/>
        <v>9.5E-4</v>
      </c>
      <c r="AG14" s="399" t="s">
        <v>339</v>
      </c>
      <c r="AH14" s="400">
        <f t="shared" si="33"/>
        <v>-4.5271993543603367E-2</v>
      </c>
      <c r="AI14" s="197" t="s">
        <v>261</v>
      </c>
      <c r="AJ14" s="400">
        <f t="shared" si="34"/>
        <v>0.1452719935436039</v>
      </c>
      <c r="AK14" s="401" t="s">
        <v>259</v>
      </c>
      <c r="AV14" s="314"/>
      <c r="BG14" s="94" t="str">
        <f t="shared" si="35"/>
        <v>zzzzzzzzzzzz</v>
      </c>
      <c r="BH14" s="95" t="str">
        <f t="shared" si="36"/>
        <v>zzzzzzzzzzzz</v>
      </c>
      <c r="BI14" s="290">
        <f t="shared" si="49"/>
        <v>-999999999999</v>
      </c>
      <c r="BJ14" s="413"/>
      <c r="BK14" s="414" t="s">
        <v>451</v>
      </c>
      <c r="BL14" s="94"/>
      <c r="BM14" s="94"/>
      <c r="BN14" s="95">
        <v>39</v>
      </c>
      <c r="BO14" s="415" t="s">
        <v>458</v>
      </c>
      <c r="BP14" s="416" t="s">
        <v>335</v>
      </c>
      <c r="BQ14" s="404">
        <f t="shared" si="37"/>
        <v>-999</v>
      </c>
      <c r="BR14" s="405">
        <f t="shared" si="38"/>
        <v>-999</v>
      </c>
      <c r="BS14" s="417">
        <f t="shared" si="39"/>
        <v>22.01345876944891</v>
      </c>
      <c r="BT14" s="113">
        <v>7</v>
      </c>
      <c r="BU14" s="95" t="b">
        <f t="shared" si="40"/>
        <v>1</v>
      </c>
      <c r="BV14" s="406">
        <f t="shared" si="11"/>
        <v>1</v>
      </c>
      <c r="BW14" s="90">
        <f t="shared" si="41"/>
        <v>5.0000000000000266E-2</v>
      </c>
      <c r="BX14" s="90">
        <f t="shared" si="12"/>
        <v>255</v>
      </c>
      <c r="BY14" s="201">
        <f t="shared" si="42"/>
        <v>1.0309827448602069</v>
      </c>
      <c r="BZ14" s="90" t="e">
        <f t="shared" si="43"/>
        <v>#N/A</v>
      </c>
      <c r="CA14" s="201" t="e">
        <f t="shared" si="44"/>
        <v>#N/A</v>
      </c>
      <c r="CB14" s="90">
        <f t="shared" si="13"/>
        <v>9.5271993543603634E-2</v>
      </c>
      <c r="CC14" s="127">
        <f t="shared" si="14"/>
        <v>68.681600000000003</v>
      </c>
      <c r="CD14" s="127">
        <f t="shared" si="15"/>
        <v>254</v>
      </c>
      <c r="CE14" s="90">
        <f t="shared" si="16"/>
        <v>425.17016807979013</v>
      </c>
      <c r="CF14" s="90">
        <f t="shared" si="17"/>
        <v>134.35906286066262</v>
      </c>
      <c r="CG14" s="90">
        <f t="shared" si="45"/>
        <v>21.258508403989619</v>
      </c>
      <c r="CH14" s="90">
        <f t="shared" si="46"/>
        <v>180769.671824997</v>
      </c>
      <c r="CI14" s="90">
        <f t="shared" si="47"/>
        <v>1.0629254201994867</v>
      </c>
      <c r="CJ14" s="90">
        <f t="shared" si="48"/>
        <v>7.4427431890995866E-3</v>
      </c>
      <c r="CK14" s="90">
        <f t="shared" si="18"/>
        <v>134.35906286066262</v>
      </c>
      <c r="CL14" s="90">
        <f t="shared" si="19"/>
        <v>6.7179531430331672</v>
      </c>
      <c r="CM14" s="106" t="e">
        <f t="shared" si="20"/>
        <v>#N/A</v>
      </c>
      <c r="CN14" s="90" t="e">
        <f t="shared" si="21"/>
        <v>#N/A</v>
      </c>
      <c r="CO14" s="90" t="e">
        <f t="shared" si="22"/>
        <v>#N/A</v>
      </c>
      <c r="CP14" s="90" t="e">
        <f t="shared" si="23"/>
        <v>#N/A</v>
      </c>
      <c r="CQ14" s="90" t="e">
        <f t="shared" si="24"/>
        <v>#N/A</v>
      </c>
      <c r="CR14" s="90" t="e">
        <f t="shared" si="25"/>
        <v>#N/A</v>
      </c>
      <c r="CS14" s="90" t="e">
        <f t="shared" si="26"/>
        <v>#N/A</v>
      </c>
      <c r="CT14" s="90" t="e">
        <f t="shared" si="27"/>
        <v>#N/A</v>
      </c>
      <c r="CU14" s="90" t="e">
        <f t="shared" si="28"/>
        <v>#N/A</v>
      </c>
      <c r="CV14" s="106">
        <v>7</v>
      </c>
      <c r="CW14" s="90"/>
      <c r="CX14" s="102"/>
      <c r="CY14" s="102"/>
      <c r="CZ14" s="102"/>
      <c r="DA14" s="102"/>
      <c r="DB14" s="102"/>
      <c r="DC14" s="102"/>
      <c r="DD14" s="102"/>
      <c r="DE14" s="102"/>
      <c r="DF14" s="102"/>
      <c r="DG14" s="102"/>
      <c r="DH14" s="102"/>
      <c r="DI14" s="307">
        <v>3</v>
      </c>
      <c r="DJ14" s="90">
        <f t="shared" si="50"/>
        <v>2.9999999999999916E-2</v>
      </c>
      <c r="DK14" s="90">
        <f t="shared" si="52"/>
        <v>1.73624511387181E-2</v>
      </c>
      <c r="DL14" s="90" t="e">
        <f t="shared" si="53"/>
        <v>#N/A</v>
      </c>
      <c r="DM14" s="90">
        <f t="shared" si="54"/>
        <v>1.73624511387181E-2</v>
      </c>
      <c r="DN14" s="90">
        <f t="shared" si="55"/>
        <v>32</v>
      </c>
      <c r="DO14" s="308">
        <f t="shared" si="51"/>
        <v>0</v>
      </c>
      <c r="DP14" s="307">
        <f t="shared" si="63"/>
        <v>2.9999999999999916E-2</v>
      </c>
      <c r="DQ14" s="90">
        <f t="shared" si="56"/>
        <v>-2.8955891485115088E-2</v>
      </c>
      <c r="DR14" s="90">
        <f t="shared" si="57"/>
        <v>-2.8955891485115088E-2</v>
      </c>
      <c r="DS14" s="90">
        <f t="shared" si="64"/>
        <v>33</v>
      </c>
      <c r="DT14" s="308">
        <f t="shared" si="65"/>
        <v>0</v>
      </c>
      <c r="DU14" s="307">
        <f t="shared" si="58"/>
        <v>3.0000000000000138E-2</v>
      </c>
      <c r="DV14" s="90">
        <f t="shared" si="59"/>
        <v>9.2104549278240119E-2</v>
      </c>
      <c r="DW14" s="90">
        <f t="shared" si="60"/>
        <v>9.2104549278240119E-2</v>
      </c>
      <c r="DX14" s="90">
        <f t="shared" si="61"/>
        <v>34</v>
      </c>
      <c r="DY14" s="308">
        <f t="shared" si="62"/>
        <v>0</v>
      </c>
    </row>
    <row r="15" spans="1:135" ht="12" customHeight="1" x14ac:dyDescent="0.2">
      <c r="A15" s="180"/>
      <c r="B15" s="181" t="str">
        <f t="shared" si="29"/>
        <v/>
      </c>
      <c r="C15" s="838" t="str">
        <f t="shared" si="7"/>
        <v/>
      </c>
      <c r="D15" s="182" t="str">
        <f t="shared" si="8"/>
        <v/>
      </c>
      <c r="E15" s="183">
        <v>8</v>
      </c>
      <c r="F15" s="186" t="s">
        <v>529</v>
      </c>
      <c r="G15" s="186">
        <v>2.5</v>
      </c>
      <c r="H15" s="186">
        <v>0.84</v>
      </c>
      <c r="I15" s="186">
        <v>58</v>
      </c>
      <c r="J15" s="186">
        <v>2.6</v>
      </c>
      <c r="K15" s="396">
        <v>0.83</v>
      </c>
      <c r="L15" s="186">
        <v>55</v>
      </c>
      <c r="M15" s="186" t="s">
        <v>533</v>
      </c>
      <c r="N15" s="579">
        <f t="shared" si="30"/>
        <v>0.10000000000000009</v>
      </c>
      <c r="O15" s="579">
        <f t="shared" si="31"/>
        <v>0.83515009170548227</v>
      </c>
      <c r="P15" s="189">
        <f t="shared" si="32"/>
        <v>2.4706818605439287E-2</v>
      </c>
      <c r="Q15" s="194"/>
      <c r="R15" s="397">
        <f t="shared" si="9"/>
        <v>0.31147064429470156</v>
      </c>
      <c r="S15" s="192"/>
      <c r="T15" s="193">
        <f t="shared" si="10"/>
        <v>17.365262822517817</v>
      </c>
      <c r="U15" s="398"/>
      <c r="V15" s="105">
        <f t="shared" si="5"/>
        <v>9.5E-4</v>
      </c>
      <c r="W15" s="90"/>
      <c r="X15" s="90"/>
      <c r="Y15" s="90"/>
      <c r="Z15" s="90"/>
      <c r="AA15" s="90"/>
      <c r="AB15" s="90"/>
      <c r="AC15" s="90"/>
      <c r="AD15" s="90"/>
      <c r="AE15" s="90"/>
      <c r="AF15" s="87">
        <f t="shared" si="6"/>
        <v>9.5E-4</v>
      </c>
      <c r="AG15" s="399" t="s">
        <v>339</v>
      </c>
      <c r="AH15" s="400">
        <f t="shared" si="33"/>
        <v>-0.21147064429470147</v>
      </c>
      <c r="AI15" s="197" t="s">
        <v>261</v>
      </c>
      <c r="AJ15" s="400">
        <f t="shared" si="34"/>
        <v>0.41147064429470165</v>
      </c>
      <c r="AK15" s="401" t="s">
        <v>259</v>
      </c>
      <c r="AV15" s="314"/>
      <c r="BG15" s="94">
        <f t="shared" si="35"/>
        <v>-999999999999</v>
      </c>
      <c r="BH15" s="95">
        <f t="shared" si="36"/>
        <v>-999999999999</v>
      </c>
      <c r="BI15" s="290">
        <f t="shared" si="49"/>
        <v>-999999999999</v>
      </c>
      <c r="BJ15" s="418"/>
      <c r="BK15" s="419" t="s">
        <v>452</v>
      </c>
      <c r="BL15" s="419" t="s">
        <v>264</v>
      </c>
      <c r="BM15" s="419" t="s">
        <v>453</v>
      </c>
      <c r="BN15" s="420" t="s">
        <v>263</v>
      </c>
      <c r="BO15" s="268" t="s">
        <v>267</v>
      </c>
      <c r="BP15" s="90">
        <f>COUNT(CG8:CG37)-1</f>
        <v>9</v>
      </c>
      <c r="BQ15" s="404">
        <f t="shared" si="37"/>
        <v>999</v>
      </c>
      <c r="BR15" s="405">
        <f t="shared" si="38"/>
        <v>999</v>
      </c>
      <c r="BS15" s="290">
        <f t="shared" si="39"/>
        <v>5.4984538134787195</v>
      </c>
      <c r="BT15" s="113">
        <v>8</v>
      </c>
      <c r="BU15" s="95" t="b">
        <f t="shared" si="40"/>
        <v>1</v>
      </c>
      <c r="BV15" s="406">
        <f t="shared" si="11"/>
        <v>2</v>
      </c>
      <c r="BW15" s="90">
        <f t="shared" si="41"/>
        <v>0.10000000000000009</v>
      </c>
      <c r="BX15" s="90">
        <f t="shared" si="12"/>
        <v>55</v>
      </c>
      <c r="BY15" s="201">
        <f t="shared" si="42"/>
        <v>0.63619695575549018</v>
      </c>
      <c r="BZ15" s="90" t="e">
        <f t="shared" si="43"/>
        <v>#N/A</v>
      </c>
      <c r="CA15" s="201" t="e">
        <f t="shared" si="44"/>
        <v>#N/A</v>
      </c>
      <c r="CB15" s="90">
        <f t="shared" si="13"/>
        <v>0.31147064429470156</v>
      </c>
      <c r="CC15" s="127">
        <f t="shared" si="14"/>
        <v>37.200599999999994</v>
      </c>
      <c r="CD15" s="127">
        <f t="shared" si="15"/>
        <v>54</v>
      </c>
      <c r="CE15" s="90">
        <f t="shared" si="16"/>
        <v>40.474656651255245</v>
      </c>
      <c r="CF15" s="90">
        <f t="shared" si="17"/>
        <v>33.559792184357939</v>
      </c>
      <c r="CG15" s="90">
        <f t="shared" si="45"/>
        <v>4.0474656651255279</v>
      </c>
      <c r="CH15" s="90">
        <f t="shared" si="46"/>
        <v>1638.1978310370005</v>
      </c>
      <c r="CI15" s="90">
        <f t="shared" si="47"/>
        <v>0.40474656651255314</v>
      </c>
      <c r="CJ15" s="90">
        <f t="shared" si="48"/>
        <v>2.9797562348020001E-2</v>
      </c>
      <c r="CK15" s="90">
        <f t="shared" si="18"/>
        <v>33.559792184357939</v>
      </c>
      <c r="CL15" s="90">
        <f t="shared" si="19"/>
        <v>3.3559792184357971</v>
      </c>
      <c r="CM15" s="106" t="e">
        <f t="shared" si="20"/>
        <v>#N/A</v>
      </c>
      <c r="CN15" s="90" t="e">
        <f t="shared" si="21"/>
        <v>#N/A</v>
      </c>
      <c r="CO15" s="90" t="e">
        <f t="shared" si="22"/>
        <v>#N/A</v>
      </c>
      <c r="CP15" s="90" t="e">
        <f t="shared" si="23"/>
        <v>#N/A</v>
      </c>
      <c r="CQ15" s="90" t="e">
        <f t="shared" si="24"/>
        <v>#N/A</v>
      </c>
      <c r="CR15" s="90" t="e">
        <f t="shared" si="25"/>
        <v>#N/A</v>
      </c>
      <c r="CS15" s="90" t="e">
        <f t="shared" si="26"/>
        <v>#N/A</v>
      </c>
      <c r="CT15" s="90" t="e">
        <f t="shared" si="27"/>
        <v>#N/A</v>
      </c>
      <c r="CU15" s="90" t="e">
        <f t="shared" si="28"/>
        <v>#N/A</v>
      </c>
      <c r="CV15" s="106">
        <v>8</v>
      </c>
      <c r="CW15" s="90"/>
      <c r="CX15" s="102"/>
      <c r="CY15" s="102"/>
      <c r="CZ15" s="102"/>
      <c r="DA15" s="102"/>
      <c r="DB15" s="102"/>
      <c r="DC15" s="102"/>
      <c r="DD15" s="102"/>
      <c r="DE15" s="102"/>
      <c r="DF15" s="102"/>
      <c r="DG15" s="102"/>
      <c r="DH15" s="102"/>
      <c r="DI15" s="307">
        <v>4</v>
      </c>
      <c r="DJ15" s="90">
        <f t="shared" si="50"/>
        <v>4.0000000000000036E-2</v>
      </c>
      <c r="DK15" s="90">
        <f t="shared" si="52"/>
        <v>1.8155790039812061E-2</v>
      </c>
      <c r="DL15" s="90" t="e">
        <f t="shared" si="53"/>
        <v>#N/A</v>
      </c>
      <c r="DM15" s="90">
        <f t="shared" si="54"/>
        <v>1.8155790039812061E-2</v>
      </c>
      <c r="DN15" s="90">
        <f t="shared" si="55"/>
        <v>32</v>
      </c>
      <c r="DO15" s="308">
        <f t="shared" si="51"/>
        <v>0</v>
      </c>
      <c r="DP15" s="307">
        <f t="shared" si="63"/>
        <v>3.9999999999999925E-2</v>
      </c>
      <c r="DQ15" s="90">
        <f t="shared" si="56"/>
        <v>-2.8322975271974575E-2</v>
      </c>
      <c r="DR15" s="90">
        <f t="shared" si="57"/>
        <v>-2.8322975271974575E-2</v>
      </c>
      <c r="DS15" s="90">
        <f t="shared" si="64"/>
        <v>33</v>
      </c>
      <c r="DT15" s="308">
        <f t="shared" si="65"/>
        <v>0</v>
      </c>
      <c r="DU15" s="307">
        <f t="shared" si="58"/>
        <v>4.0000000000000147E-2</v>
      </c>
      <c r="DV15" s="90">
        <f t="shared" si="59"/>
        <v>9.3388348726598125E-2</v>
      </c>
      <c r="DW15" s="90">
        <f t="shared" si="60"/>
        <v>9.3388348726598125E-2</v>
      </c>
      <c r="DX15" s="90">
        <f t="shared" si="61"/>
        <v>34</v>
      </c>
      <c r="DY15" s="308">
        <f t="shared" si="62"/>
        <v>0</v>
      </c>
    </row>
    <row r="16" spans="1:135" ht="12" customHeight="1" x14ac:dyDescent="0.2">
      <c r="A16" s="180"/>
      <c r="B16" s="181" t="str">
        <f t="shared" si="29"/>
        <v/>
      </c>
      <c r="C16" s="838" t="str">
        <f t="shared" si="7"/>
        <v/>
      </c>
      <c r="D16" s="182" t="str">
        <f t="shared" si="8"/>
        <v/>
      </c>
      <c r="E16" s="183">
        <v>9</v>
      </c>
      <c r="F16" s="186" t="s">
        <v>530</v>
      </c>
      <c r="G16" s="186">
        <v>2.41</v>
      </c>
      <c r="H16" s="186">
        <v>0.78</v>
      </c>
      <c r="I16" s="186">
        <v>34</v>
      </c>
      <c r="J16" s="186">
        <v>2.74</v>
      </c>
      <c r="K16" s="396">
        <v>0.51</v>
      </c>
      <c r="L16" s="186">
        <v>34</v>
      </c>
      <c r="M16" s="186" t="s">
        <v>533</v>
      </c>
      <c r="N16" s="579">
        <f t="shared" si="30"/>
        <v>0.33000000000000007</v>
      </c>
      <c r="O16" s="579">
        <f t="shared" si="31"/>
        <v>0.65897647909466384</v>
      </c>
      <c r="P16" s="189">
        <f t="shared" si="32"/>
        <v>2.5544117647058818E-2</v>
      </c>
      <c r="Q16" s="194"/>
      <c r="R16" s="397">
        <f t="shared" si="9"/>
        <v>0.31910145180667826</v>
      </c>
      <c r="S16" s="192"/>
      <c r="T16" s="193">
        <f t="shared" si="10"/>
        <v>16.796054752007713</v>
      </c>
      <c r="U16" s="398"/>
      <c r="V16" s="105">
        <f t="shared" si="5"/>
        <v>9.5E-4</v>
      </c>
      <c r="W16" s="90"/>
      <c r="X16" s="90"/>
      <c r="Y16" s="90"/>
      <c r="Z16" s="90"/>
      <c r="AA16" s="90"/>
      <c r="AB16" s="90"/>
      <c r="AC16" s="90"/>
      <c r="AD16" s="90"/>
      <c r="AE16" s="90"/>
      <c r="AF16" s="87">
        <f t="shared" si="6"/>
        <v>9.5E-4</v>
      </c>
      <c r="AG16" s="399" t="s">
        <v>339</v>
      </c>
      <c r="AH16" s="400">
        <f t="shared" si="33"/>
        <v>1.0898548193321811E-2</v>
      </c>
      <c r="AI16" s="197" t="s">
        <v>261</v>
      </c>
      <c r="AJ16" s="400">
        <f t="shared" si="34"/>
        <v>0.64910145180667833</v>
      </c>
      <c r="AK16" s="401" t="s">
        <v>259</v>
      </c>
      <c r="AV16" s="314"/>
      <c r="BG16" s="94">
        <f t="shared" si="35"/>
        <v>-999999999999</v>
      </c>
      <c r="BH16" s="95">
        <f t="shared" si="36"/>
        <v>-999999999999</v>
      </c>
      <c r="BI16" s="290">
        <f t="shared" si="49"/>
        <v>-999999999999</v>
      </c>
      <c r="BJ16" s="402">
        <v>10</v>
      </c>
      <c r="BK16" s="201">
        <f t="shared" ref="BK16:BK36" si="66">$BK$13*BJ16</f>
        <v>1</v>
      </c>
      <c r="BL16" s="201">
        <f t="shared" ref="BL16:BL36" si="67">$J$40+$BK$13*BJ16</f>
        <v>1.0324369811895147</v>
      </c>
      <c r="BM16" s="201" t="e">
        <f t="shared" ref="BM16:BM36" si="68">IF($J$41&gt;$J$40,IF(AND($CJ$2,$BX$5,BL16&lt;=$J$41+$BN$10+$BK$13,BL16&gt;=$J$40-$R$40-$BK$13),BL16,NA()),IF(AND($CJ$2,$BX$5,BL16&gt;=$J$41-$BN$10-$BK$13,BL16&lt;=$J$40+$R$40+$BK$13),BL16,NA()))</f>
        <v>#N/A</v>
      </c>
      <c r="BN16" s="421">
        <f t="shared" ref="BN16:BN36" si="69">IF(AND($BX$5,$CJ$2),$BN$14,NA())</f>
        <v>39</v>
      </c>
      <c r="BO16" s="268" t="s">
        <v>326</v>
      </c>
      <c r="BP16" s="102">
        <f>IF(CE38=0,"",CI38-CG38^2/CE38)</f>
        <v>13.832308747979987</v>
      </c>
      <c r="BQ16" s="422">
        <f t="shared" si="37"/>
        <v>999</v>
      </c>
      <c r="BR16" s="423">
        <f t="shared" si="38"/>
        <v>999</v>
      </c>
      <c r="BS16" s="424">
        <f t="shared" si="39"/>
        <v>5.3481724053189295</v>
      </c>
      <c r="BT16" s="113">
        <v>9</v>
      </c>
      <c r="BU16" s="95" t="b">
        <f t="shared" si="40"/>
        <v>1</v>
      </c>
      <c r="BV16" s="406">
        <f t="shared" si="11"/>
        <v>2</v>
      </c>
      <c r="BW16" s="90">
        <f t="shared" si="41"/>
        <v>0.33000000000000007</v>
      </c>
      <c r="BX16" s="90">
        <f t="shared" si="12"/>
        <v>34</v>
      </c>
      <c r="BY16" s="201">
        <f t="shared" si="42"/>
        <v>2.064754812376802</v>
      </c>
      <c r="BZ16" s="90" t="e">
        <f t="shared" si="43"/>
        <v>#N/A</v>
      </c>
      <c r="CA16" s="201" t="e">
        <f t="shared" si="44"/>
        <v>#N/A</v>
      </c>
      <c r="CB16" s="90">
        <f t="shared" si="13"/>
        <v>0.31910145180667826</v>
      </c>
      <c r="CC16" s="127">
        <f t="shared" si="14"/>
        <v>8.5832999999999995</v>
      </c>
      <c r="CD16" s="127">
        <f t="shared" si="15"/>
        <v>33</v>
      </c>
      <c r="CE16" s="90">
        <f t="shared" si="16"/>
        <v>39.147956246401854</v>
      </c>
      <c r="CF16" s="90">
        <f t="shared" si="17"/>
        <v>32.642550174494737</v>
      </c>
      <c r="CG16" s="90">
        <f t="shared" si="45"/>
        <v>12.918825561312614</v>
      </c>
      <c r="CH16" s="90">
        <f t="shared" si="46"/>
        <v>1532.5624782701939</v>
      </c>
      <c r="CI16" s="90">
        <f t="shared" si="47"/>
        <v>4.2632124352331644</v>
      </c>
      <c r="CJ16" s="90">
        <f t="shared" si="48"/>
        <v>3.0634861389639535E-2</v>
      </c>
      <c r="CK16" s="90">
        <f t="shared" si="18"/>
        <v>32.642550174494737</v>
      </c>
      <c r="CL16" s="90">
        <f t="shared" si="19"/>
        <v>10.772041557583265</v>
      </c>
      <c r="CM16" s="106" t="e">
        <f t="shared" si="20"/>
        <v>#N/A</v>
      </c>
      <c r="CN16" s="90" t="e">
        <f t="shared" si="21"/>
        <v>#N/A</v>
      </c>
      <c r="CO16" s="90" t="e">
        <f t="shared" si="22"/>
        <v>#N/A</v>
      </c>
      <c r="CP16" s="90" t="e">
        <f t="shared" si="23"/>
        <v>#N/A</v>
      </c>
      <c r="CQ16" s="90" t="e">
        <f t="shared" si="24"/>
        <v>#N/A</v>
      </c>
      <c r="CR16" s="90" t="e">
        <f t="shared" si="25"/>
        <v>#N/A</v>
      </c>
      <c r="CS16" s="90" t="e">
        <f t="shared" si="26"/>
        <v>#N/A</v>
      </c>
      <c r="CT16" s="90" t="e">
        <f t="shared" si="27"/>
        <v>#N/A</v>
      </c>
      <c r="CU16" s="90" t="e">
        <f t="shared" si="28"/>
        <v>#N/A</v>
      </c>
      <c r="CV16" s="106">
        <v>9</v>
      </c>
      <c r="CW16" s="90"/>
      <c r="CX16" s="102"/>
      <c r="CY16" s="102"/>
      <c r="CZ16" s="102"/>
      <c r="DA16" s="102"/>
      <c r="DB16" s="102"/>
      <c r="DC16" s="102"/>
      <c r="DD16" s="102"/>
      <c r="DE16" s="102"/>
      <c r="DF16" s="102"/>
      <c r="DG16" s="102"/>
      <c r="DH16" s="102"/>
      <c r="DI16" s="307">
        <v>5</v>
      </c>
      <c r="DJ16" s="90">
        <f t="shared" si="50"/>
        <v>5.0000000000000044E-2</v>
      </c>
      <c r="DK16" s="90">
        <f t="shared" si="52"/>
        <v>1.8949128940906022E-2</v>
      </c>
      <c r="DL16" s="90" t="e">
        <f t="shared" si="53"/>
        <v>#N/A</v>
      </c>
      <c r="DM16" s="90">
        <f t="shared" si="54"/>
        <v>1.8949128940906022E-2</v>
      </c>
      <c r="DN16" s="90">
        <f t="shared" si="55"/>
        <v>32</v>
      </c>
      <c r="DO16" s="308">
        <f t="shared" si="51"/>
        <v>1.7347234759768071E-17</v>
      </c>
      <c r="DP16" s="307">
        <f t="shared" si="63"/>
        <v>5.0000000000000044E-2</v>
      </c>
      <c r="DQ16" s="90">
        <f t="shared" si="56"/>
        <v>-2.7690059058834062E-2</v>
      </c>
      <c r="DR16" s="90">
        <f t="shared" si="57"/>
        <v>-2.7690059058834062E-2</v>
      </c>
      <c r="DS16" s="90">
        <f t="shared" si="64"/>
        <v>33</v>
      </c>
      <c r="DT16" s="308">
        <f t="shared" si="65"/>
        <v>1.7347234759768071E-17</v>
      </c>
      <c r="DU16" s="307">
        <f t="shared" si="58"/>
        <v>5.0000000000000155E-2</v>
      </c>
      <c r="DV16" s="90">
        <f t="shared" si="59"/>
        <v>9.4672148174956131E-2</v>
      </c>
      <c r="DW16" s="90">
        <f t="shared" si="60"/>
        <v>9.4672148174956131E-2</v>
      </c>
      <c r="DX16" s="90">
        <f t="shared" si="61"/>
        <v>34</v>
      </c>
      <c r="DY16" s="308">
        <f t="shared" si="62"/>
        <v>6.2450045135165055E-17</v>
      </c>
    </row>
    <row r="17" spans="1:129" ht="12" customHeight="1" x14ac:dyDescent="0.2">
      <c r="A17" s="180"/>
      <c r="B17" s="181" t="str">
        <f t="shared" si="29"/>
        <v/>
      </c>
      <c r="C17" s="838" t="str">
        <f t="shared" si="7"/>
        <v/>
      </c>
      <c r="D17" s="182" t="str">
        <f t="shared" si="8"/>
        <v/>
      </c>
      <c r="E17" s="183">
        <v>10</v>
      </c>
      <c r="F17" s="186" t="s">
        <v>531</v>
      </c>
      <c r="G17" s="186">
        <v>2.54</v>
      </c>
      <c r="H17" s="186">
        <v>0.66</v>
      </c>
      <c r="I17" s="186">
        <v>99</v>
      </c>
      <c r="J17" s="186">
        <v>2.72</v>
      </c>
      <c r="K17" s="396">
        <v>0.68</v>
      </c>
      <c r="L17" s="186">
        <v>95</v>
      </c>
      <c r="M17" s="186" t="s">
        <v>533</v>
      </c>
      <c r="N17" s="579">
        <f t="shared" si="30"/>
        <v>0.18000000000000016</v>
      </c>
      <c r="O17" s="579">
        <f t="shared" si="31"/>
        <v>0.6698662801883174</v>
      </c>
      <c r="P17" s="189">
        <f t="shared" si="32"/>
        <v>9.2559108630161264E-3</v>
      </c>
      <c r="Q17" s="194"/>
      <c r="R17" s="397">
        <f t="shared" si="9"/>
        <v>0.18975962047801079</v>
      </c>
      <c r="S17" s="192"/>
      <c r="T17" s="193">
        <f t="shared" si="10"/>
        <v>46.353125580113833</v>
      </c>
      <c r="U17" s="398"/>
      <c r="V17" s="105">
        <f t="shared" si="5"/>
        <v>9.5E-4</v>
      </c>
      <c r="W17" s="90"/>
      <c r="X17" s="90"/>
      <c r="Y17" s="90"/>
      <c r="Z17" s="90"/>
      <c r="AA17" s="90"/>
      <c r="AB17" s="90"/>
      <c r="AC17" s="90"/>
      <c r="AD17" s="90"/>
      <c r="AE17" s="90"/>
      <c r="AF17" s="87">
        <f t="shared" si="6"/>
        <v>9.5E-4</v>
      </c>
      <c r="AG17" s="399" t="s">
        <v>339</v>
      </c>
      <c r="AH17" s="400">
        <f t="shared" si="33"/>
        <v>-9.7596204780106277E-3</v>
      </c>
      <c r="AI17" s="197" t="s">
        <v>261</v>
      </c>
      <c r="AJ17" s="400">
        <f t="shared" si="34"/>
        <v>0.36975962047801092</v>
      </c>
      <c r="AK17" s="401" t="s">
        <v>259</v>
      </c>
      <c r="AV17" s="314"/>
      <c r="BG17" s="94">
        <f t="shared" si="35"/>
        <v>-999999999999</v>
      </c>
      <c r="BH17" s="95">
        <f t="shared" si="36"/>
        <v>-999999999999</v>
      </c>
      <c r="BI17" s="290">
        <f t="shared" si="49"/>
        <v>-999999999999</v>
      </c>
      <c r="BJ17" s="402">
        <v>9</v>
      </c>
      <c r="BK17" s="201">
        <f t="shared" si="66"/>
        <v>0.9</v>
      </c>
      <c r="BL17" s="201">
        <f t="shared" si="67"/>
        <v>0.93243698118951479</v>
      </c>
      <c r="BM17" s="201" t="e">
        <f t="shared" si="68"/>
        <v>#N/A</v>
      </c>
      <c r="BN17" s="421">
        <f t="shared" si="69"/>
        <v>39</v>
      </c>
      <c r="BO17" s="268" t="s">
        <v>352</v>
      </c>
      <c r="BP17" s="90">
        <f>CHIDIST(BP16,BP15)</f>
        <v>0.12841661518712341</v>
      </c>
      <c r="BQ17" s="404">
        <f t="shared" si="37"/>
        <v>999</v>
      </c>
      <c r="BR17" s="405">
        <f t="shared" si="38"/>
        <v>999</v>
      </c>
      <c r="BS17" s="290">
        <f t="shared" si="39"/>
        <v>11.420120218195244</v>
      </c>
      <c r="BT17" s="113">
        <v>10</v>
      </c>
      <c r="BU17" s="95" t="b">
        <f t="shared" si="40"/>
        <v>1</v>
      </c>
      <c r="BV17" s="406">
        <f t="shared" si="11"/>
        <v>2</v>
      </c>
      <c r="BW17" s="90">
        <f t="shared" si="41"/>
        <v>0.18000000000000016</v>
      </c>
      <c r="BX17" s="90">
        <f t="shared" si="12"/>
        <v>95</v>
      </c>
      <c r="BY17" s="201">
        <f t="shared" si="42"/>
        <v>1.8709531961671788</v>
      </c>
      <c r="BZ17" s="90" t="e">
        <f t="shared" si="43"/>
        <v>#N/A</v>
      </c>
      <c r="CA17" s="201" t="e">
        <f t="shared" si="44"/>
        <v>#N/A</v>
      </c>
      <c r="CB17" s="90">
        <f t="shared" si="13"/>
        <v>0.18975962047801079</v>
      </c>
      <c r="CC17" s="127">
        <f t="shared" si="14"/>
        <v>43.465600000000009</v>
      </c>
      <c r="CD17" s="127">
        <f t="shared" si="15"/>
        <v>94</v>
      </c>
      <c r="CE17" s="90">
        <f t="shared" si="16"/>
        <v>108.03906982247456</v>
      </c>
      <c r="CF17" s="90">
        <f t="shared" si="17"/>
        <v>69.70266082867046</v>
      </c>
      <c r="CG17" s="90">
        <f t="shared" si="45"/>
        <v>19.447032568045437</v>
      </c>
      <c r="CH17" s="90">
        <f t="shared" si="46"/>
        <v>11672.440608105533</v>
      </c>
      <c r="CI17" s="90">
        <f t="shared" si="47"/>
        <v>3.5004658622481823</v>
      </c>
      <c r="CJ17" s="90">
        <f t="shared" si="48"/>
        <v>1.4346654605596846E-2</v>
      </c>
      <c r="CK17" s="90">
        <f t="shared" si="18"/>
        <v>69.70266082867046</v>
      </c>
      <c r="CL17" s="90">
        <f t="shared" si="19"/>
        <v>12.546478949160694</v>
      </c>
      <c r="CM17" s="106" t="e">
        <f t="shared" si="20"/>
        <v>#N/A</v>
      </c>
      <c r="CN17" s="90" t="e">
        <f t="shared" si="21"/>
        <v>#N/A</v>
      </c>
      <c r="CO17" s="90" t="e">
        <f t="shared" si="22"/>
        <v>#N/A</v>
      </c>
      <c r="CP17" s="90" t="e">
        <f t="shared" si="23"/>
        <v>#N/A</v>
      </c>
      <c r="CQ17" s="90" t="e">
        <f t="shared" si="24"/>
        <v>#N/A</v>
      </c>
      <c r="CR17" s="90" t="e">
        <f t="shared" si="25"/>
        <v>#N/A</v>
      </c>
      <c r="CS17" s="90" t="e">
        <f t="shared" si="26"/>
        <v>#N/A</v>
      </c>
      <c r="CT17" s="90" t="e">
        <f t="shared" si="27"/>
        <v>#N/A</v>
      </c>
      <c r="CU17" s="90" t="e">
        <f t="shared" si="28"/>
        <v>#N/A</v>
      </c>
      <c r="CV17" s="106">
        <v>10</v>
      </c>
      <c r="CW17" s="90"/>
      <c r="CX17" s="102"/>
      <c r="CY17" s="102"/>
      <c r="CZ17" s="102"/>
      <c r="DA17" s="102"/>
      <c r="DB17" s="102"/>
      <c r="DC17" s="102"/>
      <c r="DD17" s="102"/>
      <c r="DE17" s="102"/>
      <c r="DF17" s="102"/>
      <c r="DG17" s="102"/>
      <c r="DH17" s="102"/>
      <c r="DI17" s="307">
        <v>6</v>
      </c>
      <c r="DJ17" s="90">
        <f t="shared" si="50"/>
        <v>6.0000000000000053E-2</v>
      </c>
      <c r="DK17" s="90">
        <f t="shared" si="52"/>
        <v>1.9742467841999983E-2</v>
      </c>
      <c r="DL17" s="90" t="e">
        <f t="shared" si="53"/>
        <v>#N/A</v>
      </c>
      <c r="DM17" s="90">
        <f t="shared" si="54"/>
        <v>1.9742467841999983E-2</v>
      </c>
      <c r="DN17" s="90">
        <f t="shared" si="55"/>
        <v>32</v>
      </c>
      <c r="DO17" s="308">
        <f t="shared" si="51"/>
        <v>4.0000000000000209E-3</v>
      </c>
      <c r="DP17" s="307">
        <f t="shared" si="63"/>
        <v>5.9999999999999942E-2</v>
      </c>
      <c r="DQ17" s="90">
        <f t="shared" si="56"/>
        <v>-2.7057142845693549E-2</v>
      </c>
      <c r="DR17" s="90">
        <f t="shared" si="57"/>
        <v>-2.7057142845693549E-2</v>
      </c>
      <c r="DS17" s="90">
        <f t="shared" si="64"/>
        <v>33</v>
      </c>
      <c r="DT17" s="308">
        <f t="shared" si="65"/>
        <v>3.9999999999999793E-3</v>
      </c>
      <c r="DU17" s="307">
        <f t="shared" si="58"/>
        <v>6.0000000000000164E-2</v>
      </c>
      <c r="DV17" s="90">
        <f t="shared" si="59"/>
        <v>9.5955947623314136E-2</v>
      </c>
      <c r="DW17" s="90">
        <f t="shared" si="60"/>
        <v>9.5955947623314136E-2</v>
      </c>
      <c r="DX17" s="90">
        <f t="shared" si="61"/>
        <v>34</v>
      </c>
      <c r="DY17" s="308">
        <f t="shared" si="62"/>
        <v>4.000000000000066E-3</v>
      </c>
    </row>
    <row r="18" spans="1:129" ht="12" customHeight="1" x14ac:dyDescent="0.2">
      <c r="A18" s="180"/>
      <c r="B18" s="181" t="str">
        <f t="shared" si="29"/>
        <v/>
      </c>
      <c r="C18" s="838" t="str">
        <f t="shared" si="7"/>
        <v/>
      </c>
      <c r="D18" s="182" t="str">
        <f t="shared" si="8"/>
        <v/>
      </c>
      <c r="E18" s="183">
        <v>11</v>
      </c>
      <c r="F18" s="186"/>
      <c r="G18" s="186"/>
      <c r="H18" s="186"/>
      <c r="I18" s="186"/>
      <c r="J18" s="186"/>
      <c r="K18" s="396"/>
      <c r="L18" s="186"/>
      <c r="M18" s="186"/>
      <c r="N18" s="579" t="str">
        <f t="shared" si="30"/>
        <v/>
      </c>
      <c r="O18" s="579" t="str">
        <f t="shared" si="31"/>
        <v/>
      </c>
      <c r="P18" s="189" t="str">
        <f t="shared" si="32"/>
        <v/>
      </c>
      <c r="Q18" s="194"/>
      <c r="R18" s="397" t="str">
        <f t="shared" si="9"/>
        <v/>
      </c>
      <c r="S18" s="192"/>
      <c r="T18" s="193" t="str">
        <f t="shared" si="10"/>
        <v/>
      </c>
      <c r="U18" s="398"/>
      <c r="V18" s="105">
        <f t="shared" si="5"/>
        <v>9.5E-4</v>
      </c>
      <c r="W18" s="90"/>
      <c r="X18" s="90"/>
      <c r="Y18" s="90"/>
      <c r="Z18" s="90"/>
      <c r="AA18" s="90"/>
      <c r="AB18" s="90"/>
      <c r="AC18" s="90"/>
      <c r="AD18" s="90"/>
      <c r="AE18" s="90"/>
      <c r="AF18" s="87">
        <f t="shared" si="6"/>
        <v>9.5E-4</v>
      </c>
      <c r="AG18" s="399" t="s">
        <v>339</v>
      </c>
      <c r="AH18" s="400" t="str">
        <f t="shared" si="33"/>
        <v/>
      </c>
      <c r="AI18" s="197" t="s">
        <v>261</v>
      </c>
      <c r="AJ18" s="400" t="str">
        <f t="shared" si="34"/>
        <v/>
      </c>
      <c r="AK18" s="401" t="s">
        <v>259</v>
      </c>
      <c r="AV18" s="314"/>
      <c r="BG18" s="94">
        <f t="shared" si="35"/>
        <v>-999999999999</v>
      </c>
      <c r="BH18" s="95" t="str">
        <f t="shared" si="36"/>
        <v>zzzzzzzzzzzz</v>
      </c>
      <c r="BI18" s="290">
        <f t="shared" si="49"/>
        <v>-999999999999</v>
      </c>
      <c r="BJ18" s="402">
        <v>8</v>
      </c>
      <c r="BK18" s="201">
        <f t="shared" si="66"/>
        <v>0.8</v>
      </c>
      <c r="BL18" s="201">
        <f t="shared" si="67"/>
        <v>0.83243698118951481</v>
      </c>
      <c r="BM18" s="201" t="e">
        <f t="shared" si="68"/>
        <v>#N/A</v>
      </c>
      <c r="BN18" s="421">
        <f t="shared" si="69"/>
        <v>39</v>
      </c>
      <c r="BO18" s="268" t="s">
        <v>251</v>
      </c>
      <c r="BP18" s="425">
        <f>CE38-CH38/CE38</f>
        <v>949.23433437847325</v>
      </c>
      <c r="BQ18" s="426">
        <f t="shared" si="37"/>
        <v>999</v>
      </c>
      <c r="BR18" s="427">
        <f t="shared" si="38"/>
        <v>999</v>
      </c>
      <c r="BS18" s="428" t="str">
        <f t="shared" si="39"/>
        <v/>
      </c>
      <c r="BT18" s="113">
        <v>11</v>
      </c>
      <c r="BU18" s="95" t="b">
        <f t="shared" si="40"/>
        <v>0</v>
      </c>
      <c r="BV18" s="406" t="str">
        <f t="shared" si="11"/>
        <v/>
      </c>
      <c r="BW18" s="90" t="str">
        <f t="shared" si="41"/>
        <v/>
      </c>
      <c r="BX18" s="90" t="str">
        <f t="shared" si="12"/>
        <v/>
      </c>
      <c r="BY18" s="201" t="str">
        <f t="shared" si="42"/>
        <v/>
      </c>
      <c r="BZ18" s="90" t="e">
        <f t="shared" si="43"/>
        <v>#N/A</v>
      </c>
      <c r="CA18" s="201" t="e">
        <f t="shared" si="44"/>
        <v>#N/A</v>
      </c>
      <c r="CB18" s="90" t="e">
        <f t="shared" si="13"/>
        <v>#N/A</v>
      </c>
      <c r="CC18" s="127" t="str">
        <f t="shared" si="14"/>
        <v/>
      </c>
      <c r="CD18" s="127" t="str">
        <f t="shared" si="15"/>
        <v/>
      </c>
      <c r="CE18" s="90" t="str">
        <f t="shared" si="16"/>
        <v/>
      </c>
      <c r="CF18" s="90" t="str">
        <f t="shared" si="17"/>
        <v/>
      </c>
      <c r="CG18" s="90" t="str">
        <f t="shared" si="45"/>
        <v/>
      </c>
      <c r="CH18" s="90" t="str">
        <f t="shared" si="46"/>
        <v/>
      </c>
      <c r="CI18" s="90" t="str">
        <f t="shared" si="47"/>
        <v/>
      </c>
      <c r="CJ18" s="90" t="str">
        <f t="shared" si="48"/>
        <v/>
      </c>
      <c r="CK18" s="90" t="str">
        <f t="shared" si="18"/>
        <v/>
      </c>
      <c r="CL18" s="90" t="str">
        <f t="shared" si="19"/>
        <v/>
      </c>
      <c r="CM18" s="106" t="e">
        <f t="shared" si="20"/>
        <v>#N/A</v>
      </c>
      <c r="CN18" s="90" t="e">
        <f t="shared" si="21"/>
        <v>#N/A</v>
      </c>
      <c r="CO18" s="90" t="e">
        <f t="shared" si="22"/>
        <v>#N/A</v>
      </c>
      <c r="CP18" s="90" t="e">
        <f t="shared" si="23"/>
        <v>#N/A</v>
      </c>
      <c r="CQ18" s="90" t="e">
        <f t="shared" si="24"/>
        <v>#N/A</v>
      </c>
      <c r="CR18" s="90" t="e">
        <f t="shared" si="25"/>
        <v>#N/A</v>
      </c>
      <c r="CS18" s="90" t="e">
        <f t="shared" si="26"/>
        <v>#N/A</v>
      </c>
      <c r="CT18" s="90" t="e">
        <f t="shared" si="27"/>
        <v>#N/A</v>
      </c>
      <c r="CU18" s="90" t="e">
        <f t="shared" si="28"/>
        <v>#N/A</v>
      </c>
      <c r="CV18" s="106">
        <v>11</v>
      </c>
      <c r="CW18" s="90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307">
        <v>7</v>
      </c>
      <c r="DJ18" s="90">
        <f t="shared" si="50"/>
        <v>6.9999999999999951E-2</v>
      </c>
      <c r="DK18" s="90">
        <f t="shared" si="52"/>
        <v>2.0535806743093944E-2</v>
      </c>
      <c r="DL18" s="90" t="e">
        <f t="shared" si="53"/>
        <v>#N/A</v>
      </c>
      <c r="DM18" s="90">
        <f t="shared" si="54"/>
        <v>2.0535806743093944E-2</v>
      </c>
      <c r="DN18" s="90">
        <f t="shared" si="55"/>
        <v>32</v>
      </c>
      <c r="DO18" s="308">
        <f t="shared" si="51"/>
        <v>7.9999999999999828E-3</v>
      </c>
      <c r="DP18" s="307">
        <f t="shared" si="63"/>
        <v>6.999999999999984E-2</v>
      </c>
      <c r="DQ18" s="90">
        <f t="shared" si="56"/>
        <v>-2.6424226632553036E-2</v>
      </c>
      <c r="DR18" s="90">
        <f t="shared" si="57"/>
        <v>-2.6424226632553036E-2</v>
      </c>
      <c r="DS18" s="90">
        <f t="shared" si="64"/>
        <v>33</v>
      </c>
      <c r="DT18" s="308">
        <f t="shared" si="65"/>
        <v>7.9999999999999377E-3</v>
      </c>
      <c r="DU18" s="307">
        <f t="shared" si="58"/>
        <v>7.0000000000000173E-2</v>
      </c>
      <c r="DV18" s="90">
        <f t="shared" si="59"/>
        <v>9.7239747071672142E-2</v>
      </c>
      <c r="DW18" s="90">
        <f t="shared" si="60"/>
        <v>9.7239747071672142E-2</v>
      </c>
      <c r="DX18" s="90">
        <f t="shared" si="61"/>
        <v>34</v>
      </c>
      <c r="DY18" s="308">
        <f t="shared" si="62"/>
        <v>8.0000000000000696E-3</v>
      </c>
    </row>
    <row r="19" spans="1:129" ht="12" customHeight="1" x14ac:dyDescent="0.2">
      <c r="A19" s="180"/>
      <c r="B19" s="181" t="str">
        <f t="shared" si="29"/>
        <v/>
      </c>
      <c r="C19" s="838" t="str">
        <f t="shared" si="7"/>
        <v/>
      </c>
      <c r="D19" s="182" t="str">
        <f t="shared" si="8"/>
        <v/>
      </c>
      <c r="E19" s="183">
        <v>12</v>
      </c>
      <c r="F19" s="186"/>
      <c r="G19" s="186"/>
      <c r="H19" s="186"/>
      <c r="I19" s="186"/>
      <c r="J19" s="186"/>
      <c r="K19" s="396"/>
      <c r="L19" s="186"/>
      <c r="M19" s="186"/>
      <c r="N19" s="579" t="str">
        <f t="shared" si="30"/>
        <v/>
      </c>
      <c r="O19" s="579" t="str">
        <f t="shared" si="31"/>
        <v/>
      </c>
      <c r="P19" s="189" t="str">
        <f t="shared" si="32"/>
        <v/>
      </c>
      <c r="Q19" s="194"/>
      <c r="R19" s="397" t="str">
        <f t="shared" si="9"/>
        <v/>
      </c>
      <c r="S19" s="192"/>
      <c r="T19" s="193" t="str">
        <f t="shared" si="10"/>
        <v/>
      </c>
      <c r="U19" s="398"/>
      <c r="V19" s="105">
        <f t="shared" si="5"/>
        <v>9.5E-4</v>
      </c>
      <c r="W19" s="90"/>
      <c r="X19" s="90"/>
      <c r="Y19" s="90"/>
      <c r="Z19" s="90"/>
      <c r="AA19" s="90"/>
      <c r="AB19" s="90"/>
      <c r="AC19" s="90"/>
      <c r="AD19" s="90"/>
      <c r="AE19" s="90"/>
      <c r="AF19" s="87">
        <f t="shared" si="6"/>
        <v>9.5E-4</v>
      </c>
      <c r="AG19" s="399" t="s">
        <v>339</v>
      </c>
      <c r="AH19" s="400" t="str">
        <f t="shared" si="33"/>
        <v/>
      </c>
      <c r="AI19" s="197" t="s">
        <v>261</v>
      </c>
      <c r="AJ19" s="400" t="str">
        <f t="shared" si="34"/>
        <v/>
      </c>
      <c r="AK19" s="401" t="s">
        <v>259</v>
      </c>
      <c r="AV19" s="314"/>
      <c r="BG19" s="94">
        <f t="shared" si="35"/>
        <v>-999999999999</v>
      </c>
      <c r="BH19" s="95" t="str">
        <f t="shared" si="36"/>
        <v>zzzzzzzzzzzz</v>
      </c>
      <c r="BI19" s="290">
        <f t="shared" si="49"/>
        <v>-999999999999</v>
      </c>
      <c r="BJ19" s="402">
        <v>7</v>
      </c>
      <c r="BK19" s="201">
        <f t="shared" si="66"/>
        <v>0.70000000000000007</v>
      </c>
      <c r="BL19" s="201">
        <f t="shared" si="67"/>
        <v>0.73243698118951484</v>
      </c>
      <c r="BM19" s="201" t="e">
        <f t="shared" si="68"/>
        <v>#N/A</v>
      </c>
      <c r="BN19" s="421">
        <f t="shared" si="69"/>
        <v>39</v>
      </c>
      <c r="BO19" s="268" t="s">
        <v>327</v>
      </c>
      <c r="BP19" s="90">
        <f>IF(BP18=0,0,MAX(0,(BP16-BP15)/BP18))</f>
        <v>5.0907437425807191E-3</v>
      </c>
      <c r="BQ19" s="404">
        <f t="shared" si="37"/>
        <v>999</v>
      </c>
      <c r="BR19" s="405">
        <f t="shared" si="38"/>
        <v>999</v>
      </c>
      <c r="BS19" s="290" t="str">
        <f t="shared" si="39"/>
        <v/>
      </c>
      <c r="BT19" s="113">
        <v>12</v>
      </c>
      <c r="BU19" s="95" t="b">
        <f t="shared" si="40"/>
        <v>0</v>
      </c>
      <c r="BV19" s="406" t="str">
        <f t="shared" si="11"/>
        <v/>
      </c>
      <c r="BW19" s="90" t="str">
        <f t="shared" si="41"/>
        <v/>
      </c>
      <c r="BX19" s="90" t="str">
        <f t="shared" si="12"/>
        <v/>
      </c>
      <c r="BY19" s="201" t="str">
        <f t="shared" si="42"/>
        <v/>
      </c>
      <c r="BZ19" s="90" t="e">
        <f t="shared" si="43"/>
        <v>#N/A</v>
      </c>
      <c r="CA19" s="201" t="e">
        <f t="shared" si="44"/>
        <v>#N/A</v>
      </c>
      <c r="CB19" s="90" t="e">
        <f t="shared" si="13"/>
        <v>#N/A</v>
      </c>
      <c r="CC19" s="127" t="str">
        <f t="shared" si="14"/>
        <v/>
      </c>
      <c r="CD19" s="127" t="str">
        <f t="shared" si="15"/>
        <v/>
      </c>
      <c r="CE19" s="90" t="str">
        <f t="shared" si="16"/>
        <v/>
      </c>
      <c r="CF19" s="90" t="str">
        <f t="shared" si="17"/>
        <v/>
      </c>
      <c r="CG19" s="90" t="str">
        <f t="shared" si="45"/>
        <v/>
      </c>
      <c r="CH19" s="90" t="str">
        <f t="shared" si="46"/>
        <v/>
      </c>
      <c r="CI19" s="90" t="str">
        <f t="shared" si="47"/>
        <v/>
      </c>
      <c r="CJ19" s="90" t="str">
        <f t="shared" si="48"/>
        <v/>
      </c>
      <c r="CK19" s="90" t="str">
        <f t="shared" si="18"/>
        <v/>
      </c>
      <c r="CL19" s="90" t="str">
        <f t="shared" si="19"/>
        <v/>
      </c>
      <c r="CM19" s="106" t="e">
        <f t="shared" si="20"/>
        <v>#N/A</v>
      </c>
      <c r="CN19" s="90" t="e">
        <f t="shared" si="21"/>
        <v>#N/A</v>
      </c>
      <c r="CO19" s="90" t="e">
        <f t="shared" si="22"/>
        <v>#N/A</v>
      </c>
      <c r="CP19" s="90" t="e">
        <f t="shared" si="23"/>
        <v>#N/A</v>
      </c>
      <c r="CQ19" s="90" t="e">
        <f t="shared" si="24"/>
        <v>#N/A</v>
      </c>
      <c r="CR19" s="90" t="e">
        <f t="shared" si="25"/>
        <v>#N/A</v>
      </c>
      <c r="CS19" s="90" t="e">
        <f t="shared" si="26"/>
        <v>#N/A</v>
      </c>
      <c r="CT19" s="90" t="e">
        <f t="shared" si="27"/>
        <v>#N/A</v>
      </c>
      <c r="CU19" s="90" t="e">
        <f t="shared" si="28"/>
        <v>#N/A</v>
      </c>
      <c r="CV19" s="106">
        <v>12</v>
      </c>
      <c r="CW19" s="90"/>
      <c r="CX19" s="102"/>
      <c r="CY19" s="102"/>
      <c r="CZ19" s="102"/>
      <c r="DA19" s="102"/>
      <c r="DB19" s="102"/>
      <c r="DC19" s="102"/>
      <c r="DD19" s="102"/>
      <c r="DE19" s="102"/>
      <c r="DF19" s="102"/>
      <c r="DG19" s="102"/>
      <c r="DH19" s="102"/>
      <c r="DI19" s="307">
        <v>8</v>
      </c>
      <c r="DJ19" s="90">
        <f t="shared" si="50"/>
        <v>7.999999999999996E-2</v>
      </c>
      <c r="DK19" s="90">
        <f t="shared" si="52"/>
        <v>2.1329145644187905E-2</v>
      </c>
      <c r="DL19" s="90" t="e">
        <f t="shared" si="53"/>
        <v>#N/A</v>
      </c>
      <c r="DM19" s="90">
        <f t="shared" si="54"/>
        <v>2.1329145644187905E-2</v>
      </c>
      <c r="DN19" s="90">
        <f t="shared" si="55"/>
        <v>32</v>
      </c>
      <c r="DO19" s="308">
        <f t="shared" si="51"/>
        <v>1.1999999999999986E-2</v>
      </c>
      <c r="DP19" s="307">
        <f t="shared" si="63"/>
        <v>7.999999999999996E-2</v>
      </c>
      <c r="DQ19" s="90">
        <f t="shared" si="56"/>
        <v>-2.5791310419412523E-2</v>
      </c>
      <c r="DR19" s="90">
        <f t="shared" si="57"/>
        <v>-2.5791310419412523E-2</v>
      </c>
      <c r="DS19" s="90">
        <f t="shared" si="64"/>
        <v>33</v>
      </c>
      <c r="DT19" s="308">
        <f t="shared" si="65"/>
        <v>1.1999999999999986E-2</v>
      </c>
      <c r="DU19" s="307">
        <f t="shared" si="58"/>
        <v>8.0000000000000293E-2</v>
      </c>
      <c r="DV19" s="90">
        <f t="shared" si="59"/>
        <v>9.8523546520030147E-2</v>
      </c>
      <c r="DW19" s="90">
        <f t="shared" si="60"/>
        <v>9.8523546520030147E-2</v>
      </c>
      <c r="DX19" s="90">
        <f t="shared" si="61"/>
        <v>34</v>
      </c>
      <c r="DY19" s="308">
        <f t="shared" si="62"/>
        <v>1.2000000000000118E-2</v>
      </c>
    </row>
    <row r="20" spans="1:129" ht="12" customHeight="1" x14ac:dyDescent="0.2">
      <c r="A20" s="180"/>
      <c r="B20" s="181" t="str">
        <f t="shared" si="29"/>
        <v/>
      </c>
      <c r="C20" s="838" t="str">
        <f t="shared" si="7"/>
        <v/>
      </c>
      <c r="D20" s="182" t="str">
        <f t="shared" si="8"/>
        <v/>
      </c>
      <c r="E20" s="183">
        <v>13</v>
      </c>
      <c r="F20" s="186"/>
      <c r="G20" s="186"/>
      <c r="H20" s="186"/>
      <c r="I20" s="186"/>
      <c r="J20" s="186"/>
      <c r="K20" s="396"/>
      <c r="L20" s="186"/>
      <c r="M20" s="186"/>
      <c r="N20" s="579" t="str">
        <f t="shared" si="30"/>
        <v/>
      </c>
      <c r="O20" s="579" t="str">
        <f t="shared" si="31"/>
        <v/>
      </c>
      <c r="P20" s="189" t="str">
        <f t="shared" si="32"/>
        <v/>
      </c>
      <c r="Q20" s="194"/>
      <c r="R20" s="397" t="str">
        <f t="shared" si="9"/>
        <v/>
      </c>
      <c r="S20" s="192"/>
      <c r="T20" s="193" t="str">
        <f t="shared" si="10"/>
        <v/>
      </c>
      <c r="U20" s="398"/>
      <c r="V20" s="105">
        <f t="shared" si="5"/>
        <v>9.5E-4</v>
      </c>
      <c r="W20" s="90"/>
      <c r="X20" s="90"/>
      <c r="Y20" s="90"/>
      <c r="Z20" s="90"/>
      <c r="AA20" s="90"/>
      <c r="AB20" s="90"/>
      <c r="AC20" s="90"/>
      <c r="AD20" s="90"/>
      <c r="AE20" s="90"/>
      <c r="AF20" s="87">
        <f t="shared" si="6"/>
        <v>9.5E-4</v>
      </c>
      <c r="AG20" s="399" t="s">
        <v>339</v>
      </c>
      <c r="AH20" s="400" t="str">
        <f t="shared" si="33"/>
        <v/>
      </c>
      <c r="AI20" s="197" t="s">
        <v>261</v>
      </c>
      <c r="AJ20" s="400" t="str">
        <f t="shared" si="34"/>
        <v/>
      </c>
      <c r="AK20" s="401" t="s">
        <v>259</v>
      </c>
      <c r="AV20" s="314"/>
      <c r="BG20" s="94">
        <f t="shared" si="35"/>
        <v>-999999999999</v>
      </c>
      <c r="BH20" s="95" t="str">
        <f t="shared" si="36"/>
        <v>zzzzzzzzzzzz</v>
      </c>
      <c r="BI20" s="290">
        <f t="shared" si="49"/>
        <v>-999999999999</v>
      </c>
      <c r="BJ20" s="402">
        <v>6</v>
      </c>
      <c r="BK20" s="201">
        <f t="shared" si="66"/>
        <v>0.60000000000000009</v>
      </c>
      <c r="BL20" s="201">
        <f t="shared" si="67"/>
        <v>0.63243698118951486</v>
      </c>
      <c r="BM20" s="201" t="e">
        <f t="shared" si="68"/>
        <v>#N/A</v>
      </c>
      <c r="BN20" s="421">
        <f t="shared" si="69"/>
        <v>39</v>
      </c>
      <c r="BO20" s="268" t="s">
        <v>340</v>
      </c>
      <c r="BP20" s="90">
        <f>SQRT(BP19)</f>
        <v>7.1349448088830508E-2</v>
      </c>
      <c r="BQ20" s="404">
        <f t="shared" si="37"/>
        <v>999</v>
      </c>
      <c r="BR20" s="405">
        <f t="shared" si="38"/>
        <v>999</v>
      </c>
      <c r="BS20" s="290" t="str">
        <f t="shared" si="39"/>
        <v/>
      </c>
      <c r="BT20" s="113">
        <v>13</v>
      </c>
      <c r="BU20" s="95" t="b">
        <f t="shared" si="40"/>
        <v>0</v>
      </c>
      <c r="BV20" s="406" t="str">
        <f t="shared" si="11"/>
        <v/>
      </c>
      <c r="BW20" s="90" t="str">
        <f t="shared" si="41"/>
        <v/>
      </c>
      <c r="BX20" s="90" t="str">
        <f t="shared" si="12"/>
        <v/>
      </c>
      <c r="BY20" s="201" t="str">
        <f t="shared" si="42"/>
        <v/>
      </c>
      <c r="BZ20" s="90" t="e">
        <f t="shared" si="43"/>
        <v>#N/A</v>
      </c>
      <c r="CA20" s="201" t="e">
        <f t="shared" si="44"/>
        <v>#N/A</v>
      </c>
      <c r="CB20" s="90" t="e">
        <f t="shared" si="13"/>
        <v>#N/A</v>
      </c>
      <c r="CC20" s="127" t="str">
        <f t="shared" si="14"/>
        <v/>
      </c>
      <c r="CD20" s="127" t="str">
        <f t="shared" si="15"/>
        <v/>
      </c>
      <c r="CE20" s="90" t="str">
        <f t="shared" si="16"/>
        <v/>
      </c>
      <c r="CF20" s="90" t="str">
        <f t="shared" si="17"/>
        <v/>
      </c>
      <c r="CG20" s="90" t="str">
        <f t="shared" si="45"/>
        <v/>
      </c>
      <c r="CH20" s="90" t="str">
        <f t="shared" si="46"/>
        <v/>
      </c>
      <c r="CI20" s="90" t="str">
        <f t="shared" si="47"/>
        <v/>
      </c>
      <c r="CJ20" s="90" t="str">
        <f t="shared" si="48"/>
        <v/>
      </c>
      <c r="CK20" s="90" t="str">
        <f t="shared" si="18"/>
        <v/>
      </c>
      <c r="CL20" s="90" t="str">
        <f t="shared" si="19"/>
        <v/>
      </c>
      <c r="CM20" s="106" t="e">
        <f t="shared" si="20"/>
        <v>#N/A</v>
      </c>
      <c r="CN20" s="90" t="e">
        <f t="shared" si="21"/>
        <v>#N/A</v>
      </c>
      <c r="CO20" s="90" t="e">
        <f t="shared" si="22"/>
        <v>#N/A</v>
      </c>
      <c r="CP20" s="90" t="e">
        <f t="shared" si="23"/>
        <v>#N/A</v>
      </c>
      <c r="CQ20" s="90" t="e">
        <f t="shared" si="24"/>
        <v>#N/A</v>
      </c>
      <c r="CR20" s="90" t="e">
        <f t="shared" si="25"/>
        <v>#N/A</v>
      </c>
      <c r="CS20" s="90" t="e">
        <f t="shared" si="26"/>
        <v>#N/A</v>
      </c>
      <c r="CT20" s="90" t="e">
        <f t="shared" si="27"/>
        <v>#N/A</v>
      </c>
      <c r="CU20" s="90" t="e">
        <f t="shared" si="28"/>
        <v>#N/A</v>
      </c>
      <c r="CV20" s="106">
        <v>13</v>
      </c>
      <c r="CW20" s="90"/>
      <c r="CX20" s="102"/>
      <c r="CY20" s="102"/>
      <c r="CZ20" s="102"/>
      <c r="DA20" s="102"/>
      <c r="DB20" s="102"/>
      <c r="DC20" s="102"/>
      <c r="DD20" s="102"/>
      <c r="DE20" s="102"/>
      <c r="DF20" s="102"/>
      <c r="DG20" s="102"/>
      <c r="DH20" s="102"/>
      <c r="DI20" s="307">
        <v>9</v>
      </c>
      <c r="DJ20" s="90">
        <f t="shared" si="50"/>
        <v>9.000000000000008E-2</v>
      </c>
      <c r="DK20" s="90">
        <f t="shared" si="52"/>
        <v>2.2122484545281866E-2</v>
      </c>
      <c r="DL20" s="90" t="e">
        <f t="shared" si="53"/>
        <v>#N/A</v>
      </c>
      <c r="DM20" s="90">
        <f t="shared" si="54"/>
        <v>2.2122484545281866E-2</v>
      </c>
      <c r="DN20" s="90">
        <f t="shared" si="55"/>
        <v>32</v>
      </c>
      <c r="DO20" s="308">
        <f t="shared" si="51"/>
        <v>1.6000000000000032E-2</v>
      </c>
      <c r="DP20" s="307">
        <f t="shared" si="63"/>
        <v>8.9999999999999969E-2</v>
      </c>
      <c r="DQ20" s="90">
        <f t="shared" si="56"/>
        <v>-2.515839420627201E-2</v>
      </c>
      <c r="DR20" s="90">
        <f t="shared" si="57"/>
        <v>-2.515839420627201E-2</v>
      </c>
      <c r="DS20" s="90">
        <f t="shared" si="64"/>
        <v>33</v>
      </c>
      <c r="DT20" s="308">
        <f t="shared" si="65"/>
        <v>1.599999999999999E-2</v>
      </c>
      <c r="DU20" s="307">
        <f t="shared" si="58"/>
        <v>9.0000000000000302E-2</v>
      </c>
      <c r="DV20" s="90">
        <f t="shared" si="59"/>
        <v>9.9807345968388153E-2</v>
      </c>
      <c r="DW20" s="90">
        <f t="shared" si="60"/>
        <v>9.9807345968388153E-2</v>
      </c>
      <c r="DX20" s="90">
        <f t="shared" si="61"/>
        <v>34</v>
      </c>
      <c r="DY20" s="308">
        <f t="shared" si="62"/>
        <v>1.6000000000000122E-2</v>
      </c>
    </row>
    <row r="21" spans="1:129" ht="12" customHeight="1" x14ac:dyDescent="0.2">
      <c r="A21" s="180"/>
      <c r="B21" s="181" t="str">
        <f t="shared" si="29"/>
        <v/>
      </c>
      <c r="C21" s="838" t="str">
        <f t="shared" si="7"/>
        <v/>
      </c>
      <c r="D21" s="182" t="str">
        <f t="shared" si="8"/>
        <v/>
      </c>
      <c r="E21" s="183">
        <v>14</v>
      </c>
      <c r="F21" s="186"/>
      <c r="G21" s="186"/>
      <c r="H21" s="186"/>
      <c r="I21" s="186"/>
      <c r="J21" s="186"/>
      <c r="K21" s="396"/>
      <c r="L21" s="186"/>
      <c r="M21" s="186"/>
      <c r="N21" s="579" t="str">
        <f t="shared" si="30"/>
        <v/>
      </c>
      <c r="O21" s="579" t="str">
        <f t="shared" si="31"/>
        <v/>
      </c>
      <c r="P21" s="189" t="str">
        <f t="shared" si="32"/>
        <v/>
      </c>
      <c r="Q21" s="194"/>
      <c r="R21" s="397" t="str">
        <f t="shared" si="9"/>
        <v/>
      </c>
      <c r="S21" s="192"/>
      <c r="T21" s="193" t="str">
        <f t="shared" si="10"/>
        <v/>
      </c>
      <c r="U21" s="398"/>
      <c r="V21" s="105">
        <f t="shared" si="5"/>
        <v>9.5E-4</v>
      </c>
      <c r="W21" s="90"/>
      <c r="X21" s="90"/>
      <c r="Y21" s="90"/>
      <c r="Z21" s="90"/>
      <c r="AA21" s="90"/>
      <c r="AB21" s="90"/>
      <c r="AC21" s="90"/>
      <c r="AD21" s="90"/>
      <c r="AE21" s="90"/>
      <c r="AF21" s="87">
        <f t="shared" si="6"/>
        <v>9.5E-4</v>
      </c>
      <c r="AG21" s="399" t="s">
        <v>339</v>
      </c>
      <c r="AH21" s="400" t="str">
        <f t="shared" si="33"/>
        <v/>
      </c>
      <c r="AI21" s="197" t="s">
        <v>261</v>
      </c>
      <c r="AJ21" s="400" t="str">
        <f t="shared" si="34"/>
        <v/>
      </c>
      <c r="AK21" s="401" t="s">
        <v>259</v>
      </c>
      <c r="AV21" s="314"/>
      <c r="BG21" s="94">
        <f t="shared" si="35"/>
        <v>-999999999999</v>
      </c>
      <c r="BH21" s="95" t="str">
        <f t="shared" si="36"/>
        <v>zzzzzzzzzzzz</v>
      </c>
      <c r="BI21" s="290">
        <f t="shared" si="49"/>
        <v>-999999999999</v>
      </c>
      <c r="BJ21" s="402">
        <v>5</v>
      </c>
      <c r="BK21" s="201">
        <f t="shared" si="66"/>
        <v>0.5</v>
      </c>
      <c r="BL21" s="201">
        <f t="shared" si="67"/>
        <v>0.53243698118951477</v>
      </c>
      <c r="BM21" s="201" t="e">
        <f t="shared" si="68"/>
        <v>#N/A</v>
      </c>
      <c r="BN21" s="421">
        <f t="shared" si="69"/>
        <v>39</v>
      </c>
      <c r="BO21" s="291" t="s">
        <v>328</v>
      </c>
      <c r="BP21" s="90">
        <f>CL38/CK38</f>
        <v>9.4316324544832297E-2</v>
      </c>
      <c r="BQ21" s="404">
        <f t="shared" si="37"/>
        <v>999</v>
      </c>
      <c r="BR21" s="405">
        <f t="shared" si="38"/>
        <v>999</v>
      </c>
      <c r="BS21" s="290" t="str">
        <f t="shared" si="39"/>
        <v/>
      </c>
      <c r="BT21" s="113">
        <v>14</v>
      </c>
      <c r="BU21" s="95" t="b">
        <f t="shared" si="40"/>
        <v>0</v>
      </c>
      <c r="BV21" s="406" t="str">
        <f t="shared" si="11"/>
        <v/>
      </c>
      <c r="BW21" s="90" t="str">
        <f t="shared" si="41"/>
        <v/>
      </c>
      <c r="BX21" s="90" t="str">
        <f t="shared" si="12"/>
        <v/>
      </c>
      <c r="BY21" s="201" t="str">
        <f t="shared" si="42"/>
        <v/>
      </c>
      <c r="BZ21" s="90" t="e">
        <f t="shared" si="43"/>
        <v>#N/A</v>
      </c>
      <c r="CA21" s="201" t="e">
        <f t="shared" si="44"/>
        <v>#N/A</v>
      </c>
      <c r="CB21" s="90" t="e">
        <f t="shared" si="13"/>
        <v>#N/A</v>
      </c>
      <c r="CC21" s="127" t="str">
        <f t="shared" si="14"/>
        <v/>
      </c>
      <c r="CD21" s="127" t="str">
        <f t="shared" si="15"/>
        <v/>
      </c>
      <c r="CE21" s="90" t="str">
        <f t="shared" si="16"/>
        <v/>
      </c>
      <c r="CF21" s="90" t="str">
        <f t="shared" si="17"/>
        <v/>
      </c>
      <c r="CG21" s="90" t="str">
        <f t="shared" si="45"/>
        <v/>
      </c>
      <c r="CH21" s="90" t="str">
        <f t="shared" si="46"/>
        <v/>
      </c>
      <c r="CI21" s="90" t="str">
        <f t="shared" si="47"/>
        <v/>
      </c>
      <c r="CJ21" s="90" t="str">
        <f t="shared" si="48"/>
        <v/>
      </c>
      <c r="CK21" s="90" t="str">
        <f t="shared" si="18"/>
        <v/>
      </c>
      <c r="CL21" s="90" t="str">
        <f t="shared" si="19"/>
        <v/>
      </c>
      <c r="CM21" s="106" t="e">
        <f t="shared" si="20"/>
        <v>#N/A</v>
      </c>
      <c r="CN21" s="90" t="e">
        <f t="shared" si="21"/>
        <v>#N/A</v>
      </c>
      <c r="CO21" s="90" t="e">
        <f t="shared" si="22"/>
        <v>#N/A</v>
      </c>
      <c r="CP21" s="90" t="e">
        <f t="shared" si="23"/>
        <v>#N/A</v>
      </c>
      <c r="CQ21" s="90" t="e">
        <f t="shared" si="24"/>
        <v>#N/A</v>
      </c>
      <c r="CR21" s="90" t="e">
        <f t="shared" si="25"/>
        <v>#N/A</v>
      </c>
      <c r="CS21" s="90" t="e">
        <f t="shared" si="26"/>
        <v>#N/A</v>
      </c>
      <c r="CT21" s="90" t="e">
        <f t="shared" si="27"/>
        <v>#N/A</v>
      </c>
      <c r="CU21" s="90" t="e">
        <f t="shared" si="28"/>
        <v>#N/A</v>
      </c>
      <c r="CV21" s="106">
        <v>14</v>
      </c>
      <c r="CW21" s="90"/>
      <c r="CX21" s="102"/>
      <c r="CY21" s="102"/>
      <c r="CZ21" s="102"/>
      <c r="DA21" s="102"/>
      <c r="DB21" s="102"/>
      <c r="DC21" s="102"/>
      <c r="DD21" s="102"/>
      <c r="DE21" s="102"/>
      <c r="DF21" s="102"/>
      <c r="DG21" s="102"/>
      <c r="DH21" s="102"/>
      <c r="DI21" s="307">
        <v>10</v>
      </c>
      <c r="DJ21" s="90">
        <f t="shared" si="50"/>
        <v>9.9999999999999978E-2</v>
      </c>
      <c r="DK21" s="90">
        <f t="shared" si="52"/>
        <v>2.2915823446375827E-2</v>
      </c>
      <c r="DL21" s="90" t="e">
        <f t="shared" si="53"/>
        <v>#N/A</v>
      </c>
      <c r="DM21" s="90">
        <f t="shared" si="54"/>
        <v>2.2915823446375827E-2</v>
      </c>
      <c r="DN21" s="90">
        <f t="shared" si="55"/>
        <v>32</v>
      </c>
      <c r="DO21" s="308">
        <f t="shared" si="51"/>
        <v>1.9999999999999993E-2</v>
      </c>
      <c r="DP21" s="307">
        <f t="shared" si="63"/>
        <v>9.9999999999999867E-2</v>
      </c>
      <c r="DQ21" s="90">
        <f t="shared" si="56"/>
        <v>-2.4525477993131498E-2</v>
      </c>
      <c r="DR21" s="90">
        <f t="shared" si="57"/>
        <v>-2.4525477993131498E-2</v>
      </c>
      <c r="DS21" s="90">
        <f t="shared" si="64"/>
        <v>33</v>
      </c>
      <c r="DT21" s="308">
        <f t="shared" si="65"/>
        <v>1.9999999999999952E-2</v>
      </c>
      <c r="DU21" s="307">
        <f t="shared" si="58"/>
        <v>0.10000000000000031</v>
      </c>
      <c r="DV21" s="90">
        <f t="shared" si="59"/>
        <v>0.10109114541674616</v>
      </c>
      <c r="DW21" s="90">
        <f t="shared" si="60"/>
        <v>0.10109114541674616</v>
      </c>
      <c r="DX21" s="90">
        <f t="shared" si="61"/>
        <v>34</v>
      </c>
      <c r="DY21" s="308">
        <f t="shared" si="62"/>
        <v>2.0000000000000125E-2</v>
      </c>
    </row>
    <row r="22" spans="1:129" ht="12" customHeight="1" x14ac:dyDescent="0.2">
      <c r="A22" s="180"/>
      <c r="B22" s="181" t="str">
        <f t="shared" si="29"/>
        <v/>
      </c>
      <c r="C22" s="838" t="str">
        <f t="shared" si="7"/>
        <v/>
      </c>
      <c r="D22" s="182" t="str">
        <f t="shared" si="8"/>
        <v/>
      </c>
      <c r="E22" s="183">
        <v>15</v>
      </c>
      <c r="F22" s="186"/>
      <c r="G22" s="186"/>
      <c r="H22" s="186"/>
      <c r="I22" s="186"/>
      <c r="J22" s="186"/>
      <c r="K22" s="396"/>
      <c r="L22" s="186"/>
      <c r="M22" s="186"/>
      <c r="N22" s="579" t="str">
        <f t="shared" si="30"/>
        <v/>
      </c>
      <c r="O22" s="579" t="str">
        <f t="shared" si="31"/>
        <v/>
      </c>
      <c r="P22" s="189" t="str">
        <f t="shared" si="32"/>
        <v/>
      </c>
      <c r="Q22" s="194"/>
      <c r="R22" s="397" t="str">
        <f t="shared" si="9"/>
        <v/>
      </c>
      <c r="S22" s="192"/>
      <c r="T22" s="193" t="str">
        <f t="shared" si="10"/>
        <v/>
      </c>
      <c r="U22" s="398"/>
      <c r="V22" s="105">
        <f t="shared" si="5"/>
        <v>9.5E-4</v>
      </c>
      <c r="W22" s="90"/>
      <c r="X22" s="90"/>
      <c r="Y22" s="90"/>
      <c r="Z22" s="90"/>
      <c r="AA22" s="90"/>
      <c r="AB22" s="90"/>
      <c r="AC22" s="90"/>
      <c r="AD22" s="90"/>
      <c r="AE22" s="90"/>
      <c r="AF22" s="87">
        <f t="shared" si="6"/>
        <v>9.5E-4</v>
      </c>
      <c r="AG22" s="399" t="s">
        <v>339</v>
      </c>
      <c r="AH22" s="400" t="str">
        <f t="shared" si="33"/>
        <v/>
      </c>
      <c r="AI22" s="197" t="s">
        <v>261</v>
      </c>
      <c r="AJ22" s="400" t="str">
        <f t="shared" si="34"/>
        <v/>
      </c>
      <c r="AK22" s="401" t="s">
        <v>259</v>
      </c>
      <c r="AV22" s="314"/>
      <c r="BG22" s="94">
        <f t="shared" si="35"/>
        <v>-999999999999</v>
      </c>
      <c r="BH22" s="95" t="str">
        <f t="shared" si="36"/>
        <v>zzzzzzzzzzzz</v>
      </c>
      <c r="BI22" s="290">
        <f t="shared" si="49"/>
        <v>-999999999999</v>
      </c>
      <c r="BJ22" s="402">
        <v>4</v>
      </c>
      <c r="BK22" s="201">
        <f t="shared" si="66"/>
        <v>0.4</v>
      </c>
      <c r="BL22" s="201">
        <f t="shared" si="67"/>
        <v>0.43243698118951474</v>
      </c>
      <c r="BM22" s="201">
        <f t="shared" si="68"/>
        <v>0.43243698118951474</v>
      </c>
      <c r="BN22" s="421">
        <f t="shared" si="69"/>
        <v>39</v>
      </c>
      <c r="BO22" s="268" t="s">
        <v>329</v>
      </c>
      <c r="BP22" s="90">
        <f>1/CK38</f>
        <v>1.6384052032484048E-3</v>
      </c>
      <c r="BQ22" s="404">
        <f t="shared" si="37"/>
        <v>999</v>
      </c>
      <c r="BR22" s="405">
        <f t="shared" si="38"/>
        <v>999</v>
      </c>
      <c r="BS22" s="290" t="str">
        <f t="shared" si="39"/>
        <v/>
      </c>
      <c r="BT22" s="113">
        <v>15</v>
      </c>
      <c r="BU22" s="95" t="b">
        <f t="shared" si="40"/>
        <v>0</v>
      </c>
      <c r="BV22" s="406" t="str">
        <f t="shared" si="11"/>
        <v/>
      </c>
      <c r="BW22" s="90" t="str">
        <f t="shared" si="41"/>
        <v/>
      </c>
      <c r="BX22" s="90" t="str">
        <f t="shared" si="12"/>
        <v/>
      </c>
      <c r="BY22" s="201" t="str">
        <f t="shared" si="42"/>
        <v/>
      </c>
      <c r="BZ22" s="90" t="e">
        <f t="shared" si="43"/>
        <v>#N/A</v>
      </c>
      <c r="CA22" s="201" t="e">
        <f t="shared" si="44"/>
        <v>#N/A</v>
      </c>
      <c r="CB22" s="90" t="e">
        <f t="shared" si="13"/>
        <v>#N/A</v>
      </c>
      <c r="CC22" s="127" t="str">
        <f t="shared" si="14"/>
        <v/>
      </c>
      <c r="CD22" s="127" t="str">
        <f t="shared" si="15"/>
        <v/>
      </c>
      <c r="CE22" s="90" t="str">
        <f t="shared" si="16"/>
        <v/>
      </c>
      <c r="CF22" s="90" t="str">
        <f t="shared" si="17"/>
        <v/>
      </c>
      <c r="CG22" s="90" t="str">
        <f t="shared" si="45"/>
        <v/>
      </c>
      <c r="CH22" s="90" t="str">
        <f t="shared" si="46"/>
        <v/>
      </c>
      <c r="CI22" s="90" t="str">
        <f t="shared" si="47"/>
        <v/>
      </c>
      <c r="CJ22" s="90" t="str">
        <f t="shared" si="48"/>
        <v/>
      </c>
      <c r="CK22" s="90" t="str">
        <f t="shared" si="18"/>
        <v/>
      </c>
      <c r="CL22" s="90" t="str">
        <f t="shared" si="19"/>
        <v/>
      </c>
      <c r="CM22" s="106" t="e">
        <f t="shared" si="20"/>
        <v>#N/A</v>
      </c>
      <c r="CN22" s="90" t="e">
        <f t="shared" si="21"/>
        <v>#N/A</v>
      </c>
      <c r="CO22" s="90" t="e">
        <f t="shared" si="22"/>
        <v>#N/A</v>
      </c>
      <c r="CP22" s="90" t="e">
        <f t="shared" si="23"/>
        <v>#N/A</v>
      </c>
      <c r="CQ22" s="90" t="e">
        <f t="shared" si="24"/>
        <v>#N/A</v>
      </c>
      <c r="CR22" s="90" t="e">
        <f t="shared" si="25"/>
        <v>#N/A</v>
      </c>
      <c r="CS22" s="90" t="e">
        <f t="shared" si="26"/>
        <v>#N/A</v>
      </c>
      <c r="CT22" s="90" t="e">
        <f t="shared" si="27"/>
        <v>#N/A</v>
      </c>
      <c r="CU22" s="90" t="e">
        <f t="shared" si="28"/>
        <v>#N/A</v>
      </c>
      <c r="CV22" s="106">
        <v>15</v>
      </c>
      <c r="CW22" s="90"/>
      <c r="CX22" s="102"/>
      <c r="CY22" s="102"/>
      <c r="CZ22" s="102"/>
      <c r="DA22" s="102"/>
      <c r="DB22" s="102"/>
      <c r="DC22" s="102"/>
      <c r="DD22" s="102"/>
      <c r="DE22" s="102"/>
      <c r="DF22" s="102"/>
      <c r="DG22" s="102"/>
      <c r="DH22" s="102"/>
      <c r="DI22" s="307">
        <v>11</v>
      </c>
      <c r="DJ22" s="90">
        <f t="shared" si="50"/>
        <v>0.10999999999999999</v>
      </c>
      <c r="DK22" s="90">
        <f t="shared" si="52"/>
        <v>2.3709162347469788E-2</v>
      </c>
      <c r="DL22" s="90" t="e">
        <f t="shared" si="53"/>
        <v>#N/A</v>
      </c>
      <c r="DM22" s="90">
        <f t="shared" si="54"/>
        <v>2.3709162347469788E-2</v>
      </c>
      <c r="DN22" s="90">
        <f t="shared" si="55"/>
        <v>32</v>
      </c>
      <c r="DO22" s="308">
        <f t="shared" si="51"/>
        <v>2.3999999999999997E-2</v>
      </c>
      <c r="DP22" s="307">
        <f t="shared" si="63"/>
        <v>0.10999999999999988</v>
      </c>
      <c r="DQ22" s="90">
        <f t="shared" si="56"/>
        <v>-2.3892561779990985E-2</v>
      </c>
      <c r="DR22" s="90">
        <f t="shared" si="57"/>
        <v>-2.3892561779990985E-2</v>
      </c>
      <c r="DS22" s="90">
        <f t="shared" si="64"/>
        <v>33</v>
      </c>
      <c r="DT22" s="308">
        <f t="shared" si="65"/>
        <v>2.3999999999999955E-2</v>
      </c>
      <c r="DU22" s="307">
        <f t="shared" si="58"/>
        <v>0.11000000000000032</v>
      </c>
      <c r="DV22" s="90">
        <f t="shared" si="59"/>
        <v>0.10237494486510416</v>
      </c>
      <c r="DW22" s="90">
        <f t="shared" si="60"/>
        <v>0.10237494486510416</v>
      </c>
      <c r="DX22" s="90">
        <f t="shared" si="61"/>
        <v>34</v>
      </c>
      <c r="DY22" s="308">
        <f t="shared" si="62"/>
        <v>2.4000000000000129E-2</v>
      </c>
    </row>
    <row r="23" spans="1:129" ht="12" customHeight="1" x14ac:dyDescent="0.2">
      <c r="A23" s="180"/>
      <c r="B23" s="181" t="str">
        <f t="shared" si="29"/>
        <v/>
      </c>
      <c r="C23" s="838" t="str">
        <f t="shared" si="7"/>
        <v/>
      </c>
      <c r="D23" s="182" t="str">
        <f t="shared" si="8"/>
        <v/>
      </c>
      <c r="E23" s="183">
        <v>16</v>
      </c>
      <c r="F23" s="186"/>
      <c r="G23" s="186"/>
      <c r="H23" s="186"/>
      <c r="I23" s="186"/>
      <c r="J23" s="186"/>
      <c r="K23" s="396"/>
      <c r="L23" s="186"/>
      <c r="M23" s="186"/>
      <c r="N23" s="579" t="str">
        <f t="shared" si="30"/>
        <v/>
      </c>
      <c r="O23" s="579" t="str">
        <f t="shared" si="31"/>
        <v/>
      </c>
      <c r="P23" s="189" t="str">
        <f t="shared" si="32"/>
        <v/>
      </c>
      <c r="Q23" s="194"/>
      <c r="R23" s="397" t="str">
        <f t="shared" si="9"/>
        <v/>
      </c>
      <c r="S23" s="192"/>
      <c r="T23" s="193" t="str">
        <f t="shared" si="10"/>
        <v/>
      </c>
      <c r="U23" s="398"/>
      <c r="V23" s="105">
        <f t="shared" si="5"/>
        <v>9.5E-4</v>
      </c>
      <c r="W23" s="90"/>
      <c r="X23" s="90"/>
      <c r="Y23" s="90"/>
      <c r="Z23" s="90"/>
      <c r="AA23" s="90"/>
      <c r="AB23" s="90"/>
      <c r="AC23" s="90"/>
      <c r="AD23" s="90"/>
      <c r="AE23" s="90"/>
      <c r="AF23" s="87">
        <f t="shared" si="6"/>
        <v>9.5E-4</v>
      </c>
      <c r="AG23" s="399" t="s">
        <v>339</v>
      </c>
      <c r="AH23" s="400" t="str">
        <f t="shared" si="33"/>
        <v/>
      </c>
      <c r="AI23" s="197" t="s">
        <v>261</v>
      </c>
      <c r="AJ23" s="400" t="str">
        <f t="shared" si="34"/>
        <v/>
      </c>
      <c r="AK23" s="401" t="s">
        <v>259</v>
      </c>
      <c r="AV23" s="314"/>
      <c r="BG23" s="94">
        <f t="shared" si="35"/>
        <v>-999999999999</v>
      </c>
      <c r="BH23" s="95" t="str">
        <f t="shared" si="36"/>
        <v>zzzzzzzzzzzz</v>
      </c>
      <c r="BI23" s="290">
        <f t="shared" si="49"/>
        <v>-999999999999</v>
      </c>
      <c r="BJ23" s="402">
        <v>3</v>
      </c>
      <c r="BK23" s="201">
        <f t="shared" si="66"/>
        <v>0.30000000000000004</v>
      </c>
      <c r="BL23" s="201">
        <f t="shared" si="67"/>
        <v>0.33243698118951476</v>
      </c>
      <c r="BM23" s="201">
        <f t="shared" si="68"/>
        <v>0.33243698118951476</v>
      </c>
      <c r="BN23" s="421">
        <f t="shared" si="69"/>
        <v>39</v>
      </c>
      <c r="BO23" s="268" t="s">
        <v>330</v>
      </c>
      <c r="BP23" s="90">
        <f>SQRT(BP22)</f>
        <v>4.0477218323995597E-2</v>
      </c>
      <c r="BQ23" s="404">
        <f t="shared" si="37"/>
        <v>999</v>
      </c>
      <c r="BR23" s="405">
        <f t="shared" si="38"/>
        <v>999</v>
      </c>
      <c r="BS23" s="290" t="str">
        <f t="shared" si="39"/>
        <v/>
      </c>
      <c r="BT23" s="113">
        <v>16</v>
      </c>
      <c r="BU23" s="95" t="b">
        <f t="shared" si="40"/>
        <v>0</v>
      </c>
      <c r="BV23" s="406" t="str">
        <f t="shared" si="11"/>
        <v/>
      </c>
      <c r="BW23" s="90" t="str">
        <f t="shared" si="41"/>
        <v/>
      </c>
      <c r="BX23" s="90" t="str">
        <f t="shared" si="12"/>
        <v/>
      </c>
      <c r="BY23" s="201" t="str">
        <f t="shared" si="42"/>
        <v/>
      </c>
      <c r="BZ23" s="90" t="e">
        <f t="shared" si="43"/>
        <v>#N/A</v>
      </c>
      <c r="CA23" s="201" t="e">
        <f t="shared" si="44"/>
        <v>#N/A</v>
      </c>
      <c r="CB23" s="90" t="e">
        <f t="shared" si="13"/>
        <v>#N/A</v>
      </c>
      <c r="CC23" s="127" t="str">
        <f t="shared" si="14"/>
        <v/>
      </c>
      <c r="CD23" s="127" t="str">
        <f t="shared" si="15"/>
        <v/>
      </c>
      <c r="CE23" s="90" t="str">
        <f t="shared" si="16"/>
        <v/>
      </c>
      <c r="CF23" s="90" t="str">
        <f t="shared" si="17"/>
        <v/>
      </c>
      <c r="CG23" s="90" t="str">
        <f t="shared" si="45"/>
        <v/>
      </c>
      <c r="CH23" s="90" t="str">
        <f t="shared" si="46"/>
        <v/>
      </c>
      <c r="CI23" s="90" t="str">
        <f t="shared" si="47"/>
        <v/>
      </c>
      <c r="CJ23" s="90" t="str">
        <f t="shared" si="48"/>
        <v/>
      </c>
      <c r="CK23" s="90" t="str">
        <f t="shared" si="18"/>
        <v/>
      </c>
      <c r="CL23" s="90" t="str">
        <f t="shared" si="19"/>
        <v/>
      </c>
      <c r="CM23" s="106" t="e">
        <f t="shared" si="20"/>
        <v>#N/A</v>
      </c>
      <c r="CN23" s="90" t="e">
        <f t="shared" si="21"/>
        <v>#N/A</v>
      </c>
      <c r="CO23" s="90" t="e">
        <f t="shared" si="22"/>
        <v>#N/A</v>
      </c>
      <c r="CP23" s="90" t="e">
        <f t="shared" si="23"/>
        <v>#N/A</v>
      </c>
      <c r="CQ23" s="90" t="e">
        <f t="shared" si="24"/>
        <v>#N/A</v>
      </c>
      <c r="CR23" s="90" t="e">
        <f t="shared" si="25"/>
        <v>#N/A</v>
      </c>
      <c r="CS23" s="90" t="e">
        <f t="shared" si="26"/>
        <v>#N/A</v>
      </c>
      <c r="CT23" s="90" t="e">
        <f t="shared" si="27"/>
        <v>#N/A</v>
      </c>
      <c r="CU23" s="90" t="e">
        <f t="shared" si="28"/>
        <v>#N/A</v>
      </c>
      <c r="CV23" s="106">
        <v>16</v>
      </c>
      <c r="CW23" s="90"/>
      <c r="CX23" s="102"/>
      <c r="CY23" s="102"/>
      <c r="CZ23" s="102"/>
      <c r="DA23" s="102"/>
      <c r="DB23" s="102"/>
      <c r="DC23" s="102"/>
      <c r="DD23" s="102"/>
      <c r="DE23" s="102"/>
      <c r="DF23" s="102"/>
      <c r="DG23" s="102"/>
      <c r="DH23" s="102"/>
      <c r="DI23" s="307">
        <v>12</v>
      </c>
      <c r="DJ23" s="90">
        <f t="shared" si="50"/>
        <v>0.12</v>
      </c>
      <c r="DK23" s="90">
        <f t="shared" si="52"/>
        <v>2.4502501248563749E-2</v>
      </c>
      <c r="DL23" s="90" t="e">
        <f t="shared" si="53"/>
        <v>#N/A</v>
      </c>
      <c r="DM23" s="90">
        <f t="shared" si="54"/>
        <v>2.4502501248563749E-2</v>
      </c>
      <c r="DN23" s="90">
        <f t="shared" si="55"/>
        <v>32</v>
      </c>
      <c r="DO23" s="308">
        <f t="shared" si="51"/>
        <v>2.8000000000000001E-2</v>
      </c>
      <c r="DP23" s="307">
        <f t="shared" si="63"/>
        <v>0.11999999999999988</v>
      </c>
      <c r="DQ23" s="90">
        <f t="shared" si="56"/>
        <v>-2.3259645566850472E-2</v>
      </c>
      <c r="DR23" s="90">
        <f t="shared" si="57"/>
        <v>-2.3259645566850472E-2</v>
      </c>
      <c r="DS23" s="90">
        <f t="shared" si="64"/>
        <v>33</v>
      </c>
      <c r="DT23" s="308">
        <f t="shared" si="65"/>
        <v>2.7999999999999959E-2</v>
      </c>
      <c r="DU23" s="307">
        <f t="shared" si="58"/>
        <v>0.12000000000000033</v>
      </c>
      <c r="DV23" s="90">
        <f t="shared" si="59"/>
        <v>0.10365874431346217</v>
      </c>
      <c r="DW23" s="90">
        <f t="shared" si="60"/>
        <v>0.10365874431346217</v>
      </c>
      <c r="DX23" s="90">
        <f t="shared" si="61"/>
        <v>34</v>
      </c>
      <c r="DY23" s="308">
        <f t="shared" si="62"/>
        <v>2.8000000000000132E-2</v>
      </c>
    </row>
    <row r="24" spans="1:129" ht="12" customHeight="1" x14ac:dyDescent="0.2">
      <c r="A24" s="180"/>
      <c r="B24" s="181" t="str">
        <f t="shared" si="29"/>
        <v/>
      </c>
      <c r="C24" s="838" t="str">
        <f t="shared" si="7"/>
        <v/>
      </c>
      <c r="D24" s="182" t="str">
        <f t="shared" si="8"/>
        <v/>
      </c>
      <c r="E24" s="183">
        <v>17</v>
      </c>
      <c r="F24" s="186"/>
      <c r="G24" s="186"/>
      <c r="H24" s="186"/>
      <c r="I24" s="186"/>
      <c r="J24" s="186"/>
      <c r="K24" s="396"/>
      <c r="L24" s="186"/>
      <c r="M24" s="186"/>
      <c r="N24" s="579" t="str">
        <f t="shared" si="30"/>
        <v/>
      </c>
      <c r="O24" s="579" t="str">
        <f t="shared" si="31"/>
        <v/>
      </c>
      <c r="P24" s="189" t="str">
        <f t="shared" si="32"/>
        <v/>
      </c>
      <c r="Q24" s="194"/>
      <c r="R24" s="397" t="str">
        <f t="shared" si="9"/>
        <v/>
      </c>
      <c r="S24" s="192"/>
      <c r="T24" s="193" t="str">
        <f t="shared" si="10"/>
        <v/>
      </c>
      <c r="U24" s="398"/>
      <c r="V24" s="105">
        <f t="shared" si="5"/>
        <v>9.5E-4</v>
      </c>
      <c r="W24" s="90"/>
      <c r="X24" s="90"/>
      <c r="Y24" s="90"/>
      <c r="Z24" s="90"/>
      <c r="AA24" s="90"/>
      <c r="AB24" s="90"/>
      <c r="AC24" s="90"/>
      <c r="AD24" s="90"/>
      <c r="AE24" s="90"/>
      <c r="AF24" s="87">
        <f t="shared" si="6"/>
        <v>9.5E-4</v>
      </c>
      <c r="AG24" s="399" t="s">
        <v>339</v>
      </c>
      <c r="AH24" s="400" t="str">
        <f t="shared" si="33"/>
        <v/>
      </c>
      <c r="AI24" s="197" t="s">
        <v>261</v>
      </c>
      <c r="AJ24" s="400" t="str">
        <f t="shared" si="34"/>
        <v/>
      </c>
      <c r="AK24" s="401" t="s">
        <v>259</v>
      </c>
      <c r="AV24" s="314"/>
      <c r="BG24" s="94">
        <f t="shared" si="35"/>
        <v>-999999999999</v>
      </c>
      <c r="BH24" s="95" t="str">
        <f t="shared" si="36"/>
        <v>zzzzzzzzzzzz</v>
      </c>
      <c r="BI24" s="290">
        <f t="shared" si="49"/>
        <v>-999999999999</v>
      </c>
      <c r="BJ24" s="402">
        <v>2</v>
      </c>
      <c r="BK24" s="201">
        <f t="shared" si="66"/>
        <v>0.2</v>
      </c>
      <c r="BL24" s="201">
        <f t="shared" si="67"/>
        <v>0.23243698118951475</v>
      </c>
      <c r="BM24" s="201">
        <f t="shared" si="68"/>
        <v>0.23243698118951475</v>
      </c>
      <c r="BN24" s="421">
        <f t="shared" si="69"/>
        <v>39</v>
      </c>
      <c r="BO24" s="268" t="s">
        <v>331</v>
      </c>
      <c r="BP24" s="90">
        <f>NORMSINV((100+$M$2)/200)*BP23</f>
        <v>7.933389010939608E-2</v>
      </c>
      <c r="BQ24" s="404">
        <f t="shared" si="37"/>
        <v>999</v>
      </c>
      <c r="BR24" s="405">
        <f t="shared" si="38"/>
        <v>999</v>
      </c>
      <c r="BS24" s="290" t="str">
        <f t="shared" si="39"/>
        <v/>
      </c>
      <c r="BT24" s="113">
        <v>17</v>
      </c>
      <c r="BU24" s="95" t="b">
        <f t="shared" si="40"/>
        <v>0</v>
      </c>
      <c r="BV24" s="406" t="str">
        <f t="shared" si="11"/>
        <v/>
      </c>
      <c r="BW24" s="90" t="str">
        <f t="shared" si="41"/>
        <v/>
      </c>
      <c r="BX24" s="90" t="str">
        <f t="shared" si="12"/>
        <v/>
      </c>
      <c r="BY24" s="201" t="str">
        <f t="shared" si="42"/>
        <v/>
      </c>
      <c r="BZ24" s="90" t="e">
        <f t="shared" si="43"/>
        <v>#N/A</v>
      </c>
      <c r="CA24" s="201" t="e">
        <f t="shared" si="44"/>
        <v>#N/A</v>
      </c>
      <c r="CB24" s="90" t="e">
        <f t="shared" si="13"/>
        <v>#N/A</v>
      </c>
      <c r="CC24" s="127" t="str">
        <f t="shared" si="14"/>
        <v/>
      </c>
      <c r="CD24" s="127" t="str">
        <f t="shared" si="15"/>
        <v/>
      </c>
      <c r="CE24" s="90" t="str">
        <f t="shared" si="16"/>
        <v/>
      </c>
      <c r="CF24" s="90" t="str">
        <f t="shared" si="17"/>
        <v/>
      </c>
      <c r="CG24" s="90" t="str">
        <f t="shared" si="45"/>
        <v/>
      </c>
      <c r="CH24" s="90" t="str">
        <f t="shared" si="46"/>
        <v/>
      </c>
      <c r="CI24" s="90" t="str">
        <f t="shared" si="47"/>
        <v/>
      </c>
      <c r="CJ24" s="90" t="str">
        <f t="shared" si="48"/>
        <v/>
      </c>
      <c r="CK24" s="90" t="str">
        <f t="shared" si="18"/>
        <v/>
      </c>
      <c r="CL24" s="90" t="str">
        <f t="shared" si="19"/>
        <v/>
      </c>
      <c r="CM24" s="106" t="e">
        <f t="shared" si="20"/>
        <v>#N/A</v>
      </c>
      <c r="CN24" s="90" t="e">
        <f t="shared" si="21"/>
        <v>#N/A</v>
      </c>
      <c r="CO24" s="90" t="e">
        <f t="shared" si="22"/>
        <v>#N/A</v>
      </c>
      <c r="CP24" s="90" t="e">
        <f t="shared" si="23"/>
        <v>#N/A</v>
      </c>
      <c r="CQ24" s="90" t="e">
        <f t="shared" si="24"/>
        <v>#N/A</v>
      </c>
      <c r="CR24" s="90" t="e">
        <f t="shared" si="25"/>
        <v>#N/A</v>
      </c>
      <c r="CS24" s="90" t="e">
        <f t="shared" si="26"/>
        <v>#N/A</v>
      </c>
      <c r="CT24" s="90" t="e">
        <f t="shared" si="27"/>
        <v>#N/A</v>
      </c>
      <c r="CU24" s="90" t="e">
        <f t="shared" si="28"/>
        <v>#N/A</v>
      </c>
      <c r="CV24" s="106">
        <v>17</v>
      </c>
      <c r="CW24" s="90"/>
      <c r="CX24" s="102"/>
      <c r="CY24" s="102"/>
      <c r="CZ24" s="102"/>
      <c r="DA24" s="102"/>
      <c r="DB24" s="102"/>
      <c r="DC24" s="102"/>
      <c r="DD24" s="102"/>
      <c r="DE24" s="102"/>
      <c r="DF24" s="102"/>
      <c r="DG24" s="102"/>
      <c r="DH24" s="102"/>
      <c r="DI24" s="307">
        <v>13</v>
      </c>
      <c r="DJ24" s="90">
        <f t="shared" si="50"/>
        <v>0.13000000000000012</v>
      </c>
      <c r="DK24" s="90">
        <f t="shared" si="52"/>
        <v>2.529584014965771E-2</v>
      </c>
      <c r="DL24" s="90" t="e">
        <f t="shared" si="53"/>
        <v>#N/A</v>
      </c>
      <c r="DM24" s="90">
        <f t="shared" si="54"/>
        <v>2.529584014965771E-2</v>
      </c>
      <c r="DN24" s="90">
        <f t="shared" si="55"/>
        <v>32</v>
      </c>
      <c r="DO24" s="308">
        <f t="shared" si="51"/>
        <v>3.2000000000000042E-2</v>
      </c>
      <c r="DP24" s="307">
        <f t="shared" si="63"/>
        <v>0.12999999999999989</v>
      </c>
      <c r="DQ24" s="90">
        <f t="shared" si="56"/>
        <v>-2.2626729353709959E-2</v>
      </c>
      <c r="DR24" s="90">
        <f t="shared" si="57"/>
        <v>-2.2626729353709959E-2</v>
      </c>
      <c r="DS24" s="90">
        <f t="shared" si="64"/>
        <v>33</v>
      </c>
      <c r="DT24" s="308">
        <f t="shared" si="65"/>
        <v>3.1999999999999959E-2</v>
      </c>
      <c r="DU24" s="307">
        <f t="shared" si="58"/>
        <v>0.13000000000000045</v>
      </c>
      <c r="DV24" s="90">
        <f t="shared" si="59"/>
        <v>0.10494254376182018</v>
      </c>
      <c r="DW24" s="90">
        <f t="shared" si="60"/>
        <v>0.10494254376182018</v>
      </c>
      <c r="DX24" s="90">
        <f t="shared" si="61"/>
        <v>34</v>
      </c>
      <c r="DY24" s="308">
        <f t="shared" si="62"/>
        <v>3.2000000000000181E-2</v>
      </c>
    </row>
    <row r="25" spans="1:129" ht="12" customHeight="1" x14ac:dyDescent="0.2">
      <c r="A25" s="180"/>
      <c r="B25" s="181" t="str">
        <f t="shared" si="29"/>
        <v/>
      </c>
      <c r="C25" s="838" t="str">
        <f t="shared" si="7"/>
        <v/>
      </c>
      <c r="D25" s="182" t="str">
        <f t="shared" si="8"/>
        <v/>
      </c>
      <c r="E25" s="183">
        <v>18</v>
      </c>
      <c r="F25" s="186"/>
      <c r="G25" s="186"/>
      <c r="H25" s="186"/>
      <c r="I25" s="186"/>
      <c r="J25" s="186"/>
      <c r="K25" s="396"/>
      <c r="L25" s="186"/>
      <c r="M25" s="186"/>
      <c r="N25" s="579" t="str">
        <f t="shared" si="30"/>
        <v/>
      </c>
      <c r="O25" s="579" t="str">
        <f t="shared" si="31"/>
        <v/>
      </c>
      <c r="P25" s="189" t="str">
        <f t="shared" si="32"/>
        <v/>
      </c>
      <c r="Q25" s="194"/>
      <c r="R25" s="397" t="str">
        <f t="shared" si="9"/>
        <v/>
      </c>
      <c r="S25" s="192"/>
      <c r="T25" s="193" t="str">
        <f t="shared" si="10"/>
        <v/>
      </c>
      <c r="U25" s="398"/>
      <c r="V25" s="105">
        <f t="shared" si="5"/>
        <v>9.5E-4</v>
      </c>
      <c r="W25" s="90"/>
      <c r="X25" s="90"/>
      <c r="Y25" s="90"/>
      <c r="Z25" s="90"/>
      <c r="AA25" s="90"/>
      <c r="AB25" s="90"/>
      <c r="AC25" s="90"/>
      <c r="AD25" s="90"/>
      <c r="AE25" s="90"/>
      <c r="AF25" s="87">
        <f t="shared" si="6"/>
        <v>9.5E-4</v>
      </c>
      <c r="AG25" s="399" t="s">
        <v>339</v>
      </c>
      <c r="AH25" s="400" t="str">
        <f t="shared" si="33"/>
        <v/>
      </c>
      <c r="AI25" s="197" t="s">
        <v>261</v>
      </c>
      <c r="AJ25" s="400" t="str">
        <f t="shared" si="34"/>
        <v/>
      </c>
      <c r="AK25" s="401" t="s">
        <v>259</v>
      </c>
      <c r="AV25" s="314"/>
      <c r="BG25" s="94">
        <f t="shared" si="35"/>
        <v>-999999999999</v>
      </c>
      <c r="BH25" s="95" t="str">
        <f t="shared" si="36"/>
        <v>zzzzzzzzzzzz</v>
      </c>
      <c r="BI25" s="290">
        <f t="shared" si="49"/>
        <v>-999999999999</v>
      </c>
      <c r="BJ25" s="402">
        <v>1</v>
      </c>
      <c r="BK25" s="201">
        <f t="shared" si="66"/>
        <v>0.1</v>
      </c>
      <c r="BL25" s="201">
        <f t="shared" si="67"/>
        <v>0.13243698118951475</v>
      </c>
      <c r="BM25" s="201">
        <f t="shared" si="68"/>
        <v>0.13243698118951475</v>
      </c>
      <c r="BN25" s="421">
        <f t="shared" si="69"/>
        <v>39</v>
      </c>
      <c r="BO25" s="268" t="s">
        <v>332</v>
      </c>
      <c r="BP25" s="90">
        <f>BP21-BP24</f>
        <v>1.4982434435436218E-2</v>
      </c>
      <c r="BQ25" s="404">
        <f t="shared" si="37"/>
        <v>999</v>
      </c>
      <c r="BR25" s="405">
        <f t="shared" si="38"/>
        <v>999</v>
      </c>
      <c r="BS25" s="290" t="str">
        <f t="shared" si="39"/>
        <v/>
      </c>
      <c r="BT25" s="113">
        <v>18</v>
      </c>
      <c r="BU25" s="95" t="b">
        <f t="shared" si="40"/>
        <v>0</v>
      </c>
      <c r="BV25" s="406" t="str">
        <f t="shared" si="11"/>
        <v/>
      </c>
      <c r="BW25" s="90" t="str">
        <f t="shared" si="41"/>
        <v/>
      </c>
      <c r="BX25" s="90" t="str">
        <f t="shared" si="12"/>
        <v/>
      </c>
      <c r="BY25" s="201" t="str">
        <f t="shared" si="42"/>
        <v/>
      </c>
      <c r="BZ25" s="90" t="e">
        <f t="shared" si="43"/>
        <v>#N/A</v>
      </c>
      <c r="CA25" s="201" t="e">
        <f t="shared" si="44"/>
        <v>#N/A</v>
      </c>
      <c r="CB25" s="90" t="e">
        <f t="shared" si="13"/>
        <v>#N/A</v>
      </c>
      <c r="CC25" s="127" t="str">
        <f t="shared" si="14"/>
        <v/>
      </c>
      <c r="CD25" s="127" t="str">
        <f t="shared" si="15"/>
        <v/>
      </c>
      <c r="CE25" s="90" t="str">
        <f t="shared" si="16"/>
        <v/>
      </c>
      <c r="CF25" s="90" t="str">
        <f t="shared" si="17"/>
        <v/>
      </c>
      <c r="CG25" s="90" t="str">
        <f t="shared" si="45"/>
        <v/>
      </c>
      <c r="CH25" s="90" t="str">
        <f t="shared" si="46"/>
        <v/>
      </c>
      <c r="CI25" s="90" t="str">
        <f t="shared" si="47"/>
        <v/>
      </c>
      <c r="CJ25" s="90" t="str">
        <f t="shared" si="48"/>
        <v/>
      </c>
      <c r="CK25" s="90" t="str">
        <f t="shared" si="18"/>
        <v/>
      </c>
      <c r="CL25" s="90" t="str">
        <f t="shared" si="19"/>
        <v/>
      </c>
      <c r="CM25" s="106" t="e">
        <f t="shared" si="20"/>
        <v>#N/A</v>
      </c>
      <c r="CN25" s="90" t="e">
        <f t="shared" si="21"/>
        <v>#N/A</v>
      </c>
      <c r="CO25" s="90" t="e">
        <f t="shared" si="22"/>
        <v>#N/A</v>
      </c>
      <c r="CP25" s="90" t="e">
        <f t="shared" si="23"/>
        <v>#N/A</v>
      </c>
      <c r="CQ25" s="90" t="e">
        <f t="shared" si="24"/>
        <v>#N/A</v>
      </c>
      <c r="CR25" s="90" t="e">
        <f t="shared" si="25"/>
        <v>#N/A</v>
      </c>
      <c r="CS25" s="90" t="e">
        <f t="shared" si="26"/>
        <v>#N/A</v>
      </c>
      <c r="CT25" s="90" t="e">
        <f t="shared" si="27"/>
        <v>#N/A</v>
      </c>
      <c r="CU25" s="90" t="e">
        <f t="shared" si="28"/>
        <v>#N/A</v>
      </c>
      <c r="CV25" s="106">
        <v>18</v>
      </c>
      <c r="CW25" s="90"/>
      <c r="CX25" s="102"/>
      <c r="CY25" s="102"/>
      <c r="CZ25" s="102"/>
      <c r="DA25" s="102"/>
      <c r="DB25" s="102"/>
      <c r="DC25" s="102"/>
      <c r="DD25" s="102"/>
      <c r="DE25" s="102"/>
      <c r="DF25" s="102"/>
      <c r="DG25" s="102"/>
      <c r="DH25" s="102"/>
      <c r="DI25" s="307">
        <v>14</v>
      </c>
      <c r="DJ25" s="90">
        <f t="shared" si="50"/>
        <v>0.14000000000000001</v>
      </c>
      <c r="DK25" s="90">
        <f t="shared" si="52"/>
        <v>2.6089179050751671E-2</v>
      </c>
      <c r="DL25" s="90" t="e">
        <f t="shared" si="53"/>
        <v>#N/A</v>
      </c>
      <c r="DM25" s="90">
        <f t="shared" si="54"/>
        <v>2.6089179050751671E-2</v>
      </c>
      <c r="DN25" s="90">
        <f t="shared" si="55"/>
        <v>32</v>
      </c>
      <c r="DO25" s="308">
        <f t="shared" si="51"/>
        <v>3.6000000000000004E-2</v>
      </c>
      <c r="DP25" s="307">
        <f t="shared" si="63"/>
        <v>0.13999999999999979</v>
      </c>
      <c r="DQ25" s="90">
        <f t="shared" si="56"/>
        <v>-2.1993813140569446E-2</v>
      </c>
      <c r="DR25" s="90">
        <f t="shared" si="57"/>
        <v>-2.1993813140569446E-2</v>
      </c>
      <c r="DS25" s="90">
        <f t="shared" si="64"/>
        <v>33</v>
      </c>
      <c r="DT25" s="308">
        <f t="shared" si="65"/>
        <v>3.5999999999999921E-2</v>
      </c>
      <c r="DU25" s="307">
        <f t="shared" si="58"/>
        <v>0.14000000000000046</v>
      </c>
      <c r="DV25" s="90">
        <f t="shared" si="59"/>
        <v>0.10622634321017818</v>
      </c>
      <c r="DW25" s="90">
        <f t="shared" si="60"/>
        <v>0.10622634321017818</v>
      </c>
      <c r="DX25" s="90">
        <f t="shared" si="61"/>
        <v>34</v>
      </c>
      <c r="DY25" s="308">
        <f t="shared" si="62"/>
        <v>3.6000000000000185E-2</v>
      </c>
    </row>
    <row r="26" spans="1:129" ht="12" customHeight="1" x14ac:dyDescent="0.2">
      <c r="A26" s="180"/>
      <c r="B26" s="181" t="str">
        <f t="shared" si="29"/>
        <v/>
      </c>
      <c r="C26" s="838" t="str">
        <f t="shared" si="7"/>
        <v/>
      </c>
      <c r="D26" s="182" t="str">
        <f t="shared" si="8"/>
        <v/>
      </c>
      <c r="E26" s="183">
        <v>19</v>
      </c>
      <c r="F26" s="186"/>
      <c r="G26" s="186"/>
      <c r="H26" s="186"/>
      <c r="I26" s="186"/>
      <c r="J26" s="186"/>
      <c r="K26" s="396"/>
      <c r="L26" s="186"/>
      <c r="M26" s="186"/>
      <c r="N26" s="579" t="str">
        <f t="shared" si="30"/>
        <v/>
      </c>
      <c r="O26" s="579" t="str">
        <f t="shared" si="31"/>
        <v/>
      </c>
      <c r="P26" s="189" t="str">
        <f t="shared" si="32"/>
        <v/>
      </c>
      <c r="Q26" s="194"/>
      <c r="R26" s="397" t="str">
        <f t="shared" si="9"/>
        <v/>
      </c>
      <c r="S26" s="192"/>
      <c r="T26" s="193" t="str">
        <f t="shared" si="10"/>
        <v/>
      </c>
      <c r="U26" s="398"/>
      <c r="V26" s="105">
        <f t="shared" si="5"/>
        <v>9.5E-4</v>
      </c>
      <c r="W26" s="90"/>
      <c r="X26" s="90"/>
      <c r="Y26" s="90"/>
      <c r="Z26" s="90"/>
      <c r="AA26" s="90"/>
      <c r="AB26" s="90"/>
      <c r="AC26" s="90"/>
      <c r="AD26" s="90"/>
      <c r="AE26" s="90"/>
      <c r="AF26" s="87">
        <f t="shared" si="6"/>
        <v>9.5E-4</v>
      </c>
      <c r="AG26" s="399" t="s">
        <v>339</v>
      </c>
      <c r="AH26" s="400" t="str">
        <f t="shared" si="33"/>
        <v/>
      </c>
      <c r="AI26" s="197" t="s">
        <v>261</v>
      </c>
      <c r="AJ26" s="400" t="str">
        <f t="shared" si="34"/>
        <v/>
      </c>
      <c r="AK26" s="401" t="s">
        <v>259</v>
      </c>
      <c r="AV26" s="314"/>
      <c r="BG26" s="94">
        <f t="shared" si="35"/>
        <v>-999999999999</v>
      </c>
      <c r="BH26" s="95" t="str">
        <f t="shared" si="36"/>
        <v>zzzzzzzzzzzz</v>
      </c>
      <c r="BI26" s="290">
        <f t="shared" si="49"/>
        <v>-999999999999</v>
      </c>
      <c r="BJ26" s="402">
        <v>0</v>
      </c>
      <c r="BK26" s="201">
        <f t="shared" si="66"/>
        <v>0</v>
      </c>
      <c r="BL26" s="201">
        <f t="shared" si="67"/>
        <v>3.2436981189514734E-2</v>
      </c>
      <c r="BM26" s="201">
        <f t="shared" si="68"/>
        <v>3.2436981189514734E-2</v>
      </c>
      <c r="BN26" s="421">
        <f t="shared" si="69"/>
        <v>39</v>
      </c>
      <c r="BO26" s="268" t="s">
        <v>333</v>
      </c>
      <c r="BP26" s="90">
        <f>BP21+BP24</f>
        <v>0.17365021465422836</v>
      </c>
      <c r="BQ26" s="404">
        <f t="shared" si="37"/>
        <v>999</v>
      </c>
      <c r="BR26" s="405">
        <f t="shared" si="38"/>
        <v>999</v>
      </c>
      <c r="BS26" s="290" t="str">
        <f t="shared" si="39"/>
        <v/>
      </c>
      <c r="BT26" s="113">
        <v>19</v>
      </c>
      <c r="BU26" s="95" t="b">
        <f t="shared" si="40"/>
        <v>0</v>
      </c>
      <c r="BV26" s="406" t="str">
        <f t="shared" si="11"/>
        <v/>
      </c>
      <c r="BW26" s="90" t="str">
        <f t="shared" si="41"/>
        <v/>
      </c>
      <c r="BX26" s="90" t="str">
        <f t="shared" si="12"/>
        <v/>
      </c>
      <c r="BY26" s="201" t="str">
        <f t="shared" si="42"/>
        <v/>
      </c>
      <c r="BZ26" s="90" t="e">
        <f t="shared" si="43"/>
        <v>#N/A</v>
      </c>
      <c r="CA26" s="201" t="e">
        <f t="shared" si="44"/>
        <v>#N/A</v>
      </c>
      <c r="CB26" s="90" t="e">
        <f t="shared" si="13"/>
        <v>#N/A</v>
      </c>
      <c r="CC26" s="127" t="str">
        <f t="shared" si="14"/>
        <v/>
      </c>
      <c r="CD26" s="127" t="str">
        <f t="shared" si="15"/>
        <v/>
      </c>
      <c r="CE26" s="90" t="str">
        <f t="shared" si="16"/>
        <v/>
      </c>
      <c r="CF26" s="90" t="str">
        <f t="shared" si="17"/>
        <v/>
      </c>
      <c r="CG26" s="90" t="str">
        <f t="shared" si="45"/>
        <v/>
      </c>
      <c r="CH26" s="90" t="str">
        <f t="shared" si="46"/>
        <v/>
      </c>
      <c r="CI26" s="90" t="str">
        <f t="shared" si="47"/>
        <v/>
      </c>
      <c r="CJ26" s="90" t="str">
        <f t="shared" si="48"/>
        <v/>
      </c>
      <c r="CK26" s="90" t="str">
        <f t="shared" si="18"/>
        <v/>
      </c>
      <c r="CL26" s="90" t="str">
        <f t="shared" si="19"/>
        <v/>
      </c>
      <c r="CM26" s="106" t="e">
        <f t="shared" si="20"/>
        <v>#N/A</v>
      </c>
      <c r="CN26" s="90" t="e">
        <f t="shared" si="21"/>
        <v>#N/A</v>
      </c>
      <c r="CO26" s="90" t="e">
        <f t="shared" si="22"/>
        <v>#N/A</v>
      </c>
      <c r="CP26" s="90" t="e">
        <f t="shared" si="23"/>
        <v>#N/A</v>
      </c>
      <c r="CQ26" s="90" t="e">
        <f t="shared" si="24"/>
        <v>#N/A</v>
      </c>
      <c r="CR26" s="90" t="e">
        <f t="shared" si="25"/>
        <v>#N/A</v>
      </c>
      <c r="CS26" s="90" t="e">
        <f t="shared" si="26"/>
        <v>#N/A</v>
      </c>
      <c r="CT26" s="90" t="e">
        <f t="shared" si="27"/>
        <v>#N/A</v>
      </c>
      <c r="CU26" s="90" t="e">
        <f t="shared" si="28"/>
        <v>#N/A</v>
      </c>
      <c r="CV26" s="106">
        <v>19</v>
      </c>
      <c r="CW26" s="90"/>
      <c r="CX26" s="102"/>
      <c r="CY26" s="102"/>
      <c r="CZ26" s="102"/>
      <c r="DA26" s="102"/>
      <c r="DB26" s="102"/>
      <c r="DC26" s="102"/>
      <c r="DD26" s="102"/>
      <c r="DE26" s="102"/>
      <c r="DF26" s="102"/>
      <c r="DG26" s="102"/>
      <c r="DH26" s="102"/>
      <c r="DI26" s="307">
        <v>15</v>
      </c>
      <c r="DJ26" s="90">
        <f t="shared" si="50"/>
        <v>0.14999999999999991</v>
      </c>
      <c r="DK26" s="90">
        <f t="shared" si="52"/>
        <v>2.6882517951845632E-2</v>
      </c>
      <c r="DL26" s="90" t="e">
        <f t="shared" si="53"/>
        <v>#N/A</v>
      </c>
      <c r="DM26" s="90">
        <f t="shared" si="54"/>
        <v>2.6882517951845632E-2</v>
      </c>
      <c r="DN26" s="90">
        <f t="shared" si="55"/>
        <v>32</v>
      </c>
      <c r="DO26" s="308">
        <f t="shared" si="51"/>
        <v>3.9999999999999966E-2</v>
      </c>
      <c r="DP26" s="307">
        <f t="shared" si="63"/>
        <v>0.1499999999999998</v>
      </c>
      <c r="DQ26" s="90">
        <f t="shared" si="56"/>
        <v>-2.1360896927428933E-2</v>
      </c>
      <c r="DR26" s="90">
        <f t="shared" si="57"/>
        <v>-2.1360896927428933E-2</v>
      </c>
      <c r="DS26" s="90">
        <f t="shared" si="64"/>
        <v>33</v>
      </c>
      <c r="DT26" s="308">
        <f t="shared" si="65"/>
        <v>3.9999999999999925E-2</v>
      </c>
      <c r="DU26" s="307">
        <f t="shared" si="58"/>
        <v>0.15000000000000047</v>
      </c>
      <c r="DV26" s="90">
        <f t="shared" si="59"/>
        <v>0.10751014265853619</v>
      </c>
      <c r="DW26" s="90">
        <f t="shared" si="60"/>
        <v>0.10751014265853619</v>
      </c>
      <c r="DX26" s="90">
        <f t="shared" si="61"/>
        <v>34</v>
      </c>
      <c r="DY26" s="308">
        <f t="shared" si="62"/>
        <v>4.0000000000000188E-2</v>
      </c>
    </row>
    <row r="27" spans="1:129" ht="12" customHeight="1" thickBot="1" x14ac:dyDescent="0.25">
      <c r="A27" s="79"/>
      <c r="B27" s="181" t="str">
        <f t="shared" si="29"/>
        <v/>
      </c>
      <c r="C27" s="838" t="str">
        <f t="shared" si="7"/>
        <v/>
      </c>
      <c r="D27" s="182" t="str">
        <f t="shared" si="8"/>
        <v/>
      </c>
      <c r="E27" s="204">
        <v>20</v>
      </c>
      <c r="F27" s="186"/>
      <c r="G27" s="186"/>
      <c r="H27" s="186"/>
      <c r="I27" s="186"/>
      <c r="J27" s="186"/>
      <c r="K27" s="396"/>
      <c r="L27" s="186"/>
      <c r="M27" s="186"/>
      <c r="N27" s="579" t="str">
        <f t="shared" si="30"/>
        <v/>
      </c>
      <c r="O27" s="579" t="str">
        <f t="shared" si="31"/>
        <v/>
      </c>
      <c r="P27" s="189" t="str">
        <f t="shared" si="32"/>
        <v/>
      </c>
      <c r="Q27" s="194"/>
      <c r="R27" s="397" t="str">
        <f t="shared" si="9"/>
        <v/>
      </c>
      <c r="S27" s="192"/>
      <c r="T27" s="193" t="str">
        <f t="shared" si="10"/>
        <v/>
      </c>
      <c r="U27" s="429"/>
      <c r="V27" s="105">
        <f t="shared" si="5"/>
        <v>9.5E-4</v>
      </c>
      <c r="W27" s="90"/>
      <c r="X27" s="90"/>
      <c r="Y27" s="90"/>
      <c r="Z27" s="90"/>
      <c r="AA27" s="90"/>
      <c r="AB27" s="90"/>
      <c r="AC27" s="90"/>
      <c r="AD27" s="90"/>
      <c r="AE27" s="90"/>
      <c r="AF27" s="87">
        <f t="shared" si="6"/>
        <v>9.5E-4</v>
      </c>
      <c r="AG27" s="399" t="s">
        <v>339</v>
      </c>
      <c r="AH27" s="400" t="str">
        <f t="shared" si="33"/>
        <v/>
      </c>
      <c r="AI27" s="197" t="s">
        <v>261</v>
      </c>
      <c r="AJ27" s="400" t="str">
        <f t="shared" si="34"/>
        <v/>
      </c>
      <c r="AK27" s="401" t="s">
        <v>259</v>
      </c>
      <c r="AV27" s="314"/>
      <c r="BG27" s="94">
        <f t="shared" si="35"/>
        <v>-999999999999</v>
      </c>
      <c r="BH27" s="95" t="str">
        <f t="shared" si="36"/>
        <v>zzzzzzzzzzzz</v>
      </c>
      <c r="BI27" s="290">
        <f t="shared" si="49"/>
        <v>-999999999999</v>
      </c>
      <c r="BJ27" s="402">
        <v>-1</v>
      </c>
      <c r="BK27" s="201">
        <f t="shared" si="66"/>
        <v>-0.1</v>
      </c>
      <c r="BL27" s="201">
        <f t="shared" si="67"/>
        <v>-6.7563018810485265E-2</v>
      </c>
      <c r="BM27" s="201">
        <f t="shared" si="68"/>
        <v>-6.7563018810485265E-2</v>
      </c>
      <c r="BN27" s="421">
        <f t="shared" si="69"/>
        <v>39</v>
      </c>
      <c r="BO27" s="268" t="s">
        <v>315</v>
      </c>
      <c r="BP27" s="90">
        <f>(BP21)/BP23</f>
        <v>2.3301088476457865</v>
      </c>
      <c r="BQ27" s="404">
        <f t="shared" si="37"/>
        <v>999</v>
      </c>
      <c r="BR27" s="405">
        <f t="shared" si="38"/>
        <v>999</v>
      </c>
      <c r="BS27" s="290" t="str">
        <f t="shared" si="39"/>
        <v/>
      </c>
      <c r="BT27" s="113">
        <v>20</v>
      </c>
      <c r="BU27" s="95" t="b">
        <f t="shared" si="40"/>
        <v>0</v>
      </c>
      <c r="BV27" s="406" t="str">
        <f t="shared" si="11"/>
        <v/>
      </c>
      <c r="BW27" s="90" t="str">
        <f t="shared" si="41"/>
        <v/>
      </c>
      <c r="BX27" s="90" t="str">
        <f t="shared" si="12"/>
        <v/>
      </c>
      <c r="BY27" s="201" t="str">
        <f t="shared" si="42"/>
        <v/>
      </c>
      <c r="BZ27" s="90" t="e">
        <f t="shared" si="43"/>
        <v>#N/A</v>
      </c>
      <c r="CA27" s="201" t="e">
        <f t="shared" si="44"/>
        <v>#N/A</v>
      </c>
      <c r="CB27" s="90" t="e">
        <f t="shared" si="13"/>
        <v>#N/A</v>
      </c>
      <c r="CC27" s="127" t="str">
        <f t="shared" si="14"/>
        <v/>
      </c>
      <c r="CD27" s="127" t="str">
        <f t="shared" si="15"/>
        <v/>
      </c>
      <c r="CE27" s="90" t="str">
        <f t="shared" si="16"/>
        <v/>
      </c>
      <c r="CF27" s="90" t="str">
        <f t="shared" si="17"/>
        <v/>
      </c>
      <c r="CG27" s="90" t="str">
        <f t="shared" si="45"/>
        <v/>
      </c>
      <c r="CH27" s="90" t="str">
        <f t="shared" si="46"/>
        <v/>
      </c>
      <c r="CI27" s="90" t="str">
        <f t="shared" si="47"/>
        <v/>
      </c>
      <c r="CJ27" s="90" t="str">
        <f t="shared" si="48"/>
        <v/>
      </c>
      <c r="CK27" s="90" t="str">
        <f t="shared" si="18"/>
        <v/>
      </c>
      <c r="CL27" s="90" t="str">
        <f t="shared" si="19"/>
        <v/>
      </c>
      <c r="CM27" s="106" t="e">
        <f t="shared" si="20"/>
        <v>#N/A</v>
      </c>
      <c r="CN27" s="90" t="e">
        <f t="shared" si="21"/>
        <v>#N/A</v>
      </c>
      <c r="CO27" s="90" t="e">
        <f t="shared" si="22"/>
        <v>#N/A</v>
      </c>
      <c r="CP27" s="90" t="e">
        <f t="shared" si="23"/>
        <v>#N/A</v>
      </c>
      <c r="CQ27" s="90" t="e">
        <f t="shared" si="24"/>
        <v>#N/A</v>
      </c>
      <c r="CR27" s="90" t="e">
        <f t="shared" si="25"/>
        <v>#N/A</v>
      </c>
      <c r="CS27" s="90" t="e">
        <f t="shared" si="26"/>
        <v>#N/A</v>
      </c>
      <c r="CT27" s="90" t="e">
        <f t="shared" si="27"/>
        <v>#N/A</v>
      </c>
      <c r="CU27" s="90" t="e">
        <f t="shared" si="28"/>
        <v>#N/A</v>
      </c>
      <c r="CV27" s="106">
        <v>20</v>
      </c>
      <c r="CW27" s="90"/>
      <c r="CX27" s="102"/>
      <c r="CY27" s="102"/>
      <c r="CZ27" s="102"/>
      <c r="DA27" s="102"/>
      <c r="DB27" s="102"/>
      <c r="DC27" s="102"/>
      <c r="DD27" s="102"/>
      <c r="DE27" s="102"/>
      <c r="DF27" s="102"/>
      <c r="DG27" s="102"/>
      <c r="DH27" s="102"/>
      <c r="DI27" s="307">
        <v>16</v>
      </c>
      <c r="DJ27" s="90">
        <f t="shared" si="50"/>
        <v>0.16000000000000003</v>
      </c>
      <c r="DK27" s="90">
        <f t="shared" si="52"/>
        <v>2.7675856852939593E-2</v>
      </c>
      <c r="DL27" s="90" t="e">
        <f t="shared" si="53"/>
        <v>#N/A</v>
      </c>
      <c r="DM27" s="90">
        <f t="shared" si="54"/>
        <v>2.7675856852939593E-2</v>
      </c>
      <c r="DN27" s="90">
        <f t="shared" si="55"/>
        <v>32</v>
      </c>
      <c r="DO27" s="308">
        <f t="shared" si="51"/>
        <v>4.4000000000000011E-2</v>
      </c>
      <c r="DP27" s="307">
        <f t="shared" si="63"/>
        <v>0.15999999999999981</v>
      </c>
      <c r="DQ27" s="90">
        <f t="shared" si="56"/>
        <v>-2.072798071428842E-2</v>
      </c>
      <c r="DR27" s="90">
        <f t="shared" si="57"/>
        <v>-2.072798071428842E-2</v>
      </c>
      <c r="DS27" s="90">
        <f t="shared" si="64"/>
        <v>33</v>
      </c>
      <c r="DT27" s="308">
        <f t="shared" si="65"/>
        <v>4.3999999999999928E-2</v>
      </c>
      <c r="DU27" s="307">
        <f t="shared" si="58"/>
        <v>0.16000000000000048</v>
      </c>
      <c r="DV27" s="90">
        <f t="shared" si="59"/>
        <v>0.10879394210689419</v>
      </c>
      <c r="DW27" s="90">
        <f t="shared" si="60"/>
        <v>0.10879394210689419</v>
      </c>
      <c r="DX27" s="90">
        <f t="shared" si="61"/>
        <v>34</v>
      </c>
      <c r="DY27" s="308">
        <f t="shared" si="62"/>
        <v>4.4000000000000192E-2</v>
      </c>
    </row>
    <row r="28" spans="1:129" ht="12" customHeight="1" thickTop="1" x14ac:dyDescent="0.2">
      <c r="A28" s="90"/>
      <c r="B28" s="181" t="str">
        <f t="shared" si="29"/>
        <v/>
      </c>
      <c r="C28" s="838" t="str">
        <f t="shared" si="7"/>
        <v/>
      </c>
      <c r="D28" s="182" t="str">
        <f t="shared" si="8"/>
        <v/>
      </c>
      <c r="E28" s="183">
        <v>21</v>
      </c>
      <c r="F28" s="186"/>
      <c r="G28" s="186"/>
      <c r="H28" s="186"/>
      <c r="I28" s="186"/>
      <c r="J28" s="186"/>
      <c r="K28" s="396"/>
      <c r="L28" s="186"/>
      <c r="M28" s="186"/>
      <c r="N28" s="579" t="str">
        <f t="shared" si="30"/>
        <v/>
      </c>
      <c r="O28" s="579" t="str">
        <f t="shared" si="31"/>
        <v/>
      </c>
      <c r="P28" s="189" t="str">
        <f t="shared" si="32"/>
        <v/>
      </c>
      <c r="Q28" s="194"/>
      <c r="R28" s="397" t="str">
        <f t="shared" si="9"/>
        <v/>
      </c>
      <c r="S28" s="192"/>
      <c r="T28" s="193" t="str">
        <f t="shared" si="10"/>
        <v/>
      </c>
      <c r="U28" s="430"/>
      <c r="V28" s="105">
        <f t="shared" si="5"/>
        <v>9.5E-4</v>
      </c>
      <c r="W28" s="90"/>
      <c r="X28" s="90"/>
      <c r="Y28" s="90"/>
      <c r="Z28" s="90"/>
      <c r="AA28" s="90"/>
      <c r="AB28" s="90"/>
      <c r="AC28" s="90"/>
      <c r="AD28" s="90"/>
      <c r="AE28" s="90"/>
      <c r="AF28" s="87">
        <f t="shared" si="6"/>
        <v>9.5E-4</v>
      </c>
      <c r="AG28" s="399" t="s">
        <v>339</v>
      </c>
      <c r="AH28" s="400" t="str">
        <f t="shared" si="33"/>
        <v/>
      </c>
      <c r="AI28" s="197" t="s">
        <v>261</v>
      </c>
      <c r="AJ28" s="400" t="str">
        <f t="shared" si="34"/>
        <v/>
      </c>
      <c r="AK28" s="401" t="s">
        <v>259</v>
      </c>
      <c r="AV28" s="314"/>
      <c r="BG28" s="94">
        <f t="shared" si="35"/>
        <v>-999999999999</v>
      </c>
      <c r="BH28" s="95" t="str">
        <f t="shared" si="36"/>
        <v>zzzzzzzzzzzz</v>
      </c>
      <c r="BI28" s="290">
        <f t="shared" si="49"/>
        <v>-999999999999</v>
      </c>
      <c r="BJ28" s="402">
        <v>-2</v>
      </c>
      <c r="BK28" s="201">
        <f t="shared" si="66"/>
        <v>-0.2</v>
      </c>
      <c r="BL28" s="201">
        <f t="shared" si="67"/>
        <v>-0.16756301881048527</v>
      </c>
      <c r="BM28" s="201" t="e">
        <f t="shared" si="68"/>
        <v>#N/A</v>
      </c>
      <c r="BN28" s="421">
        <f t="shared" si="69"/>
        <v>39</v>
      </c>
      <c r="BO28" s="268" t="s">
        <v>266</v>
      </c>
      <c r="BP28" s="90">
        <f>2*(1-NORMSDIST(ABS(BP27)))</f>
        <v>1.9800398926326235E-2</v>
      </c>
      <c r="BQ28" s="404">
        <f t="shared" si="37"/>
        <v>999</v>
      </c>
      <c r="BR28" s="405">
        <f t="shared" si="38"/>
        <v>999</v>
      </c>
      <c r="BS28" s="290" t="str">
        <f t="shared" si="39"/>
        <v/>
      </c>
      <c r="BT28" s="113">
        <v>21</v>
      </c>
      <c r="BU28" s="95" t="b">
        <f t="shared" si="40"/>
        <v>0</v>
      </c>
      <c r="BV28" s="406" t="str">
        <f t="shared" si="11"/>
        <v/>
      </c>
      <c r="BW28" s="90" t="str">
        <f t="shared" si="41"/>
        <v/>
      </c>
      <c r="BX28" s="90" t="str">
        <f t="shared" si="12"/>
        <v/>
      </c>
      <c r="BY28" s="201" t="str">
        <f t="shared" si="42"/>
        <v/>
      </c>
      <c r="BZ28" s="90" t="e">
        <f t="shared" si="43"/>
        <v>#N/A</v>
      </c>
      <c r="CA28" s="201" t="e">
        <f t="shared" si="44"/>
        <v>#N/A</v>
      </c>
      <c r="CB28" s="90" t="e">
        <f t="shared" si="13"/>
        <v>#N/A</v>
      </c>
      <c r="CC28" s="127" t="str">
        <f t="shared" si="14"/>
        <v/>
      </c>
      <c r="CD28" s="127" t="str">
        <f t="shared" si="15"/>
        <v/>
      </c>
      <c r="CE28" s="90" t="str">
        <f t="shared" si="16"/>
        <v/>
      </c>
      <c r="CF28" s="90" t="str">
        <f t="shared" si="17"/>
        <v/>
      </c>
      <c r="CG28" s="90" t="str">
        <f t="shared" si="45"/>
        <v/>
      </c>
      <c r="CH28" s="90" t="str">
        <f t="shared" si="46"/>
        <v/>
      </c>
      <c r="CI28" s="90" t="str">
        <f t="shared" si="47"/>
        <v/>
      </c>
      <c r="CJ28" s="90" t="str">
        <f t="shared" si="48"/>
        <v/>
      </c>
      <c r="CK28" s="90" t="str">
        <f t="shared" si="18"/>
        <v/>
      </c>
      <c r="CL28" s="90" t="str">
        <f t="shared" si="19"/>
        <v/>
      </c>
      <c r="CM28" s="106" t="e">
        <f t="shared" si="20"/>
        <v>#N/A</v>
      </c>
      <c r="CN28" s="90" t="e">
        <f t="shared" si="21"/>
        <v>#N/A</v>
      </c>
      <c r="CO28" s="90" t="e">
        <f t="shared" si="22"/>
        <v>#N/A</v>
      </c>
      <c r="CP28" s="90" t="e">
        <f t="shared" si="23"/>
        <v>#N/A</v>
      </c>
      <c r="CQ28" s="90" t="e">
        <f t="shared" si="24"/>
        <v>#N/A</v>
      </c>
      <c r="CR28" s="90" t="e">
        <f t="shared" si="25"/>
        <v>#N/A</v>
      </c>
      <c r="CS28" s="90" t="e">
        <f t="shared" si="26"/>
        <v>#N/A</v>
      </c>
      <c r="CT28" s="90" t="e">
        <f t="shared" si="27"/>
        <v>#N/A</v>
      </c>
      <c r="CU28" s="90" t="e">
        <f t="shared" si="28"/>
        <v>#N/A</v>
      </c>
      <c r="CV28" s="106">
        <v>21</v>
      </c>
      <c r="CW28" s="90"/>
      <c r="CX28" s="102"/>
      <c r="CY28" s="102"/>
      <c r="CZ28" s="102"/>
      <c r="DA28" s="102"/>
      <c r="DB28" s="102"/>
      <c r="DC28" s="102"/>
      <c r="DD28" s="102"/>
      <c r="DE28" s="102"/>
      <c r="DF28" s="102"/>
      <c r="DG28" s="102"/>
      <c r="DH28" s="102"/>
      <c r="DI28" s="307">
        <v>17</v>
      </c>
      <c r="DJ28" s="90">
        <f t="shared" si="50"/>
        <v>0.17000000000000015</v>
      </c>
      <c r="DK28" s="90">
        <f t="shared" si="52"/>
        <v>2.8469195754033554E-2</v>
      </c>
      <c r="DL28" s="90" t="e">
        <f t="shared" si="53"/>
        <v>#N/A</v>
      </c>
      <c r="DM28" s="90">
        <f t="shared" si="54"/>
        <v>2.8469195754033554E-2</v>
      </c>
      <c r="DN28" s="90">
        <f t="shared" si="55"/>
        <v>32</v>
      </c>
      <c r="DO28" s="308">
        <f t="shared" si="51"/>
        <v>4.8000000000000057E-2</v>
      </c>
      <c r="DP28" s="307">
        <f t="shared" si="63"/>
        <v>0.16999999999999982</v>
      </c>
      <c r="DQ28" s="90">
        <f t="shared" si="56"/>
        <v>-2.0095064501147907E-2</v>
      </c>
      <c r="DR28" s="90">
        <f t="shared" si="57"/>
        <v>-2.0095064501147907E-2</v>
      </c>
      <c r="DS28" s="90">
        <f t="shared" si="64"/>
        <v>33</v>
      </c>
      <c r="DT28" s="308">
        <f t="shared" si="65"/>
        <v>4.7999999999999932E-2</v>
      </c>
      <c r="DU28" s="307">
        <f t="shared" si="58"/>
        <v>0.17000000000000048</v>
      </c>
      <c r="DV28" s="90">
        <f t="shared" si="59"/>
        <v>0.1100777415552522</v>
      </c>
      <c r="DW28" s="90">
        <f t="shared" si="60"/>
        <v>0.1100777415552522</v>
      </c>
      <c r="DX28" s="90">
        <f t="shared" si="61"/>
        <v>34</v>
      </c>
      <c r="DY28" s="308">
        <f t="shared" si="62"/>
        <v>4.8000000000000195E-2</v>
      </c>
    </row>
    <row r="29" spans="1:129" ht="12" customHeight="1" x14ac:dyDescent="0.2">
      <c r="A29" s="90"/>
      <c r="B29" s="181" t="str">
        <f t="shared" si="29"/>
        <v/>
      </c>
      <c r="C29" s="838" t="str">
        <f t="shared" si="7"/>
        <v/>
      </c>
      <c r="D29" s="182" t="str">
        <f t="shared" si="8"/>
        <v/>
      </c>
      <c r="E29" s="204">
        <v>22</v>
      </c>
      <c r="F29" s="186"/>
      <c r="G29" s="186"/>
      <c r="H29" s="186"/>
      <c r="I29" s="186"/>
      <c r="J29" s="186"/>
      <c r="K29" s="396"/>
      <c r="L29" s="186"/>
      <c r="M29" s="186"/>
      <c r="N29" s="579" t="str">
        <f t="shared" si="30"/>
        <v/>
      </c>
      <c r="O29" s="579" t="str">
        <f t="shared" si="31"/>
        <v/>
      </c>
      <c r="P29" s="189" t="str">
        <f t="shared" si="32"/>
        <v/>
      </c>
      <c r="Q29" s="194"/>
      <c r="R29" s="397" t="str">
        <f t="shared" si="9"/>
        <v/>
      </c>
      <c r="S29" s="192"/>
      <c r="T29" s="193" t="str">
        <f t="shared" si="10"/>
        <v/>
      </c>
      <c r="U29" s="430"/>
      <c r="V29" s="105">
        <f t="shared" si="5"/>
        <v>9.5E-4</v>
      </c>
      <c r="W29" s="90"/>
      <c r="X29" s="90"/>
      <c r="Y29" s="90"/>
      <c r="Z29" s="90"/>
      <c r="AA29" s="90"/>
      <c r="AB29" s="90"/>
      <c r="AC29" s="90"/>
      <c r="AD29" s="90"/>
      <c r="AE29" s="90"/>
      <c r="AF29" s="87">
        <f t="shared" si="6"/>
        <v>9.5E-4</v>
      </c>
      <c r="AG29" s="399" t="s">
        <v>339</v>
      </c>
      <c r="AH29" s="400" t="str">
        <f t="shared" si="33"/>
        <v/>
      </c>
      <c r="AI29" s="197" t="s">
        <v>261</v>
      </c>
      <c r="AJ29" s="400" t="str">
        <f t="shared" si="34"/>
        <v/>
      </c>
      <c r="AK29" s="401" t="s">
        <v>259</v>
      </c>
      <c r="AV29" s="314"/>
      <c r="BG29" s="94">
        <f t="shared" si="35"/>
        <v>-999999999999</v>
      </c>
      <c r="BH29" s="95" t="str">
        <f t="shared" si="36"/>
        <v>zzzzzzzzzzzz</v>
      </c>
      <c r="BI29" s="290">
        <f t="shared" si="49"/>
        <v>-999999999999</v>
      </c>
      <c r="BJ29" s="402">
        <v>-3</v>
      </c>
      <c r="BK29" s="201">
        <f t="shared" si="66"/>
        <v>-0.30000000000000004</v>
      </c>
      <c r="BL29" s="201">
        <f t="shared" si="67"/>
        <v>-0.26756301881048533</v>
      </c>
      <c r="BM29" s="201" t="e">
        <f t="shared" si="68"/>
        <v>#N/A</v>
      </c>
      <c r="BN29" s="421">
        <f t="shared" si="69"/>
        <v>39</v>
      </c>
      <c r="BO29" s="303" t="s">
        <v>341</v>
      </c>
      <c r="BP29" s="431">
        <f>MAX(0,(BP16-BP15)/BP16)</f>
        <v>0.3493493990065597</v>
      </c>
      <c r="BQ29" s="432">
        <f t="shared" si="37"/>
        <v>999</v>
      </c>
      <c r="BR29" s="433">
        <f t="shared" si="38"/>
        <v>999</v>
      </c>
      <c r="BS29" s="434" t="str">
        <f t="shared" si="39"/>
        <v/>
      </c>
      <c r="BT29" s="113">
        <v>22</v>
      </c>
      <c r="BU29" s="95" t="b">
        <f t="shared" si="40"/>
        <v>0</v>
      </c>
      <c r="BV29" s="406" t="str">
        <f t="shared" si="11"/>
        <v/>
      </c>
      <c r="BW29" s="90" t="str">
        <f t="shared" si="41"/>
        <v/>
      </c>
      <c r="BX29" s="90" t="str">
        <f t="shared" si="12"/>
        <v/>
      </c>
      <c r="BY29" s="201" t="str">
        <f t="shared" si="42"/>
        <v/>
      </c>
      <c r="BZ29" s="90" t="e">
        <f t="shared" si="43"/>
        <v>#N/A</v>
      </c>
      <c r="CA29" s="201" t="e">
        <f t="shared" si="44"/>
        <v>#N/A</v>
      </c>
      <c r="CB29" s="90" t="e">
        <f t="shared" si="13"/>
        <v>#N/A</v>
      </c>
      <c r="CC29" s="127" t="str">
        <f t="shared" si="14"/>
        <v/>
      </c>
      <c r="CD29" s="127" t="str">
        <f t="shared" si="15"/>
        <v/>
      </c>
      <c r="CE29" s="90" t="str">
        <f t="shared" si="16"/>
        <v/>
      </c>
      <c r="CF29" s="90" t="str">
        <f t="shared" si="17"/>
        <v/>
      </c>
      <c r="CG29" s="90" t="str">
        <f t="shared" si="45"/>
        <v/>
      </c>
      <c r="CH29" s="90" t="str">
        <f t="shared" si="46"/>
        <v/>
      </c>
      <c r="CI29" s="90" t="str">
        <f t="shared" si="47"/>
        <v/>
      </c>
      <c r="CJ29" s="90" t="str">
        <f t="shared" si="48"/>
        <v/>
      </c>
      <c r="CK29" s="90" t="str">
        <f t="shared" si="18"/>
        <v/>
      </c>
      <c r="CL29" s="90" t="str">
        <f t="shared" si="19"/>
        <v/>
      </c>
      <c r="CM29" s="106" t="e">
        <f t="shared" si="20"/>
        <v>#N/A</v>
      </c>
      <c r="CN29" s="90" t="e">
        <f t="shared" si="21"/>
        <v>#N/A</v>
      </c>
      <c r="CO29" s="90" t="e">
        <f t="shared" si="22"/>
        <v>#N/A</v>
      </c>
      <c r="CP29" s="90" t="e">
        <f t="shared" si="23"/>
        <v>#N/A</v>
      </c>
      <c r="CQ29" s="90" t="e">
        <f t="shared" si="24"/>
        <v>#N/A</v>
      </c>
      <c r="CR29" s="90" t="e">
        <f t="shared" si="25"/>
        <v>#N/A</v>
      </c>
      <c r="CS29" s="90" t="e">
        <f t="shared" si="26"/>
        <v>#N/A</v>
      </c>
      <c r="CT29" s="90" t="e">
        <f t="shared" si="27"/>
        <v>#N/A</v>
      </c>
      <c r="CU29" s="90" t="e">
        <f t="shared" si="28"/>
        <v>#N/A</v>
      </c>
      <c r="CV29" s="106">
        <v>22</v>
      </c>
      <c r="CW29" s="90"/>
      <c r="CX29" s="102"/>
      <c r="CY29" s="102"/>
      <c r="CZ29" s="102"/>
      <c r="DA29" s="102"/>
      <c r="DB29" s="102"/>
      <c r="DC29" s="102"/>
      <c r="DD29" s="102"/>
      <c r="DE29" s="102"/>
      <c r="DF29" s="102"/>
      <c r="DG29" s="102"/>
      <c r="DH29" s="102"/>
      <c r="DI29" s="307">
        <v>18</v>
      </c>
      <c r="DJ29" s="90">
        <f t="shared" si="50"/>
        <v>0.18000000000000005</v>
      </c>
      <c r="DK29" s="90">
        <f t="shared" si="52"/>
        <v>2.9262534655127515E-2</v>
      </c>
      <c r="DL29" s="90" t="e">
        <f t="shared" si="53"/>
        <v>#N/A</v>
      </c>
      <c r="DM29" s="90">
        <f t="shared" si="54"/>
        <v>2.9262534655127515E-2</v>
      </c>
      <c r="DN29" s="90">
        <f t="shared" si="55"/>
        <v>32</v>
      </c>
      <c r="DO29" s="308">
        <f t="shared" si="51"/>
        <v>5.2000000000000018E-2</v>
      </c>
      <c r="DP29" s="307">
        <f t="shared" si="63"/>
        <v>0.17999999999999983</v>
      </c>
      <c r="DQ29" s="90">
        <f t="shared" si="56"/>
        <v>-1.9462148288007394E-2</v>
      </c>
      <c r="DR29" s="90">
        <f t="shared" si="57"/>
        <v>-1.9462148288007394E-2</v>
      </c>
      <c r="DS29" s="90">
        <f t="shared" si="64"/>
        <v>33</v>
      </c>
      <c r="DT29" s="308">
        <f t="shared" si="65"/>
        <v>5.1999999999999935E-2</v>
      </c>
      <c r="DU29" s="307">
        <f t="shared" si="58"/>
        <v>0.18000000000000049</v>
      </c>
      <c r="DV29" s="90">
        <f t="shared" si="59"/>
        <v>0.1113615410036102</v>
      </c>
      <c r="DW29" s="90">
        <f t="shared" si="60"/>
        <v>0.1113615410036102</v>
      </c>
      <c r="DX29" s="90">
        <f t="shared" si="61"/>
        <v>34</v>
      </c>
      <c r="DY29" s="308">
        <f t="shared" si="62"/>
        <v>5.2000000000000199E-2</v>
      </c>
    </row>
    <row r="30" spans="1:129" ht="12" customHeight="1" x14ac:dyDescent="0.2">
      <c r="A30" s="90"/>
      <c r="B30" s="181" t="str">
        <f t="shared" si="29"/>
        <v/>
      </c>
      <c r="C30" s="838" t="str">
        <f t="shared" si="7"/>
        <v/>
      </c>
      <c r="D30" s="182" t="str">
        <f t="shared" si="8"/>
        <v/>
      </c>
      <c r="E30" s="183">
        <v>23</v>
      </c>
      <c r="F30" s="186"/>
      <c r="G30" s="186"/>
      <c r="H30" s="186"/>
      <c r="I30" s="186"/>
      <c r="J30" s="186"/>
      <c r="K30" s="396"/>
      <c r="L30" s="186"/>
      <c r="M30" s="186"/>
      <c r="N30" s="579" t="str">
        <f t="shared" si="30"/>
        <v/>
      </c>
      <c r="O30" s="579" t="str">
        <f t="shared" si="31"/>
        <v/>
      </c>
      <c r="P30" s="189" t="str">
        <f t="shared" si="32"/>
        <v/>
      </c>
      <c r="Q30" s="194"/>
      <c r="R30" s="397" t="str">
        <f t="shared" si="9"/>
        <v/>
      </c>
      <c r="S30" s="192"/>
      <c r="T30" s="193" t="str">
        <f t="shared" si="10"/>
        <v/>
      </c>
      <c r="U30" s="430"/>
      <c r="V30" s="105">
        <f t="shared" si="5"/>
        <v>9.5E-4</v>
      </c>
      <c r="W30" s="90"/>
      <c r="X30" s="90"/>
      <c r="Y30" s="90"/>
      <c r="Z30" s="90"/>
      <c r="AA30" s="90"/>
      <c r="AB30" s="90"/>
      <c r="AC30" s="90"/>
      <c r="AD30" s="90"/>
      <c r="AE30" s="90"/>
      <c r="AF30" s="87">
        <f t="shared" si="6"/>
        <v>9.5E-4</v>
      </c>
      <c r="AG30" s="399" t="s">
        <v>339</v>
      </c>
      <c r="AH30" s="400" t="str">
        <f t="shared" si="33"/>
        <v/>
      </c>
      <c r="AI30" s="197" t="s">
        <v>261</v>
      </c>
      <c r="AJ30" s="400" t="str">
        <f t="shared" si="34"/>
        <v/>
      </c>
      <c r="AK30" s="401" t="s">
        <v>259</v>
      </c>
      <c r="AV30" s="314"/>
      <c r="BG30" s="94">
        <f t="shared" si="35"/>
        <v>-999999999999</v>
      </c>
      <c r="BH30" s="95" t="str">
        <f t="shared" si="36"/>
        <v>zzzzzzzzzzzz</v>
      </c>
      <c r="BI30" s="290">
        <f t="shared" si="49"/>
        <v>-999999999999</v>
      </c>
      <c r="BJ30" s="402">
        <v>-4</v>
      </c>
      <c r="BK30" s="201">
        <f t="shared" si="66"/>
        <v>-0.4</v>
      </c>
      <c r="BL30" s="201">
        <f t="shared" si="67"/>
        <v>-0.36756301881048531</v>
      </c>
      <c r="BM30" s="201" t="e">
        <f t="shared" si="68"/>
        <v>#N/A</v>
      </c>
      <c r="BN30" s="421">
        <f t="shared" si="69"/>
        <v>39</v>
      </c>
      <c r="BO30" s="106" t="s">
        <v>342</v>
      </c>
      <c r="BP30" s="90"/>
      <c r="BQ30" s="404">
        <f t="shared" si="37"/>
        <v>999</v>
      </c>
      <c r="BR30" s="405">
        <f t="shared" si="38"/>
        <v>999</v>
      </c>
      <c r="BS30" s="290" t="str">
        <f t="shared" si="39"/>
        <v/>
      </c>
      <c r="BT30" s="113">
        <v>23</v>
      </c>
      <c r="BU30" s="95" t="b">
        <f t="shared" si="40"/>
        <v>0</v>
      </c>
      <c r="BV30" s="406" t="str">
        <f t="shared" si="11"/>
        <v/>
      </c>
      <c r="BW30" s="90" t="str">
        <f t="shared" si="41"/>
        <v/>
      </c>
      <c r="BX30" s="90" t="str">
        <f t="shared" si="12"/>
        <v/>
      </c>
      <c r="BY30" s="201" t="str">
        <f t="shared" si="42"/>
        <v/>
      </c>
      <c r="BZ30" s="90" t="e">
        <f t="shared" si="43"/>
        <v>#N/A</v>
      </c>
      <c r="CA30" s="201" t="e">
        <f t="shared" si="44"/>
        <v>#N/A</v>
      </c>
      <c r="CB30" s="90" t="e">
        <f t="shared" si="13"/>
        <v>#N/A</v>
      </c>
      <c r="CC30" s="127" t="str">
        <f t="shared" si="14"/>
        <v/>
      </c>
      <c r="CD30" s="127" t="str">
        <f t="shared" si="15"/>
        <v/>
      </c>
      <c r="CE30" s="90" t="str">
        <f t="shared" si="16"/>
        <v/>
      </c>
      <c r="CF30" s="90" t="str">
        <f t="shared" si="17"/>
        <v/>
      </c>
      <c r="CG30" s="90" t="str">
        <f t="shared" si="45"/>
        <v/>
      </c>
      <c r="CH30" s="90" t="str">
        <f t="shared" si="46"/>
        <v/>
      </c>
      <c r="CI30" s="90" t="str">
        <f t="shared" si="47"/>
        <v/>
      </c>
      <c r="CJ30" s="90" t="str">
        <f t="shared" si="48"/>
        <v/>
      </c>
      <c r="CK30" s="90" t="str">
        <f t="shared" si="18"/>
        <v/>
      </c>
      <c r="CL30" s="90" t="str">
        <f t="shared" si="19"/>
        <v/>
      </c>
      <c r="CM30" s="106" t="e">
        <f t="shared" si="20"/>
        <v>#N/A</v>
      </c>
      <c r="CN30" s="90" t="e">
        <f t="shared" si="21"/>
        <v>#N/A</v>
      </c>
      <c r="CO30" s="90" t="e">
        <f t="shared" si="22"/>
        <v>#N/A</v>
      </c>
      <c r="CP30" s="90" t="e">
        <f t="shared" si="23"/>
        <v>#N/A</v>
      </c>
      <c r="CQ30" s="90" t="e">
        <f t="shared" si="24"/>
        <v>#N/A</v>
      </c>
      <c r="CR30" s="90" t="e">
        <f t="shared" si="25"/>
        <v>#N/A</v>
      </c>
      <c r="CS30" s="90" t="e">
        <f t="shared" si="26"/>
        <v>#N/A</v>
      </c>
      <c r="CT30" s="90" t="e">
        <f t="shared" si="27"/>
        <v>#N/A</v>
      </c>
      <c r="CU30" s="90" t="e">
        <f t="shared" si="28"/>
        <v>#N/A</v>
      </c>
      <c r="CV30" s="106">
        <v>23</v>
      </c>
      <c r="CW30" s="90"/>
      <c r="CX30" s="102"/>
      <c r="CY30" s="102"/>
      <c r="CZ30" s="102"/>
      <c r="DA30" s="102"/>
      <c r="DB30" s="102"/>
      <c r="DC30" s="102"/>
      <c r="DD30" s="102"/>
      <c r="DE30" s="102"/>
      <c r="DF30" s="102"/>
      <c r="DG30" s="102"/>
      <c r="DH30" s="102"/>
      <c r="DI30" s="307">
        <v>19</v>
      </c>
      <c r="DJ30" s="90">
        <f t="shared" si="50"/>
        <v>0.18999999999999995</v>
      </c>
      <c r="DK30" s="90">
        <f t="shared" si="52"/>
        <v>3.0055873556221475E-2</v>
      </c>
      <c r="DL30" s="90" t="e">
        <f t="shared" si="53"/>
        <v>#N/A</v>
      </c>
      <c r="DM30" s="90">
        <f t="shared" si="54"/>
        <v>3.0055873556221475E-2</v>
      </c>
      <c r="DN30" s="90">
        <f t="shared" si="55"/>
        <v>32</v>
      </c>
      <c r="DO30" s="308">
        <f t="shared" si="51"/>
        <v>5.599999999999998E-2</v>
      </c>
      <c r="DP30" s="307">
        <f t="shared" si="63"/>
        <v>0.18999999999999972</v>
      </c>
      <c r="DQ30" s="90">
        <f t="shared" si="56"/>
        <v>-1.8829232074866881E-2</v>
      </c>
      <c r="DR30" s="90">
        <f t="shared" si="57"/>
        <v>-1.8829232074866881E-2</v>
      </c>
      <c r="DS30" s="90">
        <f t="shared" si="64"/>
        <v>33</v>
      </c>
      <c r="DT30" s="308">
        <f t="shared" si="65"/>
        <v>5.5999999999999897E-2</v>
      </c>
      <c r="DU30" s="307">
        <f t="shared" si="58"/>
        <v>0.19000000000000061</v>
      </c>
      <c r="DV30" s="90">
        <f t="shared" si="59"/>
        <v>0.11264534045196821</v>
      </c>
      <c r="DW30" s="90">
        <f t="shared" si="60"/>
        <v>0.11264534045196821</v>
      </c>
      <c r="DX30" s="90">
        <f t="shared" si="61"/>
        <v>34</v>
      </c>
      <c r="DY30" s="308">
        <f t="shared" si="62"/>
        <v>5.6000000000000244E-2</v>
      </c>
    </row>
    <row r="31" spans="1:129" ht="12" customHeight="1" x14ac:dyDescent="0.2">
      <c r="A31" s="90"/>
      <c r="B31" s="181" t="str">
        <f t="shared" si="29"/>
        <v/>
      </c>
      <c r="C31" s="838" t="str">
        <f t="shared" si="7"/>
        <v/>
      </c>
      <c r="D31" s="182" t="str">
        <f t="shared" si="8"/>
        <v/>
      </c>
      <c r="E31" s="204">
        <v>24</v>
      </c>
      <c r="F31" s="186"/>
      <c r="G31" s="186"/>
      <c r="H31" s="186"/>
      <c r="I31" s="186"/>
      <c r="J31" s="186"/>
      <c r="K31" s="396"/>
      <c r="L31" s="186"/>
      <c r="M31" s="186"/>
      <c r="N31" s="579" t="str">
        <f t="shared" si="30"/>
        <v/>
      </c>
      <c r="O31" s="579" t="str">
        <f t="shared" si="31"/>
        <v/>
      </c>
      <c r="P31" s="189" t="str">
        <f t="shared" si="32"/>
        <v/>
      </c>
      <c r="Q31" s="194"/>
      <c r="R31" s="397" t="str">
        <f t="shared" si="9"/>
        <v/>
      </c>
      <c r="S31" s="192"/>
      <c r="T31" s="193" t="str">
        <f t="shared" si="10"/>
        <v/>
      </c>
      <c r="U31" s="430"/>
      <c r="V31" s="105">
        <f t="shared" si="5"/>
        <v>9.5E-4</v>
      </c>
      <c r="W31" s="90"/>
      <c r="X31" s="90"/>
      <c r="Y31" s="90"/>
      <c r="Z31" s="90"/>
      <c r="AA31" s="90"/>
      <c r="AB31" s="90"/>
      <c r="AC31" s="90"/>
      <c r="AD31" s="90"/>
      <c r="AE31" s="90"/>
      <c r="AF31" s="87">
        <f t="shared" si="6"/>
        <v>9.5E-4</v>
      </c>
      <c r="AG31" s="399" t="s">
        <v>339</v>
      </c>
      <c r="AH31" s="400" t="str">
        <f t="shared" si="33"/>
        <v/>
      </c>
      <c r="AI31" s="197" t="s">
        <v>261</v>
      </c>
      <c r="AJ31" s="400" t="str">
        <f t="shared" si="34"/>
        <v/>
      </c>
      <c r="AK31" s="401" t="s">
        <v>259</v>
      </c>
      <c r="AV31" s="314"/>
      <c r="BG31" s="94">
        <f t="shared" si="35"/>
        <v>-999999999999</v>
      </c>
      <c r="BH31" s="95" t="str">
        <f t="shared" si="36"/>
        <v>zzzzzzzzzzzz</v>
      </c>
      <c r="BI31" s="290">
        <f t="shared" si="49"/>
        <v>-999999999999</v>
      </c>
      <c r="BJ31" s="402">
        <v>-5</v>
      </c>
      <c r="BK31" s="201">
        <f t="shared" si="66"/>
        <v>-0.5</v>
      </c>
      <c r="BL31" s="201">
        <f t="shared" si="67"/>
        <v>-0.46756301881048529</v>
      </c>
      <c r="BM31" s="201" t="e">
        <f t="shared" si="68"/>
        <v>#N/A</v>
      </c>
      <c r="BN31" s="421">
        <f t="shared" si="69"/>
        <v>39</v>
      </c>
      <c r="BO31" s="268" t="s">
        <v>343</v>
      </c>
      <c r="BP31" s="90">
        <f>0.5*(LN(BP16)-LN(BP15))/(SQRT(2*BP16)-SQRT(2*BP15-1))</f>
        <v>0.18906316474476026</v>
      </c>
      <c r="BQ31" s="404">
        <f t="shared" si="37"/>
        <v>999</v>
      </c>
      <c r="BR31" s="405">
        <f t="shared" si="38"/>
        <v>999</v>
      </c>
      <c r="BS31" s="290" t="str">
        <f t="shared" si="39"/>
        <v/>
      </c>
      <c r="BT31" s="113">
        <v>24</v>
      </c>
      <c r="BU31" s="95" t="b">
        <f t="shared" si="40"/>
        <v>0</v>
      </c>
      <c r="BV31" s="406" t="str">
        <f t="shared" si="11"/>
        <v/>
      </c>
      <c r="BW31" s="90" t="str">
        <f t="shared" si="41"/>
        <v/>
      </c>
      <c r="BX31" s="90" t="str">
        <f t="shared" si="12"/>
        <v/>
      </c>
      <c r="BY31" s="201" t="str">
        <f t="shared" si="42"/>
        <v/>
      </c>
      <c r="BZ31" s="90" t="e">
        <f t="shared" si="43"/>
        <v>#N/A</v>
      </c>
      <c r="CA31" s="201" t="e">
        <f t="shared" si="44"/>
        <v>#N/A</v>
      </c>
      <c r="CB31" s="90" t="e">
        <f t="shared" si="13"/>
        <v>#N/A</v>
      </c>
      <c r="CC31" s="127" t="str">
        <f t="shared" si="14"/>
        <v/>
      </c>
      <c r="CD31" s="127" t="str">
        <f t="shared" si="15"/>
        <v/>
      </c>
      <c r="CE31" s="90" t="str">
        <f t="shared" si="16"/>
        <v/>
      </c>
      <c r="CF31" s="90" t="str">
        <f t="shared" si="17"/>
        <v/>
      </c>
      <c r="CG31" s="90" t="str">
        <f t="shared" si="45"/>
        <v/>
      </c>
      <c r="CH31" s="90" t="str">
        <f t="shared" si="46"/>
        <v/>
      </c>
      <c r="CI31" s="90" t="str">
        <f t="shared" si="47"/>
        <v/>
      </c>
      <c r="CJ31" s="90" t="str">
        <f t="shared" si="48"/>
        <v/>
      </c>
      <c r="CK31" s="90" t="str">
        <f t="shared" si="18"/>
        <v/>
      </c>
      <c r="CL31" s="90" t="str">
        <f t="shared" si="19"/>
        <v/>
      </c>
      <c r="CM31" s="106" t="e">
        <f t="shared" si="20"/>
        <v>#N/A</v>
      </c>
      <c r="CN31" s="90" t="e">
        <f t="shared" si="21"/>
        <v>#N/A</v>
      </c>
      <c r="CO31" s="90" t="e">
        <f t="shared" si="22"/>
        <v>#N/A</v>
      </c>
      <c r="CP31" s="90" t="e">
        <f t="shared" si="23"/>
        <v>#N/A</v>
      </c>
      <c r="CQ31" s="90" t="e">
        <f t="shared" si="24"/>
        <v>#N/A</v>
      </c>
      <c r="CR31" s="90" t="e">
        <f t="shared" si="25"/>
        <v>#N/A</v>
      </c>
      <c r="CS31" s="90" t="e">
        <f t="shared" si="26"/>
        <v>#N/A</v>
      </c>
      <c r="CT31" s="90" t="e">
        <f t="shared" si="27"/>
        <v>#N/A</v>
      </c>
      <c r="CU31" s="90" t="e">
        <f t="shared" si="28"/>
        <v>#N/A</v>
      </c>
      <c r="CV31" s="106">
        <v>24</v>
      </c>
      <c r="CW31" s="90"/>
      <c r="CX31" s="102"/>
      <c r="CY31" s="102"/>
      <c r="CZ31" s="102"/>
      <c r="DA31" s="102"/>
      <c r="DB31" s="102"/>
      <c r="DC31" s="102"/>
      <c r="DD31" s="102"/>
      <c r="DE31" s="102"/>
      <c r="DF31" s="102"/>
      <c r="DG31" s="102"/>
      <c r="DH31" s="102"/>
      <c r="DI31" s="307">
        <v>20</v>
      </c>
      <c r="DJ31" s="90">
        <f t="shared" si="50"/>
        <v>0.20000000000000007</v>
      </c>
      <c r="DK31" s="90">
        <f t="shared" si="52"/>
        <v>3.0849212457315436E-2</v>
      </c>
      <c r="DL31" s="90" t="e">
        <f t="shared" si="53"/>
        <v>#N/A</v>
      </c>
      <c r="DM31" s="90">
        <f t="shared" si="54"/>
        <v>3.0849212457315436E-2</v>
      </c>
      <c r="DN31" s="90">
        <f t="shared" si="55"/>
        <v>32</v>
      </c>
      <c r="DO31" s="308">
        <f t="shared" si="51"/>
        <v>6.0000000000000026E-2</v>
      </c>
      <c r="DP31" s="307">
        <f t="shared" si="63"/>
        <v>0.19999999999999973</v>
      </c>
      <c r="DQ31" s="90">
        <f t="shared" si="56"/>
        <v>-1.8196315861726368E-2</v>
      </c>
      <c r="DR31" s="90">
        <f t="shared" si="57"/>
        <v>-1.8196315861726368E-2</v>
      </c>
      <c r="DS31" s="90">
        <f t="shared" si="64"/>
        <v>33</v>
      </c>
      <c r="DT31" s="308">
        <f t="shared" si="65"/>
        <v>5.9999999999999901E-2</v>
      </c>
      <c r="DU31" s="307">
        <f t="shared" si="58"/>
        <v>0.20000000000000062</v>
      </c>
      <c r="DV31" s="90">
        <f t="shared" si="59"/>
        <v>0.11392913990032622</v>
      </c>
      <c r="DW31" s="90">
        <f t="shared" si="60"/>
        <v>0.11392913990032622</v>
      </c>
      <c r="DX31" s="90">
        <f t="shared" si="61"/>
        <v>34</v>
      </c>
      <c r="DY31" s="308">
        <f t="shared" si="62"/>
        <v>6.0000000000000248E-2</v>
      </c>
    </row>
    <row r="32" spans="1:129" ht="12" customHeight="1" x14ac:dyDescent="0.2">
      <c r="A32" s="90"/>
      <c r="B32" s="181" t="str">
        <f t="shared" si="29"/>
        <v/>
      </c>
      <c r="C32" s="838" t="str">
        <f t="shared" si="7"/>
        <v/>
      </c>
      <c r="D32" s="182" t="str">
        <f t="shared" si="8"/>
        <v/>
      </c>
      <c r="E32" s="183">
        <v>25</v>
      </c>
      <c r="F32" s="186"/>
      <c r="G32" s="186"/>
      <c r="H32" s="186"/>
      <c r="I32" s="186"/>
      <c r="J32" s="186"/>
      <c r="K32" s="396"/>
      <c r="L32" s="186"/>
      <c r="M32" s="186"/>
      <c r="N32" s="579" t="str">
        <f t="shared" si="30"/>
        <v/>
      </c>
      <c r="O32" s="579" t="str">
        <f t="shared" si="31"/>
        <v/>
      </c>
      <c r="P32" s="189" t="str">
        <f t="shared" si="32"/>
        <v/>
      </c>
      <c r="Q32" s="194"/>
      <c r="R32" s="397" t="str">
        <f t="shared" si="9"/>
        <v/>
      </c>
      <c r="S32" s="192"/>
      <c r="T32" s="193" t="str">
        <f t="shared" si="10"/>
        <v/>
      </c>
      <c r="U32" s="430"/>
      <c r="V32" s="105">
        <f t="shared" si="5"/>
        <v>9.5E-4</v>
      </c>
      <c r="W32" s="90"/>
      <c r="X32" s="90"/>
      <c r="Y32" s="90"/>
      <c r="Z32" s="90"/>
      <c r="AA32" s="90"/>
      <c r="AB32" s="90"/>
      <c r="AC32" s="90"/>
      <c r="AD32" s="90"/>
      <c r="AE32" s="90"/>
      <c r="AF32" s="87">
        <f t="shared" si="6"/>
        <v>9.5E-4</v>
      </c>
      <c r="AG32" s="399" t="s">
        <v>339</v>
      </c>
      <c r="AH32" s="400" t="str">
        <f t="shared" si="33"/>
        <v/>
      </c>
      <c r="AI32" s="197" t="s">
        <v>261</v>
      </c>
      <c r="AJ32" s="400" t="str">
        <f t="shared" si="34"/>
        <v/>
      </c>
      <c r="AK32" s="401" t="s">
        <v>259</v>
      </c>
      <c r="AV32" s="3"/>
      <c r="BG32" s="94">
        <f t="shared" si="35"/>
        <v>-999999999999</v>
      </c>
      <c r="BH32" s="95" t="str">
        <f t="shared" si="36"/>
        <v>zzzzzzzzzzzz</v>
      </c>
      <c r="BI32" s="290">
        <f t="shared" si="49"/>
        <v>-999999999999</v>
      </c>
      <c r="BJ32" s="402">
        <v>-6</v>
      </c>
      <c r="BK32" s="201">
        <f t="shared" si="66"/>
        <v>-0.60000000000000009</v>
      </c>
      <c r="BL32" s="201">
        <f t="shared" si="67"/>
        <v>-0.56756301881048532</v>
      </c>
      <c r="BM32" s="201" t="e">
        <f t="shared" si="68"/>
        <v>#N/A</v>
      </c>
      <c r="BN32" s="421">
        <f t="shared" si="69"/>
        <v>39</v>
      </c>
      <c r="BO32" s="268" t="s">
        <v>344</v>
      </c>
      <c r="BP32" s="154">
        <f>SQRT(1/(2*(BP15-1)*(1-(1/(3*(BP15-1)^2)))))</f>
        <v>0.25065359588661412</v>
      </c>
      <c r="BQ32" s="404">
        <f t="shared" si="37"/>
        <v>999</v>
      </c>
      <c r="BR32" s="405">
        <f t="shared" si="38"/>
        <v>999</v>
      </c>
      <c r="BS32" s="435" t="str">
        <f t="shared" si="39"/>
        <v/>
      </c>
      <c r="BT32" s="113">
        <v>25</v>
      </c>
      <c r="BU32" s="95" t="b">
        <f t="shared" si="40"/>
        <v>0</v>
      </c>
      <c r="BV32" s="406" t="str">
        <f t="shared" si="11"/>
        <v/>
      </c>
      <c r="BW32" s="90" t="str">
        <f t="shared" si="41"/>
        <v/>
      </c>
      <c r="BX32" s="90" t="str">
        <f t="shared" si="12"/>
        <v/>
      </c>
      <c r="BY32" s="201" t="str">
        <f t="shared" si="42"/>
        <v/>
      </c>
      <c r="BZ32" s="90" t="e">
        <f t="shared" si="43"/>
        <v>#N/A</v>
      </c>
      <c r="CA32" s="201" t="e">
        <f t="shared" si="44"/>
        <v>#N/A</v>
      </c>
      <c r="CB32" s="90" t="e">
        <f t="shared" si="13"/>
        <v>#N/A</v>
      </c>
      <c r="CC32" s="127" t="str">
        <f t="shared" si="14"/>
        <v/>
      </c>
      <c r="CD32" s="127" t="str">
        <f t="shared" si="15"/>
        <v/>
      </c>
      <c r="CE32" s="90" t="str">
        <f t="shared" si="16"/>
        <v/>
      </c>
      <c r="CF32" s="90" t="str">
        <f t="shared" si="17"/>
        <v/>
      </c>
      <c r="CG32" s="90" t="str">
        <f t="shared" si="45"/>
        <v/>
      </c>
      <c r="CH32" s="90" t="str">
        <f t="shared" si="46"/>
        <v/>
      </c>
      <c r="CI32" s="90" t="str">
        <f t="shared" si="47"/>
        <v/>
      </c>
      <c r="CJ32" s="90" t="str">
        <f t="shared" si="48"/>
        <v/>
      </c>
      <c r="CK32" s="90" t="str">
        <f t="shared" si="18"/>
        <v/>
      </c>
      <c r="CL32" s="90" t="str">
        <f t="shared" si="19"/>
        <v/>
      </c>
      <c r="CM32" s="106" t="e">
        <f t="shared" si="20"/>
        <v>#N/A</v>
      </c>
      <c r="CN32" s="90" t="e">
        <f t="shared" si="21"/>
        <v>#N/A</v>
      </c>
      <c r="CO32" s="90" t="e">
        <f t="shared" si="22"/>
        <v>#N/A</v>
      </c>
      <c r="CP32" s="90" t="e">
        <f t="shared" si="23"/>
        <v>#N/A</v>
      </c>
      <c r="CQ32" s="90" t="e">
        <f t="shared" si="24"/>
        <v>#N/A</v>
      </c>
      <c r="CR32" s="90" t="e">
        <f t="shared" si="25"/>
        <v>#N/A</v>
      </c>
      <c r="CS32" s="90" t="e">
        <f t="shared" si="26"/>
        <v>#N/A</v>
      </c>
      <c r="CT32" s="90" t="e">
        <f t="shared" si="27"/>
        <v>#N/A</v>
      </c>
      <c r="CU32" s="90" t="e">
        <f t="shared" si="28"/>
        <v>#N/A</v>
      </c>
      <c r="CV32" s="106">
        <v>25</v>
      </c>
      <c r="CW32" s="90"/>
      <c r="CX32" s="102"/>
      <c r="CY32" s="102"/>
      <c r="CZ32" s="102"/>
      <c r="DA32" s="102"/>
      <c r="DB32" s="102"/>
      <c r="DC32" s="102"/>
      <c r="DD32" s="102"/>
      <c r="DE32" s="102"/>
      <c r="DF32" s="102"/>
      <c r="DG32" s="102"/>
      <c r="DH32" s="102"/>
      <c r="DI32" s="307">
        <v>21</v>
      </c>
      <c r="DJ32" s="90">
        <f t="shared" si="50"/>
        <v>0.21000000000000008</v>
      </c>
      <c r="DK32" s="90">
        <f t="shared" si="52"/>
        <v>3.1642551358409397E-2</v>
      </c>
      <c r="DL32" s="90" t="e">
        <f t="shared" si="53"/>
        <v>#N/A</v>
      </c>
      <c r="DM32" s="90">
        <f t="shared" si="54"/>
        <v>3.1642551358409397E-2</v>
      </c>
      <c r="DN32" s="90">
        <f t="shared" si="55"/>
        <v>32</v>
      </c>
      <c r="DO32" s="308">
        <f t="shared" si="51"/>
        <v>6.4000000000000029E-2</v>
      </c>
      <c r="DP32" s="307">
        <f t="shared" si="63"/>
        <v>0.20999999999999985</v>
      </c>
      <c r="DQ32" s="90">
        <f t="shared" si="56"/>
        <v>-1.7563399648585856E-2</v>
      </c>
      <c r="DR32" s="90">
        <f t="shared" si="57"/>
        <v>-1.7563399648585856E-2</v>
      </c>
      <c r="DS32" s="90">
        <f t="shared" si="64"/>
        <v>33</v>
      </c>
      <c r="DT32" s="308">
        <f t="shared" si="65"/>
        <v>6.3999999999999946E-2</v>
      </c>
      <c r="DU32" s="307">
        <f t="shared" si="58"/>
        <v>0.21000000000000063</v>
      </c>
      <c r="DV32" s="90">
        <f t="shared" si="59"/>
        <v>0.11521293934868422</v>
      </c>
      <c r="DW32" s="90">
        <f t="shared" si="60"/>
        <v>0.11521293934868422</v>
      </c>
      <c r="DX32" s="90">
        <f t="shared" si="61"/>
        <v>34</v>
      </c>
      <c r="DY32" s="308">
        <f t="shared" si="62"/>
        <v>6.4000000000000251E-2</v>
      </c>
    </row>
    <row r="33" spans="1:129" ht="12" customHeight="1" x14ac:dyDescent="0.2">
      <c r="A33" s="90"/>
      <c r="B33" s="181" t="str">
        <f t="shared" si="29"/>
        <v/>
      </c>
      <c r="C33" s="838" t="str">
        <f t="shared" si="7"/>
        <v/>
      </c>
      <c r="D33" s="182" t="str">
        <f t="shared" si="8"/>
        <v/>
      </c>
      <c r="E33" s="204">
        <v>26</v>
      </c>
      <c r="F33" s="186"/>
      <c r="G33" s="186"/>
      <c r="H33" s="186"/>
      <c r="I33" s="186"/>
      <c r="J33" s="186"/>
      <c r="K33" s="396"/>
      <c r="L33" s="186"/>
      <c r="M33" s="186"/>
      <c r="N33" s="579" t="str">
        <f t="shared" si="30"/>
        <v/>
      </c>
      <c r="O33" s="579" t="str">
        <f t="shared" si="31"/>
        <v/>
      </c>
      <c r="P33" s="189" t="str">
        <f t="shared" si="32"/>
        <v/>
      </c>
      <c r="Q33" s="194"/>
      <c r="R33" s="397" t="str">
        <f t="shared" si="9"/>
        <v/>
      </c>
      <c r="S33" s="192"/>
      <c r="T33" s="193" t="str">
        <f t="shared" si="10"/>
        <v/>
      </c>
      <c r="U33" s="430"/>
      <c r="V33" s="105">
        <f t="shared" si="5"/>
        <v>9.5E-4</v>
      </c>
      <c r="W33" s="90"/>
      <c r="X33" s="90"/>
      <c r="Y33" s="90"/>
      <c r="Z33" s="90"/>
      <c r="AA33" s="90"/>
      <c r="AB33" s="90"/>
      <c r="AC33" s="90"/>
      <c r="AD33" s="90"/>
      <c r="AE33" s="90"/>
      <c r="AF33" s="87">
        <f t="shared" si="6"/>
        <v>9.5E-4</v>
      </c>
      <c r="AG33" s="399" t="s">
        <v>339</v>
      </c>
      <c r="AH33" s="400" t="str">
        <f t="shared" si="33"/>
        <v/>
      </c>
      <c r="AI33" s="197" t="s">
        <v>261</v>
      </c>
      <c r="AJ33" s="400" t="str">
        <f t="shared" si="34"/>
        <v/>
      </c>
      <c r="AK33" s="401" t="s">
        <v>259</v>
      </c>
      <c r="AV33" s="314"/>
      <c r="BG33" s="94">
        <f t="shared" si="35"/>
        <v>-999999999999</v>
      </c>
      <c r="BH33" s="95" t="str">
        <f t="shared" si="36"/>
        <v>zzzzzzzzzzzz</v>
      </c>
      <c r="BI33" s="424">
        <f t="shared" si="49"/>
        <v>-999999999999</v>
      </c>
      <c r="BJ33" s="402">
        <v>-7</v>
      </c>
      <c r="BK33" s="201">
        <f t="shared" si="66"/>
        <v>-0.70000000000000007</v>
      </c>
      <c r="BL33" s="201">
        <f t="shared" si="67"/>
        <v>-0.6675630188104853</v>
      </c>
      <c r="BM33" s="201" t="e">
        <f t="shared" si="68"/>
        <v>#N/A</v>
      </c>
      <c r="BN33" s="421">
        <f t="shared" si="69"/>
        <v>39</v>
      </c>
      <c r="BO33" s="268" t="s">
        <v>258</v>
      </c>
      <c r="BP33" s="154">
        <f>IF(BP16&gt;(BP15+1),BP31,BP32)</f>
        <v>0.18906316474476026</v>
      </c>
      <c r="BQ33" s="404">
        <f t="shared" si="37"/>
        <v>999</v>
      </c>
      <c r="BR33" s="405">
        <f t="shared" si="38"/>
        <v>999</v>
      </c>
      <c r="BS33" s="435" t="str">
        <f t="shared" si="39"/>
        <v/>
      </c>
      <c r="BT33" s="113">
        <v>26</v>
      </c>
      <c r="BU33" s="95" t="b">
        <f t="shared" si="40"/>
        <v>0</v>
      </c>
      <c r="BV33" s="406" t="str">
        <f t="shared" si="11"/>
        <v/>
      </c>
      <c r="BW33" s="90" t="str">
        <f t="shared" si="41"/>
        <v/>
      </c>
      <c r="BX33" s="90" t="str">
        <f t="shared" si="12"/>
        <v/>
      </c>
      <c r="BY33" s="201" t="str">
        <f t="shared" si="42"/>
        <v/>
      </c>
      <c r="BZ33" s="90" t="e">
        <f t="shared" si="43"/>
        <v>#N/A</v>
      </c>
      <c r="CA33" s="201" t="e">
        <f t="shared" si="44"/>
        <v>#N/A</v>
      </c>
      <c r="CB33" s="90" t="e">
        <f t="shared" si="13"/>
        <v>#N/A</v>
      </c>
      <c r="CC33" s="127" t="str">
        <f t="shared" si="14"/>
        <v/>
      </c>
      <c r="CD33" s="127" t="str">
        <f t="shared" si="15"/>
        <v/>
      </c>
      <c r="CE33" s="90" t="str">
        <f t="shared" si="16"/>
        <v/>
      </c>
      <c r="CF33" s="90" t="str">
        <f t="shared" si="17"/>
        <v/>
      </c>
      <c r="CG33" s="90" t="str">
        <f t="shared" si="45"/>
        <v/>
      </c>
      <c r="CH33" s="90" t="str">
        <f t="shared" si="46"/>
        <v/>
      </c>
      <c r="CI33" s="90" t="str">
        <f t="shared" si="47"/>
        <v/>
      </c>
      <c r="CJ33" s="90" t="str">
        <f t="shared" si="48"/>
        <v/>
      </c>
      <c r="CK33" s="90" t="str">
        <f t="shared" si="18"/>
        <v/>
      </c>
      <c r="CL33" s="90" t="str">
        <f t="shared" si="19"/>
        <v/>
      </c>
      <c r="CM33" s="106" t="e">
        <f t="shared" si="20"/>
        <v>#N/A</v>
      </c>
      <c r="CN33" s="90" t="e">
        <f t="shared" si="21"/>
        <v>#N/A</v>
      </c>
      <c r="CO33" s="90" t="e">
        <f t="shared" si="22"/>
        <v>#N/A</v>
      </c>
      <c r="CP33" s="90" t="e">
        <f t="shared" si="23"/>
        <v>#N/A</v>
      </c>
      <c r="CQ33" s="90" t="e">
        <f t="shared" si="24"/>
        <v>#N/A</v>
      </c>
      <c r="CR33" s="90" t="e">
        <f t="shared" si="25"/>
        <v>#N/A</v>
      </c>
      <c r="CS33" s="90" t="e">
        <f t="shared" si="26"/>
        <v>#N/A</v>
      </c>
      <c r="CT33" s="90" t="e">
        <f t="shared" si="27"/>
        <v>#N/A</v>
      </c>
      <c r="CU33" s="90" t="e">
        <f t="shared" si="28"/>
        <v>#N/A</v>
      </c>
      <c r="CV33" s="106">
        <v>26</v>
      </c>
      <c r="CW33" s="90"/>
      <c r="CX33" s="102"/>
      <c r="CY33" s="102"/>
      <c r="CZ33" s="102"/>
      <c r="DA33" s="102"/>
      <c r="DB33" s="102"/>
      <c r="DC33" s="102"/>
      <c r="DD33" s="102"/>
      <c r="DE33" s="102"/>
      <c r="DF33" s="102"/>
      <c r="DG33" s="102"/>
      <c r="DH33" s="102"/>
      <c r="DI33" s="307">
        <v>22</v>
      </c>
      <c r="DJ33" s="90">
        <f t="shared" si="50"/>
        <v>0.22000000000000008</v>
      </c>
      <c r="DK33" s="90">
        <f t="shared" si="52"/>
        <v>3.2435890259503358E-2</v>
      </c>
      <c r="DL33" s="90" t="e">
        <f t="shared" si="53"/>
        <v>#N/A</v>
      </c>
      <c r="DM33" s="90">
        <f t="shared" si="54"/>
        <v>3.2435890259503358E-2</v>
      </c>
      <c r="DN33" s="90">
        <f t="shared" si="55"/>
        <v>32</v>
      </c>
      <c r="DO33" s="308">
        <f t="shared" si="51"/>
        <v>6.8000000000000033E-2</v>
      </c>
      <c r="DP33" s="307">
        <f t="shared" si="63"/>
        <v>0.21999999999999975</v>
      </c>
      <c r="DQ33" s="90">
        <f t="shared" si="56"/>
        <v>-1.6930483435445343E-2</v>
      </c>
      <c r="DR33" s="90">
        <f t="shared" si="57"/>
        <v>-1.6930483435445343E-2</v>
      </c>
      <c r="DS33" s="90">
        <f t="shared" si="64"/>
        <v>33</v>
      </c>
      <c r="DT33" s="308">
        <f t="shared" si="65"/>
        <v>6.7999999999999908E-2</v>
      </c>
      <c r="DU33" s="307">
        <f t="shared" si="58"/>
        <v>0.22000000000000064</v>
      </c>
      <c r="DV33" s="90">
        <f t="shared" si="59"/>
        <v>0.11649673879704223</v>
      </c>
      <c r="DW33" s="90">
        <f t="shared" si="60"/>
        <v>0.11649673879704223</v>
      </c>
      <c r="DX33" s="90">
        <f t="shared" si="61"/>
        <v>34</v>
      </c>
      <c r="DY33" s="308">
        <f t="shared" si="62"/>
        <v>6.8000000000000255E-2</v>
      </c>
    </row>
    <row r="34" spans="1:129" ht="12" customHeight="1" x14ac:dyDescent="0.2">
      <c r="A34" s="90"/>
      <c r="B34" s="181" t="str">
        <f t="shared" si="29"/>
        <v/>
      </c>
      <c r="C34" s="838" t="str">
        <f t="shared" si="7"/>
        <v/>
      </c>
      <c r="D34" s="182" t="str">
        <f t="shared" si="8"/>
        <v/>
      </c>
      <c r="E34" s="183">
        <v>27</v>
      </c>
      <c r="F34" s="186"/>
      <c r="G34" s="186"/>
      <c r="H34" s="186"/>
      <c r="I34" s="186"/>
      <c r="J34" s="186"/>
      <c r="K34" s="396"/>
      <c r="L34" s="186"/>
      <c r="M34" s="186"/>
      <c r="N34" s="579" t="str">
        <f t="shared" si="30"/>
        <v/>
      </c>
      <c r="O34" s="579" t="str">
        <f t="shared" si="31"/>
        <v/>
      </c>
      <c r="P34" s="189" t="str">
        <f t="shared" si="32"/>
        <v/>
      </c>
      <c r="Q34" s="194"/>
      <c r="R34" s="397" t="str">
        <f t="shared" si="9"/>
        <v/>
      </c>
      <c r="S34" s="192"/>
      <c r="T34" s="193" t="str">
        <f t="shared" si="10"/>
        <v/>
      </c>
      <c r="U34" s="430"/>
      <c r="V34" s="105">
        <f t="shared" si="5"/>
        <v>9.5E-4</v>
      </c>
      <c r="W34" s="90"/>
      <c r="X34" s="90"/>
      <c r="Y34" s="90"/>
      <c r="Z34" s="90"/>
      <c r="AA34" s="90"/>
      <c r="AB34" s="90"/>
      <c r="AC34" s="90"/>
      <c r="AD34" s="90"/>
      <c r="AE34" s="90"/>
      <c r="AF34" s="87">
        <f t="shared" si="6"/>
        <v>9.5E-4</v>
      </c>
      <c r="AG34" s="399" t="s">
        <v>339</v>
      </c>
      <c r="AH34" s="400" t="str">
        <f t="shared" si="33"/>
        <v/>
      </c>
      <c r="AI34" s="197" t="s">
        <v>261</v>
      </c>
      <c r="AJ34" s="400" t="str">
        <f t="shared" si="34"/>
        <v/>
      </c>
      <c r="AK34" s="401" t="s">
        <v>259</v>
      </c>
      <c r="BG34" s="94">
        <f t="shared" si="35"/>
        <v>-999999999999</v>
      </c>
      <c r="BH34" s="95" t="str">
        <f t="shared" si="36"/>
        <v>zzzzzzzzzzzz</v>
      </c>
      <c r="BI34" s="424">
        <f t="shared" si="49"/>
        <v>-999999999999</v>
      </c>
      <c r="BJ34" s="402">
        <v>-8</v>
      </c>
      <c r="BK34" s="201">
        <f t="shared" si="66"/>
        <v>-0.8</v>
      </c>
      <c r="BL34" s="201">
        <f t="shared" si="67"/>
        <v>-0.76756301881048528</v>
      </c>
      <c r="BM34" s="201" t="e">
        <f t="shared" si="68"/>
        <v>#N/A</v>
      </c>
      <c r="BN34" s="421">
        <f t="shared" si="69"/>
        <v>39</v>
      </c>
      <c r="BO34" s="268" t="s">
        <v>345</v>
      </c>
      <c r="BP34" s="90">
        <f>EXP(0.5*LN(BP16/BP15)-NORMSINV((100+$M$2)/200)*BP33)</f>
        <v>0.85584521082799758</v>
      </c>
      <c r="BQ34" s="404">
        <f t="shared" si="37"/>
        <v>999</v>
      </c>
      <c r="BR34" s="405">
        <f t="shared" si="38"/>
        <v>999</v>
      </c>
      <c r="BS34" s="290" t="str">
        <f t="shared" si="39"/>
        <v/>
      </c>
      <c r="BT34" s="113">
        <v>27</v>
      </c>
      <c r="BU34" s="95" t="b">
        <f t="shared" si="40"/>
        <v>0</v>
      </c>
      <c r="BV34" s="406" t="str">
        <f t="shared" si="11"/>
        <v/>
      </c>
      <c r="BW34" s="90" t="str">
        <f t="shared" si="41"/>
        <v/>
      </c>
      <c r="BX34" s="90" t="str">
        <f t="shared" si="12"/>
        <v/>
      </c>
      <c r="BY34" s="201" t="str">
        <f t="shared" si="42"/>
        <v/>
      </c>
      <c r="BZ34" s="90" t="e">
        <f t="shared" si="43"/>
        <v>#N/A</v>
      </c>
      <c r="CA34" s="201" t="e">
        <f t="shared" si="44"/>
        <v>#N/A</v>
      </c>
      <c r="CB34" s="90" t="e">
        <f t="shared" si="13"/>
        <v>#N/A</v>
      </c>
      <c r="CC34" s="127" t="str">
        <f t="shared" si="14"/>
        <v/>
      </c>
      <c r="CD34" s="127" t="str">
        <f t="shared" si="15"/>
        <v/>
      </c>
      <c r="CE34" s="90" t="str">
        <f t="shared" si="16"/>
        <v/>
      </c>
      <c r="CF34" s="90" t="str">
        <f t="shared" si="17"/>
        <v/>
      </c>
      <c r="CG34" s="90" t="str">
        <f t="shared" si="45"/>
        <v/>
      </c>
      <c r="CH34" s="90" t="str">
        <f t="shared" si="46"/>
        <v/>
      </c>
      <c r="CI34" s="90" t="str">
        <f t="shared" si="47"/>
        <v/>
      </c>
      <c r="CJ34" s="90" t="str">
        <f t="shared" si="48"/>
        <v/>
      </c>
      <c r="CK34" s="90" t="str">
        <f t="shared" si="18"/>
        <v/>
      </c>
      <c r="CL34" s="90" t="str">
        <f t="shared" si="19"/>
        <v/>
      </c>
      <c r="CM34" s="106" t="e">
        <f t="shared" si="20"/>
        <v>#N/A</v>
      </c>
      <c r="CN34" s="90" t="e">
        <f t="shared" si="21"/>
        <v>#N/A</v>
      </c>
      <c r="CO34" s="90" t="e">
        <f t="shared" si="22"/>
        <v>#N/A</v>
      </c>
      <c r="CP34" s="90" t="e">
        <f t="shared" si="23"/>
        <v>#N/A</v>
      </c>
      <c r="CQ34" s="90" t="e">
        <f t="shared" si="24"/>
        <v>#N/A</v>
      </c>
      <c r="CR34" s="90" t="e">
        <f t="shared" si="25"/>
        <v>#N/A</v>
      </c>
      <c r="CS34" s="90" t="e">
        <f t="shared" si="26"/>
        <v>#N/A</v>
      </c>
      <c r="CT34" s="90" t="e">
        <f t="shared" si="27"/>
        <v>#N/A</v>
      </c>
      <c r="CU34" s="90" t="e">
        <f t="shared" si="28"/>
        <v>#N/A</v>
      </c>
      <c r="CV34" s="106">
        <v>27</v>
      </c>
      <c r="CW34" s="90"/>
      <c r="CX34" s="102"/>
      <c r="CY34" s="102"/>
      <c r="CZ34" s="102"/>
      <c r="DA34" s="102"/>
      <c r="DB34" s="102"/>
      <c r="DC34" s="102"/>
      <c r="DD34" s="102"/>
      <c r="DE34" s="102"/>
      <c r="DF34" s="102"/>
      <c r="DG34" s="102"/>
      <c r="DH34" s="102"/>
      <c r="DI34" s="307">
        <v>23</v>
      </c>
      <c r="DJ34" s="90">
        <f t="shared" si="50"/>
        <v>0.23000000000000009</v>
      </c>
      <c r="DK34" s="90">
        <f t="shared" si="52"/>
        <v>3.3229229160597319E-2</v>
      </c>
      <c r="DL34" s="90" t="e">
        <f t="shared" si="53"/>
        <v>#N/A</v>
      </c>
      <c r="DM34" s="90">
        <f t="shared" si="54"/>
        <v>3.3229229160597319E-2</v>
      </c>
      <c r="DN34" s="90">
        <f t="shared" si="55"/>
        <v>32</v>
      </c>
      <c r="DO34" s="308">
        <f t="shared" si="51"/>
        <v>7.2000000000000036E-2</v>
      </c>
      <c r="DP34" s="307">
        <f t="shared" si="63"/>
        <v>0.22999999999999965</v>
      </c>
      <c r="DQ34" s="90">
        <f t="shared" si="56"/>
        <v>-1.629756722230483E-2</v>
      </c>
      <c r="DR34" s="90">
        <f t="shared" si="57"/>
        <v>-1.629756722230483E-2</v>
      </c>
      <c r="DS34" s="90">
        <f t="shared" si="64"/>
        <v>33</v>
      </c>
      <c r="DT34" s="308">
        <f t="shared" si="65"/>
        <v>7.1999999999999856E-2</v>
      </c>
      <c r="DU34" s="307">
        <f t="shared" si="58"/>
        <v>0.23000000000000065</v>
      </c>
      <c r="DV34" s="90">
        <f t="shared" si="59"/>
        <v>0.11778053824540023</v>
      </c>
      <c r="DW34" s="90">
        <f t="shared" si="60"/>
        <v>0.11778053824540023</v>
      </c>
      <c r="DX34" s="90">
        <f t="shared" si="61"/>
        <v>34</v>
      </c>
      <c r="DY34" s="308">
        <f t="shared" si="62"/>
        <v>7.2000000000000258E-2</v>
      </c>
    </row>
    <row r="35" spans="1:129" ht="12" customHeight="1" x14ac:dyDescent="0.2">
      <c r="A35" s="90"/>
      <c r="B35" s="181" t="str">
        <f t="shared" si="29"/>
        <v/>
      </c>
      <c r="C35" s="838" t="str">
        <f t="shared" si="7"/>
        <v/>
      </c>
      <c r="D35" s="182" t="str">
        <f t="shared" si="8"/>
        <v/>
      </c>
      <c r="E35" s="204">
        <v>28</v>
      </c>
      <c r="F35" s="186"/>
      <c r="G35" s="186"/>
      <c r="H35" s="186"/>
      <c r="I35" s="186"/>
      <c r="J35" s="186"/>
      <c r="K35" s="396"/>
      <c r="L35" s="186"/>
      <c r="M35" s="186"/>
      <c r="N35" s="579" t="str">
        <f t="shared" si="30"/>
        <v/>
      </c>
      <c r="O35" s="579" t="str">
        <f t="shared" si="31"/>
        <v/>
      </c>
      <c r="P35" s="189" t="str">
        <f t="shared" si="32"/>
        <v/>
      </c>
      <c r="Q35" s="194"/>
      <c r="R35" s="397" t="str">
        <f t="shared" si="9"/>
        <v/>
      </c>
      <c r="S35" s="192"/>
      <c r="T35" s="193" t="str">
        <f t="shared" si="10"/>
        <v/>
      </c>
      <c r="U35" s="430"/>
      <c r="V35" s="105">
        <f t="shared" si="5"/>
        <v>9.5E-4</v>
      </c>
      <c r="W35" s="90"/>
      <c r="X35" s="90"/>
      <c r="Y35" s="90"/>
      <c r="Z35" s="90"/>
      <c r="AA35" s="90"/>
      <c r="AB35" s="90"/>
      <c r="AC35" s="90"/>
      <c r="AD35" s="90"/>
      <c r="AE35" s="90"/>
      <c r="AF35" s="87">
        <f t="shared" si="6"/>
        <v>9.5E-4</v>
      </c>
      <c r="AG35" s="399" t="s">
        <v>339</v>
      </c>
      <c r="AH35" s="400" t="str">
        <f t="shared" si="33"/>
        <v/>
      </c>
      <c r="AI35" s="197" t="s">
        <v>261</v>
      </c>
      <c r="AJ35" s="400" t="str">
        <f t="shared" si="34"/>
        <v/>
      </c>
      <c r="AK35" s="401" t="s">
        <v>259</v>
      </c>
      <c r="BG35" s="94">
        <f t="shared" si="35"/>
        <v>-999999999999</v>
      </c>
      <c r="BH35" s="95" t="str">
        <f t="shared" si="36"/>
        <v>zzzzzzzzzzzz</v>
      </c>
      <c r="BI35" s="424">
        <f t="shared" si="49"/>
        <v>-999999999999</v>
      </c>
      <c r="BJ35" s="402">
        <v>-9</v>
      </c>
      <c r="BK35" s="201">
        <f t="shared" si="66"/>
        <v>-0.9</v>
      </c>
      <c r="BL35" s="201">
        <f t="shared" si="67"/>
        <v>-0.86756301881048525</v>
      </c>
      <c r="BM35" s="201" t="e">
        <f t="shared" si="68"/>
        <v>#N/A</v>
      </c>
      <c r="BN35" s="421">
        <f t="shared" si="69"/>
        <v>39</v>
      </c>
      <c r="BO35" s="268" t="s">
        <v>346</v>
      </c>
      <c r="BP35" s="90">
        <f>EXP(0.5*LN(BP16/BP15)+NORMSINV((100+$M$2)/200)*BP33)</f>
        <v>1.7957957522868933</v>
      </c>
      <c r="BQ35" s="404">
        <f t="shared" si="37"/>
        <v>999</v>
      </c>
      <c r="BR35" s="405">
        <f t="shared" si="38"/>
        <v>999</v>
      </c>
      <c r="BS35" s="290" t="str">
        <f t="shared" si="39"/>
        <v/>
      </c>
      <c r="BT35" s="113">
        <v>28</v>
      </c>
      <c r="BU35" s="95" t="b">
        <f t="shared" si="40"/>
        <v>0</v>
      </c>
      <c r="BV35" s="406" t="str">
        <f t="shared" si="11"/>
        <v/>
      </c>
      <c r="BW35" s="90" t="str">
        <f t="shared" si="41"/>
        <v/>
      </c>
      <c r="BX35" s="90" t="str">
        <f t="shared" si="12"/>
        <v/>
      </c>
      <c r="BY35" s="201" t="str">
        <f t="shared" si="42"/>
        <v/>
      </c>
      <c r="BZ35" s="90" t="e">
        <f t="shared" si="43"/>
        <v>#N/A</v>
      </c>
      <c r="CA35" s="201" t="e">
        <f t="shared" si="44"/>
        <v>#N/A</v>
      </c>
      <c r="CB35" s="90" t="e">
        <f t="shared" si="13"/>
        <v>#N/A</v>
      </c>
      <c r="CC35" s="127" t="str">
        <f t="shared" si="14"/>
        <v/>
      </c>
      <c r="CD35" s="127" t="str">
        <f t="shared" si="15"/>
        <v/>
      </c>
      <c r="CE35" s="90" t="str">
        <f t="shared" si="16"/>
        <v/>
      </c>
      <c r="CF35" s="90" t="str">
        <f t="shared" si="17"/>
        <v/>
      </c>
      <c r="CG35" s="90" t="str">
        <f t="shared" si="45"/>
        <v/>
      </c>
      <c r="CH35" s="90" t="str">
        <f t="shared" si="46"/>
        <v/>
      </c>
      <c r="CI35" s="90" t="str">
        <f t="shared" si="47"/>
        <v/>
      </c>
      <c r="CJ35" s="90" t="str">
        <f t="shared" si="48"/>
        <v/>
      </c>
      <c r="CK35" s="90" t="str">
        <f t="shared" si="18"/>
        <v/>
      </c>
      <c r="CL35" s="90" t="str">
        <f t="shared" si="19"/>
        <v/>
      </c>
      <c r="CM35" s="106" t="e">
        <f t="shared" si="20"/>
        <v>#N/A</v>
      </c>
      <c r="CN35" s="90" t="e">
        <f t="shared" si="21"/>
        <v>#N/A</v>
      </c>
      <c r="CO35" s="90" t="e">
        <f t="shared" si="22"/>
        <v>#N/A</v>
      </c>
      <c r="CP35" s="90" t="e">
        <f t="shared" si="23"/>
        <v>#N/A</v>
      </c>
      <c r="CQ35" s="90" t="e">
        <f t="shared" si="24"/>
        <v>#N/A</v>
      </c>
      <c r="CR35" s="90" t="e">
        <f t="shared" si="25"/>
        <v>#N/A</v>
      </c>
      <c r="CS35" s="90" t="e">
        <f t="shared" si="26"/>
        <v>#N/A</v>
      </c>
      <c r="CT35" s="90" t="e">
        <f t="shared" si="27"/>
        <v>#N/A</v>
      </c>
      <c r="CU35" s="90" t="e">
        <f t="shared" si="28"/>
        <v>#N/A</v>
      </c>
      <c r="CV35" s="106">
        <v>28</v>
      </c>
      <c r="CW35" s="90"/>
      <c r="CX35" s="102"/>
      <c r="CY35" s="102"/>
      <c r="CZ35" s="102"/>
      <c r="DA35" s="102"/>
      <c r="DB35" s="102"/>
      <c r="DC35" s="102"/>
      <c r="DD35" s="102"/>
      <c r="DE35" s="102"/>
      <c r="DF35" s="102"/>
      <c r="DG35" s="102"/>
      <c r="DH35" s="102"/>
      <c r="DI35" s="307">
        <v>24</v>
      </c>
      <c r="DJ35" s="90">
        <f t="shared" si="50"/>
        <v>0.24</v>
      </c>
      <c r="DK35" s="90">
        <f t="shared" si="52"/>
        <v>3.402256806169128E-2</v>
      </c>
      <c r="DL35" s="90" t="e">
        <f t="shared" si="53"/>
        <v>#N/A</v>
      </c>
      <c r="DM35" s="90">
        <f t="shared" si="54"/>
        <v>3.402256806169128E-2</v>
      </c>
      <c r="DN35" s="90">
        <f t="shared" si="55"/>
        <v>32</v>
      </c>
      <c r="DO35" s="308">
        <f t="shared" si="51"/>
        <v>7.5999999999999998E-2</v>
      </c>
      <c r="DP35" s="307">
        <f t="shared" si="63"/>
        <v>0.23999999999999977</v>
      </c>
      <c r="DQ35" s="90">
        <f t="shared" si="56"/>
        <v>-1.5664651009164317E-2</v>
      </c>
      <c r="DR35" s="90">
        <f t="shared" si="57"/>
        <v>-1.5664651009164317E-2</v>
      </c>
      <c r="DS35" s="90">
        <f t="shared" si="64"/>
        <v>33</v>
      </c>
      <c r="DT35" s="308">
        <f t="shared" si="65"/>
        <v>7.5999999999999915E-2</v>
      </c>
      <c r="DU35" s="307">
        <f t="shared" si="58"/>
        <v>0.24000000000000077</v>
      </c>
      <c r="DV35" s="90">
        <f t="shared" si="59"/>
        <v>0.11906433769375824</v>
      </c>
      <c r="DW35" s="90">
        <f t="shared" si="60"/>
        <v>0.11906433769375824</v>
      </c>
      <c r="DX35" s="90">
        <f t="shared" si="61"/>
        <v>34</v>
      </c>
      <c r="DY35" s="308">
        <f t="shared" si="62"/>
        <v>7.6000000000000303E-2</v>
      </c>
    </row>
    <row r="36" spans="1:129" ht="12" customHeight="1" x14ac:dyDescent="0.2">
      <c r="A36" s="90"/>
      <c r="B36" s="181" t="str">
        <f t="shared" si="29"/>
        <v/>
      </c>
      <c r="C36" s="838" t="str">
        <f t="shared" si="7"/>
        <v/>
      </c>
      <c r="D36" s="182" t="str">
        <f t="shared" si="8"/>
        <v/>
      </c>
      <c r="E36" s="183">
        <v>29</v>
      </c>
      <c r="F36" s="186"/>
      <c r="G36" s="186"/>
      <c r="H36" s="186"/>
      <c r="I36" s="186"/>
      <c r="J36" s="186"/>
      <c r="K36" s="396"/>
      <c r="L36" s="186"/>
      <c r="M36" s="186"/>
      <c r="N36" s="579" t="str">
        <f t="shared" si="30"/>
        <v/>
      </c>
      <c r="O36" s="579" t="str">
        <f t="shared" si="31"/>
        <v/>
      </c>
      <c r="P36" s="189" t="str">
        <f t="shared" si="32"/>
        <v/>
      </c>
      <c r="Q36" s="194"/>
      <c r="R36" s="397" t="str">
        <f t="shared" si="9"/>
        <v/>
      </c>
      <c r="S36" s="192"/>
      <c r="T36" s="193" t="str">
        <f t="shared" si="10"/>
        <v/>
      </c>
      <c r="U36" s="430"/>
      <c r="V36" s="105">
        <f t="shared" si="5"/>
        <v>9.5E-4</v>
      </c>
      <c r="W36" s="90"/>
      <c r="X36" s="90"/>
      <c r="Y36" s="90"/>
      <c r="Z36" s="90"/>
      <c r="AA36" s="90"/>
      <c r="AB36" s="90"/>
      <c r="AC36" s="90"/>
      <c r="AD36" s="90"/>
      <c r="AE36" s="90"/>
      <c r="AF36" s="87">
        <f t="shared" si="6"/>
        <v>9.5E-4</v>
      </c>
      <c r="AG36" s="399" t="s">
        <v>339</v>
      </c>
      <c r="AH36" s="400" t="str">
        <f t="shared" si="33"/>
        <v/>
      </c>
      <c r="AI36" s="197" t="s">
        <v>261</v>
      </c>
      <c r="AJ36" s="400" t="str">
        <f t="shared" si="34"/>
        <v/>
      </c>
      <c r="AK36" s="401" t="s">
        <v>259</v>
      </c>
      <c r="BG36" s="94">
        <f t="shared" si="35"/>
        <v>-999999999999</v>
      </c>
      <c r="BH36" s="95" t="str">
        <f t="shared" si="36"/>
        <v>zzzzzzzzzzzz</v>
      </c>
      <c r="BI36" s="424">
        <f t="shared" si="49"/>
        <v>-999999999999</v>
      </c>
      <c r="BJ36" s="412">
        <v>-10</v>
      </c>
      <c r="BK36" s="226">
        <f t="shared" si="66"/>
        <v>-1</v>
      </c>
      <c r="BL36" s="226">
        <f t="shared" si="67"/>
        <v>-0.96756301881048523</v>
      </c>
      <c r="BM36" s="226" t="e">
        <f t="shared" si="68"/>
        <v>#N/A</v>
      </c>
      <c r="BN36" s="436">
        <f t="shared" si="69"/>
        <v>39</v>
      </c>
      <c r="BO36" s="268" t="s">
        <v>347</v>
      </c>
      <c r="BP36" s="90">
        <f>MAX(0,BP15*(BP34^2-1)/BP18)</f>
        <v>0</v>
      </c>
      <c r="BQ36" s="404">
        <f t="shared" si="37"/>
        <v>999</v>
      </c>
      <c r="BR36" s="405">
        <f t="shared" si="38"/>
        <v>999</v>
      </c>
      <c r="BS36" s="290" t="str">
        <f t="shared" si="39"/>
        <v/>
      </c>
      <c r="BT36" s="113">
        <v>29</v>
      </c>
      <c r="BU36" s="95" t="b">
        <f t="shared" si="40"/>
        <v>0</v>
      </c>
      <c r="BV36" s="406" t="str">
        <f t="shared" si="11"/>
        <v/>
      </c>
      <c r="BW36" s="90" t="str">
        <f t="shared" si="41"/>
        <v/>
      </c>
      <c r="BX36" s="90" t="str">
        <f t="shared" si="12"/>
        <v/>
      </c>
      <c r="BY36" s="201" t="str">
        <f t="shared" si="42"/>
        <v/>
      </c>
      <c r="BZ36" s="90" t="e">
        <f t="shared" si="43"/>
        <v>#N/A</v>
      </c>
      <c r="CA36" s="201" t="e">
        <f t="shared" si="44"/>
        <v>#N/A</v>
      </c>
      <c r="CB36" s="90" t="e">
        <f t="shared" si="13"/>
        <v>#N/A</v>
      </c>
      <c r="CC36" s="127" t="str">
        <f t="shared" si="14"/>
        <v/>
      </c>
      <c r="CD36" s="127" t="str">
        <f t="shared" si="15"/>
        <v/>
      </c>
      <c r="CE36" s="90" t="str">
        <f t="shared" si="16"/>
        <v/>
      </c>
      <c r="CF36" s="90" t="str">
        <f t="shared" si="17"/>
        <v/>
      </c>
      <c r="CG36" s="90" t="str">
        <f t="shared" si="45"/>
        <v/>
      </c>
      <c r="CH36" s="90" t="str">
        <f t="shared" si="46"/>
        <v/>
      </c>
      <c r="CI36" s="90" t="str">
        <f t="shared" si="47"/>
        <v/>
      </c>
      <c r="CJ36" s="90" t="str">
        <f t="shared" si="48"/>
        <v/>
      </c>
      <c r="CK36" s="90" t="str">
        <f t="shared" si="18"/>
        <v/>
      </c>
      <c r="CL36" s="90" t="str">
        <f t="shared" si="19"/>
        <v/>
      </c>
      <c r="CM36" s="106" t="e">
        <f t="shared" si="20"/>
        <v>#N/A</v>
      </c>
      <c r="CN36" s="90" t="e">
        <f t="shared" si="21"/>
        <v>#N/A</v>
      </c>
      <c r="CO36" s="90" t="e">
        <f t="shared" si="22"/>
        <v>#N/A</v>
      </c>
      <c r="CP36" s="90" t="e">
        <f t="shared" si="23"/>
        <v>#N/A</v>
      </c>
      <c r="CQ36" s="90" t="e">
        <f t="shared" si="24"/>
        <v>#N/A</v>
      </c>
      <c r="CR36" s="90" t="e">
        <f t="shared" si="25"/>
        <v>#N/A</v>
      </c>
      <c r="CS36" s="90" t="e">
        <f t="shared" si="26"/>
        <v>#N/A</v>
      </c>
      <c r="CT36" s="90" t="e">
        <f t="shared" si="27"/>
        <v>#N/A</v>
      </c>
      <c r="CU36" s="90" t="e">
        <f t="shared" si="28"/>
        <v>#N/A</v>
      </c>
      <c r="CV36" s="106">
        <v>29</v>
      </c>
      <c r="CW36" s="90"/>
      <c r="CX36" s="102"/>
      <c r="CY36" s="102"/>
      <c r="CZ36" s="102"/>
      <c r="DA36" s="102"/>
      <c r="DB36" s="102"/>
      <c r="DC36" s="102"/>
      <c r="DD36" s="102"/>
      <c r="DE36" s="102"/>
      <c r="DF36" s="102"/>
      <c r="DG36" s="102"/>
      <c r="DH36" s="102"/>
      <c r="DI36" s="307">
        <v>25</v>
      </c>
      <c r="DJ36" s="90">
        <f t="shared" si="50"/>
        <v>0.25</v>
      </c>
      <c r="DK36" s="90">
        <f t="shared" si="52"/>
        <v>3.4815906962785241E-2</v>
      </c>
      <c r="DL36" s="90" t="e">
        <f t="shared" si="53"/>
        <v>#N/A</v>
      </c>
      <c r="DM36" s="90">
        <f t="shared" si="54"/>
        <v>3.4815906962785241E-2</v>
      </c>
      <c r="DN36" s="90">
        <f t="shared" si="55"/>
        <v>32</v>
      </c>
      <c r="DO36" s="308">
        <f t="shared" si="51"/>
        <v>0.08</v>
      </c>
      <c r="DP36" s="307">
        <f t="shared" si="63"/>
        <v>0.24999999999999978</v>
      </c>
      <c r="DQ36" s="90">
        <f t="shared" si="56"/>
        <v>-1.5031734796023804E-2</v>
      </c>
      <c r="DR36" s="90">
        <f t="shared" si="57"/>
        <v>-1.5031734796023804E-2</v>
      </c>
      <c r="DS36" s="90">
        <f t="shared" si="64"/>
        <v>33</v>
      </c>
      <c r="DT36" s="308">
        <f t="shared" si="65"/>
        <v>7.9999999999999918E-2</v>
      </c>
      <c r="DU36" s="307">
        <f t="shared" si="58"/>
        <v>0.25000000000000078</v>
      </c>
      <c r="DV36" s="90">
        <f t="shared" si="59"/>
        <v>0.12034813714211624</v>
      </c>
      <c r="DW36" s="90">
        <f t="shared" si="60"/>
        <v>0.12034813714211624</v>
      </c>
      <c r="DX36" s="90">
        <f t="shared" si="61"/>
        <v>34</v>
      </c>
      <c r="DY36" s="308">
        <f t="shared" si="62"/>
        <v>8.0000000000000307E-2</v>
      </c>
    </row>
    <row r="37" spans="1:129" ht="12" customHeight="1" thickBot="1" x14ac:dyDescent="0.25">
      <c r="A37" s="79"/>
      <c r="B37" s="437" t="str">
        <f t="shared" si="29"/>
        <v/>
      </c>
      <c r="C37" s="839" t="str">
        <f t="shared" si="7"/>
        <v/>
      </c>
      <c r="D37" s="438" t="str">
        <f t="shared" si="8"/>
        <v/>
      </c>
      <c r="E37" s="210">
        <v>30</v>
      </c>
      <c r="F37" s="186"/>
      <c r="G37" s="213"/>
      <c r="H37" s="213"/>
      <c r="I37" s="213"/>
      <c r="J37" s="213"/>
      <c r="K37" s="213"/>
      <c r="L37" s="186"/>
      <c r="M37" s="186"/>
      <c r="N37" s="616" t="str">
        <f t="shared" si="30"/>
        <v/>
      </c>
      <c r="O37" s="615" t="str">
        <f t="shared" si="31"/>
        <v/>
      </c>
      <c r="P37" s="215" t="str">
        <f t="shared" si="32"/>
        <v/>
      </c>
      <c r="Q37" s="439"/>
      <c r="R37" s="440" t="str">
        <f t="shared" si="9"/>
        <v/>
      </c>
      <c r="S37" s="441"/>
      <c r="T37" s="442" t="str">
        <f t="shared" si="10"/>
        <v/>
      </c>
      <c r="U37" s="443"/>
      <c r="V37" s="444">
        <f t="shared" si="5"/>
        <v>9.5E-4</v>
      </c>
      <c r="W37" s="445"/>
      <c r="X37" s="445"/>
      <c r="Y37" s="445"/>
      <c r="Z37" s="445"/>
      <c r="AA37" s="445"/>
      <c r="AB37" s="445"/>
      <c r="AC37" s="445"/>
      <c r="AD37" s="445"/>
      <c r="AE37" s="445"/>
      <c r="AF37" s="446">
        <f t="shared" si="6"/>
        <v>9.5E-4</v>
      </c>
      <c r="AG37" s="447" t="s">
        <v>339</v>
      </c>
      <c r="AH37" s="448" t="str">
        <f t="shared" si="33"/>
        <v/>
      </c>
      <c r="AI37" s="449" t="s">
        <v>261</v>
      </c>
      <c r="AJ37" s="448" t="str">
        <f t="shared" si="34"/>
        <v/>
      </c>
      <c r="AK37" s="450" t="s">
        <v>259</v>
      </c>
      <c r="BG37" s="94">
        <f t="shared" si="35"/>
        <v>-999999999999</v>
      </c>
      <c r="BH37" s="95" t="str">
        <f t="shared" si="36"/>
        <v>zzzzzzzzzzzz</v>
      </c>
      <c r="BI37" s="408">
        <f t="shared" si="49"/>
        <v>-999999999999</v>
      </c>
      <c r="BJ37" s="102"/>
      <c r="BK37" s="102"/>
      <c r="BL37" s="102"/>
      <c r="BM37" s="102"/>
      <c r="BO37" s="268" t="s">
        <v>348</v>
      </c>
      <c r="BP37" s="90">
        <f>MAX(0,BP15*(BP35^2-1)/BP18)</f>
        <v>2.1094834784390563E-2</v>
      </c>
      <c r="BQ37" s="451">
        <f t="shared" si="37"/>
        <v>999</v>
      </c>
      <c r="BR37" s="452">
        <f t="shared" si="38"/>
        <v>999</v>
      </c>
      <c r="BS37" s="124" t="str">
        <f t="shared" si="39"/>
        <v/>
      </c>
      <c r="BT37" s="109">
        <v>30</v>
      </c>
      <c r="BU37" s="95" t="b">
        <f t="shared" si="40"/>
        <v>0</v>
      </c>
      <c r="BV37" s="453" t="str">
        <f t="shared" si="11"/>
        <v/>
      </c>
      <c r="BW37" s="79" t="str">
        <f t="shared" si="41"/>
        <v/>
      </c>
      <c r="BX37" s="79" t="str">
        <f t="shared" si="12"/>
        <v/>
      </c>
      <c r="BY37" s="226" t="str">
        <f t="shared" si="42"/>
        <v/>
      </c>
      <c r="BZ37" s="79" t="e">
        <f t="shared" si="43"/>
        <v>#N/A</v>
      </c>
      <c r="CA37" s="226" t="e">
        <f t="shared" si="44"/>
        <v>#N/A</v>
      </c>
      <c r="CB37" s="79" t="e">
        <f t="shared" si="13"/>
        <v>#N/A</v>
      </c>
      <c r="CC37" s="225" t="str">
        <f t="shared" si="14"/>
        <v/>
      </c>
      <c r="CD37" s="225" t="str">
        <f t="shared" si="15"/>
        <v/>
      </c>
      <c r="CE37" s="79" t="str">
        <f t="shared" si="16"/>
        <v/>
      </c>
      <c r="CF37" s="90" t="str">
        <f t="shared" si="17"/>
        <v/>
      </c>
      <c r="CG37" s="90" t="str">
        <f t="shared" si="45"/>
        <v/>
      </c>
      <c r="CH37" s="90" t="str">
        <f t="shared" si="46"/>
        <v/>
      </c>
      <c r="CI37" s="90" t="str">
        <f t="shared" si="47"/>
        <v/>
      </c>
      <c r="CJ37" s="90" t="str">
        <f t="shared" si="48"/>
        <v/>
      </c>
      <c r="CK37" s="90" t="str">
        <f t="shared" si="18"/>
        <v/>
      </c>
      <c r="CL37" s="90" t="str">
        <f t="shared" si="19"/>
        <v/>
      </c>
      <c r="CM37" s="207" t="e">
        <f t="shared" si="20"/>
        <v>#N/A</v>
      </c>
      <c r="CN37" s="79" t="e">
        <f t="shared" si="21"/>
        <v>#N/A</v>
      </c>
      <c r="CO37" s="79" t="e">
        <f t="shared" si="22"/>
        <v>#N/A</v>
      </c>
      <c r="CP37" s="79" t="e">
        <f t="shared" si="23"/>
        <v>#N/A</v>
      </c>
      <c r="CQ37" s="79" t="e">
        <f t="shared" si="24"/>
        <v>#N/A</v>
      </c>
      <c r="CR37" s="79" t="e">
        <f t="shared" si="25"/>
        <v>#N/A</v>
      </c>
      <c r="CS37" s="79" t="e">
        <f t="shared" si="26"/>
        <v>#N/A</v>
      </c>
      <c r="CT37" s="79" t="e">
        <f t="shared" si="27"/>
        <v>#N/A</v>
      </c>
      <c r="CU37" s="79" t="e">
        <f t="shared" si="28"/>
        <v>#N/A</v>
      </c>
      <c r="CV37" s="207">
        <v>30</v>
      </c>
      <c r="CW37" s="90"/>
      <c r="CX37" s="102"/>
      <c r="CY37" s="102"/>
      <c r="CZ37" s="102"/>
      <c r="DA37" s="102"/>
      <c r="DB37" s="102"/>
      <c r="DC37" s="102"/>
      <c r="DD37" s="102"/>
      <c r="DE37" s="102"/>
      <c r="DF37" s="102"/>
      <c r="DG37" s="102"/>
      <c r="DH37" s="102"/>
      <c r="DI37" s="307">
        <v>26</v>
      </c>
      <c r="DJ37" s="90">
        <f t="shared" si="50"/>
        <v>0.26</v>
      </c>
      <c r="DK37" s="90">
        <f t="shared" si="52"/>
        <v>3.5609245863879202E-2</v>
      </c>
      <c r="DL37" s="90" t="e">
        <f t="shared" si="53"/>
        <v>#N/A</v>
      </c>
      <c r="DM37" s="90">
        <f t="shared" si="54"/>
        <v>3.5609245863879202E-2</v>
      </c>
      <c r="DN37" s="90">
        <f t="shared" si="55"/>
        <v>32</v>
      </c>
      <c r="DO37" s="308">
        <f t="shared" si="51"/>
        <v>8.4000000000000005E-2</v>
      </c>
      <c r="DP37" s="307">
        <f t="shared" si="63"/>
        <v>0.25999999999999968</v>
      </c>
      <c r="DQ37" s="90">
        <f t="shared" si="56"/>
        <v>-1.4398818582883291E-2</v>
      </c>
      <c r="DR37" s="90">
        <f t="shared" si="57"/>
        <v>-1.4398818582883291E-2</v>
      </c>
      <c r="DS37" s="90">
        <f t="shared" si="64"/>
        <v>33</v>
      </c>
      <c r="DT37" s="308">
        <f t="shared" si="65"/>
        <v>8.3999999999999866E-2</v>
      </c>
      <c r="DU37" s="307">
        <f t="shared" si="58"/>
        <v>0.26000000000000079</v>
      </c>
      <c r="DV37" s="90">
        <f t="shared" si="59"/>
        <v>0.12163193659047425</v>
      </c>
      <c r="DW37" s="90">
        <f t="shared" si="60"/>
        <v>0.12163193659047425</v>
      </c>
      <c r="DX37" s="90">
        <f t="shared" si="61"/>
        <v>34</v>
      </c>
      <c r="DY37" s="308">
        <f t="shared" si="62"/>
        <v>8.4000000000000311E-2</v>
      </c>
    </row>
    <row r="38" spans="1:129" ht="12" customHeight="1" thickTop="1" thickBot="1" x14ac:dyDescent="0.25">
      <c r="A38" s="776"/>
      <c r="B38" s="454"/>
      <c r="C38" s="842"/>
      <c r="D38" s="455"/>
      <c r="E38" s="46">
        <v>12</v>
      </c>
      <c r="F38" s="456" t="s">
        <v>456</v>
      </c>
      <c r="G38" s="457"/>
      <c r="H38" s="457"/>
      <c r="I38" s="457"/>
      <c r="J38" s="228"/>
      <c r="K38" s="458" t="str">
        <f>IF(fixedrandom=1,"Fixed effect ","Random effects ")</f>
        <v xml:space="preserve">Random effects </v>
      </c>
      <c r="L38" s="459"/>
      <c r="M38" s="460" t="s">
        <v>465</v>
      </c>
      <c r="N38" s="461"/>
      <c r="O38" s="461"/>
      <c r="P38" s="24"/>
      <c r="Q38" s="229"/>
      <c r="R38" s="462" t="s">
        <v>56</v>
      </c>
      <c r="S38" s="229"/>
      <c r="T38" s="230"/>
      <c r="U38" s="425"/>
      <c r="V38" s="444">
        <f t="shared" si="5"/>
        <v>9.5E-4</v>
      </c>
      <c r="W38" s="90"/>
      <c r="X38" s="90"/>
      <c r="Y38" s="90"/>
      <c r="Z38" s="90"/>
      <c r="AA38" s="90"/>
      <c r="AB38" s="90"/>
      <c r="AC38" s="90"/>
      <c r="AD38" s="90"/>
      <c r="AE38" s="90"/>
      <c r="AF38" s="87">
        <f t="shared" si="6"/>
        <v>9.5E-4</v>
      </c>
      <c r="AG38" s="463"/>
      <c r="AH38" s="233"/>
      <c r="AI38" s="234"/>
      <c r="AJ38" s="233"/>
      <c r="AK38" s="464"/>
      <c r="BO38" s="268" t="s">
        <v>349</v>
      </c>
      <c r="BP38" s="113">
        <f>SQRT(BP36)</f>
        <v>0</v>
      </c>
      <c r="BQ38" s="90"/>
      <c r="BR38" s="113"/>
      <c r="BS38" s="465">
        <f>SUM(BS8:BS37)</f>
        <v>100</v>
      </c>
      <c r="BY38" s="466" t="s">
        <v>315</v>
      </c>
      <c r="BZ38" s="50">
        <f>J39</f>
        <v>9.4316324544832297E-2</v>
      </c>
      <c r="CA38" s="1">
        <v>32</v>
      </c>
      <c r="CB38" s="403" t="s">
        <v>299</v>
      </c>
      <c r="CD38" s="255" t="s">
        <v>325</v>
      </c>
      <c r="CE38" s="465">
        <f t="shared" ref="CE38:CL38" si="70">SUM(CE8:CE37)</f>
        <v>1192.0454557949886</v>
      </c>
      <c r="CF38" s="465">
        <f t="shared" si="70"/>
        <v>610.34962414507561</v>
      </c>
      <c r="CG38" s="256">
        <f t="shared" si="70"/>
        <v>81.598470387939244</v>
      </c>
      <c r="CH38" s="256">
        <f t="shared" si="70"/>
        <v>289441.89390104229</v>
      </c>
      <c r="CI38" s="256">
        <f t="shared" si="70"/>
        <v>19.417926592738176</v>
      </c>
      <c r="CJ38" s="256">
        <f t="shared" si="70"/>
        <v>0.22031720478808992</v>
      </c>
      <c r="CK38" s="256">
        <f t="shared" si="70"/>
        <v>610.34962414507561</v>
      </c>
      <c r="CL38" s="276">
        <f t="shared" si="70"/>
        <v>57.565933236683364</v>
      </c>
      <c r="CT38" s="90"/>
      <c r="CU38" s="90"/>
      <c r="CV38" s="90"/>
      <c r="CW38" s="90"/>
      <c r="CX38" s="102"/>
      <c r="CY38" s="102"/>
      <c r="CZ38" s="102"/>
      <c r="DA38" s="102"/>
      <c r="DB38" s="102"/>
      <c r="DC38" s="102"/>
      <c r="DD38" s="102"/>
      <c r="DE38" s="102"/>
      <c r="DF38" s="102"/>
      <c r="DG38" s="102"/>
      <c r="DH38" s="102"/>
      <c r="DI38" s="307">
        <v>27</v>
      </c>
      <c r="DJ38" s="90">
        <f t="shared" si="50"/>
        <v>0.27</v>
      </c>
      <c r="DK38" s="90">
        <f t="shared" si="52"/>
        <v>3.6402584764973163E-2</v>
      </c>
      <c r="DL38" s="90" t="e">
        <f t="shared" si="53"/>
        <v>#N/A</v>
      </c>
      <c r="DM38" s="90">
        <f t="shared" si="54"/>
        <v>3.6402584764973163E-2</v>
      </c>
      <c r="DN38" s="90">
        <f t="shared" si="55"/>
        <v>32</v>
      </c>
      <c r="DO38" s="308">
        <f t="shared" si="51"/>
        <v>8.8000000000000009E-2</v>
      </c>
      <c r="DP38" s="307">
        <f t="shared" si="63"/>
        <v>0.26999999999999968</v>
      </c>
      <c r="DQ38" s="90">
        <f t="shared" si="56"/>
        <v>-1.3765902369742778E-2</v>
      </c>
      <c r="DR38" s="90">
        <f t="shared" si="57"/>
        <v>-1.3765902369742778E-2</v>
      </c>
      <c r="DS38" s="90">
        <f t="shared" si="64"/>
        <v>33</v>
      </c>
      <c r="DT38" s="308">
        <f t="shared" si="65"/>
        <v>8.799999999999987E-2</v>
      </c>
      <c r="DU38" s="307">
        <f t="shared" si="58"/>
        <v>0.27000000000000079</v>
      </c>
      <c r="DV38" s="90">
        <f t="shared" si="59"/>
        <v>0.12291573603883225</v>
      </c>
      <c r="DW38" s="90">
        <f t="shared" si="60"/>
        <v>0.12291573603883225</v>
      </c>
      <c r="DX38" s="90">
        <f t="shared" si="61"/>
        <v>34</v>
      </c>
      <c r="DY38" s="308">
        <f t="shared" si="62"/>
        <v>8.8000000000000314E-2</v>
      </c>
    </row>
    <row r="39" spans="1:129" ht="12" customHeight="1" thickTop="1" thickBot="1" x14ac:dyDescent="0.25">
      <c r="A39" s="777"/>
      <c r="B39" s="467" t="str">
        <f>IF(AND($BY$6,$CA$5,$BY$2,BY39&lt;&gt;""), IF(fixedrandom=1,BY39,BP27),"")</f>
        <v/>
      </c>
      <c r="C39" s="843" t="str">
        <f>IF(B39&lt;&gt;"",2*(1-NORMSDIST(ABS(B39))),"")</f>
        <v/>
      </c>
      <c r="D39" s="468" t="str">
        <f>IF(B39&lt;&gt;"",IF(C39&lt;0.001,"***",(IF(C39&lt;0.01,"**",(IF(C39&lt;0.05,"*",(IF(C39&lt;0.1,"?","ns"))))))),"")</f>
        <v/>
      </c>
      <c r="E39" s="240"/>
      <c r="F39" s="469" t="s">
        <v>455</v>
      </c>
      <c r="G39" s="469"/>
      <c r="H39" s="469"/>
      <c r="I39" s="469"/>
      <c r="J39" s="470">
        <f>IF(AND($BY$6,$CG$2),IF(fixedrandom=1,SUMPRODUCT(BW8:BW37,CE8:CE37)/SUM(CE8:CE37),BP21),"")</f>
        <v>9.4316324544832297E-2</v>
      </c>
      <c r="K39" s="471" t="str">
        <f>IF($H$5&lt;&gt;"",$H$5,"")</f>
        <v>Rating difference</v>
      </c>
      <c r="L39" s="600"/>
      <c r="M39" s="472">
        <f>IF(J39&lt;&gt;"",COUNT(BW8:BW37),"")</f>
        <v>10</v>
      </c>
      <c r="N39" s="609"/>
      <c r="O39" s="608"/>
      <c r="P39" s="473">
        <f>IF(AND($BY$6,$CG$2),IF(fixedrandom=1,CE39^2,BP22),"")</f>
        <v>1.6384052032484048E-3</v>
      </c>
      <c r="Q39" s="474"/>
      <c r="R39" s="470">
        <f>IF(BY39&lt;&gt;"",CB39,"")</f>
        <v>7.933389010939608E-2</v>
      </c>
      <c r="S39" s="475"/>
      <c r="T39" s="476" t="s">
        <v>455</v>
      </c>
      <c r="U39" s="477"/>
      <c r="V39" s="444">
        <f t="shared" si="5"/>
        <v>9.5E-4</v>
      </c>
      <c r="W39" s="478"/>
      <c r="X39" s="478"/>
      <c r="Y39" s="478"/>
      <c r="Z39" s="478"/>
      <c r="AA39" s="478"/>
      <c r="AB39" s="478"/>
      <c r="AC39" s="478"/>
      <c r="AD39" s="478"/>
      <c r="AE39" s="478"/>
      <c r="AF39" s="479">
        <f t="shared" si="6"/>
        <v>9.5E-4</v>
      </c>
      <c r="AG39" s="480" t="s">
        <v>339</v>
      </c>
      <c r="AH39" s="481">
        <f>IF(BY39&lt;&gt;"",J39-R39,"")</f>
        <v>1.4982434435436218E-2</v>
      </c>
      <c r="AI39" s="482" t="s">
        <v>261</v>
      </c>
      <c r="AJ39" s="481">
        <f>IF(BY39&lt;&gt;"",J39+R39,"")</f>
        <v>0.17365021465422836</v>
      </c>
      <c r="AK39" s="483" t="s">
        <v>259</v>
      </c>
      <c r="BO39" s="107" t="s">
        <v>350</v>
      </c>
      <c r="BP39" s="109">
        <f>SQRT(BP37)</f>
        <v>0.14524060996976901</v>
      </c>
      <c r="BQ39" s="90"/>
      <c r="BR39" s="90"/>
      <c r="BS39" s="90"/>
      <c r="BW39" s="581">
        <f>IF($BY39&lt;&gt;"",J39,"")</f>
        <v>9.4316324544832297E-2</v>
      </c>
      <c r="BX39" s="582">
        <f>IF($BY39&lt;&gt;"",L39,"")</f>
        <v>0</v>
      </c>
      <c r="BY39" s="484">
        <f>IF(J39&lt;&gt;"", (J39)/CE39,"")</f>
        <v>3.256366486336328</v>
      </c>
      <c r="BZ39" s="264" t="e">
        <f>IF(AND(NOT($BX$5),$BY$6,$CG$2),IF(NOT($CG$4),J39,NA()),NA())</f>
        <v>#N/A</v>
      </c>
      <c r="CA39" s="264">
        <f>IF(AND(NOT(CG4),BY39&lt;&gt;""),32,32)</f>
        <v>32</v>
      </c>
      <c r="CB39" s="485">
        <f>IF(BY39&lt;&gt;"",IF(fixedrandom=1,NORMSINV((100+$M$2)/200)*CE39,BP24),NA())</f>
        <v>7.933389010939608E-2</v>
      </c>
      <c r="CC39" s="237"/>
      <c r="CD39" s="67" t="s">
        <v>316</v>
      </c>
      <c r="CE39" s="238">
        <f>IF($BY$6,SQRT(1/SUM(CE8:CE37)),"")</f>
        <v>2.8963670072328279E-2</v>
      </c>
      <c r="CF39" s="486">
        <f>IF(fixedrandom=1,MAX(CE8:CE37),MAX(CK8:CK37))</f>
        <v>134.35906286066262</v>
      </c>
      <c r="CG39" s="487" t="s">
        <v>296</v>
      </c>
      <c r="CH39" s="69"/>
      <c r="CT39" s="90"/>
      <c r="CU39" s="90"/>
      <c r="CV39" s="90"/>
      <c r="CW39" s="90"/>
      <c r="CX39" s="102"/>
      <c r="CY39" s="102"/>
      <c r="CZ39" s="102"/>
      <c r="DA39" s="102"/>
      <c r="DB39" s="102"/>
      <c r="DC39" s="102"/>
      <c r="DD39" s="102"/>
      <c r="DE39" s="102"/>
      <c r="DF39" s="102"/>
      <c r="DG39" s="102"/>
      <c r="DH39" s="102"/>
      <c r="DI39" s="307">
        <v>28</v>
      </c>
      <c r="DJ39" s="90">
        <f t="shared" si="50"/>
        <v>0.28000000000000003</v>
      </c>
      <c r="DK39" s="90">
        <f t="shared" si="52"/>
        <v>3.7195923666067124E-2</v>
      </c>
      <c r="DL39" s="90" t="e">
        <f t="shared" si="53"/>
        <v>#N/A</v>
      </c>
      <c r="DM39" s="90">
        <f t="shared" si="54"/>
        <v>3.7195923666067124E-2</v>
      </c>
      <c r="DN39" s="90">
        <f t="shared" si="55"/>
        <v>32</v>
      </c>
      <c r="DO39" s="308">
        <f t="shared" si="51"/>
        <v>9.2000000000000012E-2</v>
      </c>
      <c r="DP39" s="307">
        <f t="shared" si="63"/>
        <v>0.27999999999999969</v>
      </c>
      <c r="DQ39" s="90">
        <f t="shared" si="56"/>
        <v>-1.3132986156602265E-2</v>
      </c>
      <c r="DR39" s="90">
        <f t="shared" si="57"/>
        <v>-1.3132986156602265E-2</v>
      </c>
      <c r="DS39" s="90">
        <f t="shared" si="64"/>
        <v>33</v>
      </c>
      <c r="DT39" s="308">
        <f t="shared" si="65"/>
        <v>9.1999999999999874E-2</v>
      </c>
      <c r="DU39" s="307">
        <f t="shared" si="58"/>
        <v>0.2800000000000008</v>
      </c>
      <c r="DV39" s="90">
        <f t="shared" si="59"/>
        <v>0.12419953548719026</v>
      </c>
      <c r="DW39" s="90">
        <f t="shared" si="60"/>
        <v>0.12419953548719026</v>
      </c>
      <c r="DX39" s="90">
        <f t="shared" si="61"/>
        <v>34</v>
      </c>
      <c r="DY39" s="308">
        <f t="shared" si="62"/>
        <v>9.2000000000000318E-2</v>
      </c>
    </row>
    <row r="40" spans="1:129" ht="12" customHeight="1" thickTop="1" thickBot="1" x14ac:dyDescent="0.25">
      <c r="A40" s="79"/>
      <c r="B40" s="488" t="str">
        <f>IF(AND($BX$5,$BY$6,$CA$5,$BY$2,BY76&lt;&gt;""), IF(fixedrandom=1,BY76,BO64),"")</f>
        <v/>
      </c>
      <c r="C40" s="844" t="str">
        <f>IF(B40&lt;&gt;"",2*(1-NORMSDIST(ABS(B40))),"")</f>
        <v/>
      </c>
      <c r="D40" s="489" t="str">
        <f>IF(B40&lt;&gt;"",IF(C40&lt;0.001,"***",(IF(C40&lt;0.01,"**",(IF(C40&lt;0.05,"*",(IF(C40&lt;0.1,"?","ns"))))))),"")</f>
        <v/>
      </c>
      <c r="E40" s="43">
        <v>13</v>
      </c>
      <c r="F40" s="606" t="str">
        <f>IF($BX$5,"Subset "&amp;M8&amp;" ","")</f>
        <v xml:space="preserve">Subset Simple </v>
      </c>
      <c r="G40" s="490"/>
      <c r="H40" s="490"/>
      <c r="I40" s="490"/>
      <c r="J40" s="491">
        <f>IF(AND($BX$5,$BY$6,$CJ$2),IF(fixedrandom=1,SUMPRODUCT(BW45:BW74,CE45:CE74)/SUM(CE45:CE74),BO58),"")</f>
        <v>3.2436981189514734E-2</v>
      </c>
      <c r="K40" s="492" t="str">
        <f>IF(AND(J40&lt;&gt;"",$H$5&lt;&gt;""),$H$5,"")</f>
        <v>Rating difference</v>
      </c>
      <c r="L40" s="601"/>
      <c r="M40" s="493">
        <f>IF(J40&lt;&gt;"",COUNTIF(BV8:BV37,"1"),"")</f>
        <v>6</v>
      </c>
      <c r="N40" s="611"/>
      <c r="O40" s="610"/>
      <c r="P40" s="494">
        <f>IF(AND($BX$5,$BY$6,$CJ$2),IF(fixedrandom=1,CE76^2,BO59),"")</f>
        <v>1.0427885643291778E-3</v>
      </c>
      <c r="Q40" s="495"/>
      <c r="R40" s="496">
        <f>IF(J40&lt;&gt;"",CB76,"")</f>
        <v>6.3291621314051361E-2</v>
      </c>
      <c r="S40" s="495"/>
      <c r="T40" s="497" t="str">
        <f>IF($BX$5,M8&amp;" ","")</f>
        <v xml:space="preserve">Simple </v>
      </c>
      <c r="U40" s="498"/>
      <c r="V40" s="444">
        <f t="shared" si="5"/>
        <v>9.5E-4</v>
      </c>
      <c r="W40" s="499"/>
      <c r="X40" s="499"/>
      <c r="Y40" s="499"/>
      <c r="Z40" s="499"/>
      <c r="AA40" s="499"/>
      <c r="AB40" s="499"/>
      <c r="AC40" s="499"/>
      <c r="AD40" s="499"/>
      <c r="AE40" s="499"/>
      <c r="AF40" s="500">
        <f t="shared" si="6"/>
        <v>9.5E-4</v>
      </c>
      <c r="AG40" s="501" t="s">
        <v>339</v>
      </c>
      <c r="AH40" s="502">
        <f>IF(BY76&lt;&gt;"",J40-R40,"")</f>
        <v>-3.0854640124536627E-2</v>
      </c>
      <c r="AI40" s="503" t="s">
        <v>261</v>
      </c>
      <c r="AJ40" s="502">
        <f>IF(BY76&lt;&gt;"",J40+R40,"")</f>
        <v>9.5728602503566101E-2</v>
      </c>
      <c r="AK40" s="504" t="s">
        <v>259</v>
      </c>
      <c r="BY40" s="59" t="s">
        <v>426</v>
      </c>
      <c r="BZ40" s="249" t="e">
        <f>IF(AND($BX$5,$BY$6,$CG$2,$CJ$2),IF(NOT($CG$4),J39,NA()),NA())</f>
        <v>#N/A</v>
      </c>
      <c r="CA40" s="249">
        <v>32</v>
      </c>
      <c r="DI40" s="307">
        <v>29</v>
      </c>
      <c r="DJ40" s="90">
        <f t="shared" si="50"/>
        <v>0.29000000000000004</v>
      </c>
      <c r="DK40" s="90">
        <f t="shared" si="52"/>
        <v>3.7989262567161085E-2</v>
      </c>
      <c r="DL40" s="90" t="e">
        <f t="shared" si="53"/>
        <v>#N/A</v>
      </c>
      <c r="DM40" s="90">
        <f t="shared" si="54"/>
        <v>3.7989262567161085E-2</v>
      </c>
      <c r="DN40" s="90">
        <f t="shared" si="55"/>
        <v>32</v>
      </c>
      <c r="DO40" s="308">
        <f t="shared" si="51"/>
        <v>9.6000000000000016E-2</v>
      </c>
      <c r="DP40" s="307">
        <f t="shared" si="63"/>
        <v>0.2899999999999997</v>
      </c>
      <c r="DQ40" s="90">
        <f t="shared" si="56"/>
        <v>-1.2500069943461752E-2</v>
      </c>
      <c r="DR40" s="90">
        <f t="shared" si="57"/>
        <v>-1.2500069943461752E-2</v>
      </c>
      <c r="DS40" s="90">
        <f t="shared" si="64"/>
        <v>33</v>
      </c>
      <c r="DT40" s="308">
        <f t="shared" si="65"/>
        <v>9.5999999999999877E-2</v>
      </c>
      <c r="DU40" s="307">
        <f t="shared" si="58"/>
        <v>0.29000000000000081</v>
      </c>
      <c r="DV40" s="90">
        <f t="shared" si="59"/>
        <v>0.12548333493554825</v>
      </c>
      <c r="DW40" s="90">
        <f t="shared" si="60"/>
        <v>0.12548333493554825</v>
      </c>
      <c r="DX40" s="90">
        <f t="shared" si="61"/>
        <v>34</v>
      </c>
      <c r="DY40" s="308">
        <f t="shared" si="62"/>
        <v>9.6000000000000321E-2</v>
      </c>
    </row>
    <row r="41" spans="1:129" ht="12" customHeight="1" thickTop="1" thickBot="1" x14ac:dyDescent="0.25">
      <c r="A41" s="56"/>
      <c r="B41" s="505" t="str">
        <f>IF(AND($BX$5,$BY$6,$CA$5,$BY$2,BY113&lt;&gt;""), IF(fixedrandom=1,BY113,BO101),"")</f>
        <v/>
      </c>
      <c r="C41" s="841" t="str">
        <f>IF(B41&lt;&gt;"",2*(1-NORMSDIST(ABS(B41))),"")</f>
        <v/>
      </c>
      <c r="D41" s="506" t="str">
        <f>IF(B41&lt;&gt;"",IF(C41&lt;0.001,"***",(IF(C41&lt;0.01,"**",(IF(C41&lt;0.05,"*",(IF(C41&lt;0.1,"?","ns"))))))),"")</f>
        <v/>
      </c>
      <c r="E41" s="507"/>
      <c r="F41" s="607" t="str">
        <f>IF($BX$5,"Subset "&amp;BT81&amp;" ","")</f>
        <v xml:space="preserve">Subset Critique </v>
      </c>
      <c r="G41" s="508"/>
      <c r="H41" s="508"/>
      <c r="I41" s="508"/>
      <c r="J41" s="509">
        <f>IF(AND($BX$5,$BY$6,$CJ$2),IF(fixedrandom=1,SUMPRODUCT(BW82:BW111,CE82:CE111)/SUM(CE82:CE111),BO95),"")</f>
        <v>0.21663309576896628</v>
      </c>
      <c r="K41" s="510" t="str">
        <f>IF(AND(J41&lt;&gt;"",$H$5&lt;&gt;""),$H$5,"")</f>
        <v>Rating difference</v>
      </c>
      <c r="L41" s="602"/>
      <c r="M41" s="511">
        <f>IF(J41&lt;&gt;"",COUNTIF(BV8:BV37,"2"),"")</f>
        <v>4</v>
      </c>
      <c r="N41" s="613"/>
      <c r="O41" s="612"/>
      <c r="P41" s="509">
        <f>IF(AND($BX$5,$BY$6,$CJ$2),IF(fixedrandom=1,CE113^2,BO96),"")</f>
        <v>4.2904039859172636E-3</v>
      </c>
      <c r="Q41" s="512"/>
      <c r="R41" s="513">
        <f>IF(J41&lt;&gt;"",CB113,"")</f>
        <v>0.12837994483580017</v>
      </c>
      <c r="S41" s="514"/>
      <c r="T41" s="515" t="str">
        <f>IF($BX$5,BT81&amp;" ","")</f>
        <v xml:space="preserve">Critique </v>
      </c>
      <c r="U41" s="516"/>
      <c r="V41" s="444">
        <f t="shared" si="5"/>
        <v>9.5E-4</v>
      </c>
      <c r="W41" s="517"/>
      <c r="X41" s="517"/>
      <c r="Y41" s="517"/>
      <c r="Z41" s="517"/>
      <c r="AA41" s="517"/>
      <c r="AB41" s="517"/>
      <c r="AC41" s="517"/>
      <c r="AD41" s="517"/>
      <c r="AE41" s="517"/>
      <c r="AF41" s="518">
        <f t="shared" si="6"/>
        <v>9.5E-4</v>
      </c>
      <c r="AG41" s="858" t="s">
        <v>339</v>
      </c>
      <c r="AH41" s="859">
        <f>IF(BY113&lt;&gt;"",J41-R41,"")</f>
        <v>8.8253150933166102E-2</v>
      </c>
      <c r="AI41" s="860" t="s">
        <v>261</v>
      </c>
      <c r="AJ41" s="859">
        <f>IF(BY113&lt;&gt;"",J41+R41,"")</f>
        <v>0.34501304060476645</v>
      </c>
      <c r="AK41" s="861" t="s">
        <v>259</v>
      </c>
      <c r="CA41" s="59" t="s">
        <v>81</v>
      </c>
      <c r="CB41" s="50">
        <f>IF(BY39&lt;&gt;"",BP24/(NORMSINV((100+$M$2)/200)*CE39),NA())</f>
        <v>1.397516896958003</v>
      </c>
      <c r="CG41" s="102"/>
      <c r="CH41" s="102"/>
      <c r="CI41" s="102"/>
      <c r="DI41" s="307">
        <v>30</v>
      </c>
      <c r="DJ41" s="90">
        <f t="shared" si="50"/>
        <v>0.30000000000000004</v>
      </c>
      <c r="DK41" s="90">
        <f t="shared" si="52"/>
        <v>3.8782601468255046E-2</v>
      </c>
      <c r="DL41" s="90" t="e">
        <f t="shared" si="53"/>
        <v>#N/A</v>
      </c>
      <c r="DM41" s="90">
        <f t="shared" si="54"/>
        <v>3.8782601468255046E-2</v>
      </c>
      <c r="DN41" s="90">
        <f t="shared" si="55"/>
        <v>32</v>
      </c>
      <c r="DO41" s="308">
        <f t="shared" si="51"/>
        <v>0.10000000000000002</v>
      </c>
      <c r="DP41" s="307">
        <f t="shared" si="63"/>
        <v>0.29999999999999971</v>
      </c>
      <c r="DQ41" s="90">
        <f t="shared" si="56"/>
        <v>-1.1867153730321239E-2</v>
      </c>
      <c r="DR41" s="90">
        <f t="shared" si="57"/>
        <v>-1.1867153730321239E-2</v>
      </c>
      <c r="DS41" s="90">
        <f t="shared" si="64"/>
        <v>33</v>
      </c>
      <c r="DT41" s="308">
        <f t="shared" si="65"/>
        <v>9.9999999999999881E-2</v>
      </c>
      <c r="DU41" s="307">
        <f t="shared" si="58"/>
        <v>0.30000000000000071</v>
      </c>
      <c r="DV41" s="90">
        <f t="shared" si="59"/>
        <v>0.12676713438390624</v>
      </c>
      <c r="DW41" s="90">
        <f t="shared" si="60"/>
        <v>0.12676713438390624</v>
      </c>
      <c r="DX41" s="90">
        <f t="shared" si="61"/>
        <v>34</v>
      </c>
      <c r="DY41" s="308">
        <f t="shared" si="62"/>
        <v>0.10000000000000028</v>
      </c>
    </row>
    <row r="42" spans="1:129" ht="12" customHeight="1" thickTop="1" thickBot="1" x14ac:dyDescent="0.25">
      <c r="B42" s="488"/>
      <c r="C42" s="845"/>
      <c r="D42" s="117"/>
      <c r="E42" s="206"/>
      <c r="F42" s="206"/>
      <c r="G42" s="206"/>
      <c r="H42" s="206"/>
      <c r="I42" s="206"/>
      <c r="J42" s="523"/>
      <c r="K42" s="164"/>
      <c r="L42" s="164"/>
      <c r="N42" s="9"/>
      <c r="O42" s="45"/>
      <c r="P42" s="45" t="s">
        <v>417</v>
      </c>
      <c r="Q42" s="524"/>
      <c r="R42" s="524"/>
      <c r="S42" s="524"/>
      <c r="T42" s="525"/>
      <c r="U42" s="425"/>
      <c r="V42" s="444">
        <f t="shared" si="5"/>
        <v>9.5E-4</v>
      </c>
      <c r="W42" s="90"/>
      <c r="X42" s="90"/>
      <c r="Y42" s="90"/>
      <c r="Z42" s="90"/>
      <c r="AA42" s="90"/>
      <c r="AB42" s="90"/>
      <c r="AC42" s="90"/>
      <c r="AD42" s="90"/>
      <c r="AE42" s="90"/>
      <c r="AF42" s="87">
        <f t="shared" si="6"/>
        <v>9.5E-4</v>
      </c>
      <c r="AG42" s="519"/>
      <c r="AH42" s="520"/>
      <c r="AI42" s="521"/>
      <c r="AJ42" s="520"/>
      <c r="AK42" s="857"/>
      <c r="BT42" s="526" t="s">
        <v>216</v>
      </c>
      <c r="BU42" s="576"/>
      <c r="BV42" s="331" t="s">
        <v>219</v>
      </c>
      <c r="BW42" s="331"/>
      <c r="BX42" s="331"/>
      <c r="BY42" s="331"/>
      <c r="BZ42" s="331"/>
      <c r="CA42" s="331"/>
      <c r="CB42" s="331"/>
      <c r="CC42" s="331"/>
      <c r="CD42" s="331"/>
      <c r="CE42" s="331"/>
      <c r="CF42" s="112" t="s">
        <v>337</v>
      </c>
      <c r="CG42" s="130"/>
      <c r="CH42" s="130"/>
      <c r="CI42" s="331"/>
      <c r="CJ42" s="331"/>
      <c r="CK42" s="331"/>
      <c r="CL42" s="331"/>
      <c r="CM42" s="331"/>
      <c r="CN42" s="331"/>
      <c r="CO42" s="331"/>
      <c r="CP42" s="331"/>
      <c r="CQ42" s="331"/>
      <c r="CR42" s="331"/>
      <c r="CS42" s="331"/>
      <c r="CT42" s="331"/>
      <c r="CU42" s="331"/>
      <c r="CV42" s="331"/>
      <c r="CW42" s="331"/>
      <c r="DI42" s="307">
        <v>31</v>
      </c>
      <c r="DJ42" s="90">
        <f t="shared" si="50"/>
        <v>0.31000000000000005</v>
      </c>
      <c r="DK42" s="90">
        <f t="shared" si="52"/>
        <v>3.9575940369349007E-2</v>
      </c>
      <c r="DL42" s="90" t="e">
        <f t="shared" si="53"/>
        <v>#N/A</v>
      </c>
      <c r="DM42" s="90">
        <f t="shared" si="54"/>
        <v>3.9575940369349007E-2</v>
      </c>
      <c r="DN42" s="90">
        <f t="shared" si="55"/>
        <v>32</v>
      </c>
      <c r="DO42" s="308">
        <f t="shared" si="51"/>
        <v>0.10400000000000002</v>
      </c>
      <c r="DP42" s="307">
        <f t="shared" si="63"/>
        <v>0.30999999999999961</v>
      </c>
      <c r="DQ42" s="90">
        <f t="shared" si="56"/>
        <v>-1.1234237517180726E-2</v>
      </c>
      <c r="DR42" s="90">
        <f t="shared" si="57"/>
        <v>-1.1234237517180726E-2</v>
      </c>
      <c r="DS42" s="90">
        <f t="shared" si="64"/>
        <v>33</v>
      </c>
      <c r="DT42" s="308">
        <f t="shared" si="65"/>
        <v>0.10399999999999984</v>
      </c>
      <c r="DU42" s="307">
        <f t="shared" si="58"/>
        <v>0.31000000000000061</v>
      </c>
      <c r="DV42" s="90">
        <f t="shared" si="59"/>
        <v>0.12805093383226424</v>
      </c>
      <c r="DW42" s="90">
        <f t="shared" si="60"/>
        <v>0.12805093383226424</v>
      </c>
      <c r="DX42" s="90">
        <f t="shared" si="61"/>
        <v>34</v>
      </c>
      <c r="DY42" s="308">
        <f t="shared" si="62"/>
        <v>0.10400000000000025</v>
      </c>
    </row>
    <row r="43" spans="1:129" ht="12" customHeight="1" thickTop="1" thickBot="1" x14ac:dyDescent="0.25">
      <c r="U43" s="539"/>
      <c r="V43" s="444">
        <f t="shared" si="5"/>
        <v>9.5E-4</v>
      </c>
      <c r="W43" s="540"/>
      <c r="X43" s="540"/>
      <c r="Y43" s="540"/>
      <c r="Z43" s="540"/>
      <c r="AA43" s="540"/>
      <c r="AB43" s="540"/>
      <c r="AC43" s="540"/>
      <c r="AD43" s="540"/>
      <c r="AE43" s="540"/>
      <c r="AF43" s="541">
        <f t="shared" si="6"/>
        <v>9.5E-4</v>
      </c>
      <c r="AG43" s="87"/>
      <c r="AH43" s="87"/>
      <c r="AI43" s="87"/>
      <c r="AJ43" s="87"/>
      <c r="AK43" s="87"/>
      <c r="BT43" s="546" t="s">
        <v>423</v>
      </c>
      <c r="BU43" s="63" t="s">
        <v>276</v>
      </c>
      <c r="BV43" s="121" t="s">
        <v>216</v>
      </c>
      <c r="BW43" s="122" t="s">
        <v>280</v>
      </c>
      <c r="BX43" s="122" t="s">
        <v>280</v>
      </c>
      <c r="BY43" s="124" t="b">
        <f>IF(OR(BY45="",COUNT(BY45:BY74)=0),FALSE,TRUE)</f>
        <v>1</v>
      </c>
      <c r="BZ43" s="125" t="s">
        <v>281</v>
      </c>
      <c r="CA43" s="90"/>
      <c r="CB43" s="125" t="s">
        <v>282</v>
      </c>
      <c r="CC43" s="110"/>
      <c r="CD43" s="90"/>
      <c r="CE43" s="90"/>
      <c r="CF43" s="128" t="s">
        <v>338</v>
      </c>
      <c r="CG43" s="129" t="s">
        <v>324</v>
      </c>
      <c r="CH43" s="129"/>
      <c r="CI43" s="129"/>
      <c r="CJ43" s="130"/>
      <c r="CK43" s="130"/>
      <c r="CL43" s="130"/>
      <c r="CM43" s="547" t="s">
        <v>424</v>
      </c>
      <c r="CN43" s="547"/>
      <c r="CO43" s="547"/>
      <c r="CP43" s="547"/>
      <c r="CQ43" s="547"/>
      <c r="CR43" s="547"/>
      <c r="CS43" s="547"/>
      <c r="CT43" s="547"/>
      <c r="CU43" s="547"/>
      <c r="CV43" s="547"/>
      <c r="CW43" s="5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307">
        <v>32</v>
      </c>
      <c r="DJ43" s="90">
        <f t="shared" si="50"/>
        <v>0.32000000000000006</v>
      </c>
      <c r="DK43" s="90">
        <f t="shared" si="52"/>
        <v>4.0369279270442968E-2</v>
      </c>
      <c r="DL43" s="90" t="e">
        <f t="shared" si="53"/>
        <v>#N/A</v>
      </c>
      <c r="DM43" s="90">
        <f t="shared" si="54"/>
        <v>4.0369279270442968E-2</v>
      </c>
      <c r="DN43" s="90">
        <f t="shared" si="55"/>
        <v>32</v>
      </c>
      <c r="DO43" s="308">
        <f t="shared" si="51"/>
        <v>0.10800000000000003</v>
      </c>
      <c r="DP43" s="307">
        <f t="shared" si="63"/>
        <v>0.31999999999999962</v>
      </c>
      <c r="DQ43" s="90">
        <f t="shared" si="56"/>
        <v>-1.0601321304040214E-2</v>
      </c>
      <c r="DR43" s="90">
        <f t="shared" si="57"/>
        <v>-1.0601321304040214E-2</v>
      </c>
      <c r="DS43" s="90">
        <f t="shared" si="64"/>
        <v>33</v>
      </c>
      <c r="DT43" s="308">
        <f t="shared" si="65"/>
        <v>0.10799999999999986</v>
      </c>
      <c r="DU43" s="307">
        <f t="shared" si="58"/>
        <v>0.32000000000000051</v>
      </c>
      <c r="DV43" s="90">
        <f t="shared" si="59"/>
        <v>0.12933473328062223</v>
      </c>
      <c r="DW43" s="90">
        <f t="shared" si="60"/>
        <v>0.12933473328062223</v>
      </c>
      <c r="DX43" s="90">
        <f t="shared" si="61"/>
        <v>34</v>
      </c>
      <c r="DY43" s="308">
        <f t="shared" si="62"/>
        <v>0.10800000000000019</v>
      </c>
    </row>
    <row r="44" spans="1:129" ht="12" customHeight="1" thickTop="1" thickBot="1" x14ac:dyDescent="0.25">
      <c r="N44" s="79"/>
      <c r="V44" s="444">
        <f t="shared" si="5"/>
        <v>9.5E-4</v>
      </c>
      <c r="AF44" s="87">
        <f t="shared" si="6"/>
        <v>9.5E-4</v>
      </c>
      <c r="AG44" s="862"/>
      <c r="AH44" s="863"/>
      <c r="AI44" s="862"/>
      <c r="AJ44" s="863"/>
      <c r="AK44" s="862"/>
      <c r="BS44" s="548" t="s">
        <v>441</v>
      </c>
      <c r="BT44" s="549" t="str">
        <f>M8</f>
        <v>Simple</v>
      </c>
      <c r="BU44" s="63" t="s">
        <v>779</v>
      </c>
      <c r="BV44" s="121">
        <v>1</v>
      </c>
      <c r="BW44" s="122" t="s">
        <v>257</v>
      </c>
      <c r="BX44" s="380" t="s">
        <v>269</v>
      </c>
      <c r="BY44" s="146" t="s">
        <v>265</v>
      </c>
      <c r="BZ44" s="147" t="s">
        <v>287</v>
      </c>
      <c r="CA44" s="63" t="s">
        <v>268</v>
      </c>
      <c r="CB44" s="147" t="s">
        <v>288</v>
      </c>
      <c r="CC44" s="148" t="s">
        <v>289</v>
      </c>
      <c r="CD44" s="148" t="s">
        <v>290</v>
      </c>
      <c r="CE44" s="149" t="s">
        <v>291</v>
      </c>
      <c r="CF44" s="150" t="s">
        <v>291</v>
      </c>
      <c r="CG44" s="151" t="s">
        <v>318</v>
      </c>
      <c r="CH44" s="151" t="s">
        <v>319</v>
      </c>
      <c r="CI44" s="151" t="s">
        <v>320</v>
      </c>
      <c r="CJ44" s="153" t="s">
        <v>321</v>
      </c>
      <c r="CK44" s="153" t="s">
        <v>322</v>
      </c>
      <c r="CL44" s="153" t="s">
        <v>323</v>
      </c>
      <c r="CM44" s="76">
        <v>3</v>
      </c>
      <c r="CN44" s="77">
        <v>4</v>
      </c>
      <c r="CO44" s="78">
        <v>6</v>
      </c>
      <c r="CP44" s="76">
        <v>7</v>
      </c>
      <c r="CQ44" s="77">
        <v>9</v>
      </c>
      <c r="CR44" s="78">
        <v>10</v>
      </c>
      <c r="CS44" s="76">
        <v>12</v>
      </c>
      <c r="CT44" s="77">
        <v>13</v>
      </c>
      <c r="CU44" s="78">
        <v>15</v>
      </c>
      <c r="CV44" s="550" t="s">
        <v>268</v>
      </c>
      <c r="CW44" s="551"/>
      <c r="CX44" s="102"/>
      <c r="CY44" s="102"/>
      <c r="CZ44" s="102"/>
      <c r="DA44" s="102"/>
      <c r="DB44" s="102"/>
      <c r="DC44" s="102"/>
      <c r="DD44" s="102"/>
      <c r="DE44" s="102"/>
      <c r="DF44" s="102"/>
      <c r="DG44" s="102"/>
      <c r="DH44" s="102"/>
      <c r="DI44" s="307">
        <v>33</v>
      </c>
      <c r="DJ44" s="90">
        <f t="shared" si="50"/>
        <v>0.33000000000000007</v>
      </c>
      <c r="DK44" s="90">
        <f t="shared" ref="DK44:DK75" si="71">IF(AND($BX$5,$CG$4,$CJ$2),DM43+$DL$8,NA())</f>
        <v>4.1162618171536929E-2</v>
      </c>
      <c r="DL44" s="90" t="e">
        <f t="shared" ref="DL44:DL75" si="72">IF(AND(NOT($BX$5),$CG$4),DM43+$DL$8,NA())</f>
        <v>#N/A</v>
      </c>
      <c r="DM44" s="90">
        <f t="shared" ref="DM44:DM75" si="73">IF($CG$4,DM43+$DL$8,NA())</f>
        <v>4.1162618171536929E-2</v>
      </c>
      <c r="DN44" s="90">
        <f t="shared" ref="DN44:DN75" si="74">DN43</f>
        <v>32</v>
      </c>
      <c r="DO44" s="308">
        <f t="shared" si="51"/>
        <v>0.11200000000000003</v>
      </c>
      <c r="DP44" s="307">
        <f t="shared" si="63"/>
        <v>0.32999999999999974</v>
      </c>
      <c r="DQ44" s="90">
        <f t="shared" ref="DQ44:DQ75" si="75">IF(AND($BX$5,$CG$4),DR43+$DQ$8,NA())</f>
        <v>-9.9684050908997006E-3</v>
      </c>
      <c r="DR44" s="90">
        <f t="shared" ref="DR44:DR75" si="76">IF($CG$4,DR43+$DQ$8,NA())</f>
        <v>-9.9684050908997006E-3</v>
      </c>
      <c r="DS44" s="90">
        <f t="shared" si="64"/>
        <v>33</v>
      </c>
      <c r="DT44" s="308">
        <f t="shared" si="65"/>
        <v>0.11199999999999989</v>
      </c>
      <c r="DU44" s="307">
        <f t="shared" si="58"/>
        <v>0.3300000000000004</v>
      </c>
      <c r="DV44" s="90">
        <f t="shared" ref="DV44:DV75" si="77">IF(AND($BX$5,$CG$4),DW43+$DV$8,NA())</f>
        <v>0.13061853272898022</v>
      </c>
      <c r="DW44" s="90">
        <f t="shared" ref="DW44:DW75" si="78">IF($CG$4,DW43+$DV$8,NA())</f>
        <v>0.13061853272898022</v>
      </c>
      <c r="DX44" s="90">
        <f t="shared" si="61"/>
        <v>34</v>
      </c>
      <c r="DY44" s="308">
        <f t="shared" si="62"/>
        <v>0.11200000000000017</v>
      </c>
    </row>
    <row r="45" spans="1:129" ht="12" customHeight="1" thickTop="1" thickBot="1" x14ac:dyDescent="0.25">
      <c r="A45" s="527"/>
      <c r="B45" s="528" t="str">
        <f>IF(AND(CA5,J45&lt;&gt;""),J45/BN12,"")</f>
        <v/>
      </c>
      <c r="C45" s="846" t="str">
        <f>IF(B45&lt;&gt;"",2*(1-NORMSDIST(ABS(B45))),"")</f>
        <v/>
      </c>
      <c r="D45" s="529" t="str">
        <f>IF(B45&lt;&gt;"",IF(C45&lt;0.001,"***",(IF(C45&lt;0.01,"**",(IF(C45&lt;0.05,"*",(IF(C45&lt;0.1,"?","ns"))))))),"")</f>
        <v/>
      </c>
      <c r="E45" s="44">
        <v>14</v>
      </c>
      <c r="F45" s="530" t="str">
        <f>IF($BX$5,"Difference ","")</f>
        <v xml:space="preserve">Difference </v>
      </c>
      <c r="G45" s="530"/>
      <c r="H45" s="530"/>
      <c r="I45" s="530"/>
      <c r="J45" s="531">
        <f>IF(AND($BX$5,$BY$6,$CJ$2),J41-J40,"")</f>
        <v>0.18419611457945154</v>
      </c>
      <c r="K45" s="599" t="str">
        <f>IF(AND(J45&lt;&gt;"",$H$5&lt;&gt;""),$H$5,"")</f>
        <v>Rating difference</v>
      </c>
      <c r="L45" s="532"/>
      <c r="M45" s="533"/>
      <c r="N45" s="598"/>
      <c r="O45" s="533"/>
      <c r="P45" s="534">
        <f>IF(J45&lt;&gt;"",BN12^2,"")</f>
        <v>5.3331925502464409E-3</v>
      </c>
      <c r="Q45" s="535"/>
      <c r="R45" s="536">
        <f>IF(J45&lt;&gt;"",BN10,"")</f>
        <v>0.14313364232284589</v>
      </c>
      <c r="S45" s="537"/>
      <c r="T45" s="538" t="str">
        <f>F45</f>
        <v xml:space="preserve">Difference </v>
      </c>
      <c r="V45" s="444">
        <f t="shared" si="5"/>
        <v>9.5E-4</v>
      </c>
      <c r="W45" s="293"/>
      <c r="AF45" s="87">
        <f t="shared" si="6"/>
        <v>9.5E-4</v>
      </c>
      <c r="AG45" s="542" t="s">
        <v>339</v>
      </c>
      <c r="AH45" s="543">
        <f>IF(J45&lt;&gt;"",J45-BN10,"")</f>
        <v>4.1062472256605642E-2</v>
      </c>
      <c r="AI45" s="544" t="s">
        <v>261</v>
      </c>
      <c r="AJ45" s="543">
        <f>IF(J45&lt;&gt;"",J45+BN10,"")</f>
        <v>0.32732975690229743</v>
      </c>
      <c r="AK45" s="545" t="s">
        <v>259</v>
      </c>
      <c r="BS45" s="290">
        <f>IF(CF45&lt;&gt;"",100*CF45/$CF$75,"")</f>
        <v>2.6667204317388422</v>
      </c>
      <c r="BT45" s="70">
        <v>1</v>
      </c>
      <c r="BU45" s="94"/>
      <c r="BV45" s="94"/>
      <c r="BW45" s="94">
        <f>IF(AND(BW8&lt;&gt;"",$BV8=$BV$44),BW8,"")</f>
        <v>0.22999999999999998</v>
      </c>
      <c r="BX45" s="94">
        <f>IF(AND(BX8&lt;&gt;"",$BV8=$BV$44),BX8,"")</f>
        <v>26</v>
      </c>
      <c r="BY45" s="94">
        <f>IF(AND(BY8&lt;&gt;"",$BV8=$BV$44),BY8,"")</f>
        <v>1.1631037348111415</v>
      </c>
      <c r="BZ45" s="94" t="e">
        <f>IF(AND($BX$5,$BV8=$BV$44,$BY$6,NOT($CG$3)),N8,NA())</f>
        <v>#N/A</v>
      </c>
      <c r="CA45" s="94">
        <f>IF(BY45&lt;&gt;"",BT45,NA())</f>
        <v>1</v>
      </c>
      <c r="CB45" s="94">
        <f>IF(BY45&lt;&gt;"",SQRT(P8)*TINV((100-$M$2)/100,I8+L8-2),NA())</f>
        <v>0.3968079126141989</v>
      </c>
      <c r="CC45" s="178">
        <f>IF(AND(CC8&lt;&gt;"",$BV8=$BV$44),CC8,"")</f>
        <v>10.562500000000002</v>
      </c>
      <c r="CD45" s="178">
        <f>IF(AND(CD8&lt;&gt;"",$BV8=$BV$44),CD8,"")</f>
        <v>25</v>
      </c>
      <c r="CE45" s="94">
        <f>IF(AND(CE8&lt;&gt;"",$BV8=$BV$44),CE8,"")</f>
        <v>25.572973495871949</v>
      </c>
      <c r="CF45" s="94">
        <f t="shared" ref="CF45:CF74" si="79">IF(fixedrandom=1,CE45,CK45)</f>
        <v>25.572973495871949</v>
      </c>
      <c r="CG45" s="94">
        <f>IF(AND(CG8&lt;&gt;"",$BV8=$BV$44),CG8,"")</f>
        <v>5.8817839040505477</v>
      </c>
      <c r="CH45" s="94">
        <f>IF(AND(CH8&lt;&gt;"",$BV8=$BV$44),CH8,"")</f>
        <v>653.97697342056915</v>
      </c>
      <c r="CI45" s="94">
        <f>IF(AND(CI8&lt;&gt;"",$BV8=$BV$44),CI8,"")</f>
        <v>1.3528102979316259</v>
      </c>
      <c r="CJ45" s="94">
        <f>IF(AND(CE45&lt;&gt;""),1/CE45+$BR$56,"")</f>
        <v>3.9103782755705842E-2</v>
      </c>
      <c r="CK45" s="94">
        <f>IF(AND(CE45&lt;&gt;""),1/CJ45,"")</f>
        <v>25.572973495871949</v>
      </c>
      <c r="CL45" s="94">
        <f>IF(AND(CE45&lt;&gt;""),CK45*BW45,"")</f>
        <v>5.8817839040505477</v>
      </c>
      <c r="CM45" s="97" t="e">
        <f t="shared" ref="CM45:CM74" si="80">IF(AND(CF45&lt;=$ED$4,$CG$3,$BX$5),N8,NA())</f>
        <v>#N/A</v>
      </c>
      <c r="CN45" s="94">
        <f t="shared" ref="CN45:CN74" si="81">IF(AND(CF45&gt;$ED$4,CF45&lt;=$ED$5,$CG$3,$BX$5),N8,NA())</f>
        <v>0.22999999999999998</v>
      </c>
      <c r="CO45" s="94" t="e">
        <f t="shared" ref="CO45:CO74" si="82">IF(AND(CF45&gt;$ED$5,CF45&lt;=$ED$6,$CG$3,$BX$5),N8,NA())</f>
        <v>#N/A</v>
      </c>
      <c r="CP45" s="94" t="e">
        <f t="shared" ref="CP45:CP74" si="83">IF(AND(CF45&gt;$ED$6,CF45&lt;=$ED$7,$CG$3,$BX$5),N8,NA())</f>
        <v>#N/A</v>
      </c>
      <c r="CQ45" s="94" t="e">
        <f t="shared" ref="CQ45:CQ74" si="84">IF(AND(CF45&gt;$ED$7,CF45&lt;=$ED$8,$CG$3,$BX$5),N8,NA())</f>
        <v>#N/A</v>
      </c>
      <c r="CR45" s="94" t="e">
        <f t="shared" ref="CR45:CR74" si="85">IF(AND(CF45&gt;$ED$8,CF45&lt;=$ED$9,$CG$3,$BX$5),N8,NA())</f>
        <v>#N/A</v>
      </c>
      <c r="CS45" s="94" t="e">
        <f t="shared" ref="CS45:CS74" si="86">IF(AND(CF45&gt;$ED$9,CF45&lt;=$ED$10,$CG$3,$BX$5),N8,NA())</f>
        <v>#N/A</v>
      </c>
      <c r="CT45" s="94" t="e">
        <f t="shared" ref="CT45:CT74" si="87">IF(AND(CF45&gt;$ED$10,CF45&lt;=$ED$11,$CG$3,$BX$5),N8,NA())</f>
        <v>#N/A</v>
      </c>
      <c r="CU45" s="94" t="e">
        <f t="shared" ref="CU45:CU74" si="88">IF(AND(CF45&lt;&gt;"",CF45&gt;$ED$11,$CG$3,$BX$5),N8,NA())</f>
        <v>#N/A</v>
      </c>
      <c r="CV45" s="97">
        <f t="shared" ref="CV45:CV74" si="89">IF($CJ$2,CW45,NA())</f>
        <v>1</v>
      </c>
      <c r="CW45" s="343">
        <v>1</v>
      </c>
      <c r="CX45" s="102"/>
      <c r="CY45" s="102"/>
      <c r="CZ45" s="102"/>
      <c r="DA45" s="102"/>
      <c r="DB45" s="102"/>
      <c r="DC45" s="102"/>
      <c r="DD45" s="102"/>
      <c r="DE45" s="102"/>
      <c r="DF45" s="102"/>
      <c r="DG45" s="102"/>
      <c r="DH45" s="102"/>
      <c r="DI45" s="307">
        <v>34</v>
      </c>
      <c r="DJ45" s="90">
        <f t="shared" si="50"/>
        <v>0.34000000000000008</v>
      </c>
      <c r="DK45" s="90">
        <f t="shared" si="71"/>
        <v>4.1955957072630889E-2</v>
      </c>
      <c r="DL45" s="90" t="e">
        <f t="shared" si="72"/>
        <v>#N/A</v>
      </c>
      <c r="DM45" s="90">
        <f t="shared" si="73"/>
        <v>4.1955957072630889E-2</v>
      </c>
      <c r="DN45" s="90">
        <f t="shared" si="74"/>
        <v>32</v>
      </c>
      <c r="DO45" s="308">
        <f t="shared" si="51"/>
        <v>0.11600000000000003</v>
      </c>
      <c r="DP45" s="307">
        <f t="shared" si="63"/>
        <v>0.33999999999999964</v>
      </c>
      <c r="DQ45" s="90">
        <f t="shared" si="75"/>
        <v>-9.3354888777591877E-3</v>
      </c>
      <c r="DR45" s="90">
        <f t="shared" si="76"/>
        <v>-9.3354888777591877E-3</v>
      </c>
      <c r="DS45" s="90">
        <f t="shared" si="64"/>
        <v>33</v>
      </c>
      <c r="DT45" s="308">
        <f t="shared" si="65"/>
        <v>0.11599999999999987</v>
      </c>
      <c r="DU45" s="307">
        <f t="shared" si="58"/>
        <v>0.34000000000000041</v>
      </c>
      <c r="DV45" s="90">
        <f t="shared" si="77"/>
        <v>0.13190233217733821</v>
      </c>
      <c r="DW45" s="90">
        <f t="shared" si="78"/>
        <v>0.13190233217733821</v>
      </c>
      <c r="DX45" s="90">
        <f t="shared" si="61"/>
        <v>34</v>
      </c>
      <c r="DY45" s="308">
        <f t="shared" si="62"/>
        <v>0.11600000000000017</v>
      </c>
    </row>
    <row r="46" spans="1:129" ht="12" customHeight="1" thickTop="1" thickBot="1" x14ac:dyDescent="0.25">
      <c r="H46" s="249" t="s">
        <v>744</v>
      </c>
      <c r="I46" s="170"/>
      <c r="K46" s="9" t="s">
        <v>752</v>
      </c>
      <c r="M46" s="59" t="s">
        <v>521</v>
      </c>
      <c r="N46" s="626">
        <f>IF(BY39&lt;&gt;"",CB41,"")</f>
        <v>1.397516896958003</v>
      </c>
      <c r="P46" s="10"/>
      <c r="V46" s="444">
        <f t="shared" si="5"/>
        <v>9.5E-4</v>
      </c>
      <c r="AF46" s="87">
        <f t="shared" si="6"/>
        <v>9.5E-4</v>
      </c>
      <c r="BS46" s="290" t="str">
        <f t="shared" ref="BS46:BS74" si="90">IF(CF46&lt;&gt;"",100*CF46/$CF$75,"")</f>
        <v/>
      </c>
      <c r="BT46" s="290">
        <v>2</v>
      </c>
      <c r="BU46" s="90"/>
      <c r="BV46" s="90"/>
      <c r="BW46" s="90" t="str">
        <f t="shared" ref="BW46:CI46" si="91">IF(AND(BW9&lt;&gt;"",$BV9=$BV$44),BW9,"")</f>
        <v/>
      </c>
      <c r="BX46" s="90" t="str">
        <f t="shared" si="91"/>
        <v/>
      </c>
      <c r="BY46" s="90" t="str">
        <f t="shared" si="91"/>
        <v/>
      </c>
      <c r="BZ46" s="90" t="e">
        <f t="shared" ref="BZ46:BZ74" si="92">IF(AND($BX$5,$BV9=$BV$44,$BY$6,NOT($CG$3)),N9,NA())</f>
        <v>#N/A</v>
      </c>
      <c r="CA46" s="90" t="e">
        <f t="shared" ref="CA46:CA74" si="93">IF(BY46&lt;&gt;"",BT46,NA())</f>
        <v>#N/A</v>
      </c>
      <c r="CB46" s="90" t="e">
        <f t="shared" ref="CB46:CB74" si="94">IF(BY46&lt;&gt;"",SQRT(P9)*TINV((100-$M$2)/100,I9+L9-2),NA())</f>
        <v>#N/A</v>
      </c>
      <c r="CC46" s="127" t="str">
        <f t="shared" si="91"/>
        <v/>
      </c>
      <c r="CD46" s="127" t="str">
        <f t="shared" si="91"/>
        <v/>
      </c>
      <c r="CE46" s="90" t="str">
        <f t="shared" si="91"/>
        <v/>
      </c>
      <c r="CF46" s="90" t="str">
        <f t="shared" si="79"/>
        <v/>
      </c>
      <c r="CG46" s="90" t="str">
        <f t="shared" si="91"/>
        <v/>
      </c>
      <c r="CH46" s="90" t="str">
        <f t="shared" si="91"/>
        <v/>
      </c>
      <c r="CI46" s="90" t="str">
        <f t="shared" si="91"/>
        <v/>
      </c>
      <c r="CJ46" s="90" t="str">
        <f t="shared" ref="CJ46:CJ74" si="95">IF(AND(CE46&lt;&gt;""),1/CE46+$BR$56,"")</f>
        <v/>
      </c>
      <c r="CK46" s="90" t="str">
        <f t="shared" ref="CK46:CK74" si="96">IF(AND(CE46&lt;&gt;""),1/CJ46,"")</f>
        <v/>
      </c>
      <c r="CL46" s="113" t="str">
        <f t="shared" ref="CL46:CL74" si="97">IF(AND(CE46&lt;&gt;""),CK46*BW46,"")</f>
        <v/>
      </c>
      <c r="CM46" s="106" t="e">
        <f t="shared" si="80"/>
        <v>#N/A</v>
      </c>
      <c r="CN46" s="90" t="e">
        <f t="shared" si="81"/>
        <v>#N/A</v>
      </c>
      <c r="CO46" s="90" t="e">
        <f t="shared" si="82"/>
        <v>#N/A</v>
      </c>
      <c r="CP46" s="90" t="e">
        <f t="shared" si="83"/>
        <v>#N/A</v>
      </c>
      <c r="CQ46" s="90" t="e">
        <f t="shared" si="84"/>
        <v>#N/A</v>
      </c>
      <c r="CR46" s="90" t="e">
        <f t="shared" si="85"/>
        <v>#N/A</v>
      </c>
      <c r="CS46" s="90" t="e">
        <f t="shared" si="86"/>
        <v>#N/A</v>
      </c>
      <c r="CT46" s="90" t="e">
        <f t="shared" si="87"/>
        <v>#N/A</v>
      </c>
      <c r="CU46" s="90" t="e">
        <f t="shared" si="88"/>
        <v>#N/A</v>
      </c>
      <c r="CV46" s="106">
        <f t="shared" si="89"/>
        <v>2</v>
      </c>
      <c r="CW46" s="308">
        <v>2</v>
      </c>
      <c r="CX46" s="102"/>
      <c r="CY46" s="102"/>
      <c r="CZ46" s="102"/>
      <c r="DA46" s="102"/>
      <c r="DB46" s="102"/>
      <c r="DC46" s="102"/>
      <c r="DD46" s="102"/>
      <c r="DE46" s="102"/>
      <c r="DF46" s="102"/>
      <c r="DG46" s="102"/>
      <c r="DH46" s="102"/>
      <c r="DI46" s="307">
        <v>35</v>
      </c>
      <c r="DJ46" s="90">
        <f t="shared" si="50"/>
        <v>0.35000000000000009</v>
      </c>
      <c r="DK46" s="90">
        <f t="shared" si="71"/>
        <v>4.274929597372485E-2</v>
      </c>
      <c r="DL46" s="90" t="e">
        <f t="shared" si="72"/>
        <v>#N/A</v>
      </c>
      <c r="DM46" s="90">
        <f t="shared" si="73"/>
        <v>4.274929597372485E-2</v>
      </c>
      <c r="DN46" s="90">
        <f t="shared" si="74"/>
        <v>32</v>
      </c>
      <c r="DO46" s="308">
        <f t="shared" si="51"/>
        <v>0.12000000000000004</v>
      </c>
      <c r="DP46" s="307">
        <f t="shared" si="63"/>
        <v>0.34999999999999953</v>
      </c>
      <c r="DQ46" s="90">
        <f t="shared" si="75"/>
        <v>-8.7025726646186748E-3</v>
      </c>
      <c r="DR46" s="90">
        <f t="shared" si="76"/>
        <v>-8.7025726646186748E-3</v>
      </c>
      <c r="DS46" s="90">
        <f t="shared" si="64"/>
        <v>33</v>
      </c>
      <c r="DT46" s="308">
        <f t="shared" si="65"/>
        <v>0.11999999999999982</v>
      </c>
      <c r="DU46" s="307">
        <f t="shared" si="58"/>
        <v>0.35000000000000031</v>
      </c>
      <c r="DV46" s="90">
        <f t="shared" si="77"/>
        <v>0.1331861316256962</v>
      </c>
      <c r="DW46" s="90">
        <f t="shared" si="78"/>
        <v>0.1331861316256962</v>
      </c>
      <c r="DX46" s="90">
        <f t="shared" si="61"/>
        <v>34</v>
      </c>
      <c r="DY46" s="308">
        <f t="shared" si="62"/>
        <v>0.12000000000000012</v>
      </c>
    </row>
    <row r="47" spans="1:129" ht="12" customHeight="1" thickTop="1" thickBot="1" x14ac:dyDescent="0.25">
      <c r="D47" s="356"/>
      <c r="E47" s="7" t="s">
        <v>351</v>
      </c>
      <c r="F47" s="249" t="s">
        <v>743</v>
      </c>
      <c r="G47" s="90"/>
      <c r="H47" s="249"/>
      <c r="I47" s="90"/>
      <c r="J47"/>
      <c r="K47"/>
      <c r="L47"/>
      <c r="M47" s="575" t="s">
        <v>521</v>
      </c>
      <c r="N47" s="768">
        <f>IF(BY76&lt;&gt;"",CB77,"")</f>
        <v>1</v>
      </c>
      <c r="P47"/>
      <c r="Q47"/>
      <c r="R47"/>
      <c r="S47"/>
      <c r="T47"/>
      <c r="V47" s="444">
        <f t="shared" si="5"/>
        <v>9.5E-4</v>
      </c>
      <c r="AF47" s="87">
        <f t="shared" si="6"/>
        <v>9.5E-4</v>
      </c>
      <c r="BS47" s="290">
        <f t="shared" si="90"/>
        <v>14.493365265739184</v>
      </c>
      <c r="BT47" s="290">
        <v>3</v>
      </c>
      <c r="BU47" s="90"/>
      <c r="BV47" s="90"/>
      <c r="BW47" s="90">
        <f t="shared" ref="BW47:CI47" si="98">IF(AND(BW10&lt;&gt;"",$BV10=$BV$44),BW10,"")</f>
        <v>-4.0000000000000036E-2</v>
      </c>
      <c r="BX47" s="90">
        <f t="shared" si="98"/>
        <v>99</v>
      </c>
      <c r="BY47" s="90">
        <f t="shared" si="98"/>
        <v>-0.47157033824108741</v>
      </c>
      <c r="BZ47" s="90" t="e">
        <f t="shared" si="92"/>
        <v>#N/A</v>
      </c>
      <c r="CA47" s="90">
        <f t="shared" si="93"/>
        <v>3</v>
      </c>
      <c r="CB47" s="90">
        <f t="shared" si="94"/>
        <v>0.16728821907031571</v>
      </c>
      <c r="CC47" s="127">
        <f t="shared" si="98"/>
        <v>36.465800000000002</v>
      </c>
      <c r="CD47" s="127">
        <f t="shared" si="98"/>
        <v>98</v>
      </c>
      <c r="CE47" s="90">
        <f t="shared" si="98"/>
        <v>138.98661494300828</v>
      </c>
      <c r="CF47" s="90">
        <f t="shared" si="79"/>
        <v>138.98661494300828</v>
      </c>
      <c r="CG47" s="90">
        <f t="shared" si="98"/>
        <v>-5.5594645977203356</v>
      </c>
      <c r="CH47" s="90">
        <f t="shared" si="98"/>
        <v>19317.279133316053</v>
      </c>
      <c r="CI47" s="90">
        <f t="shared" si="98"/>
        <v>0.22237858390881365</v>
      </c>
      <c r="CJ47" s="90">
        <f t="shared" si="95"/>
        <v>7.1949374435088722E-3</v>
      </c>
      <c r="CK47" s="90">
        <f t="shared" si="96"/>
        <v>138.98661494300828</v>
      </c>
      <c r="CL47" s="113">
        <f t="shared" si="97"/>
        <v>-5.5594645977203356</v>
      </c>
      <c r="CM47" s="106" t="e">
        <f t="shared" si="80"/>
        <v>#N/A</v>
      </c>
      <c r="CN47" s="90" t="e">
        <f t="shared" si="81"/>
        <v>#N/A</v>
      </c>
      <c r="CO47" s="90" t="e">
        <f t="shared" si="82"/>
        <v>#N/A</v>
      </c>
      <c r="CP47" s="90" t="e">
        <f t="shared" si="83"/>
        <v>#N/A</v>
      </c>
      <c r="CQ47" s="90">
        <f t="shared" si="84"/>
        <v>-4.0000000000000036E-2</v>
      </c>
      <c r="CR47" s="90" t="e">
        <f t="shared" si="85"/>
        <v>#N/A</v>
      </c>
      <c r="CS47" s="90" t="e">
        <f t="shared" si="86"/>
        <v>#N/A</v>
      </c>
      <c r="CT47" s="90" t="e">
        <f t="shared" si="87"/>
        <v>#N/A</v>
      </c>
      <c r="CU47" s="90" t="e">
        <f t="shared" si="88"/>
        <v>#N/A</v>
      </c>
      <c r="CV47" s="106">
        <f t="shared" si="89"/>
        <v>3</v>
      </c>
      <c r="CW47" s="308">
        <v>3</v>
      </c>
      <c r="CX47" s="102"/>
      <c r="CY47" s="102"/>
      <c r="CZ47" s="102"/>
      <c r="DA47" s="102"/>
      <c r="DB47" s="102"/>
      <c r="DC47" s="102"/>
      <c r="DD47" s="102"/>
      <c r="DE47" s="102"/>
      <c r="DF47" s="102"/>
      <c r="DG47" s="102"/>
      <c r="DH47" s="102"/>
      <c r="DI47" s="307">
        <v>36</v>
      </c>
      <c r="DJ47" s="90">
        <f t="shared" si="50"/>
        <v>0.3600000000000001</v>
      </c>
      <c r="DK47" s="90">
        <f t="shared" si="71"/>
        <v>4.3542634874818811E-2</v>
      </c>
      <c r="DL47" s="90" t="e">
        <f t="shared" si="72"/>
        <v>#N/A</v>
      </c>
      <c r="DM47" s="90">
        <f t="shared" si="73"/>
        <v>4.3542634874818811E-2</v>
      </c>
      <c r="DN47" s="90">
        <f t="shared" si="74"/>
        <v>32</v>
      </c>
      <c r="DO47" s="308">
        <f t="shared" si="51"/>
        <v>0.12400000000000004</v>
      </c>
      <c r="DP47" s="307">
        <f t="shared" si="63"/>
        <v>0.35999999999999965</v>
      </c>
      <c r="DQ47" s="90">
        <f t="shared" si="75"/>
        <v>-8.0696564514781619E-3</v>
      </c>
      <c r="DR47" s="90">
        <f t="shared" si="76"/>
        <v>-8.0696564514781619E-3</v>
      </c>
      <c r="DS47" s="90">
        <f t="shared" si="64"/>
        <v>33</v>
      </c>
      <c r="DT47" s="308">
        <f t="shared" si="65"/>
        <v>0.12399999999999987</v>
      </c>
      <c r="DU47" s="307">
        <f t="shared" si="58"/>
        <v>0.36000000000000021</v>
      </c>
      <c r="DV47" s="90">
        <f t="shared" si="77"/>
        <v>0.13446993107405419</v>
      </c>
      <c r="DW47" s="90">
        <f t="shared" si="78"/>
        <v>0.13446993107405419</v>
      </c>
      <c r="DX47" s="90">
        <f t="shared" si="61"/>
        <v>34</v>
      </c>
      <c r="DY47" s="308">
        <f t="shared" si="62"/>
        <v>0.1240000000000001</v>
      </c>
    </row>
    <row r="48" spans="1:129" ht="12" customHeight="1" thickTop="1" thickBot="1" x14ac:dyDescent="0.25">
      <c r="D48" s="552"/>
      <c r="E48" s="90"/>
      <c r="H48" s="50" t="s">
        <v>745</v>
      </c>
      <c r="I48" s="170"/>
      <c r="J48"/>
      <c r="K48"/>
      <c r="L48"/>
      <c r="M48" s="139" t="s">
        <v>521</v>
      </c>
      <c r="N48" s="769">
        <f>IF(BY113&lt;&gt;"",CB114,"")</f>
        <v>1</v>
      </c>
      <c r="P48"/>
      <c r="Q48"/>
      <c r="R48"/>
      <c r="S48"/>
      <c r="T48"/>
      <c r="V48" s="444">
        <f t="shared" si="5"/>
        <v>9.5E-4</v>
      </c>
      <c r="AF48" s="87">
        <f t="shared" si="6"/>
        <v>9.5E-4</v>
      </c>
      <c r="BS48" s="290">
        <f t="shared" si="90"/>
        <v>6.2935679605887245</v>
      </c>
      <c r="BT48" s="290">
        <v>4</v>
      </c>
      <c r="BU48" s="90"/>
      <c r="BV48" s="90"/>
      <c r="BW48" s="90">
        <f t="shared" ref="BW48:CI48" si="99">IF(AND(BW11&lt;&gt;"",$BV11=$BV$44),BW11,"")</f>
        <v>0.22999999999999998</v>
      </c>
      <c r="BX48" s="90">
        <f t="shared" si="99"/>
        <v>33</v>
      </c>
      <c r="BY48" s="90">
        <f t="shared" si="99"/>
        <v>1.7868091559507837</v>
      </c>
      <c r="BZ48" s="90" t="e">
        <f t="shared" si="92"/>
        <v>#N/A</v>
      </c>
      <c r="CA48" s="90">
        <f t="shared" si="93"/>
        <v>4</v>
      </c>
      <c r="CB48" s="90">
        <f t="shared" si="94"/>
        <v>0.25654073767646002</v>
      </c>
      <c r="CC48" s="127">
        <f t="shared" si="99"/>
        <v>10.396799999999999</v>
      </c>
      <c r="CD48" s="127">
        <f t="shared" si="99"/>
        <v>32</v>
      </c>
      <c r="CE48" s="90">
        <f t="shared" si="99"/>
        <v>60.353250657647507</v>
      </c>
      <c r="CF48" s="90">
        <f t="shared" si="79"/>
        <v>60.353250657647507</v>
      </c>
      <c r="CG48" s="90">
        <f t="shared" si="99"/>
        <v>13.881247651258926</v>
      </c>
      <c r="CH48" s="90">
        <f t="shared" si="99"/>
        <v>3642.5148649448292</v>
      </c>
      <c r="CI48" s="90">
        <f t="shared" si="99"/>
        <v>3.1926869597895524</v>
      </c>
      <c r="CJ48" s="90">
        <f t="shared" si="95"/>
        <v>1.6569115815691156E-2</v>
      </c>
      <c r="CK48" s="90">
        <f t="shared" si="96"/>
        <v>60.353250657647507</v>
      </c>
      <c r="CL48" s="113">
        <f t="shared" si="97"/>
        <v>13.881247651258926</v>
      </c>
      <c r="CM48" s="106" t="e">
        <f t="shared" si="80"/>
        <v>#N/A</v>
      </c>
      <c r="CN48" s="90" t="e">
        <f t="shared" si="81"/>
        <v>#N/A</v>
      </c>
      <c r="CO48" s="90">
        <f t="shared" si="82"/>
        <v>0.22999999999999998</v>
      </c>
      <c r="CP48" s="90" t="e">
        <f t="shared" si="83"/>
        <v>#N/A</v>
      </c>
      <c r="CQ48" s="90" t="e">
        <f t="shared" si="84"/>
        <v>#N/A</v>
      </c>
      <c r="CR48" s="90" t="e">
        <f t="shared" si="85"/>
        <v>#N/A</v>
      </c>
      <c r="CS48" s="90" t="e">
        <f t="shared" si="86"/>
        <v>#N/A</v>
      </c>
      <c r="CT48" s="90" t="e">
        <f t="shared" si="87"/>
        <v>#N/A</v>
      </c>
      <c r="CU48" s="90" t="e">
        <f t="shared" si="88"/>
        <v>#N/A</v>
      </c>
      <c r="CV48" s="106">
        <f t="shared" si="89"/>
        <v>4</v>
      </c>
      <c r="CW48" s="308">
        <v>4</v>
      </c>
      <c r="CX48" s="102"/>
      <c r="CY48" s="102"/>
      <c r="CZ48" s="102"/>
      <c r="DA48" s="102"/>
      <c r="DB48" s="102"/>
      <c r="DC48" s="102"/>
      <c r="DD48" s="102"/>
      <c r="DE48" s="102"/>
      <c r="DF48" s="102"/>
      <c r="DG48" s="102"/>
      <c r="DH48" s="102"/>
      <c r="DI48" s="307">
        <v>37</v>
      </c>
      <c r="DJ48" s="90">
        <f t="shared" si="50"/>
        <v>0.37000000000000011</v>
      </c>
      <c r="DK48" s="90">
        <f t="shared" si="71"/>
        <v>4.4335973775912772E-2</v>
      </c>
      <c r="DL48" s="90" t="e">
        <f t="shared" si="72"/>
        <v>#N/A</v>
      </c>
      <c r="DM48" s="90">
        <f t="shared" si="73"/>
        <v>4.4335973775912772E-2</v>
      </c>
      <c r="DN48" s="90">
        <f t="shared" si="74"/>
        <v>32</v>
      </c>
      <c r="DO48" s="308">
        <f t="shared" si="51"/>
        <v>0.12800000000000006</v>
      </c>
      <c r="DP48" s="307">
        <f t="shared" si="63"/>
        <v>0.36999999999999966</v>
      </c>
      <c r="DQ48" s="90">
        <f t="shared" si="75"/>
        <v>-7.4367402383376481E-3</v>
      </c>
      <c r="DR48" s="90">
        <f t="shared" si="76"/>
        <v>-7.4367402383376481E-3</v>
      </c>
      <c r="DS48" s="90">
        <f t="shared" si="64"/>
        <v>33</v>
      </c>
      <c r="DT48" s="308">
        <f t="shared" si="65"/>
        <v>0.12799999999999989</v>
      </c>
      <c r="DU48" s="307">
        <f t="shared" si="58"/>
        <v>0.37000000000000011</v>
      </c>
      <c r="DV48" s="90">
        <f t="shared" si="77"/>
        <v>0.13575373052241219</v>
      </c>
      <c r="DW48" s="90">
        <f t="shared" si="78"/>
        <v>0.13575373052241219</v>
      </c>
      <c r="DX48" s="90">
        <f t="shared" si="61"/>
        <v>34</v>
      </c>
      <c r="DY48" s="308">
        <f t="shared" si="62"/>
        <v>0.12800000000000006</v>
      </c>
    </row>
    <row r="49" spans="4:129" ht="12" customHeight="1" thickTop="1" thickBot="1" x14ac:dyDescent="0.25">
      <c r="D49" s="119"/>
      <c r="E49" s="119"/>
      <c r="F49" s="90"/>
      <c r="G49" s="90"/>
      <c r="H49" s="90"/>
      <c r="I49" s="90"/>
      <c r="J49"/>
      <c r="K49"/>
      <c r="L49"/>
      <c r="M49"/>
      <c r="N49"/>
      <c r="O49"/>
      <c r="P49"/>
      <c r="Q49"/>
      <c r="R49"/>
      <c r="S49"/>
      <c r="T49"/>
      <c r="U49" s="91"/>
      <c r="V49" s="444">
        <f t="shared" si="5"/>
        <v>9.5E-4</v>
      </c>
      <c r="AB49" s="554"/>
      <c r="AF49" s="87">
        <f t="shared" si="6"/>
        <v>9.5E-4</v>
      </c>
      <c r="BS49" s="290">
        <f t="shared" si="90"/>
        <v>5.5610463367689693</v>
      </c>
      <c r="BT49" s="290">
        <v>5</v>
      </c>
      <c r="BU49" s="90"/>
      <c r="BV49" s="90"/>
      <c r="BW49" s="90">
        <f t="shared" ref="BW49:CI49" si="100">IF(AND(BW12&lt;&gt;"",$BV12=$BV$44),BW12,"")</f>
        <v>0.10999999999999988</v>
      </c>
      <c r="BX49" s="90">
        <f t="shared" si="100"/>
        <v>21</v>
      </c>
      <c r="BY49" s="90">
        <f t="shared" si="100"/>
        <v>0.80329083525809908</v>
      </c>
      <c r="BZ49" s="90" t="e">
        <f t="shared" si="92"/>
        <v>#N/A</v>
      </c>
      <c r="CA49" s="90">
        <f t="shared" si="93"/>
        <v>5</v>
      </c>
      <c r="CB49" s="90">
        <f t="shared" si="94"/>
        <v>0.27615918441766368</v>
      </c>
      <c r="CC49" s="127">
        <f t="shared" si="100"/>
        <v>6.0500000000000007</v>
      </c>
      <c r="CD49" s="127">
        <f t="shared" si="100"/>
        <v>20</v>
      </c>
      <c r="CE49" s="90">
        <f t="shared" si="100"/>
        <v>53.328608761128585</v>
      </c>
      <c r="CF49" s="90">
        <f t="shared" si="79"/>
        <v>53.328608761128585</v>
      </c>
      <c r="CG49" s="90">
        <f t="shared" si="100"/>
        <v>5.8661469637241375</v>
      </c>
      <c r="CH49" s="90">
        <f t="shared" si="100"/>
        <v>2843.9405123975207</v>
      </c>
      <c r="CI49" s="90">
        <f t="shared" si="100"/>
        <v>0.64527616600965443</v>
      </c>
      <c r="CJ49" s="90">
        <f t="shared" si="95"/>
        <v>1.8751661129568106E-2</v>
      </c>
      <c r="CK49" s="90">
        <f t="shared" si="96"/>
        <v>53.328608761128585</v>
      </c>
      <c r="CL49" s="113">
        <f t="shared" si="97"/>
        <v>5.8661469637241375</v>
      </c>
      <c r="CM49" s="106" t="e">
        <f t="shared" si="80"/>
        <v>#N/A</v>
      </c>
      <c r="CN49" s="90" t="e">
        <f t="shared" si="81"/>
        <v>#N/A</v>
      </c>
      <c r="CO49" s="90">
        <f t="shared" si="82"/>
        <v>0.10999999999999988</v>
      </c>
      <c r="CP49" s="90" t="e">
        <f t="shared" si="83"/>
        <v>#N/A</v>
      </c>
      <c r="CQ49" s="90" t="e">
        <f t="shared" si="84"/>
        <v>#N/A</v>
      </c>
      <c r="CR49" s="90" t="e">
        <f t="shared" si="85"/>
        <v>#N/A</v>
      </c>
      <c r="CS49" s="90" t="e">
        <f t="shared" si="86"/>
        <v>#N/A</v>
      </c>
      <c r="CT49" s="90" t="e">
        <f t="shared" si="87"/>
        <v>#N/A</v>
      </c>
      <c r="CU49" s="113" t="e">
        <f t="shared" si="88"/>
        <v>#N/A</v>
      </c>
      <c r="CV49" s="90">
        <f t="shared" si="89"/>
        <v>5</v>
      </c>
      <c r="CW49" s="308">
        <v>5</v>
      </c>
      <c r="CX49" s="102"/>
      <c r="CY49" s="102"/>
      <c r="CZ49" s="102"/>
      <c r="DA49" s="102"/>
      <c r="DB49" s="102"/>
      <c r="DC49" s="102"/>
      <c r="DD49" s="102"/>
      <c r="DE49" s="102"/>
      <c r="DF49" s="102"/>
      <c r="DG49" s="102"/>
      <c r="DH49" s="102"/>
      <c r="DI49" s="307">
        <v>38</v>
      </c>
      <c r="DJ49" s="90">
        <f t="shared" si="50"/>
        <v>0.38000000000000012</v>
      </c>
      <c r="DK49" s="90">
        <f t="shared" si="71"/>
        <v>4.5129312677006733E-2</v>
      </c>
      <c r="DL49" s="90" t="e">
        <f t="shared" si="72"/>
        <v>#N/A</v>
      </c>
      <c r="DM49" s="90">
        <f t="shared" si="73"/>
        <v>4.5129312677006733E-2</v>
      </c>
      <c r="DN49" s="90">
        <f t="shared" si="74"/>
        <v>32</v>
      </c>
      <c r="DO49" s="308">
        <f t="shared" si="51"/>
        <v>0.13200000000000006</v>
      </c>
      <c r="DP49" s="307">
        <f t="shared" si="63"/>
        <v>0.37999999999999956</v>
      </c>
      <c r="DQ49" s="90">
        <f t="shared" si="75"/>
        <v>-6.8038240251971343E-3</v>
      </c>
      <c r="DR49" s="90">
        <f t="shared" si="76"/>
        <v>-6.8038240251971343E-3</v>
      </c>
      <c r="DS49" s="90">
        <f t="shared" si="64"/>
        <v>33</v>
      </c>
      <c r="DT49" s="308">
        <f t="shared" si="65"/>
        <v>0.13199999999999984</v>
      </c>
      <c r="DU49" s="307">
        <f t="shared" si="58"/>
        <v>0.38000000000000012</v>
      </c>
      <c r="DV49" s="90">
        <f t="shared" si="77"/>
        <v>0.13703752997077018</v>
      </c>
      <c r="DW49" s="90">
        <f t="shared" si="78"/>
        <v>0.13703752997077018</v>
      </c>
      <c r="DX49" s="90">
        <f t="shared" si="61"/>
        <v>34</v>
      </c>
      <c r="DY49" s="308">
        <f t="shared" si="62"/>
        <v>0.13200000000000006</v>
      </c>
    </row>
    <row r="50" spans="4:129" ht="12" customHeight="1" thickTop="1" x14ac:dyDescent="0.2">
      <c r="L50" s="90"/>
      <c r="P50" s="553"/>
      <c r="S50" s="555"/>
      <c r="V50"/>
      <c r="AB50" s="554"/>
      <c r="AF50" s="87"/>
      <c r="BS50" s="290">
        <f t="shared" si="90"/>
        <v>26.649041088412321</v>
      </c>
      <c r="BT50" s="290">
        <v>6</v>
      </c>
      <c r="BU50" s="90"/>
      <c r="BV50" s="90"/>
      <c r="BW50" s="90">
        <f t="shared" ref="BW50:CI50" si="101">IF(AND(BW13&lt;&gt;"",$BV13=$BV$44),BW13,"")</f>
        <v>-4.0000000000000036E-2</v>
      </c>
      <c r="BX50" s="90">
        <f t="shared" si="101"/>
        <v>184</v>
      </c>
      <c r="BY50" s="90">
        <f t="shared" si="101"/>
        <v>-0.63944420310836325</v>
      </c>
      <c r="BZ50" s="90" t="e">
        <f t="shared" si="92"/>
        <v>#N/A</v>
      </c>
      <c r="CA50" s="90">
        <f t="shared" si="93"/>
        <v>6</v>
      </c>
      <c r="CB50" s="90">
        <f t="shared" si="94"/>
        <v>0.12301099692042901</v>
      </c>
      <c r="CC50" s="127">
        <f t="shared" si="101"/>
        <v>65.88</v>
      </c>
      <c r="CD50" s="127">
        <f t="shared" si="101"/>
        <v>183</v>
      </c>
      <c r="CE50" s="90">
        <f t="shared" si="101"/>
        <v>255.5555555555556</v>
      </c>
      <c r="CF50" s="90">
        <f t="shared" si="79"/>
        <v>255.5555555555556</v>
      </c>
      <c r="CG50" s="90">
        <f t="shared" si="101"/>
        <v>-10.222222222222234</v>
      </c>
      <c r="CH50" s="90">
        <f t="shared" si="101"/>
        <v>65308.641975308667</v>
      </c>
      <c r="CI50" s="90">
        <f t="shared" si="101"/>
        <v>0.40888888888888969</v>
      </c>
      <c r="CJ50" s="90">
        <f t="shared" si="95"/>
        <v>3.913043478260869E-3</v>
      </c>
      <c r="CK50" s="90">
        <f t="shared" si="96"/>
        <v>255.5555555555556</v>
      </c>
      <c r="CL50" s="113">
        <f t="shared" si="97"/>
        <v>-10.222222222222234</v>
      </c>
      <c r="CM50" s="106" t="e">
        <f t="shared" si="80"/>
        <v>#N/A</v>
      </c>
      <c r="CN50" s="90" t="e">
        <f t="shared" si="81"/>
        <v>#N/A</v>
      </c>
      <c r="CO50" s="90" t="e">
        <f t="shared" si="82"/>
        <v>#N/A</v>
      </c>
      <c r="CP50" s="90" t="e">
        <f t="shared" si="83"/>
        <v>#N/A</v>
      </c>
      <c r="CQ50" s="90" t="e">
        <f t="shared" si="84"/>
        <v>#N/A</v>
      </c>
      <c r="CR50" s="90" t="e">
        <f t="shared" si="85"/>
        <v>#N/A</v>
      </c>
      <c r="CS50" s="90">
        <f t="shared" si="86"/>
        <v>-4.0000000000000036E-2</v>
      </c>
      <c r="CT50" s="90" t="e">
        <f t="shared" si="87"/>
        <v>#N/A</v>
      </c>
      <c r="CU50" s="113" t="e">
        <f t="shared" si="88"/>
        <v>#N/A</v>
      </c>
      <c r="CV50" s="90">
        <f t="shared" si="89"/>
        <v>6</v>
      </c>
      <c r="CW50" s="308">
        <v>6</v>
      </c>
      <c r="CX50" s="102"/>
      <c r="CY50" s="102"/>
      <c r="CZ50" s="102"/>
      <c r="DA50" s="102"/>
      <c r="DB50" s="102"/>
      <c r="DC50" s="102"/>
      <c r="DD50" s="102"/>
      <c r="DE50" s="102"/>
      <c r="DF50" s="102"/>
      <c r="DG50" s="102"/>
      <c r="DH50" s="102"/>
      <c r="DI50" s="307">
        <v>39</v>
      </c>
      <c r="DJ50" s="90">
        <f t="shared" si="50"/>
        <v>0.39</v>
      </c>
      <c r="DK50" s="90">
        <f t="shared" si="71"/>
        <v>4.5922651578100694E-2</v>
      </c>
      <c r="DL50" s="90" t="e">
        <f t="shared" si="72"/>
        <v>#N/A</v>
      </c>
      <c r="DM50" s="90">
        <f t="shared" si="73"/>
        <v>4.5922651578100694E-2</v>
      </c>
      <c r="DN50" s="90">
        <f t="shared" si="74"/>
        <v>32</v>
      </c>
      <c r="DO50" s="308">
        <f t="shared" si="51"/>
        <v>0.13600000000000004</v>
      </c>
      <c r="DP50" s="307">
        <f t="shared" si="63"/>
        <v>0.38999999999999968</v>
      </c>
      <c r="DQ50" s="90">
        <f t="shared" si="75"/>
        <v>-6.1709078120566205E-3</v>
      </c>
      <c r="DR50" s="90">
        <f t="shared" si="76"/>
        <v>-6.1709078120566205E-3</v>
      </c>
      <c r="DS50" s="90">
        <f t="shared" si="64"/>
        <v>33</v>
      </c>
      <c r="DT50" s="308">
        <f t="shared" si="65"/>
        <v>0.1359999999999999</v>
      </c>
      <c r="DU50" s="307">
        <f t="shared" si="58"/>
        <v>0.39</v>
      </c>
      <c r="DV50" s="90">
        <f t="shared" si="77"/>
        <v>0.13832132941912817</v>
      </c>
      <c r="DW50" s="90">
        <f t="shared" si="78"/>
        <v>0.13832132941912817</v>
      </c>
      <c r="DX50" s="90">
        <f t="shared" si="61"/>
        <v>34</v>
      </c>
      <c r="DY50" s="308">
        <f t="shared" si="62"/>
        <v>0.13600000000000004</v>
      </c>
    </row>
    <row r="51" spans="4:129" ht="12" customHeight="1" x14ac:dyDescent="0.2">
      <c r="L51" s="90"/>
      <c r="M51" s="556"/>
      <c r="N51" s="556"/>
      <c r="O51" s="556"/>
      <c r="P51" s="553"/>
      <c r="Q51" s="272"/>
      <c r="S51" s="557"/>
      <c r="AB51" s="554"/>
      <c r="BN51" s="558" t="s">
        <v>422</v>
      </c>
      <c r="BO51" s="559" t="s">
        <v>224</v>
      </c>
      <c r="BP51" s="63" t="s">
        <v>461</v>
      </c>
      <c r="BQ51" s="63" t="s">
        <v>463</v>
      </c>
      <c r="BS51" s="560">
        <f t="shared" si="90"/>
        <v>44.336258916751959</v>
      </c>
      <c r="BT51" s="290">
        <v>7</v>
      </c>
      <c r="BU51" s="90"/>
      <c r="BV51" s="90"/>
      <c r="BW51" s="90">
        <f t="shared" ref="BW51:CI51" si="102">IF(AND(BW14&lt;&gt;"",$BV14=$BV$44),BW14,"")</f>
        <v>5.0000000000000266E-2</v>
      </c>
      <c r="BX51" s="90">
        <f t="shared" si="102"/>
        <v>255</v>
      </c>
      <c r="BY51" s="90">
        <f t="shared" si="102"/>
        <v>1.0309827448602069</v>
      </c>
      <c r="BZ51" s="90" t="e">
        <f t="shared" si="92"/>
        <v>#N/A</v>
      </c>
      <c r="CA51" s="90">
        <f t="shared" si="93"/>
        <v>7</v>
      </c>
      <c r="CB51" s="90">
        <f t="shared" si="94"/>
        <v>9.5271993543603634E-2</v>
      </c>
      <c r="CC51" s="127">
        <f t="shared" si="102"/>
        <v>68.681600000000003</v>
      </c>
      <c r="CD51" s="127">
        <f t="shared" si="102"/>
        <v>254</v>
      </c>
      <c r="CE51" s="90">
        <f t="shared" si="102"/>
        <v>425.17016807979013</v>
      </c>
      <c r="CF51" s="90">
        <f t="shared" si="79"/>
        <v>425.17016807979013</v>
      </c>
      <c r="CG51" s="90">
        <f t="shared" si="102"/>
        <v>21.258508403989619</v>
      </c>
      <c r="CH51" s="90">
        <f t="shared" si="102"/>
        <v>180769.671824997</v>
      </c>
      <c r="CI51" s="90">
        <f t="shared" si="102"/>
        <v>1.0629254201994867</v>
      </c>
      <c r="CJ51" s="90">
        <f t="shared" si="95"/>
        <v>2.351999446518867E-3</v>
      </c>
      <c r="CK51" s="90">
        <f t="shared" si="96"/>
        <v>425.17016807979013</v>
      </c>
      <c r="CL51" s="113">
        <f t="shared" si="97"/>
        <v>21.258508403989619</v>
      </c>
      <c r="CM51" s="106" t="e">
        <f t="shared" si="80"/>
        <v>#N/A</v>
      </c>
      <c r="CN51" s="90" t="e">
        <f t="shared" si="81"/>
        <v>#N/A</v>
      </c>
      <c r="CO51" s="90" t="e">
        <f t="shared" si="82"/>
        <v>#N/A</v>
      </c>
      <c r="CP51" s="90" t="e">
        <f t="shared" si="83"/>
        <v>#N/A</v>
      </c>
      <c r="CQ51" s="90" t="e">
        <f t="shared" si="84"/>
        <v>#N/A</v>
      </c>
      <c r="CR51" s="90" t="e">
        <f t="shared" si="85"/>
        <v>#N/A</v>
      </c>
      <c r="CS51" s="90" t="e">
        <f t="shared" si="86"/>
        <v>#N/A</v>
      </c>
      <c r="CT51" s="90" t="e">
        <f t="shared" si="87"/>
        <v>#N/A</v>
      </c>
      <c r="CU51" s="113">
        <f t="shared" si="88"/>
        <v>5.0000000000000266E-2</v>
      </c>
      <c r="CV51" s="90">
        <f t="shared" si="89"/>
        <v>7</v>
      </c>
      <c r="CW51" s="308">
        <v>7</v>
      </c>
      <c r="CX51" s="102"/>
      <c r="CY51" s="102"/>
      <c r="CZ51" s="102"/>
      <c r="DA51" s="102"/>
      <c r="DB51" s="102"/>
      <c r="DC51" s="102"/>
      <c r="DD51" s="102"/>
      <c r="DE51" s="102"/>
      <c r="DF51" s="102"/>
      <c r="DG51" s="102"/>
      <c r="DH51" s="102"/>
      <c r="DI51" s="307">
        <v>40</v>
      </c>
      <c r="DJ51" s="90">
        <f t="shared" si="50"/>
        <v>0.4</v>
      </c>
      <c r="DK51" s="90">
        <f t="shared" si="71"/>
        <v>4.6715990479194655E-2</v>
      </c>
      <c r="DL51" s="90" t="e">
        <f t="shared" si="72"/>
        <v>#N/A</v>
      </c>
      <c r="DM51" s="90">
        <f t="shared" si="73"/>
        <v>4.6715990479194655E-2</v>
      </c>
      <c r="DN51" s="90">
        <f t="shared" si="74"/>
        <v>32</v>
      </c>
      <c r="DO51" s="308">
        <f t="shared" si="51"/>
        <v>0.14000000000000004</v>
      </c>
      <c r="DP51" s="307">
        <f t="shared" si="63"/>
        <v>0.39999999999999958</v>
      </c>
      <c r="DQ51" s="90">
        <f t="shared" si="75"/>
        <v>-5.5379915989161067E-3</v>
      </c>
      <c r="DR51" s="90">
        <f t="shared" si="76"/>
        <v>-5.5379915989161067E-3</v>
      </c>
      <c r="DS51" s="90">
        <f t="shared" si="64"/>
        <v>33</v>
      </c>
      <c r="DT51" s="308">
        <f t="shared" si="65"/>
        <v>0.13999999999999985</v>
      </c>
      <c r="DU51" s="307">
        <f t="shared" si="58"/>
        <v>0.39999999999999991</v>
      </c>
      <c r="DV51" s="90">
        <f t="shared" si="77"/>
        <v>0.13960512886748616</v>
      </c>
      <c r="DW51" s="90">
        <f t="shared" si="78"/>
        <v>0.13960512886748616</v>
      </c>
      <c r="DX51" s="90">
        <f t="shared" si="61"/>
        <v>34</v>
      </c>
      <c r="DY51" s="308">
        <f t="shared" si="62"/>
        <v>0.13999999999999999</v>
      </c>
    </row>
    <row r="52" spans="4:129" ht="12" customHeight="1" x14ac:dyDescent="0.2">
      <c r="L52" s="90"/>
      <c r="M52" s="272"/>
      <c r="N52" s="272"/>
      <c r="O52" s="272"/>
      <c r="P52" s="553"/>
      <c r="Q52" s="272"/>
      <c r="AB52" s="554"/>
      <c r="BN52" s="268" t="s">
        <v>267</v>
      </c>
      <c r="BO52" s="113">
        <f>COUNT(CG45:CG74)-1</f>
        <v>5</v>
      </c>
      <c r="BP52" s="90">
        <f>BO52+BO89</f>
        <v>8</v>
      </c>
      <c r="BQ52" s="90"/>
      <c r="BS52" s="290" t="str">
        <f t="shared" si="90"/>
        <v/>
      </c>
      <c r="BT52" s="290">
        <v>8</v>
      </c>
      <c r="BU52" s="90"/>
      <c r="BV52" s="90"/>
      <c r="BW52" s="90" t="str">
        <f t="shared" ref="BW52:CI52" si="103">IF(AND(BW15&lt;&gt;"",$BV15=$BV$44),BW15,"")</f>
        <v/>
      </c>
      <c r="BX52" s="90" t="str">
        <f t="shared" si="103"/>
        <v/>
      </c>
      <c r="BY52" s="90" t="str">
        <f t="shared" si="103"/>
        <v/>
      </c>
      <c r="BZ52" s="90" t="e">
        <f t="shared" si="92"/>
        <v>#N/A</v>
      </c>
      <c r="CA52" s="90" t="e">
        <f t="shared" si="93"/>
        <v>#N/A</v>
      </c>
      <c r="CB52" s="90" t="e">
        <f t="shared" si="94"/>
        <v>#N/A</v>
      </c>
      <c r="CC52" s="127" t="str">
        <f t="shared" si="103"/>
        <v/>
      </c>
      <c r="CD52" s="127" t="str">
        <f t="shared" si="103"/>
        <v/>
      </c>
      <c r="CE52" s="90" t="str">
        <f t="shared" si="103"/>
        <v/>
      </c>
      <c r="CF52" s="90" t="str">
        <f t="shared" si="79"/>
        <v/>
      </c>
      <c r="CG52" s="90" t="str">
        <f t="shared" si="103"/>
        <v/>
      </c>
      <c r="CH52" s="90" t="str">
        <f t="shared" si="103"/>
        <v/>
      </c>
      <c r="CI52" s="90" t="str">
        <f t="shared" si="103"/>
        <v/>
      </c>
      <c r="CJ52" s="90" t="str">
        <f t="shared" si="95"/>
        <v/>
      </c>
      <c r="CK52" s="90" t="str">
        <f t="shared" si="96"/>
        <v/>
      </c>
      <c r="CL52" s="113" t="str">
        <f t="shared" si="97"/>
        <v/>
      </c>
      <c r="CM52" s="106" t="e">
        <f t="shared" si="80"/>
        <v>#N/A</v>
      </c>
      <c r="CN52" s="90" t="e">
        <f t="shared" si="81"/>
        <v>#N/A</v>
      </c>
      <c r="CO52" s="90" t="e">
        <f t="shared" si="82"/>
        <v>#N/A</v>
      </c>
      <c r="CP52" s="90" t="e">
        <f t="shared" si="83"/>
        <v>#N/A</v>
      </c>
      <c r="CQ52" s="90" t="e">
        <f t="shared" si="84"/>
        <v>#N/A</v>
      </c>
      <c r="CR52" s="90" t="e">
        <f t="shared" si="85"/>
        <v>#N/A</v>
      </c>
      <c r="CS52" s="90" t="e">
        <f t="shared" si="86"/>
        <v>#N/A</v>
      </c>
      <c r="CT52" s="90" t="e">
        <f t="shared" si="87"/>
        <v>#N/A</v>
      </c>
      <c r="CU52" s="113" t="e">
        <f t="shared" si="88"/>
        <v>#N/A</v>
      </c>
      <c r="CV52" s="90">
        <f t="shared" si="89"/>
        <v>8</v>
      </c>
      <c r="CW52" s="308">
        <v>8</v>
      </c>
      <c r="CX52" s="102"/>
      <c r="CY52" s="102"/>
      <c r="CZ52" s="102"/>
      <c r="DA52" s="102"/>
      <c r="DB52" s="102"/>
      <c r="DC52" s="102"/>
      <c r="DD52" s="102"/>
      <c r="DE52" s="102"/>
      <c r="DF52" s="102"/>
      <c r="DG52" s="102"/>
      <c r="DH52" s="102"/>
      <c r="DI52" s="307">
        <v>41</v>
      </c>
      <c r="DJ52" s="90">
        <f t="shared" si="50"/>
        <v>0.41000000000000003</v>
      </c>
      <c r="DK52" s="90">
        <f t="shared" si="71"/>
        <v>4.7509329380288616E-2</v>
      </c>
      <c r="DL52" s="90" t="e">
        <f t="shared" si="72"/>
        <v>#N/A</v>
      </c>
      <c r="DM52" s="90">
        <f t="shared" si="73"/>
        <v>4.7509329380288616E-2</v>
      </c>
      <c r="DN52" s="90">
        <f t="shared" si="74"/>
        <v>32</v>
      </c>
      <c r="DO52" s="308">
        <f t="shared" si="51"/>
        <v>0.14400000000000004</v>
      </c>
      <c r="DP52" s="307">
        <f t="shared" si="63"/>
        <v>0.40999999999999959</v>
      </c>
      <c r="DQ52" s="90">
        <f t="shared" si="75"/>
        <v>-4.905075385775593E-3</v>
      </c>
      <c r="DR52" s="90">
        <f t="shared" si="76"/>
        <v>-4.905075385775593E-3</v>
      </c>
      <c r="DS52" s="90">
        <f t="shared" si="64"/>
        <v>33</v>
      </c>
      <c r="DT52" s="308">
        <f t="shared" si="65"/>
        <v>0.14399999999999985</v>
      </c>
      <c r="DU52" s="307">
        <f t="shared" si="58"/>
        <v>0.40999999999999981</v>
      </c>
      <c r="DV52" s="90">
        <f t="shared" si="77"/>
        <v>0.14088892831584415</v>
      </c>
      <c r="DW52" s="90">
        <f t="shared" si="78"/>
        <v>0.14088892831584415</v>
      </c>
      <c r="DX52" s="90">
        <f t="shared" si="61"/>
        <v>34</v>
      </c>
      <c r="DY52" s="308">
        <f t="shared" si="62"/>
        <v>0.14399999999999993</v>
      </c>
    </row>
    <row r="53" spans="4:129" ht="12" customHeight="1" x14ac:dyDescent="0.2">
      <c r="AB53" s="554"/>
      <c r="BN53" s="268" t="s">
        <v>326</v>
      </c>
      <c r="BO53" s="270">
        <f>IF(CE75=0,"",CI75-CG75^2/CE75)</f>
        <v>5.875981576503353</v>
      </c>
      <c r="BP53" s="90">
        <f>BO53+BO90</f>
        <v>7.4706017016820532</v>
      </c>
      <c r="BQ53" s="102"/>
      <c r="BS53" s="424" t="str">
        <f t="shared" si="90"/>
        <v/>
      </c>
      <c r="BT53" s="290">
        <v>9</v>
      </c>
      <c r="BU53" s="90"/>
      <c r="BV53" s="90"/>
      <c r="BW53" s="90" t="str">
        <f t="shared" ref="BW53:CI53" si="104">IF(AND(BW16&lt;&gt;"",$BV16=$BV$44),BW16,"")</f>
        <v/>
      </c>
      <c r="BX53" s="90" t="str">
        <f t="shared" si="104"/>
        <v/>
      </c>
      <c r="BY53" s="90" t="str">
        <f t="shared" si="104"/>
        <v/>
      </c>
      <c r="BZ53" s="90" t="e">
        <f t="shared" si="92"/>
        <v>#N/A</v>
      </c>
      <c r="CA53" s="90" t="e">
        <f t="shared" si="93"/>
        <v>#N/A</v>
      </c>
      <c r="CB53" s="90" t="e">
        <f t="shared" si="94"/>
        <v>#N/A</v>
      </c>
      <c r="CC53" s="127" t="str">
        <f t="shared" si="104"/>
        <v/>
      </c>
      <c r="CD53" s="127" t="str">
        <f t="shared" si="104"/>
        <v/>
      </c>
      <c r="CE53" s="90" t="str">
        <f t="shared" si="104"/>
        <v/>
      </c>
      <c r="CF53" s="90" t="str">
        <f t="shared" si="79"/>
        <v/>
      </c>
      <c r="CG53" s="90" t="str">
        <f t="shared" si="104"/>
        <v/>
      </c>
      <c r="CH53" s="90" t="str">
        <f t="shared" si="104"/>
        <v/>
      </c>
      <c r="CI53" s="90" t="str">
        <f t="shared" si="104"/>
        <v/>
      </c>
      <c r="CJ53" s="90" t="str">
        <f t="shared" si="95"/>
        <v/>
      </c>
      <c r="CK53" s="90" t="str">
        <f t="shared" si="96"/>
        <v/>
      </c>
      <c r="CL53" s="113" t="str">
        <f t="shared" si="97"/>
        <v/>
      </c>
      <c r="CM53" s="106" t="e">
        <f t="shared" si="80"/>
        <v>#N/A</v>
      </c>
      <c r="CN53" s="90" t="e">
        <f t="shared" si="81"/>
        <v>#N/A</v>
      </c>
      <c r="CO53" s="90" t="e">
        <f t="shared" si="82"/>
        <v>#N/A</v>
      </c>
      <c r="CP53" s="90" t="e">
        <f t="shared" si="83"/>
        <v>#N/A</v>
      </c>
      <c r="CQ53" s="90" t="e">
        <f t="shared" si="84"/>
        <v>#N/A</v>
      </c>
      <c r="CR53" s="90" t="e">
        <f t="shared" si="85"/>
        <v>#N/A</v>
      </c>
      <c r="CS53" s="90" t="e">
        <f t="shared" si="86"/>
        <v>#N/A</v>
      </c>
      <c r="CT53" s="90" t="e">
        <f t="shared" si="87"/>
        <v>#N/A</v>
      </c>
      <c r="CU53" s="113" t="e">
        <f t="shared" si="88"/>
        <v>#N/A</v>
      </c>
      <c r="CV53" s="90">
        <f t="shared" si="89"/>
        <v>9</v>
      </c>
      <c r="CW53" s="308">
        <v>9</v>
      </c>
      <c r="CX53" s="102"/>
      <c r="CY53" s="102"/>
      <c r="CZ53" s="102"/>
      <c r="DA53" s="102"/>
      <c r="DB53" s="102"/>
      <c r="DC53" s="102"/>
      <c r="DD53" s="102"/>
      <c r="DE53" s="102"/>
      <c r="DF53" s="102"/>
      <c r="DG53" s="102"/>
      <c r="DH53" s="102"/>
      <c r="DI53" s="307">
        <v>42</v>
      </c>
      <c r="DJ53" s="90">
        <f t="shared" si="50"/>
        <v>0.42000000000000004</v>
      </c>
      <c r="DK53" s="90">
        <f t="shared" si="71"/>
        <v>4.8302668281382577E-2</v>
      </c>
      <c r="DL53" s="90" t="e">
        <f t="shared" si="72"/>
        <v>#N/A</v>
      </c>
      <c r="DM53" s="90">
        <f t="shared" si="73"/>
        <v>4.8302668281382577E-2</v>
      </c>
      <c r="DN53" s="90">
        <f t="shared" si="74"/>
        <v>32</v>
      </c>
      <c r="DO53" s="308">
        <f t="shared" si="51"/>
        <v>0.14800000000000005</v>
      </c>
      <c r="DP53" s="307">
        <f t="shared" si="63"/>
        <v>0.4199999999999996</v>
      </c>
      <c r="DQ53" s="90">
        <f t="shared" si="75"/>
        <v>-4.2721591726350792E-3</v>
      </c>
      <c r="DR53" s="90">
        <f t="shared" si="76"/>
        <v>-4.2721591726350792E-3</v>
      </c>
      <c r="DS53" s="90">
        <f t="shared" si="64"/>
        <v>33</v>
      </c>
      <c r="DT53" s="308">
        <f t="shared" si="65"/>
        <v>0.14799999999999985</v>
      </c>
      <c r="DU53" s="307">
        <f t="shared" si="58"/>
        <v>0.41999999999999971</v>
      </c>
      <c r="DV53" s="90">
        <f t="shared" si="77"/>
        <v>0.14217272776420214</v>
      </c>
      <c r="DW53" s="90">
        <f t="shared" si="78"/>
        <v>0.14217272776420214</v>
      </c>
      <c r="DX53" s="90">
        <f t="shared" si="61"/>
        <v>34</v>
      </c>
      <c r="DY53" s="308">
        <f t="shared" si="62"/>
        <v>0.14799999999999991</v>
      </c>
    </row>
    <row r="54" spans="4:129" ht="12" customHeight="1" x14ac:dyDescent="0.2">
      <c r="AB54" s="554"/>
      <c r="BN54" s="268" t="s">
        <v>352</v>
      </c>
      <c r="BO54" s="113">
        <f>CHIDIST(BO53,BO52)</f>
        <v>0.31847414011566838</v>
      </c>
      <c r="BP54" s="90"/>
      <c r="BQ54" s="90"/>
      <c r="BS54" s="290" t="str">
        <f t="shared" si="90"/>
        <v/>
      </c>
      <c r="BT54" s="290">
        <v>10</v>
      </c>
      <c r="BU54" s="90"/>
      <c r="BV54" s="90"/>
      <c r="BW54" s="90" t="str">
        <f t="shared" ref="BW54:CI54" si="105">IF(AND(BW17&lt;&gt;"",$BV17=$BV$44),BW17,"")</f>
        <v/>
      </c>
      <c r="BX54" s="90" t="str">
        <f t="shared" si="105"/>
        <v/>
      </c>
      <c r="BY54" s="90" t="str">
        <f t="shared" si="105"/>
        <v/>
      </c>
      <c r="BZ54" s="90" t="e">
        <f t="shared" si="92"/>
        <v>#N/A</v>
      </c>
      <c r="CA54" s="90" t="e">
        <f t="shared" si="93"/>
        <v>#N/A</v>
      </c>
      <c r="CB54" s="90" t="e">
        <f t="shared" si="94"/>
        <v>#N/A</v>
      </c>
      <c r="CC54" s="127" t="str">
        <f t="shared" si="105"/>
        <v/>
      </c>
      <c r="CD54" s="127" t="str">
        <f t="shared" si="105"/>
        <v/>
      </c>
      <c r="CE54" s="90" t="str">
        <f t="shared" si="105"/>
        <v/>
      </c>
      <c r="CF54" s="90" t="str">
        <f t="shared" si="79"/>
        <v/>
      </c>
      <c r="CG54" s="90" t="str">
        <f t="shared" si="105"/>
        <v/>
      </c>
      <c r="CH54" s="90" t="str">
        <f t="shared" si="105"/>
        <v/>
      </c>
      <c r="CI54" s="90" t="str">
        <f t="shared" si="105"/>
        <v/>
      </c>
      <c r="CJ54" s="90" t="str">
        <f t="shared" si="95"/>
        <v/>
      </c>
      <c r="CK54" s="90" t="str">
        <f t="shared" si="96"/>
        <v/>
      </c>
      <c r="CL54" s="113" t="str">
        <f t="shared" si="97"/>
        <v/>
      </c>
      <c r="CM54" s="106" t="e">
        <f t="shared" si="80"/>
        <v>#N/A</v>
      </c>
      <c r="CN54" s="90" t="e">
        <f t="shared" si="81"/>
        <v>#N/A</v>
      </c>
      <c r="CO54" s="90" t="e">
        <f t="shared" si="82"/>
        <v>#N/A</v>
      </c>
      <c r="CP54" s="90" t="e">
        <f t="shared" si="83"/>
        <v>#N/A</v>
      </c>
      <c r="CQ54" s="90" t="e">
        <f t="shared" si="84"/>
        <v>#N/A</v>
      </c>
      <c r="CR54" s="90" t="e">
        <f t="shared" si="85"/>
        <v>#N/A</v>
      </c>
      <c r="CS54" s="90" t="e">
        <f t="shared" si="86"/>
        <v>#N/A</v>
      </c>
      <c r="CT54" s="90" t="e">
        <f t="shared" si="87"/>
        <v>#N/A</v>
      </c>
      <c r="CU54" s="113" t="e">
        <f t="shared" si="88"/>
        <v>#N/A</v>
      </c>
      <c r="CV54" s="90">
        <f t="shared" si="89"/>
        <v>10</v>
      </c>
      <c r="CW54" s="308">
        <v>10</v>
      </c>
      <c r="CX54" s="102"/>
      <c r="CY54" s="102"/>
      <c r="CZ54" s="102"/>
      <c r="DA54" s="102"/>
      <c r="DB54" s="102"/>
      <c r="DC54" s="102"/>
      <c r="DD54" s="102"/>
      <c r="DE54" s="102"/>
      <c r="DF54" s="102"/>
      <c r="DG54" s="102"/>
      <c r="DH54" s="102"/>
      <c r="DI54" s="307">
        <v>43</v>
      </c>
      <c r="DJ54" s="90">
        <f t="shared" si="50"/>
        <v>0.43000000000000005</v>
      </c>
      <c r="DK54" s="90">
        <f t="shared" si="71"/>
        <v>4.9096007182476538E-2</v>
      </c>
      <c r="DL54" s="90" t="e">
        <f t="shared" si="72"/>
        <v>#N/A</v>
      </c>
      <c r="DM54" s="90">
        <f t="shared" si="73"/>
        <v>4.9096007182476538E-2</v>
      </c>
      <c r="DN54" s="90">
        <f t="shared" si="74"/>
        <v>32</v>
      </c>
      <c r="DO54" s="308">
        <f t="shared" si="51"/>
        <v>0.15200000000000005</v>
      </c>
      <c r="DP54" s="307">
        <f t="shared" si="63"/>
        <v>0.4299999999999996</v>
      </c>
      <c r="DQ54" s="90">
        <f t="shared" si="75"/>
        <v>-3.6392429594945654E-3</v>
      </c>
      <c r="DR54" s="90">
        <f t="shared" si="76"/>
        <v>-3.6392429594945654E-3</v>
      </c>
      <c r="DS54" s="90">
        <f t="shared" si="64"/>
        <v>33</v>
      </c>
      <c r="DT54" s="308">
        <f t="shared" si="65"/>
        <v>0.15199999999999986</v>
      </c>
      <c r="DU54" s="307">
        <f t="shared" si="58"/>
        <v>0.42999999999999972</v>
      </c>
      <c r="DV54" s="90">
        <f t="shared" si="77"/>
        <v>0.14345652721256014</v>
      </c>
      <c r="DW54" s="90">
        <f t="shared" si="78"/>
        <v>0.14345652721256014</v>
      </c>
      <c r="DX54" s="90">
        <f t="shared" si="61"/>
        <v>34</v>
      </c>
      <c r="DY54" s="308">
        <f t="shared" si="62"/>
        <v>0.15199999999999991</v>
      </c>
    </row>
    <row r="55" spans="4:129" ht="12" customHeight="1" x14ac:dyDescent="0.2">
      <c r="F55" s="298"/>
      <c r="G55" s="298"/>
      <c r="H55" s="298"/>
      <c r="I55" s="298"/>
      <c r="AB55" s="554"/>
      <c r="BN55" s="268" t="s">
        <v>251</v>
      </c>
      <c r="BO55" s="280">
        <f>CE75-CH75/CE75</f>
        <v>674.76972095871815</v>
      </c>
      <c r="BP55" s="90">
        <f>BO55+BO92</f>
        <v>835.31499916240296</v>
      </c>
      <c r="BQ55" s="425"/>
      <c r="BR55" s="63" t="s">
        <v>462</v>
      </c>
      <c r="BS55" s="428" t="str">
        <f t="shared" si="90"/>
        <v/>
      </c>
      <c r="BT55" s="290">
        <v>11</v>
      </c>
      <c r="BU55" s="90"/>
      <c r="BV55" s="90"/>
      <c r="BW55" s="90" t="str">
        <f t="shared" ref="BW55:CI55" si="106">IF(AND(BW18&lt;&gt;"",$BV18=$BV$44),BW18,"")</f>
        <v/>
      </c>
      <c r="BX55" s="90" t="str">
        <f t="shared" si="106"/>
        <v/>
      </c>
      <c r="BY55" s="90" t="str">
        <f t="shared" si="106"/>
        <v/>
      </c>
      <c r="BZ55" s="90" t="e">
        <f t="shared" si="92"/>
        <v>#N/A</v>
      </c>
      <c r="CA55" s="90" t="e">
        <f t="shared" si="93"/>
        <v>#N/A</v>
      </c>
      <c r="CB55" s="90" t="e">
        <f t="shared" si="94"/>
        <v>#N/A</v>
      </c>
      <c r="CC55" s="127" t="str">
        <f t="shared" si="106"/>
        <v/>
      </c>
      <c r="CD55" s="127" t="str">
        <f t="shared" si="106"/>
        <v/>
      </c>
      <c r="CE55" s="90" t="str">
        <f t="shared" si="106"/>
        <v/>
      </c>
      <c r="CF55" s="90" t="str">
        <f t="shared" si="79"/>
        <v/>
      </c>
      <c r="CG55" s="90" t="str">
        <f t="shared" si="106"/>
        <v/>
      </c>
      <c r="CH55" s="90" t="str">
        <f t="shared" si="106"/>
        <v/>
      </c>
      <c r="CI55" s="90" t="str">
        <f t="shared" si="106"/>
        <v/>
      </c>
      <c r="CJ55" s="90" t="str">
        <f t="shared" si="95"/>
        <v/>
      </c>
      <c r="CK55" s="90" t="str">
        <f t="shared" si="96"/>
        <v/>
      </c>
      <c r="CL55" s="113" t="str">
        <f t="shared" si="97"/>
        <v/>
      </c>
      <c r="CM55" s="106" t="e">
        <f t="shared" si="80"/>
        <v>#N/A</v>
      </c>
      <c r="CN55" s="90" t="e">
        <f t="shared" si="81"/>
        <v>#N/A</v>
      </c>
      <c r="CO55" s="90" t="e">
        <f t="shared" si="82"/>
        <v>#N/A</v>
      </c>
      <c r="CP55" s="90" t="e">
        <f t="shared" si="83"/>
        <v>#N/A</v>
      </c>
      <c r="CQ55" s="90" t="e">
        <f t="shared" si="84"/>
        <v>#N/A</v>
      </c>
      <c r="CR55" s="90" t="e">
        <f t="shared" si="85"/>
        <v>#N/A</v>
      </c>
      <c r="CS55" s="90" t="e">
        <f t="shared" si="86"/>
        <v>#N/A</v>
      </c>
      <c r="CT55" s="90" t="e">
        <f t="shared" si="87"/>
        <v>#N/A</v>
      </c>
      <c r="CU55" s="113" t="e">
        <f t="shared" si="88"/>
        <v>#N/A</v>
      </c>
      <c r="CV55" s="90">
        <f t="shared" si="89"/>
        <v>11</v>
      </c>
      <c r="CW55" s="308">
        <v>11</v>
      </c>
      <c r="CX55" s="102"/>
      <c r="CY55" s="102"/>
      <c r="CZ55" s="102"/>
      <c r="DA55" s="102"/>
      <c r="DB55" s="102"/>
      <c r="DC55" s="102"/>
      <c r="DD55" s="102"/>
      <c r="DE55" s="102"/>
      <c r="DF55" s="102"/>
      <c r="DG55" s="102"/>
      <c r="DH55" s="102"/>
      <c r="DI55" s="307">
        <v>44</v>
      </c>
      <c r="DJ55" s="90">
        <f t="shared" si="50"/>
        <v>0.44000000000000006</v>
      </c>
      <c r="DK55" s="90">
        <f t="shared" si="71"/>
        <v>4.9889346083570499E-2</v>
      </c>
      <c r="DL55" s="90" t="e">
        <f t="shared" si="72"/>
        <v>#N/A</v>
      </c>
      <c r="DM55" s="90">
        <f t="shared" si="73"/>
        <v>4.9889346083570499E-2</v>
      </c>
      <c r="DN55" s="90">
        <f t="shared" si="74"/>
        <v>32</v>
      </c>
      <c r="DO55" s="308">
        <f t="shared" si="51"/>
        <v>0.15600000000000006</v>
      </c>
      <c r="DP55" s="307">
        <f t="shared" si="63"/>
        <v>0.43999999999999961</v>
      </c>
      <c r="DQ55" s="90">
        <f t="shared" si="75"/>
        <v>-3.0063267463540516E-3</v>
      </c>
      <c r="DR55" s="90">
        <f t="shared" si="76"/>
        <v>-3.0063267463540516E-3</v>
      </c>
      <c r="DS55" s="90">
        <f t="shared" si="64"/>
        <v>33</v>
      </c>
      <c r="DT55" s="308">
        <f t="shared" si="65"/>
        <v>0.15599999999999986</v>
      </c>
      <c r="DU55" s="307">
        <f t="shared" si="58"/>
        <v>0.43999999999999961</v>
      </c>
      <c r="DV55" s="90">
        <f t="shared" si="77"/>
        <v>0.14474032666091813</v>
      </c>
      <c r="DW55" s="90">
        <f t="shared" si="78"/>
        <v>0.14474032666091813</v>
      </c>
      <c r="DX55" s="90">
        <f t="shared" si="61"/>
        <v>34</v>
      </c>
      <c r="DY55" s="308">
        <f t="shared" si="62"/>
        <v>0.15599999999999986</v>
      </c>
    </row>
    <row r="56" spans="4:129" ht="12" customHeight="1" x14ac:dyDescent="0.2">
      <c r="AB56" s="554"/>
      <c r="BN56" s="268" t="s">
        <v>327</v>
      </c>
      <c r="BO56" s="113">
        <f>IF(BO55=0,0,MAX(0,(BO53-BO52)/BO55))</f>
        <v>1.2981933677444083E-3</v>
      </c>
      <c r="BP56" s="90"/>
      <c r="BQ56" s="90">
        <f>IF(BP55=0,0,MAX(0,(BP53-BP52)/BP55))</f>
        <v>0</v>
      </c>
      <c r="BR56" s="586">
        <f>BQ56</f>
        <v>0</v>
      </c>
      <c r="BS56" s="290" t="str">
        <f t="shared" si="90"/>
        <v/>
      </c>
      <c r="BT56" s="290">
        <v>12</v>
      </c>
      <c r="BU56" s="90"/>
      <c r="BV56" s="90"/>
      <c r="BW56" s="90" t="str">
        <f t="shared" ref="BW56:CI56" si="107">IF(AND(BW19&lt;&gt;"",$BV19=$BV$44),BW19,"")</f>
        <v/>
      </c>
      <c r="BX56" s="90" t="str">
        <f t="shared" si="107"/>
        <v/>
      </c>
      <c r="BY56" s="90" t="str">
        <f t="shared" si="107"/>
        <v/>
      </c>
      <c r="BZ56" s="90" t="e">
        <f t="shared" si="92"/>
        <v>#N/A</v>
      </c>
      <c r="CA56" s="90" t="e">
        <f t="shared" si="93"/>
        <v>#N/A</v>
      </c>
      <c r="CB56" s="90" t="e">
        <f t="shared" si="94"/>
        <v>#N/A</v>
      </c>
      <c r="CC56" s="127" t="str">
        <f t="shared" si="107"/>
        <v/>
      </c>
      <c r="CD56" s="127" t="str">
        <f t="shared" si="107"/>
        <v/>
      </c>
      <c r="CE56" s="90" t="str">
        <f t="shared" si="107"/>
        <v/>
      </c>
      <c r="CF56" s="90" t="str">
        <f t="shared" si="79"/>
        <v/>
      </c>
      <c r="CG56" s="90" t="str">
        <f t="shared" si="107"/>
        <v/>
      </c>
      <c r="CH56" s="90" t="str">
        <f t="shared" si="107"/>
        <v/>
      </c>
      <c r="CI56" s="90" t="str">
        <f t="shared" si="107"/>
        <v/>
      </c>
      <c r="CJ56" s="90" t="str">
        <f t="shared" si="95"/>
        <v/>
      </c>
      <c r="CK56" s="90" t="str">
        <f t="shared" si="96"/>
        <v/>
      </c>
      <c r="CL56" s="113" t="str">
        <f t="shared" si="97"/>
        <v/>
      </c>
      <c r="CM56" s="106" t="e">
        <f t="shared" si="80"/>
        <v>#N/A</v>
      </c>
      <c r="CN56" s="90" t="e">
        <f t="shared" si="81"/>
        <v>#N/A</v>
      </c>
      <c r="CO56" s="90" t="e">
        <f t="shared" si="82"/>
        <v>#N/A</v>
      </c>
      <c r="CP56" s="90" t="e">
        <f t="shared" si="83"/>
        <v>#N/A</v>
      </c>
      <c r="CQ56" s="90" t="e">
        <f t="shared" si="84"/>
        <v>#N/A</v>
      </c>
      <c r="CR56" s="90" t="e">
        <f t="shared" si="85"/>
        <v>#N/A</v>
      </c>
      <c r="CS56" s="90" t="e">
        <f t="shared" si="86"/>
        <v>#N/A</v>
      </c>
      <c r="CT56" s="90" t="e">
        <f t="shared" si="87"/>
        <v>#N/A</v>
      </c>
      <c r="CU56" s="113" t="e">
        <f t="shared" si="88"/>
        <v>#N/A</v>
      </c>
      <c r="CV56" s="90">
        <f t="shared" si="89"/>
        <v>12</v>
      </c>
      <c r="CW56" s="308">
        <v>12</v>
      </c>
      <c r="CX56" s="102"/>
      <c r="CY56" s="102"/>
      <c r="CZ56" s="102"/>
      <c r="DA56" s="102"/>
      <c r="DB56" s="102"/>
      <c r="DC56" s="102"/>
      <c r="DD56" s="102"/>
      <c r="DE56" s="102"/>
      <c r="DF56" s="102"/>
      <c r="DG56" s="102"/>
      <c r="DH56" s="102"/>
      <c r="DI56" s="307">
        <v>45</v>
      </c>
      <c r="DJ56" s="90">
        <f t="shared" si="50"/>
        <v>0.45000000000000007</v>
      </c>
      <c r="DK56" s="90">
        <f t="shared" si="71"/>
        <v>5.068268498466446E-2</v>
      </c>
      <c r="DL56" s="90" t="e">
        <f t="shared" si="72"/>
        <v>#N/A</v>
      </c>
      <c r="DM56" s="90">
        <f t="shared" si="73"/>
        <v>5.068268498466446E-2</v>
      </c>
      <c r="DN56" s="90">
        <f t="shared" si="74"/>
        <v>32</v>
      </c>
      <c r="DO56" s="308">
        <f t="shared" si="51"/>
        <v>0.16000000000000006</v>
      </c>
      <c r="DP56" s="307">
        <f t="shared" si="63"/>
        <v>0.44999999999999962</v>
      </c>
      <c r="DQ56" s="90">
        <f t="shared" si="75"/>
        <v>-2.3734105332135378E-3</v>
      </c>
      <c r="DR56" s="90">
        <f t="shared" si="76"/>
        <v>-2.3734105332135378E-3</v>
      </c>
      <c r="DS56" s="90">
        <f t="shared" si="64"/>
        <v>33</v>
      </c>
      <c r="DT56" s="308">
        <f t="shared" si="65"/>
        <v>0.15999999999999986</v>
      </c>
      <c r="DU56" s="307">
        <f t="shared" si="58"/>
        <v>0.44999999999999951</v>
      </c>
      <c r="DV56" s="90">
        <f t="shared" si="77"/>
        <v>0.14602412610927612</v>
      </c>
      <c r="DW56" s="90">
        <f t="shared" si="78"/>
        <v>0.14602412610927612</v>
      </c>
      <c r="DX56" s="90">
        <f t="shared" si="61"/>
        <v>34</v>
      </c>
      <c r="DY56" s="308">
        <f t="shared" si="62"/>
        <v>0.15999999999999984</v>
      </c>
    </row>
    <row r="57" spans="4:129" ht="12" customHeight="1" x14ac:dyDescent="0.2">
      <c r="F57" s="59"/>
      <c r="G57" s="59"/>
      <c r="H57" s="59"/>
      <c r="I57" s="59"/>
      <c r="AB57" s="554"/>
      <c r="BN57" s="268" t="s">
        <v>340</v>
      </c>
      <c r="BO57" s="113">
        <f>SQRT(BO56)</f>
        <v>3.6030450562606182E-2</v>
      </c>
      <c r="BP57" s="90"/>
      <c r="BQ57" s="90">
        <f>SQRT(BQ56)</f>
        <v>0</v>
      </c>
      <c r="BR57" s="113">
        <f>SQRT(BR56)</f>
        <v>0</v>
      </c>
      <c r="BS57" s="290" t="str">
        <f t="shared" si="90"/>
        <v/>
      </c>
      <c r="BT57" s="290">
        <v>13</v>
      </c>
      <c r="BU57" s="90"/>
      <c r="BV57" s="90"/>
      <c r="BW57" s="90" t="str">
        <f t="shared" ref="BW57:CI57" si="108">IF(AND(BW20&lt;&gt;"",$BV20=$BV$44),BW20,"")</f>
        <v/>
      </c>
      <c r="BX57" s="90" t="str">
        <f t="shared" si="108"/>
        <v/>
      </c>
      <c r="BY57" s="90" t="str">
        <f t="shared" si="108"/>
        <v/>
      </c>
      <c r="BZ57" s="90" t="e">
        <f t="shared" si="92"/>
        <v>#N/A</v>
      </c>
      <c r="CA57" s="90" t="e">
        <f t="shared" si="93"/>
        <v>#N/A</v>
      </c>
      <c r="CB57" s="90" t="e">
        <f t="shared" si="94"/>
        <v>#N/A</v>
      </c>
      <c r="CC57" s="127" t="str">
        <f t="shared" si="108"/>
        <v/>
      </c>
      <c r="CD57" s="127" t="str">
        <f t="shared" si="108"/>
        <v/>
      </c>
      <c r="CE57" s="90" t="str">
        <f t="shared" si="108"/>
        <v/>
      </c>
      <c r="CF57" s="90" t="str">
        <f t="shared" si="79"/>
        <v/>
      </c>
      <c r="CG57" s="90" t="str">
        <f t="shared" si="108"/>
        <v/>
      </c>
      <c r="CH57" s="90" t="str">
        <f t="shared" si="108"/>
        <v/>
      </c>
      <c r="CI57" s="90" t="str">
        <f t="shared" si="108"/>
        <v/>
      </c>
      <c r="CJ57" s="90" t="str">
        <f t="shared" si="95"/>
        <v/>
      </c>
      <c r="CK57" s="90" t="str">
        <f t="shared" si="96"/>
        <v/>
      </c>
      <c r="CL57" s="113" t="str">
        <f t="shared" si="97"/>
        <v/>
      </c>
      <c r="CM57" s="106" t="e">
        <f t="shared" si="80"/>
        <v>#N/A</v>
      </c>
      <c r="CN57" s="90" t="e">
        <f t="shared" si="81"/>
        <v>#N/A</v>
      </c>
      <c r="CO57" s="90" t="e">
        <f t="shared" si="82"/>
        <v>#N/A</v>
      </c>
      <c r="CP57" s="90" t="e">
        <f t="shared" si="83"/>
        <v>#N/A</v>
      </c>
      <c r="CQ57" s="90" t="e">
        <f t="shared" si="84"/>
        <v>#N/A</v>
      </c>
      <c r="CR57" s="90" t="e">
        <f t="shared" si="85"/>
        <v>#N/A</v>
      </c>
      <c r="CS57" s="90" t="e">
        <f t="shared" si="86"/>
        <v>#N/A</v>
      </c>
      <c r="CT57" s="90" t="e">
        <f t="shared" si="87"/>
        <v>#N/A</v>
      </c>
      <c r="CU57" s="113" t="e">
        <f t="shared" si="88"/>
        <v>#N/A</v>
      </c>
      <c r="CV57" s="90">
        <f t="shared" si="89"/>
        <v>13</v>
      </c>
      <c r="CW57" s="308">
        <v>13</v>
      </c>
      <c r="CX57" s="102"/>
      <c r="CY57" s="102"/>
      <c r="CZ57" s="102"/>
      <c r="DA57" s="102"/>
      <c r="DB57" s="102"/>
      <c r="DC57" s="102"/>
      <c r="DD57" s="102"/>
      <c r="DE57" s="102"/>
      <c r="DF57" s="102"/>
      <c r="DG57" s="102"/>
      <c r="DH57" s="102"/>
      <c r="DI57" s="307">
        <v>46</v>
      </c>
      <c r="DJ57" s="90">
        <f t="shared" si="50"/>
        <v>0.46000000000000008</v>
      </c>
      <c r="DK57" s="90">
        <f t="shared" si="71"/>
        <v>5.1476023885758421E-2</v>
      </c>
      <c r="DL57" s="90" t="e">
        <f t="shared" si="72"/>
        <v>#N/A</v>
      </c>
      <c r="DM57" s="90">
        <f t="shared" si="73"/>
        <v>5.1476023885758421E-2</v>
      </c>
      <c r="DN57" s="90">
        <f t="shared" si="74"/>
        <v>32</v>
      </c>
      <c r="DO57" s="308">
        <f t="shared" si="51"/>
        <v>0.16400000000000006</v>
      </c>
      <c r="DP57" s="307">
        <f t="shared" si="63"/>
        <v>0.45999999999999963</v>
      </c>
      <c r="DQ57" s="90">
        <f t="shared" si="75"/>
        <v>-1.7404943200730243E-3</v>
      </c>
      <c r="DR57" s="90">
        <f t="shared" si="76"/>
        <v>-1.7404943200730243E-3</v>
      </c>
      <c r="DS57" s="90">
        <f t="shared" si="64"/>
        <v>33</v>
      </c>
      <c r="DT57" s="308">
        <f t="shared" si="65"/>
        <v>0.16399999999999987</v>
      </c>
      <c r="DU57" s="307">
        <f t="shared" si="58"/>
        <v>0.45999999999999941</v>
      </c>
      <c r="DV57" s="90">
        <f t="shared" si="77"/>
        <v>0.14730792555763411</v>
      </c>
      <c r="DW57" s="90">
        <f t="shared" si="78"/>
        <v>0.14730792555763411</v>
      </c>
      <c r="DX57" s="90">
        <f t="shared" si="61"/>
        <v>34</v>
      </c>
      <c r="DY57" s="308">
        <f t="shared" si="62"/>
        <v>0.16399999999999978</v>
      </c>
    </row>
    <row r="58" spans="4:129" ht="12" customHeight="1" x14ac:dyDescent="0.2">
      <c r="F58" s="59"/>
      <c r="G58" s="59"/>
      <c r="H58" s="59"/>
      <c r="I58" s="59"/>
      <c r="S58" s="59"/>
      <c r="T58" s="302"/>
      <c r="AB58" s="554"/>
      <c r="BN58" s="291" t="s">
        <v>328</v>
      </c>
      <c r="BO58" s="113">
        <f>CL75/CK75</f>
        <v>3.2436981189514734E-2</v>
      </c>
      <c r="BP58" s="90"/>
      <c r="BQ58" s="90"/>
      <c r="BS58" s="290" t="str">
        <f t="shared" si="90"/>
        <v/>
      </c>
      <c r="BT58" s="290">
        <v>14</v>
      </c>
      <c r="BU58" s="90"/>
      <c r="BV58" s="90"/>
      <c r="BW58" s="90" t="str">
        <f t="shared" ref="BW58:CI58" si="109">IF(AND(BW21&lt;&gt;"",$BV21=$BV$44),BW21,"")</f>
        <v/>
      </c>
      <c r="BX58" s="90" t="str">
        <f t="shared" si="109"/>
        <v/>
      </c>
      <c r="BY58" s="90" t="str">
        <f t="shared" si="109"/>
        <v/>
      </c>
      <c r="BZ58" s="90" t="e">
        <f t="shared" si="92"/>
        <v>#N/A</v>
      </c>
      <c r="CA58" s="90" t="e">
        <f t="shared" si="93"/>
        <v>#N/A</v>
      </c>
      <c r="CB58" s="90" t="e">
        <f t="shared" si="94"/>
        <v>#N/A</v>
      </c>
      <c r="CC58" s="127" t="str">
        <f t="shared" si="109"/>
        <v/>
      </c>
      <c r="CD58" s="127" t="str">
        <f t="shared" si="109"/>
        <v/>
      </c>
      <c r="CE58" s="90" t="str">
        <f t="shared" si="109"/>
        <v/>
      </c>
      <c r="CF58" s="90" t="str">
        <f t="shared" si="79"/>
        <v/>
      </c>
      <c r="CG58" s="90" t="str">
        <f t="shared" si="109"/>
        <v/>
      </c>
      <c r="CH58" s="90" t="str">
        <f t="shared" si="109"/>
        <v/>
      </c>
      <c r="CI58" s="90" t="str">
        <f t="shared" si="109"/>
        <v/>
      </c>
      <c r="CJ58" s="90" t="str">
        <f t="shared" si="95"/>
        <v/>
      </c>
      <c r="CK58" s="90" t="str">
        <f t="shared" si="96"/>
        <v/>
      </c>
      <c r="CL58" s="113" t="str">
        <f t="shared" si="97"/>
        <v/>
      </c>
      <c r="CM58" s="106" t="e">
        <f t="shared" si="80"/>
        <v>#N/A</v>
      </c>
      <c r="CN58" s="90" t="e">
        <f t="shared" si="81"/>
        <v>#N/A</v>
      </c>
      <c r="CO58" s="90" t="e">
        <f t="shared" si="82"/>
        <v>#N/A</v>
      </c>
      <c r="CP58" s="90" t="e">
        <f t="shared" si="83"/>
        <v>#N/A</v>
      </c>
      <c r="CQ58" s="90" t="e">
        <f t="shared" si="84"/>
        <v>#N/A</v>
      </c>
      <c r="CR58" s="90" t="e">
        <f t="shared" si="85"/>
        <v>#N/A</v>
      </c>
      <c r="CS58" s="90" t="e">
        <f t="shared" si="86"/>
        <v>#N/A</v>
      </c>
      <c r="CT58" s="90" t="e">
        <f t="shared" si="87"/>
        <v>#N/A</v>
      </c>
      <c r="CU58" s="113" t="e">
        <f t="shared" si="88"/>
        <v>#N/A</v>
      </c>
      <c r="CV58" s="90">
        <f t="shared" si="89"/>
        <v>14</v>
      </c>
      <c r="CW58" s="308">
        <v>14</v>
      </c>
      <c r="CX58" s="102"/>
      <c r="CY58" s="102"/>
      <c r="CZ58" s="102"/>
      <c r="DA58" s="102"/>
      <c r="DB58" s="102"/>
      <c r="DC58" s="102"/>
      <c r="DD58" s="102"/>
      <c r="DE58" s="102"/>
      <c r="DF58" s="102"/>
      <c r="DG58" s="102"/>
      <c r="DH58" s="102"/>
      <c r="DI58" s="307">
        <v>47</v>
      </c>
      <c r="DJ58" s="90">
        <f t="shared" si="50"/>
        <v>0.47000000000000008</v>
      </c>
      <c r="DK58" s="90">
        <f t="shared" si="71"/>
        <v>5.2269362786852382E-2</v>
      </c>
      <c r="DL58" s="90" t="e">
        <f t="shared" si="72"/>
        <v>#N/A</v>
      </c>
      <c r="DM58" s="90">
        <f t="shared" si="73"/>
        <v>5.2269362786852382E-2</v>
      </c>
      <c r="DN58" s="90">
        <f t="shared" si="74"/>
        <v>32</v>
      </c>
      <c r="DO58" s="308">
        <f t="shared" si="51"/>
        <v>0.16800000000000007</v>
      </c>
      <c r="DP58" s="307">
        <f t="shared" si="63"/>
        <v>0.46999999999999964</v>
      </c>
      <c r="DQ58" s="90">
        <f t="shared" si="75"/>
        <v>-1.1075781069325107E-3</v>
      </c>
      <c r="DR58" s="90">
        <f t="shared" si="76"/>
        <v>-1.1075781069325107E-3</v>
      </c>
      <c r="DS58" s="90">
        <f t="shared" si="64"/>
        <v>33</v>
      </c>
      <c r="DT58" s="308">
        <f t="shared" si="65"/>
        <v>0.16799999999999987</v>
      </c>
      <c r="DU58" s="307">
        <f t="shared" si="58"/>
        <v>0.46999999999999942</v>
      </c>
      <c r="DV58" s="90">
        <f t="shared" si="77"/>
        <v>0.1485917250059921</v>
      </c>
      <c r="DW58" s="90">
        <f t="shared" si="78"/>
        <v>0.1485917250059921</v>
      </c>
      <c r="DX58" s="90">
        <f t="shared" si="61"/>
        <v>34</v>
      </c>
      <c r="DY58" s="308">
        <f t="shared" si="62"/>
        <v>0.16799999999999979</v>
      </c>
    </row>
    <row r="59" spans="4:129" ht="12" customHeight="1" x14ac:dyDescent="0.2">
      <c r="AB59" s="554"/>
      <c r="BJ59" s="561"/>
      <c r="BN59" s="268" t="s">
        <v>329</v>
      </c>
      <c r="BO59" s="113">
        <f>1/CK75</f>
        <v>1.0427885643291778E-3</v>
      </c>
      <c r="BP59" s="90"/>
      <c r="BQ59" s="90"/>
      <c r="BS59" s="290" t="str">
        <f t="shared" si="90"/>
        <v/>
      </c>
      <c r="BT59" s="290">
        <v>15</v>
      </c>
      <c r="BU59" s="90"/>
      <c r="BV59" s="90"/>
      <c r="BW59" s="90" t="str">
        <f t="shared" ref="BW59:CI59" si="110">IF(AND(BW22&lt;&gt;"",$BV22=$BV$44),BW22,"")</f>
        <v/>
      </c>
      <c r="BX59" s="90" t="str">
        <f t="shared" si="110"/>
        <v/>
      </c>
      <c r="BY59" s="90" t="str">
        <f t="shared" si="110"/>
        <v/>
      </c>
      <c r="BZ59" s="90" t="e">
        <f t="shared" si="92"/>
        <v>#N/A</v>
      </c>
      <c r="CA59" s="90" t="e">
        <f t="shared" si="93"/>
        <v>#N/A</v>
      </c>
      <c r="CB59" s="90" t="e">
        <f t="shared" si="94"/>
        <v>#N/A</v>
      </c>
      <c r="CC59" s="127" t="str">
        <f t="shared" si="110"/>
        <v/>
      </c>
      <c r="CD59" s="127" t="str">
        <f t="shared" si="110"/>
        <v/>
      </c>
      <c r="CE59" s="90" t="str">
        <f t="shared" si="110"/>
        <v/>
      </c>
      <c r="CF59" s="90" t="str">
        <f t="shared" si="79"/>
        <v/>
      </c>
      <c r="CG59" s="90" t="str">
        <f t="shared" si="110"/>
        <v/>
      </c>
      <c r="CH59" s="90" t="str">
        <f t="shared" si="110"/>
        <v/>
      </c>
      <c r="CI59" s="90" t="str">
        <f t="shared" si="110"/>
        <v/>
      </c>
      <c r="CJ59" s="90" t="str">
        <f t="shared" si="95"/>
        <v/>
      </c>
      <c r="CK59" s="90" t="str">
        <f t="shared" si="96"/>
        <v/>
      </c>
      <c r="CL59" s="113" t="str">
        <f t="shared" si="97"/>
        <v/>
      </c>
      <c r="CM59" s="106" t="e">
        <f t="shared" si="80"/>
        <v>#N/A</v>
      </c>
      <c r="CN59" s="90" t="e">
        <f t="shared" si="81"/>
        <v>#N/A</v>
      </c>
      <c r="CO59" s="90" t="e">
        <f t="shared" si="82"/>
        <v>#N/A</v>
      </c>
      <c r="CP59" s="90" t="e">
        <f t="shared" si="83"/>
        <v>#N/A</v>
      </c>
      <c r="CQ59" s="90" t="e">
        <f t="shared" si="84"/>
        <v>#N/A</v>
      </c>
      <c r="CR59" s="90" t="e">
        <f t="shared" si="85"/>
        <v>#N/A</v>
      </c>
      <c r="CS59" s="90" t="e">
        <f t="shared" si="86"/>
        <v>#N/A</v>
      </c>
      <c r="CT59" s="90" t="e">
        <f t="shared" si="87"/>
        <v>#N/A</v>
      </c>
      <c r="CU59" s="113" t="e">
        <f t="shared" si="88"/>
        <v>#N/A</v>
      </c>
      <c r="CV59" s="90">
        <f t="shared" si="89"/>
        <v>15</v>
      </c>
      <c r="CW59" s="308">
        <v>15</v>
      </c>
      <c r="CX59" s="102"/>
      <c r="CY59" s="102"/>
      <c r="CZ59" s="102"/>
      <c r="DA59" s="102"/>
      <c r="DB59" s="102"/>
      <c r="DC59" s="102"/>
      <c r="DD59" s="102"/>
      <c r="DE59" s="102"/>
      <c r="DF59" s="102"/>
      <c r="DG59" s="102"/>
      <c r="DH59" s="102"/>
      <c r="DI59" s="307">
        <v>48</v>
      </c>
      <c r="DJ59" s="90">
        <f t="shared" si="50"/>
        <v>0.48000000000000009</v>
      </c>
      <c r="DK59" s="90">
        <f t="shared" si="71"/>
        <v>5.3062701687946343E-2</v>
      </c>
      <c r="DL59" s="90" t="e">
        <f t="shared" si="72"/>
        <v>#N/A</v>
      </c>
      <c r="DM59" s="90">
        <f t="shared" si="73"/>
        <v>5.3062701687946343E-2</v>
      </c>
      <c r="DN59" s="90">
        <f t="shared" si="74"/>
        <v>32</v>
      </c>
      <c r="DO59" s="308">
        <f t="shared" si="51"/>
        <v>0.17200000000000007</v>
      </c>
      <c r="DP59" s="307">
        <f t="shared" si="63"/>
        <v>0.47999999999999954</v>
      </c>
      <c r="DQ59" s="90">
        <f t="shared" si="75"/>
        <v>-4.7466189379199715E-4</v>
      </c>
      <c r="DR59" s="90">
        <f t="shared" si="76"/>
        <v>-4.7466189379199715E-4</v>
      </c>
      <c r="DS59" s="90">
        <f t="shared" si="64"/>
        <v>33</v>
      </c>
      <c r="DT59" s="308">
        <f t="shared" si="65"/>
        <v>0.17199999999999985</v>
      </c>
      <c r="DU59" s="307">
        <f t="shared" si="58"/>
        <v>0.47999999999999932</v>
      </c>
      <c r="DV59" s="90">
        <f t="shared" si="77"/>
        <v>0.1498755244543501</v>
      </c>
      <c r="DW59" s="90">
        <f t="shared" si="78"/>
        <v>0.1498755244543501</v>
      </c>
      <c r="DX59" s="90">
        <f t="shared" si="61"/>
        <v>34</v>
      </c>
      <c r="DY59" s="308">
        <f t="shared" si="62"/>
        <v>0.17199999999999974</v>
      </c>
    </row>
    <row r="60" spans="4:129" ht="12" customHeight="1" x14ac:dyDescent="0.2">
      <c r="AB60" s="554"/>
      <c r="BN60" s="268" t="s">
        <v>330</v>
      </c>
      <c r="BO60" s="113">
        <f>SQRT(BO59)</f>
        <v>3.2292236905008265E-2</v>
      </c>
      <c r="BP60" s="90"/>
      <c r="BQ60" s="90"/>
      <c r="BS60" s="290" t="str">
        <f t="shared" si="90"/>
        <v/>
      </c>
      <c r="BT60" s="290">
        <v>16</v>
      </c>
      <c r="BU60" s="90"/>
      <c r="BV60" s="90"/>
      <c r="BW60" s="90" t="str">
        <f t="shared" ref="BW60:CI60" si="111">IF(AND(BW23&lt;&gt;"",$BV23=$BV$44),BW23,"")</f>
        <v/>
      </c>
      <c r="BX60" s="90" t="str">
        <f t="shared" si="111"/>
        <v/>
      </c>
      <c r="BY60" s="90" t="str">
        <f t="shared" si="111"/>
        <v/>
      </c>
      <c r="BZ60" s="90" t="e">
        <f t="shared" si="92"/>
        <v>#N/A</v>
      </c>
      <c r="CA60" s="90" t="e">
        <f t="shared" si="93"/>
        <v>#N/A</v>
      </c>
      <c r="CB60" s="90" t="e">
        <f t="shared" si="94"/>
        <v>#N/A</v>
      </c>
      <c r="CC60" s="127" t="str">
        <f t="shared" si="111"/>
        <v/>
      </c>
      <c r="CD60" s="127" t="str">
        <f t="shared" si="111"/>
        <v/>
      </c>
      <c r="CE60" s="90" t="str">
        <f t="shared" si="111"/>
        <v/>
      </c>
      <c r="CF60" s="90" t="str">
        <f t="shared" si="79"/>
        <v/>
      </c>
      <c r="CG60" s="90" t="str">
        <f t="shared" si="111"/>
        <v/>
      </c>
      <c r="CH60" s="90" t="str">
        <f t="shared" si="111"/>
        <v/>
      </c>
      <c r="CI60" s="90" t="str">
        <f t="shared" si="111"/>
        <v/>
      </c>
      <c r="CJ60" s="90" t="str">
        <f t="shared" si="95"/>
        <v/>
      </c>
      <c r="CK60" s="90" t="str">
        <f t="shared" si="96"/>
        <v/>
      </c>
      <c r="CL60" s="113" t="str">
        <f t="shared" si="97"/>
        <v/>
      </c>
      <c r="CM60" s="106" t="e">
        <f t="shared" si="80"/>
        <v>#N/A</v>
      </c>
      <c r="CN60" s="90" t="e">
        <f t="shared" si="81"/>
        <v>#N/A</v>
      </c>
      <c r="CO60" s="90" t="e">
        <f t="shared" si="82"/>
        <v>#N/A</v>
      </c>
      <c r="CP60" s="90" t="e">
        <f t="shared" si="83"/>
        <v>#N/A</v>
      </c>
      <c r="CQ60" s="90" t="e">
        <f t="shared" si="84"/>
        <v>#N/A</v>
      </c>
      <c r="CR60" s="90" t="e">
        <f t="shared" si="85"/>
        <v>#N/A</v>
      </c>
      <c r="CS60" s="90" t="e">
        <f t="shared" si="86"/>
        <v>#N/A</v>
      </c>
      <c r="CT60" s="90" t="e">
        <f t="shared" si="87"/>
        <v>#N/A</v>
      </c>
      <c r="CU60" s="113" t="e">
        <f t="shared" si="88"/>
        <v>#N/A</v>
      </c>
      <c r="CV60" s="90">
        <f t="shared" si="89"/>
        <v>16</v>
      </c>
      <c r="CW60" s="308">
        <v>16</v>
      </c>
      <c r="CX60" s="102"/>
      <c r="CY60" s="102"/>
      <c r="CZ60" s="102"/>
      <c r="DA60" s="102"/>
      <c r="DB60" s="102"/>
      <c r="DC60" s="102"/>
      <c r="DD60" s="102"/>
      <c r="DE60" s="102"/>
      <c r="DF60" s="102"/>
      <c r="DG60" s="102"/>
      <c r="DH60" s="102"/>
      <c r="DI60" s="307">
        <v>49</v>
      </c>
      <c r="DJ60" s="90">
        <f t="shared" si="50"/>
        <v>0.4900000000000001</v>
      </c>
      <c r="DK60" s="90">
        <f t="shared" si="71"/>
        <v>5.3856040589040304E-2</v>
      </c>
      <c r="DL60" s="90" t="e">
        <f t="shared" si="72"/>
        <v>#N/A</v>
      </c>
      <c r="DM60" s="90">
        <f t="shared" si="73"/>
        <v>5.3856040589040304E-2</v>
      </c>
      <c r="DN60" s="90">
        <f t="shared" si="74"/>
        <v>32</v>
      </c>
      <c r="DO60" s="308">
        <f t="shared" si="51"/>
        <v>0.17600000000000007</v>
      </c>
      <c r="DP60" s="307">
        <f t="shared" si="63"/>
        <v>0.48999999999999966</v>
      </c>
      <c r="DQ60" s="90">
        <f t="shared" si="75"/>
        <v>1.5825431934851641E-4</v>
      </c>
      <c r="DR60" s="90">
        <f t="shared" si="76"/>
        <v>1.5825431934851641E-4</v>
      </c>
      <c r="DS60" s="90">
        <f t="shared" si="64"/>
        <v>33</v>
      </c>
      <c r="DT60" s="308">
        <f t="shared" si="65"/>
        <v>0.17599999999999988</v>
      </c>
      <c r="DU60" s="307">
        <f t="shared" si="58"/>
        <v>0.48999999999999921</v>
      </c>
      <c r="DV60" s="90">
        <f t="shared" si="77"/>
        <v>0.15115932390270809</v>
      </c>
      <c r="DW60" s="90">
        <f t="shared" si="78"/>
        <v>0.15115932390270809</v>
      </c>
      <c r="DX60" s="90">
        <f t="shared" si="61"/>
        <v>34</v>
      </c>
      <c r="DY60" s="308">
        <f t="shared" si="62"/>
        <v>0.17599999999999971</v>
      </c>
    </row>
    <row r="61" spans="4:129" ht="12" customHeight="1" x14ac:dyDescent="0.2">
      <c r="AB61" s="554"/>
      <c r="BN61" s="268" t="s">
        <v>331</v>
      </c>
      <c r="BO61" s="113">
        <f>NORMSINV((100+$M$2)/200)*BO60</f>
        <v>6.3291621314051361E-2</v>
      </c>
      <c r="BP61" s="90"/>
      <c r="BQ61" s="90"/>
      <c r="BS61" s="290" t="str">
        <f t="shared" si="90"/>
        <v/>
      </c>
      <c r="BT61" s="290">
        <v>17</v>
      </c>
      <c r="BU61" s="90"/>
      <c r="BV61" s="90"/>
      <c r="BW61" s="90" t="str">
        <f t="shared" ref="BW61:CI61" si="112">IF(AND(BW24&lt;&gt;"",$BV24=$BV$44),BW24,"")</f>
        <v/>
      </c>
      <c r="BX61" s="90" t="str">
        <f t="shared" si="112"/>
        <v/>
      </c>
      <c r="BY61" s="90" t="str">
        <f t="shared" si="112"/>
        <v/>
      </c>
      <c r="BZ61" s="90" t="e">
        <f t="shared" si="92"/>
        <v>#N/A</v>
      </c>
      <c r="CA61" s="90" t="e">
        <f t="shared" si="93"/>
        <v>#N/A</v>
      </c>
      <c r="CB61" s="90" t="e">
        <f t="shared" si="94"/>
        <v>#N/A</v>
      </c>
      <c r="CC61" s="127" t="str">
        <f t="shared" si="112"/>
        <v/>
      </c>
      <c r="CD61" s="127" t="str">
        <f t="shared" si="112"/>
        <v/>
      </c>
      <c r="CE61" s="90" t="str">
        <f t="shared" si="112"/>
        <v/>
      </c>
      <c r="CF61" s="90" t="str">
        <f t="shared" si="79"/>
        <v/>
      </c>
      <c r="CG61" s="90" t="str">
        <f t="shared" si="112"/>
        <v/>
      </c>
      <c r="CH61" s="90" t="str">
        <f t="shared" si="112"/>
        <v/>
      </c>
      <c r="CI61" s="90" t="str">
        <f t="shared" si="112"/>
        <v/>
      </c>
      <c r="CJ61" s="90" t="str">
        <f t="shared" si="95"/>
        <v/>
      </c>
      <c r="CK61" s="90" t="str">
        <f t="shared" si="96"/>
        <v/>
      </c>
      <c r="CL61" s="113" t="str">
        <f t="shared" si="97"/>
        <v/>
      </c>
      <c r="CM61" s="106" t="e">
        <f t="shared" si="80"/>
        <v>#N/A</v>
      </c>
      <c r="CN61" s="90" t="e">
        <f t="shared" si="81"/>
        <v>#N/A</v>
      </c>
      <c r="CO61" s="90" t="e">
        <f t="shared" si="82"/>
        <v>#N/A</v>
      </c>
      <c r="CP61" s="90" t="e">
        <f t="shared" si="83"/>
        <v>#N/A</v>
      </c>
      <c r="CQ61" s="90" t="e">
        <f t="shared" si="84"/>
        <v>#N/A</v>
      </c>
      <c r="CR61" s="90" t="e">
        <f t="shared" si="85"/>
        <v>#N/A</v>
      </c>
      <c r="CS61" s="90" t="e">
        <f t="shared" si="86"/>
        <v>#N/A</v>
      </c>
      <c r="CT61" s="90" t="e">
        <f t="shared" si="87"/>
        <v>#N/A</v>
      </c>
      <c r="CU61" s="113" t="e">
        <f t="shared" si="88"/>
        <v>#N/A</v>
      </c>
      <c r="CV61" s="90">
        <f t="shared" si="89"/>
        <v>17</v>
      </c>
      <c r="CW61" s="308">
        <v>17</v>
      </c>
      <c r="CX61" s="102"/>
      <c r="CY61" s="102"/>
      <c r="CZ61" s="102"/>
      <c r="DA61" s="102"/>
      <c r="DB61" s="102"/>
      <c r="DC61" s="102"/>
      <c r="DD61" s="102"/>
      <c r="DE61" s="102"/>
      <c r="DF61" s="102"/>
      <c r="DG61" s="102"/>
      <c r="DH61" s="102"/>
      <c r="DI61" s="307">
        <v>50</v>
      </c>
      <c r="DJ61" s="90">
        <f t="shared" si="50"/>
        <v>0.50000000000000011</v>
      </c>
      <c r="DK61" s="90">
        <f t="shared" si="71"/>
        <v>5.4649379490134264E-2</v>
      </c>
      <c r="DL61" s="90" t="e">
        <f t="shared" si="72"/>
        <v>#N/A</v>
      </c>
      <c r="DM61" s="90">
        <f t="shared" si="73"/>
        <v>5.4649379490134264E-2</v>
      </c>
      <c r="DN61" s="90">
        <f t="shared" si="74"/>
        <v>32</v>
      </c>
      <c r="DO61" s="308">
        <f t="shared" si="51"/>
        <v>0.18000000000000008</v>
      </c>
      <c r="DP61" s="307">
        <f t="shared" si="63"/>
        <v>0.49999999999999967</v>
      </c>
      <c r="DQ61" s="90">
        <f t="shared" si="75"/>
        <v>7.9117053248902998E-4</v>
      </c>
      <c r="DR61" s="90">
        <f t="shared" si="76"/>
        <v>7.9117053248902998E-4</v>
      </c>
      <c r="DS61" s="90">
        <f t="shared" si="64"/>
        <v>33</v>
      </c>
      <c r="DT61" s="308">
        <f t="shared" si="65"/>
        <v>0.17999999999999988</v>
      </c>
      <c r="DU61" s="307">
        <f t="shared" si="58"/>
        <v>0.49999999999999911</v>
      </c>
      <c r="DV61" s="90">
        <f t="shared" si="77"/>
        <v>0.15244312335106608</v>
      </c>
      <c r="DW61" s="90">
        <f t="shared" si="78"/>
        <v>0.15244312335106608</v>
      </c>
      <c r="DX61" s="90">
        <f t="shared" si="61"/>
        <v>34</v>
      </c>
      <c r="DY61" s="308">
        <f t="shared" si="62"/>
        <v>0.17999999999999966</v>
      </c>
    </row>
    <row r="62" spans="4:129" ht="12" customHeight="1" x14ac:dyDescent="0.2">
      <c r="AB62" s="554"/>
      <c r="BN62" s="268" t="s">
        <v>332</v>
      </c>
      <c r="BO62" s="113">
        <f>BO58-BO61</f>
        <v>-3.0854640124536627E-2</v>
      </c>
      <c r="BP62" s="90"/>
      <c r="BQ62" s="90"/>
      <c r="BS62" s="290" t="str">
        <f t="shared" si="90"/>
        <v/>
      </c>
      <c r="BT62" s="290">
        <v>18</v>
      </c>
      <c r="BU62" s="90"/>
      <c r="BV62" s="90"/>
      <c r="BW62" s="90" t="str">
        <f t="shared" ref="BW62:CI62" si="113">IF(AND(BW25&lt;&gt;"",$BV25=$BV$44),BW25,"")</f>
        <v/>
      </c>
      <c r="BX62" s="90" t="str">
        <f t="shared" si="113"/>
        <v/>
      </c>
      <c r="BY62" s="90" t="str">
        <f t="shared" si="113"/>
        <v/>
      </c>
      <c r="BZ62" s="90" t="e">
        <f t="shared" si="92"/>
        <v>#N/A</v>
      </c>
      <c r="CA62" s="90" t="e">
        <f t="shared" si="93"/>
        <v>#N/A</v>
      </c>
      <c r="CB62" s="90" t="e">
        <f t="shared" si="94"/>
        <v>#N/A</v>
      </c>
      <c r="CC62" s="127" t="str">
        <f t="shared" si="113"/>
        <v/>
      </c>
      <c r="CD62" s="127" t="str">
        <f t="shared" si="113"/>
        <v/>
      </c>
      <c r="CE62" s="90" t="str">
        <f t="shared" si="113"/>
        <v/>
      </c>
      <c r="CF62" s="90" t="str">
        <f t="shared" si="79"/>
        <v/>
      </c>
      <c r="CG62" s="90" t="str">
        <f t="shared" si="113"/>
        <v/>
      </c>
      <c r="CH62" s="90" t="str">
        <f t="shared" si="113"/>
        <v/>
      </c>
      <c r="CI62" s="90" t="str">
        <f t="shared" si="113"/>
        <v/>
      </c>
      <c r="CJ62" s="90" t="str">
        <f t="shared" si="95"/>
        <v/>
      </c>
      <c r="CK62" s="90" t="str">
        <f t="shared" si="96"/>
        <v/>
      </c>
      <c r="CL62" s="113" t="str">
        <f t="shared" si="97"/>
        <v/>
      </c>
      <c r="CM62" s="106" t="e">
        <f t="shared" si="80"/>
        <v>#N/A</v>
      </c>
      <c r="CN62" s="90" t="e">
        <f t="shared" si="81"/>
        <v>#N/A</v>
      </c>
      <c r="CO62" s="90" t="e">
        <f t="shared" si="82"/>
        <v>#N/A</v>
      </c>
      <c r="CP62" s="90" t="e">
        <f t="shared" si="83"/>
        <v>#N/A</v>
      </c>
      <c r="CQ62" s="90" t="e">
        <f t="shared" si="84"/>
        <v>#N/A</v>
      </c>
      <c r="CR62" s="90" t="e">
        <f t="shared" si="85"/>
        <v>#N/A</v>
      </c>
      <c r="CS62" s="90" t="e">
        <f t="shared" si="86"/>
        <v>#N/A</v>
      </c>
      <c r="CT62" s="90" t="e">
        <f t="shared" si="87"/>
        <v>#N/A</v>
      </c>
      <c r="CU62" s="113" t="e">
        <f t="shared" si="88"/>
        <v>#N/A</v>
      </c>
      <c r="CV62" s="90">
        <f t="shared" si="89"/>
        <v>18</v>
      </c>
      <c r="CW62" s="308">
        <v>18</v>
      </c>
      <c r="CX62" s="102"/>
      <c r="CY62" s="102"/>
      <c r="CZ62" s="102"/>
      <c r="DA62" s="102"/>
      <c r="DB62" s="102"/>
      <c r="DC62" s="102"/>
      <c r="DD62" s="102"/>
      <c r="DE62" s="102"/>
      <c r="DF62" s="102"/>
      <c r="DG62" s="102"/>
      <c r="DH62" s="102"/>
      <c r="DI62" s="307">
        <v>51</v>
      </c>
      <c r="DJ62" s="90">
        <f t="shared" si="50"/>
        <v>0.51</v>
      </c>
      <c r="DK62" s="90">
        <f t="shared" si="71"/>
        <v>5.5442718391228225E-2</v>
      </c>
      <c r="DL62" s="90" t="e">
        <f t="shared" si="72"/>
        <v>#N/A</v>
      </c>
      <c r="DM62" s="90">
        <f t="shared" si="73"/>
        <v>5.5442718391228225E-2</v>
      </c>
      <c r="DN62" s="90">
        <f t="shared" si="74"/>
        <v>32</v>
      </c>
      <c r="DO62" s="308">
        <f t="shared" si="51"/>
        <v>0.18400000000000002</v>
      </c>
      <c r="DP62" s="307">
        <f t="shared" si="63"/>
        <v>0.50999999999999956</v>
      </c>
      <c r="DQ62" s="90">
        <f t="shared" si="75"/>
        <v>1.4240867456295435E-3</v>
      </c>
      <c r="DR62" s="90">
        <f t="shared" si="76"/>
        <v>1.4240867456295435E-3</v>
      </c>
      <c r="DS62" s="90">
        <f t="shared" si="64"/>
        <v>33</v>
      </c>
      <c r="DT62" s="308">
        <f t="shared" si="65"/>
        <v>0.18399999999999986</v>
      </c>
      <c r="DU62" s="307">
        <f t="shared" si="58"/>
        <v>0.50999999999999912</v>
      </c>
      <c r="DV62" s="90">
        <f t="shared" si="77"/>
        <v>0.15372692279942407</v>
      </c>
      <c r="DW62" s="90">
        <f t="shared" si="78"/>
        <v>0.15372692279942407</v>
      </c>
      <c r="DX62" s="90">
        <f t="shared" si="61"/>
        <v>34</v>
      </c>
      <c r="DY62" s="308">
        <f t="shared" si="62"/>
        <v>0.18399999999999966</v>
      </c>
    </row>
    <row r="63" spans="4:129" ht="12" customHeight="1" x14ac:dyDescent="0.2">
      <c r="AB63" s="554"/>
      <c r="BN63" s="268" t="s">
        <v>333</v>
      </c>
      <c r="BO63" s="113">
        <f>BO58+BO61</f>
        <v>9.5728602503566101E-2</v>
      </c>
      <c r="BP63" s="90"/>
      <c r="BQ63" s="90"/>
      <c r="BS63" s="290" t="str">
        <f t="shared" si="90"/>
        <v/>
      </c>
      <c r="BT63" s="290">
        <v>19</v>
      </c>
      <c r="BU63" s="90"/>
      <c r="BV63" s="90"/>
      <c r="BW63" s="90" t="str">
        <f t="shared" ref="BW63:CI63" si="114">IF(AND(BW26&lt;&gt;"",$BV26=$BV$44),BW26,"")</f>
        <v/>
      </c>
      <c r="BX63" s="90" t="str">
        <f t="shared" si="114"/>
        <v/>
      </c>
      <c r="BY63" s="90" t="str">
        <f t="shared" si="114"/>
        <v/>
      </c>
      <c r="BZ63" s="90" t="e">
        <f t="shared" si="92"/>
        <v>#N/A</v>
      </c>
      <c r="CA63" s="90" t="e">
        <f t="shared" si="93"/>
        <v>#N/A</v>
      </c>
      <c r="CB63" s="90" t="e">
        <f t="shared" si="94"/>
        <v>#N/A</v>
      </c>
      <c r="CC63" s="127" t="str">
        <f t="shared" si="114"/>
        <v/>
      </c>
      <c r="CD63" s="127" t="str">
        <f t="shared" si="114"/>
        <v/>
      </c>
      <c r="CE63" s="90" t="str">
        <f t="shared" si="114"/>
        <v/>
      </c>
      <c r="CF63" s="90" t="str">
        <f t="shared" si="79"/>
        <v/>
      </c>
      <c r="CG63" s="90" t="str">
        <f t="shared" si="114"/>
        <v/>
      </c>
      <c r="CH63" s="90" t="str">
        <f t="shared" si="114"/>
        <v/>
      </c>
      <c r="CI63" s="90" t="str">
        <f t="shared" si="114"/>
        <v/>
      </c>
      <c r="CJ63" s="90" t="str">
        <f t="shared" si="95"/>
        <v/>
      </c>
      <c r="CK63" s="90" t="str">
        <f t="shared" si="96"/>
        <v/>
      </c>
      <c r="CL63" s="113" t="str">
        <f t="shared" si="97"/>
        <v/>
      </c>
      <c r="CM63" s="106" t="e">
        <f t="shared" si="80"/>
        <v>#N/A</v>
      </c>
      <c r="CN63" s="90" t="e">
        <f t="shared" si="81"/>
        <v>#N/A</v>
      </c>
      <c r="CO63" s="90" t="e">
        <f t="shared" si="82"/>
        <v>#N/A</v>
      </c>
      <c r="CP63" s="90" t="e">
        <f t="shared" si="83"/>
        <v>#N/A</v>
      </c>
      <c r="CQ63" s="90" t="e">
        <f t="shared" si="84"/>
        <v>#N/A</v>
      </c>
      <c r="CR63" s="90" t="e">
        <f t="shared" si="85"/>
        <v>#N/A</v>
      </c>
      <c r="CS63" s="90" t="e">
        <f t="shared" si="86"/>
        <v>#N/A</v>
      </c>
      <c r="CT63" s="90" t="e">
        <f t="shared" si="87"/>
        <v>#N/A</v>
      </c>
      <c r="CU63" s="113" t="e">
        <f t="shared" si="88"/>
        <v>#N/A</v>
      </c>
      <c r="CV63" s="90">
        <f t="shared" si="89"/>
        <v>19</v>
      </c>
      <c r="CW63" s="308">
        <v>19</v>
      </c>
      <c r="CX63" s="102"/>
      <c r="CY63" s="102"/>
      <c r="CZ63" s="102"/>
      <c r="DA63" s="102"/>
      <c r="DB63" s="102"/>
      <c r="DC63" s="102"/>
      <c r="DD63" s="102"/>
      <c r="DE63" s="102"/>
      <c r="DF63" s="102"/>
      <c r="DG63" s="102"/>
      <c r="DH63" s="102"/>
      <c r="DI63" s="307">
        <v>52</v>
      </c>
      <c r="DJ63" s="90">
        <f t="shared" si="50"/>
        <v>0.52</v>
      </c>
      <c r="DK63" s="90">
        <f t="shared" si="71"/>
        <v>5.6236057292322186E-2</v>
      </c>
      <c r="DL63" s="90" t="e">
        <f t="shared" si="72"/>
        <v>#N/A</v>
      </c>
      <c r="DM63" s="90">
        <f t="shared" si="73"/>
        <v>5.6236057292322186E-2</v>
      </c>
      <c r="DN63" s="90">
        <f t="shared" si="74"/>
        <v>32</v>
      </c>
      <c r="DO63" s="308">
        <f t="shared" si="51"/>
        <v>0.18800000000000003</v>
      </c>
      <c r="DP63" s="307">
        <f t="shared" si="63"/>
        <v>0.51999999999999957</v>
      </c>
      <c r="DQ63" s="90">
        <f t="shared" si="75"/>
        <v>2.0570029587700569E-3</v>
      </c>
      <c r="DR63" s="90">
        <f t="shared" si="76"/>
        <v>2.0570029587700569E-3</v>
      </c>
      <c r="DS63" s="90">
        <f t="shared" si="64"/>
        <v>33</v>
      </c>
      <c r="DT63" s="308">
        <f t="shared" si="65"/>
        <v>0.18799999999999986</v>
      </c>
      <c r="DU63" s="307">
        <f t="shared" si="58"/>
        <v>0.51999999999999891</v>
      </c>
      <c r="DV63" s="90">
        <f t="shared" si="77"/>
        <v>0.15501072224778206</v>
      </c>
      <c r="DW63" s="90">
        <f t="shared" si="78"/>
        <v>0.15501072224778206</v>
      </c>
      <c r="DX63" s="90">
        <f t="shared" si="61"/>
        <v>34</v>
      </c>
      <c r="DY63" s="308">
        <f t="shared" si="62"/>
        <v>0.18799999999999958</v>
      </c>
    </row>
    <row r="64" spans="4:129" ht="12" customHeight="1" x14ac:dyDescent="0.2">
      <c r="AB64" s="554"/>
      <c r="BN64" s="268" t="s">
        <v>315</v>
      </c>
      <c r="BO64" s="113">
        <f>(BO58)/BO60</f>
        <v>1.004482324495892</v>
      </c>
      <c r="BP64" s="90"/>
      <c r="BQ64" s="90"/>
      <c r="BS64" s="290" t="str">
        <f t="shared" si="90"/>
        <v/>
      </c>
      <c r="BT64" s="290">
        <v>20</v>
      </c>
      <c r="BU64" s="90"/>
      <c r="BV64" s="90"/>
      <c r="BW64" s="90" t="str">
        <f t="shared" ref="BW64:CI64" si="115">IF(AND(BW27&lt;&gt;"",$BV27=$BV$44),BW27,"")</f>
        <v/>
      </c>
      <c r="BX64" s="90" t="str">
        <f t="shared" si="115"/>
        <v/>
      </c>
      <c r="BY64" s="90" t="str">
        <f t="shared" si="115"/>
        <v/>
      </c>
      <c r="BZ64" s="90" t="e">
        <f t="shared" si="92"/>
        <v>#N/A</v>
      </c>
      <c r="CA64" s="90" t="e">
        <f t="shared" si="93"/>
        <v>#N/A</v>
      </c>
      <c r="CB64" s="90" t="e">
        <f t="shared" si="94"/>
        <v>#N/A</v>
      </c>
      <c r="CC64" s="127" t="str">
        <f t="shared" si="115"/>
        <v/>
      </c>
      <c r="CD64" s="127" t="str">
        <f t="shared" si="115"/>
        <v/>
      </c>
      <c r="CE64" s="90" t="str">
        <f t="shared" si="115"/>
        <v/>
      </c>
      <c r="CF64" s="90" t="str">
        <f t="shared" si="79"/>
        <v/>
      </c>
      <c r="CG64" s="90" t="str">
        <f t="shared" si="115"/>
        <v/>
      </c>
      <c r="CH64" s="90" t="str">
        <f t="shared" si="115"/>
        <v/>
      </c>
      <c r="CI64" s="90" t="str">
        <f t="shared" si="115"/>
        <v/>
      </c>
      <c r="CJ64" s="90" t="str">
        <f t="shared" si="95"/>
        <v/>
      </c>
      <c r="CK64" s="90" t="str">
        <f t="shared" si="96"/>
        <v/>
      </c>
      <c r="CL64" s="113" t="str">
        <f t="shared" si="97"/>
        <v/>
      </c>
      <c r="CM64" s="106" t="e">
        <f t="shared" si="80"/>
        <v>#N/A</v>
      </c>
      <c r="CN64" s="90" t="e">
        <f t="shared" si="81"/>
        <v>#N/A</v>
      </c>
      <c r="CO64" s="90" t="e">
        <f t="shared" si="82"/>
        <v>#N/A</v>
      </c>
      <c r="CP64" s="90" t="e">
        <f t="shared" si="83"/>
        <v>#N/A</v>
      </c>
      <c r="CQ64" s="90" t="e">
        <f t="shared" si="84"/>
        <v>#N/A</v>
      </c>
      <c r="CR64" s="90" t="e">
        <f t="shared" si="85"/>
        <v>#N/A</v>
      </c>
      <c r="CS64" s="90" t="e">
        <f t="shared" si="86"/>
        <v>#N/A</v>
      </c>
      <c r="CT64" s="90" t="e">
        <f t="shared" si="87"/>
        <v>#N/A</v>
      </c>
      <c r="CU64" s="113" t="e">
        <f t="shared" si="88"/>
        <v>#N/A</v>
      </c>
      <c r="CV64" s="90">
        <f t="shared" si="89"/>
        <v>20</v>
      </c>
      <c r="CW64" s="308">
        <v>20</v>
      </c>
      <c r="CX64" s="102"/>
      <c r="CY64" s="102"/>
      <c r="CZ64" s="102"/>
      <c r="DA64" s="102"/>
      <c r="DB64" s="102"/>
      <c r="DC64" s="102"/>
      <c r="DD64" s="102"/>
      <c r="DE64" s="102"/>
      <c r="DF64" s="102"/>
      <c r="DG64" s="102"/>
      <c r="DH64" s="102"/>
      <c r="DI64" s="307">
        <v>53</v>
      </c>
      <c r="DJ64" s="90">
        <f t="shared" si="50"/>
        <v>0.53</v>
      </c>
      <c r="DK64" s="90">
        <f t="shared" si="71"/>
        <v>5.7029396193416147E-2</v>
      </c>
      <c r="DL64" s="90" t="e">
        <f t="shared" si="72"/>
        <v>#N/A</v>
      </c>
      <c r="DM64" s="90">
        <f t="shared" si="73"/>
        <v>5.7029396193416147E-2</v>
      </c>
      <c r="DN64" s="90">
        <f t="shared" si="74"/>
        <v>32</v>
      </c>
      <c r="DO64" s="308">
        <f t="shared" si="51"/>
        <v>0.19200000000000003</v>
      </c>
      <c r="DP64" s="307">
        <f t="shared" si="63"/>
        <v>0.52999999999999958</v>
      </c>
      <c r="DQ64" s="90">
        <f t="shared" si="75"/>
        <v>2.6899191719105707E-3</v>
      </c>
      <c r="DR64" s="90">
        <f t="shared" si="76"/>
        <v>2.6899191719105707E-3</v>
      </c>
      <c r="DS64" s="90">
        <f t="shared" si="64"/>
        <v>33</v>
      </c>
      <c r="DT64" s="308">
        <f t="shared" si="65"/>
        <v>0.19199999999999987</v>
      </c>
      <c r="DU64" s="307">
        <f t="shared" si="58"/>
        <v>0.52999999999999892</v>
      </c>
      <c r="DV64" s="90">
        <f t="shared" si="77"/>
        <v>0.15629452169614005</v>
      </c>
      <c r="DW64" s="90">
        <f t="shared" si="78"/>
        <v>0.15629452169614005</v>
      </c>
      <c r="DX64" s="90">
        <f t="shared" si="61"/>
        <v>34</v>
      </c>
      <c r="DY64" s="308">
        <f t="shared" si="62"/>
        <v>0.19199999999999959</v>
      </c>
    </row>
    <row r="65" spans="28:129" ht="12" customHeight="1" x14ac:dyDescent="0.2">
      <c r="AB65" s="554"/>
      <c r="BN65" s="268" t="s">
        <v>266</v>
      </c>
      <c r="BO65" s="113">
        <f>2*(1-NORMSDIST(ABS(BO64)))</f>
        <v>0.31514618672522587</v>
      </c>
      <c r="BP65" s="90"/>
      <c r="BQ65" s="90"/>
      <c r="BS65" s="290" t="str">
        <f t="shared" si="90"/>
        <v/>
      </c>
      <c r="BT65" s="290">
        <v>21</v>
      </c>
      <c r="BU65" s="90"/>
      <c r="BV65" s="90"/>
      <c r="BW65" s="90" t="str">
        <f t="shared" ref="BW65:CI65" si="116">IF(AND(BW28&lt;&gt;"",$BV28=$BV$44),BW28,"")</f>
        <v/>
      </c>
      <c r="BX65" s="90" t="str">
        <f t="shared" si="116"/>
        <v/>
      </c>
      <c r="BY65" s="90" t="str">
        <f t="shared" si="116"/>
        <v/>
      </c>
      <c r="BZ65" s="90" t="e">
        <f t="shared" si="92"/>
        <v>#N/A</v>
      </c>
      <c r="CA65" s="90" t="e">
        <f t="shared" si="93"/>
        <v>#N/A</v>
      </c>
      <c r="CB65" s="90" t="e">
        <f t="shared" si="94"/>
        <v>#N/A</v>
      </c>
      <c r="CC65" s="127" t="str">
        <f t="shared" si="116"/>
        <v/>
      </c>
      <c r="CD65" s="127" t="str">
        <f t="shared" si="116"/>
        <v/>
      </c>
      <c r="CE65" s="90" t="str">
        <f t="shared" si="116"/>
        <v/>
      </c>
      <c r="CF65" s="90" t="str">
        <f t="shared" si="79"/>
        <v/>
      </c>
      <c r="CG65" s="90" t="str">
        <f t="shared" si="116"/>
        <v/>
      </c>
      <c r="CH65" s="90" t="str">
        <f t="shared" si="116"/>
        <v/>
      </c>
      <c r="CI65" s="90" t="str">
        <f t="shared" si="116"/>
        <v/>
      </c>
      <c r="CJ65" s="90" t="str">
        <f t="shared" si="95"/>
        <v/>
      </c>
      <c r="CK65" s="90" t="str">
        <f t="shared" si="96"/>
        <v/>
      </c>
      <c r="CL65" s="113" t="str">
        <f t="shared" si="97"/>
        <v/>
      </c>
      <c r="CM65" s="106" t="e">
        <f t="shared" si="80"/>
        <v>#N/A</v>
      </c>
      <c r="CN65" s="90" t="e">
        <f t="shared" si="81"/>
        <v>#N/A</v>
      </c>
      <c r="CO65" s="90" t="e">
        <f t="shared" si="82"/>
        <v>#N/A</v>
      </c>
      <c r="CP65" s="90" t="e">
        <f t="shared" si="83"/>
        <v>#N/A</v>
      </c>
      <c r="CQ65" s="90" t="e">
        <f t="shared" si="84"/>
        <v>#N/A</v>
      </c>
      <c r="CR65" s="90" t="e">
        <f t="shared" si="85"/>
        <v>#N/A</v>
      </c>
      <c r="CS65" s="90" t="e">
        <f t="shared" si="86"/>
        <v>#N/A</v>
      </c>
      <c r="CT65" s="90" t="e">
        <f t="shared" si="87"/>
        <v>#N/A</v>
      </c>
      <c r="CU65" s="113" t="e">
        <f t="shared" si="88"/>
        <v>#N/A</v>
      </c>
      <c r="CV65" s="90">
        <f t="shared" si="89"/>
        <v>21</v>
      </c>
      <c r="CW65" s="308">
        <v>21</v>
      </c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307">
        <v>54</v>
      </c>
      <c r="DJ65" s="90">
        <f t="shared" si="50"/>
        <v>0.54</v>
      </c>
      <c r="DK65" s="90">
        <f t="shared" si="71"/>
        <v>5.7822735094510108E-2</v>
      </c>
      <c r="DL65" s="90" t="e">
        <f t="shared" si="72"/>
        <v>#N/A</v>
      </c>
      <c r="DM65" s="90">
        <f t="shared" si="73"/>
        <v>5.7822735094510108E-2</v>
      </c>
      <c r="DN65" s="90">
        <f t="shared" si="74"/>
        <v>32</v>
      </c>
      <c r="DO65" s="308">
        <f t="shared" si="51"/>
        <v>0.19600000000000004</v>
      </c>
      <c r="DP65" s="307">
        <f t="shared" si="63"/>
        <v>0.53999999999999959</v>
      </c>
      <c r="DQ65" s="90">
        <f t="shared" si="75"/>
        <v>3.3228353850510844E-3</v>
      </c>
      <c r="DR65" s="90">
        <f t="shared" si="76"/>
        <v>3.3228353850510844E-3</v>
      </c>
      <c r="DS65" s="90">
        <f t="shared" si="64"/>
        <v>33</v>
      </c>
      <c r="DT65" s="308">
        <f t="shared" si="65"/>
        <v>0.19599999999999987</v>
      </c>
      <c r="DU65" s="307">
        <f t="shared" si="58"/>
        <v>0.53999999999999881</v>
      </c>
      <c r="DV65" s="90">
        <f t="shared" si="77"/>
        <v>0.15757832114449805</v>
      </c>
      <c r="DW65" s="90">
        <f t="shared" si="78"/>
        <v>0.15757832114449805</v>
      </c>
      <c r="DX65" s="90">
        <f t="shared" si="61"/>
        <v>34</v>
      </c>
      <c r="DY65" s="308">
        <f t="shared" si="62"/>
        <v>0.19599999999999954</v>
      </c>
    </row>
    <row r="66" spans="28:129" ht="12" customHeight="1" x14ac:dyDescent="0.2">
      <c r="AB66" s="554"/>
      <c r="BN66" s="303" t="s">
        <v>341</v>
      </c>
      <c r="BO66" s="304">
        <f>MAX(0,(BO53-BO52)/BO53)</f>
        <v>0.1490783395247858</v>
      </c>
      <c r="BP66" s="431"/>
      <c r="BQ66" s="431"/>
      <c r="BS66" s="434" t="str">
        <f t="shared" si="90"/>
        <v/>
      </c>
      <c r="BT66" s="290">
        <v>22</v>
      </c>
      <c r="BU66" s="90"/>
      <c r="BV66" s="90"/>
      <c r="BW66" s="90" t="str">
        <f t="shared" ref="BW66:CI66" si="117">IF(AND(BW29&lt;&gt;"",$BV29=$BV$44),BW29,"")</f>
        <v/>
      </c>
      <c r="BX66" s="90" t="str">
        <f t="shared" si="117"/>
        <v/>
      </c>
      <c r="BY66" s="90" t="str">
        <f t="shared" si="117"/>
        <v/>
      </c>
      <c r="BZ66" s="90" t="e">
        <f t="shared" si="92"/>
        <v>#N/A</v>
      </c>
      <c r="CA66" s="90" t="e">
        <f t="shared" si="93"/>
        <v>#N/A</v>
      </c>
      <c r="CB66" s="90" t="e">
        <f t="shared" si="94"/>
        <v>#N/A</v>
      </c>
      <c r="CC66" s="127" t="str">
        <f t="shared" si="117"/>
        <v/>
      </c>
      <c r="CD66" s="127" t="str">
        <f t="shared" si="117"/>
        <v/>
      </c>
      <c r="CE66" s="90" t="str">
        <f t="shared" si="117"/>
        <v/>
      </c>
      <c r="CF66" s="90" t="str">
        <f t="shared" si="79"/>
        <v/>
      </c>
      <c r="CG66" s="90" t="str">
        <f t="shared" si="117"/>
        <v/>
      </c>
      <c r="CH66" s="90" t="str">
        <f t="shared" si="117"/>
        <v/>
      </c>
      <c r="CI66" s="90" t="str">
        <f t="shared" si="117"/>
        <v/>
      </c>
      <c r="CJ66" s="90" t="str">
        <f t="shared" si="95"/>
        <v/>
      </c>
      <c r="CK66" s="90" t="str">
        <f t="shared" si="96"/>
        <v/>
      </c>
      <c r="CL66" s="113" t="str">
        <f t="shared" si="97"/>
        <v/>
      </c>
      <c r="CM66" s="106" t="e">
        <f t="shared" si="80"/>
        <v>#N/A</v>
      </c>
      <c r="CN66" s="90" t="e">
        <f t="shared" si="81"/>
        <v>#N/A</v>
      </c>
      <c r="CO66" s="90" t="e">
        <f t="shared" si="82"/>
        <v>#N/A</v>
      </c>
      <c r="CP66" s="90" t="e">
        <f t="shared" si="83"/>
        <v>#N/A</v>
      </c>
      <c r="CQ66" s="90" t="e">
        <f t="shared" si="84"/>
        <v>#N/A</v>
      </c>
      <c r="CR66" s="90" t="e">
        <f t="shared" si="85"/>
        <v>#N/A</v>
      </c>
      <c r="CS66" s="90" t="e">
        <f t="shared" si="86"/>
        <v>#N/A</v>
      </c>
      <c r="CT66" s="90" t="e">
        <f t="shared" si="87"/>
        <v>#N/A</v>
      </c>
      <c r="CU66" s="113" t="e">
        <f t="shared" si="88"/>
        <v>#N/A</v>
      </c>
      <c r="CV66" s="90">
        <f t="shared" si="89"/>
        <v>22</v>
      </c>
      <c r="CW66" s="308">
        <v>22</v>
      </c>
      <c r="CX66" s="102"/>
      <c r="CY66" s="102"/>
      <c r="CZ66" s="102"/>
      <c r="DA66" s="102"/>
      <c r="DB66" s="102"/>
      <c r="DC66" s="102"/>
      <c r="DD66" s="102"/>
      <c r="DE66" s="102"/>
      <c r="DF66" s="102"/>
      <c r="DG66" s="102"/>
      <c r="DH66" s="102"/>
      <c r="DI66" s="307">
        <v>55</v>
      </c>
      <c r="DJ66" s="90">
        <f t="shared" si="50"/>
        <v>0.55000000000000004</v>
      </c>
      <c r="DK66" s="90">
        <f t="shared" si="71"/>
        <v>5.8616073995604069E-2</v>
      </c>
      <c r="DL66" s="90" t="e">
        <f t="shared" si="72"/>
        <v>#N/A</v>
      </c>
      <c r="DM66" s="90">
        <f t="shared" si="73"/>
        <v>5.8616073995604069E-2</v>
      </c>
      <c r="DN66" s="90">
        <f t="shared" si="74"/>
        <v>32</v>
      </c>
      <c r="DO66" s="308">
        <f t="shared" si="51"/>
        <v>0.20000000000000004</v>
      </c>
      <c r="DP66" s="307">
        <f t="shared" si="63"/>
        <v>0.5499999999999996</v>
      </c>
      <c r="DQ66" s="90">
        <f t="shared" si="75"/>
        <v>3.9557515981915982E-3</v>
      </c>
      <c r="DR66" s="90">
        <f t="shared" si="76"/>
        <v>3.9557515981915982E-3</v>
      </c>
      <c r="DS66" s="90">
        <f t="shared" si="64"/>
        <v>33</v>
      </c>
      <c r="DT66" s="308">
        <f t="shared" si="65"/>
        <v>0.19999999999999987</v>
      </c>
      <c r="DU66" s="307">
        <f t="shared" si="58"/>
        <v>0.54999999999999871</v>
      </c>
      <c r="DV66" s="90">
        <f t="shared" si="77"/>
        <v>0.15886212059285604</v>
      </c>
      <c r="DW66" s="90">
        <f t="shared" si="78"/>
        <v>0.15886212059285604</v>
      </c>
      <c r="DX66" s="90">
        <f t="shared" si="61"/>
        <v>34</v>
      </c>
      <c r="DY66" s="308">
        <f t="shared" si="62"/>
        <v>0.19999999999999951</v>
      </c>
    </row>
    <row r="67" spans="28:129" ht="12" customHeight="1" x14ac:dyDescent="0.2">
      <c r="AB67" s="554"/>
      <c r="BN67" s="106" t="s">
        <v>342</v>
      </c>
      <c r="BO67" s="113"/>
      <c r="BP67" s="90"/>
      <c r="BQ67" s="90"/>
      <c r="BS67" s="290" t="str">
        <f t="shared" si="90"/>
        <v/>
      </c>
      <c r="BT67" s="290">
        <v>23</v>
      </c>
      <c r="BU67" s="90"/>
      <c r="BV67" s="90"/>
      <c r="BW67" s="90" t="str">
        <f t="shared" ref="BW67:CI67" si="118">IF(AND(BW30&lt;&gt;"",$BV30=$BV$44),BW30,"")</f>
        <v/>
      </c>
      <c r="BX67" s="90" t="str">
        <f t="shared" si="118"/>
        <v/>
      </c>
      <c r="BY67" s="90" t="str">
        <f t="shared" si="118"/>
        <v/>
      </c>
      <c r="BZ67" s="90" t="e">
        <f t="shared" si="92"/>
        <v>#N/A</v>
      </c>
      <c r="CA67" s="90" t="e">
        <f t="shared" si="93"/>
        <v>#N/A</v>
      </c>
      <c r="CB67" s="90" t="e">
        <f t="shared" si="94"/>
        <v>#N/A</v>
      </c>
      <c r="CC67" s="127" t="str">
        <f t="shared" si="118"/>
        <v/>
      </c>
      <c r="CD67" s="127" t="str">
        <f t="shared" si="118"/>
        <v/>
      </c>
      <c r="CE67" s="90" t="str">
        <f t="shared" si="118"/>
        <v/>
      </c>
      <c r="CF67" s="90" t="str">
        <f t="shared" si="79"/>
        <v/>
      </c>
      <c r="CG67" s="90" t="str">
        <f t="shared" si="118"/>
        <v/>
      </c>
      <c r="CH67" s="90" t="str">
        <f t="shared" si="118"/>
        <v/>
      </c>
      <c r="CI67" s="90" t="str">
        <f t="shared" si="118"/>
        <v/>
      </c>
      <c r="CJ67" s="90" t="str">
        <f t="shared" si="95"/>
        <v/>
      </c>
      <c r="CK67" s="90" t="str">
        <f t="shared" si="96"/>
        <v/>
      </c>
      <c r="CL67" s="113" t="str">
        <f t="shared" si="97"/>
        <v/>
      </c>
      <c r="CM67" s="106" t="e">
        <f t="shared" si="80"/>
        <v>#N/A</v>
      </c>
      <c r="CN67" s="90" t="e">
        <f t="shared" si="81"/>
        <v>#N/A</v>
      </c>
      <c r="CO67" s="90" t="e">
        <f t="shared" si="82"/>
        <v>#N/A</v>
      </c>
      <c r="CP67" s="90" t="e">
        <f t="shared" si="83"/>
        <v>#N/A</v>
      </c>
      <c r="CQ67" s="90" t="e">
        <f t="shared" si="84"/>
        <v>#N/A</v>
      </c>
      <c r="CR67" s="90" t="e">
        <f t="shared" si="85"/>
        <v>#N/A</v>
      </c>
      <c r="CS67" s="90" t="e">
        <f t="shared" si="86"/>
        <v>#N/A</v>
      </c>
      <c r="CT67" s="90" t="e">
        <f t="shared" si="87"/>
        <v>#N/A</v>
      </c>
      <c r="CU67" s="113" t="e">
        <f t="shared" si="88"/>
        <v>#N/A</v>
      </c>
      <c r="CV67" s="90">
        <f t="shared" si="89"/>
        <v>23</v>
      </c>
      <c r="CW67" s="308">
        <v>23</v>
      </c>
      <c r="CX67" s="102"/>
      <c r="CY67" s="102"/>
      <c r="CZ67" s="102"/>
      <c r="DA67" s="102"/>
      <c r="DB67" s="102"/>
      <c r="DC67" s="102"/>
      <c r="DD67" s="102"/>
      <c r="DE67" s="102"/>
      <c r="DF67" s="102"/>
      <c r="DG67" s="102"/>
      <c r="DH67" s="102"/>
      <c r="DI67" s="307">
        <v>56</v>
      </c>
      <c r="DJ67" s="90">
        <f t="shared" si="50"/>
        <v>0.56000000000000005</v>
      </c>
      <c r="DK67" s="90">
        <f t="shared" si="71"/>
        <v>5.940941289669803E-2</v>
      </c>
      <c r="DL67" s="90" t="e">
        <f t="shared" si="72"/>
        <v>#N/A</v>
      </c>
      <c r="DM67" s="90">
        <f t="shared" si="73"/>
        <v>5.940941289669803E-2</v>
      </c>
      <c r="DN67" s="90">
        <f t="shared" si="74"/>
        <v>32</v>
      </c>
      <c r="DO67" s="308">
        <f t="shared" si="51"/>
        <v>0.20400000000000004</v>
      </c>
      <c r="DP67" s="307">
        <f t="shared" si="63"/>
        <v>0.55999999999999961</v>
      </c>
      <c r="DQ67" s="90">
        <f t="shared" si="75"/>
        <v>4.588667811332112E-3</v>
      </c>
      <c r="DR67" s="90">
        <f t="shared" si="76"/>
        <v>4.588667811332112E-3</v>
      </c>
      <c r="DS67" s="90">
        <f t="shared" si="64"/>
        <v>33</v>
      </c>
      <c r="DT67" s="308">
        <f t="shared" si="65"/>
        <v>0.20399999999999988</v>
      </c>
      <c r="DU67" s="307">
        <f t="shared" si="58"/>
        <v>0.55999999999999872</v>
      </c>
      <c r="DV67" s="90">
        <f t="shared" si="77"/>
        <v>0.16014592004121403</v>
      </c>
      <c r="DW67" s="90">
        <f t="shared" si="78"/>
        <v>0.16014592004121403</v>
      </c>
      <c r="DX67" s="90">
        <f t="shared" si="61"/>
        <v>34</v>
      </c>
      <c r="DY67" s="308">
        <f t="shared" si="62"/>
        <v>0.20399999999999952</v>
      </c>
    </row>
    <row r="68" spans="28:129" ht="12" customHeight="1" x14ac:dyDescent="0.2">
      <c r="AB68" s="554"/>
      <c r="BN68" s="268" t="s">
        <v>343</v>
      </c>
      <c r="BO68" s="113">
        <f>0.5*(LN(BO53)-LN(BO52))/(SQRT(2*BO53)-SQRT(2*BO52-1))</f>
        <v>0.18854247339340202</v>
      </c>
      <c r="BQ68" s="90">
        <f>0.5*(LN(BP53)-LN(BP52))/(SQRT(2*BP53)-SQRT(2*BP52-1))</f>
        <v>4.5054914011526375</v>
      </c>
      <c r="BS68" s="290" t="str">
        <f t="shared" si="90"/>
        <v/>
      </c>
      <c r="BT68" s="290">
        <v>24</v>
      </c>
      <c r="BU68" s="90"/>
      <c r="BV68" s="90"/>
      <c r="BW68" s="90" t="str">
        <f t="shared" ref="BW68:CI68" si="119">IF(AND(BW31&lt;&gt;"",$BV31=$BV$44),BW31,"")</f>
        <v/>
      </c>
      <c r="BX68" s="90" t="str">
        <f t="shared" si="119"/>
        <v/>
      </c>
      <c r="BY68" s="90" t="str">
        <f t="shared" si="119"/>
        <v/>
      </c>
      <c r="BZ68" s="90" t="e">
        <f t="shared" si="92"/>
        <v>#N/A</v>
      </c>
      <c r="CA68" s="90" t="e">
        <f t="shared" si="93"/>
        <v>#N/A</v>
      </c>
      <c r="CB68" s="90" t="e">
        <f t="shared" si="94"/>
        <v>#N/A</v>
      </c>
      <c r="CC68" s="127" t="str">
        <f t="shared" si="119"/>
        <v/>
      </c>
      <c r="CD68" s="127" t="str">
        <f t="shared" si="119"/>
        <v/>
      </c>
      <c r="CE68" s="90" t="str">
        <f t="shared" si="119"/>
        <v/>
      </c>
      <c r="CF68" s="90" t="str">
        <f t="shared" si="79"/>
        <v/>
      </c>
      <c r="CG68" s="90" t="str">
        <f t="shared" si="119"/>
        <v/>
      </c>
      <c r="CH68" s="90" t="str">
        <f t="shared" si="119"/>
        <v/>
      </c>
      <c r="CI68" s="90" t="str">
        <f t="shared" si="119"/>
        <v/>
      </c>
      <c r="CJ68" s="90" t="str">
        <f t="shared" si="95"/>
        <v/>
      </c>
      <c r="CK68" s="90" t="str">
        <f t="shared" si="96"/>
        <v/>
      </c>
      <c r="CL68" s="113" t="str">
        <f t="shared" si="97"/>
        <v/>
      </c>
      <c r="CM68" s="106" t="e">
        <f t="shared" si="80"/>
        <v>#N/A</v>
      </c>
      <c r="CN68" s="90" t="e">
        <f t="shared" si="81"/>
        <v>#N/A</v>
      </c>
      <c r="CO68" s="90" t="e">
        <f t="shared" si="82"/>
        <v>#N/A</v>
      </c>
      <c r="CP68" s="90" t="e">
        <f t="shared" si="83"/>
        <v>#N/A</v>
      </c>
      <c r="CQ68" s="90" t="e">
        <f t="shared" si="84"/>
        <v>#N/A</v>
      </c>
      <c r="CR68" s="90" t="e">
        <f t="shared" si="85"/>
        <v>#N/A</v>
      </c>
      <c r="CS68" s="90" t="e">
        <f t="shared" si="86"/>
        <v>#N/A</v>
      </c>
      <c r="CT68" s="90" t="e">
        <f t="shared" si="87"/>
        <v>#N/A</v>
      </c>
      <c r="CU68" s="113" t="e">
        <f t="shared" si="88"/>
        <v>#N/A</v>
      </c>
      <c r="CV68" s="90">
        <f t="shared" si="89"/>
        <v>24</v>
      </c>
      <c r="CW68" s="308">
        <v>24</v>
      </c>
      <c r="CX68" s="102"/>
      <c r="CY68" s="102"/>
      <c r="CZ68" s="102"/>
      <c r="DA68" s="102"/>
      <c r="DB68" s="102"/>
      <c r="DC68" s="102"/>
      <c r="DD68" s="102"/>
      <c r="DE68" s="102"/>
      <c r="DF68" s="102"/>
      <c r="DG68" s="102"/>
      <c r="DH68" s="102"/>
      <c r="DI68" s="307">
        <v>57</v>
      </c>
      <c r="DJ68" s="90">
        <f t="shared" si="50"/>
        <v>0.57000000000000006</v>
      </c>
      <c r="DK68" s="90">
        <f t="shared" si="71"/>
        <v>6.0202751797791991E-2</v>
      </c>
      <c r="DL68" s="90" t="e">
        <f t="shared" si="72"/>
        <v>#N/A</v>
      </c>
      <c r="DM68" s="90">
        <f t="shared" si="73"/>
        <v>6.0202751797791991E-2</v>
      </c>
      <c r="DN68" s="90">
        <f t="shared" si="74"/>
        <v>32</v>
      </c>
      <c r="DO68" s="308">
        <f t="shared" si="51"/>
        <v>0.20800000000000005</v>
      </c>
      <c r="DP68" s="307">
        <f t="shared" si="63"/>
        <v>0.56999999999999962</v>
      </c>
      <c r="DQ68" s="90">
        <f t="shared" si="75"/>
        <v>5.2215840244726258E-3</v>
      </c>
      <c r="DR68" s="90">
        <f t="shared" si="76"/>
        <v>5.2215840244726258E-3</v>
      </c>
      <c r="DS68" s="90">
        <f t="shared" si="64"/>
        <v>33</v>
      </c>
      <c r="DT68" s="308">
        <f t="shared" si="65"/>
        <v>0.20799999999999988</v>
      </c>
      <c r="DU68" s="307">
        <f t="shared" si="58"/>
        <v>0.56999999999999851</v>
      </c>
      <c r="DV68" s="90">
        <f t="shared" si="77"/>
        <v>0.16142971948957202</v>
      </c>
      <c r="DW68" s="90">
        <f t="shared" si="78"/>
        <v>0.16142971948957202</v>
      </c>
      <c r="DX68" s="90">
        <f t="shared" si="61"/>
        <v>34</v>
      </c>
      <c r="DY68" s="308">
        <f t="shared" si="62"/>
        <v>0.20799999999999944</v>
      </c>
    </row>
    <row r="69" spans="28:129" ht="12" customHeight="1" x14ac:dyDescent="0.2">
      <c r="AB69" s="554"/>
      <c r="BN69" s="268" t="s">
        <v>344</v>
      </c>
      <c r="BO69" s="305">
        <f>SQRT(1/(2*(BO52-1)*(1-(1/(3*(BO52-1)^2)))))</f>
        <v>0.3572948005052482</v>
      </c>
      <c r="BQ69" s="154">
        <f>SQRT(1/(2*(BP52-1)*(1-(1/(3*(BP52-1)^2)))))</f>
        <v>0.26817495822536841</v>
      </c>
      <c r="BS69" s="435" t="str">
        <f t="shared" si="90"/>
        <v/>
      </c>
      <c r="BT69" s="290">
        <v>25</v>
      </c>
      <c r="BU69" s="90"/>
      <c r="BV69" s="90"/>
      <c r="BW69" s="90" t="str">
        <f>IF(AND(BW32&lt;&gt;"",$BV32=$BV$44),BW32,"")</f>
        <v/>
      </c>
      <c r="BX69" s="90" t="str">
        <f>IF(AND(BX32&lt;&gt;"",$BV32=$BV$44),BX32,"")</f>
        <v/>
      </c>
      <c r="BY69" s="90" t="str">
        <f>IF(AND(BY32&lt;&gt;"",$BV32=$BV$44),BY32,"")</f>
        <v/>
      </c>
      <c r="BZ69" s="90" t="e">
        <f t="shared" si="92"/>
        <v>#N/A</v>
      </c>
      <c r="CA69" s="90" t="e">
        <f t="shared" si="93"/>
        <v>#N/A</v>
      </c>
      <c r="CB69" s="90" t="e">
        <f t="shared" si="94"/>
        <v>#N/A</v>
      </c>
      <c r="CC69" s="127" t="str">
        <f>IF(AND(CC32&lt;&gt;"",$BV32=$BV$44),CC32,"")</f>
        <v/>
      </c>
      <c r="CD69" s="127" t="str">
        <f>IF(AND(CD32&lt;&gt;"",$BV32=$BV$44),CD32,"")</f>
        <v/>
      </c>
      <c r="CE69" s="90" t="str">
        <f>IF(AND(CE32&lt;&gt;"",$BV32=$BV$44),CE32,"")</f>
        <v/>
      </c>
      <c r="CF69" s="90" t="str">
        <f t="shared" si="79"/>
        <v/>
      </c>
      <c r="CG69" s="90" t="str">
        <f>IF(AND(CG32&lt;&gt;"",$BV32=$BV$44),CG32,"")</f>
        <v/>
      </c>
      <c r="CH69" s="90" t="str">
        <f>IF(AND(CH32&lt;&gt;"",$BV32=$BV$44),CH32,"")</f>
        <v/>
      </c>
      <c r="CI69" s="90" t="str">
        <f>IF(AND(CI32&lt;&gt;"",$BV32=$BV$44),CI32,"")</f>
        <v/>
      </c>
      <c r="CJ69" s="90" t="str">
        <f t="shared" si="95"/>
        <v/>
      </c>
      <c r="CK69" s="90" t="str">
        <f t="shared" si="96"/>
        <v/>
      </c>
      <c r="CL69" s="113" t="str">
        <f t="shared" si="97"/>
        <v/>
      </c>
      <c r="CM69" s="106" t="e">
        <f t="shared" si="80"/>
        <v>#N/A</v>
      </c>
      <c r="CN69" s="90" t="e">
        <f t="shared" si="81"/>
        <v>#N/A</v>
      </c>
      <c r="CO69" s="90" t="e">
        <f t="shared" si="82"/>
        <v>#N/A</v>
      </c>
      <c r="CP69" s="90" t="e">
        <f t="shared" si="83"/>
        <v>#N/A</v>
      </c>
      <c r="CQ69" s="90" t="e">
        <f t="shared" si="84"/>
        <v>#N/A</v>
      </c>
      <c r="CR69" s="90" t="e">
        <f t="shared" si="85"/>
        <v>#N/A</v>
      </c>
      <c r="CS69" s="90" t="e">
        <f t="shared" si="86"/>
        <v>#N/A</v>
      </c>
      <c r="CT69" s="90" t="e">
        <f t="shared" si="87"/>
        <v>#N/A</v>
      </c>
      <c r="CU69" s="113" t="e">
        <f t="shared" si="88"/>
        <v>#N/A</v>
      </c>
      <c r="CV69" s="90">
        <f t="shared" si="89"/>
        <v>25</v>
      </c>
      <c r="CW69" s="308">
        <v>25</v>
      </c>
      <c r="CX69" s="102"/>
      <c r="CY69" s="102"/>
      <c r="CZ69" s="102"/>
      <c r="DA69" s="102"/>
      <c r="DB69" s="102"/>
      <c r="DC69" s="102"/>
      <c r="DD69" s="102"/>
      <c r="DE69" s="102"/>
      <c r="DF69" s="102"/>
      <c r="DG69" s="102"/>
      <c r="DH69" s="102"/>
      <c r="DI69" s="307">
        <v>58</v>
      </c>
      <c r="DJ69" s="90">
        <f t="shared" si="50"/>
        <v>0.58000000000000007</v>
      </c>
      <c r="DK69" s="90">
        <f t="shared" si="71"/>
        <v>6.0996090698885952E-2</v>
      </c>
      <c r="DL69" s="90" t="e">
        <f t="shared" si="72"/>
        <v>#N/A</v>
      </c>
      <c r="DM69" s="90">
        <f t="shared" si="73"/>
        <v>6.0996090698885952E-2</v>
      </c>
      <c r="DN69" s="90">
        <f t="shared" si="74"/>
        <v>32</v>
      </c>
      <c r="DO69" s="308">
        <f t="shared" si="51"/>
        <v>0.21200000000000005</v>
      </c>
      <c r="DP69" s="307">
        <f t="shared" si="63"/>
        <v>0.57999999999999963</v>
      </c>
      <c r="DQ69" s="90">
        <f t="shared" si="75"/>
        <v>5.8545002376131396E-3</v>
      </c>
      <c r="DR69" s="90">
        <f t="shared" si="76"/>
        <v>5.8545002376131396E-3</v>
      </c>
      <c r="DS69" s="90">
        <f t="shared" si="64"/>
        <v>33</v>
      </c>
      <c r="DT69" s="308">
        <f t="shared" si="65"/>
        <v>0.21199999999999988</v>
      </c>
      <c r="DU69" s="307">
        <f t="shared" si="58"/>
        <v>0.57999999999999852</v>
      </c>
      <c r="DV69" s="90">
        <f t="shared" si="77"/>
        <v>0.16271351893793001</v>
      </c>
      <c r="DW69" s="90">
        <f t="shared" si="78"/>
        <v>0.16271351893793001</v>
      </c>
      <c r="DX69" s="90">
        <f t="shared" si="61"/>
        <v>34</v>
      </c>
      <c r="DY69" s="308">
        <f t="shared" si="62"/>
        <v>0.21199999999999944</v>
      </c>
    </row>
    <row r="70" spans="28:129" ht="12" customHeight="1" x14ac:dyDescent="0.2">
      <c r="AB70" s="554"/>
      <c r="BN70" s="268" t="s">
        <v>258</v>
      </c>
      <c r="BO70" s="305">
        <f>IF(BO53&gt;(BO52+1),BO68,BO69)</f>
        <v>0.3572948005052482</v>
      </c>
      <c r="BQ70" s="154">
        <f>IF(BP53&gt;(BP52+1),BQ68,BQ69)</f>
        <v>0.26817495822536841</v>
      </c>
      <c r="BS70" s="435" t="str">
        <f t="shared" si="90"/>
        <v/>
      </c>
      <c r="BT70" s="290">
        <v>26</v>
      </c>
      <c r="BU70" s="90"/>
      <c r="BV70" s="90"/>
      <c r="BW70" s="90" t="str">
        <f>IF(AND(BW33&lt;&gt;"",$BV33=$BV$44),BW33,"")</f>
        <v/>
      </c>
      <c r="BX70" s="90" t="str">
        <f t="shared" ref="BX70:CI70" si="120">IF(AND(BX33&lt;&gt;"",$BV33=$BV$44),BX33,"")</f>
        <v/>
      </c>
      <c r="BY70" s="90" t="str">
        <f t="shared" si="120"/>
        <v/>
      </c>
      <c r="BZ70" s="90" t="e">
        <f t="shared" si="92"/>
        <v>#N/A</v>
      </c>
      <c r="CA70" s="90" t="e">
        <f t="shared" si="93"/>
        <v>#N/A</v>
      </c>
      <c r="CB70" s="90" t="e">
        <f t="shared" si="94"/>
        <v>#N/A</v>
      </c>
      <c r="CC70" s="127" t="str">
        <f t="shared" si="120"/>
        <v/>
      </c>
      <c r="CD70" s="127" t="str">
        <f t="shared" si="120"/>
        <v/>
      </c>
      <c r="CE70" s="90" t="str">
        <f t="shared" si="120"/>
        <v/>
      </c>
      <c r="CF70" s="90" t="str">
        <f t="shared" si="79"/>
        <v/>
      </c>
      <c r="CG70" s="90" t="str">
        <f t="shared" si="120"/>
        <v/>
      </c>
      <c r="CH70" s="90" t="str">
        <f t="shared" si="120"/>
        <v/>
      </c>
      <c r="CI70" s="90" t="str">
        <f t="shared" si="120"/>
        <v/>
      </c>
      <c r="CJ70" s="90" t="str">
        <f t="shared" si="95"/>
        <v/>
      </c>
      <c r="CK70" s="90" t="str">
        <f t="shared" si="96"/>
        <v/>
      </c>
      <c r="CL70" s="113" t="str">
        <f t="shared" si="97"/>
        <v/>
      </c>
      <c r="CM70" s="106" t="e">
        <f t="shared" si="80"/>
        <v>#N/A</v>
      </c>
      <c r="CN70" s="90" t="e">
        <f t="shared" si="81"/>
        <v>#N/A</v>
      </c>
      <c r="CO70" s="90" t="e">
        <f t="shared" si="82"/>
        <v>#N/A</v>
      </c>
      <c r="CP70" s="90" t="e">
        <f t="shared" si="83"/>
        <v>#N/A</v>
      </c>
      <c r="CQ70" s="90" t="e">
        <f t="shared" si="84"/>
        <v>#N/A</v>
      </c>
      <c r="CR70" s="90" t="e">
        <f t="shared" si="85"/>
        <v>#N/A</v>
      </c>
      <c r="CS70" s="90" t="e">
        <f t="shared" si="86"/>
        <v>#N/A</v>
      </c>
      <c r="CT70" s="90" t="e">
        <f t="shared" si="87"/>
        <v>#N/A</v>
      </c>
      <c r="CU70" s="113" t="e">
        <f t="shared" si="88"/>
        <v>#N/A</v>
      </c>
      <c r="CV70" s="90">
        <f t="shared" si="89"/>
        <v>26</v>
      </c>
      <c r="CW70" s="308">
        <v>26</v>
      </c>
      <c r="CX70" s="102"/>
      <c r="CY70" s="102"/>
      <c r="CZ70" s="102"/>
      <c r="DA70" s="102"/>
      <c r="DB70" s="102"/>
      <c r="DC70" s="102"/>
      <c r="DD70" s="102"/>
      <c r="DE70" s="102"/>
      <c r="DF70" s="102"/>
      <c r="DG70" s="102"/>
      <c r="DH70" s="102"/>
      <c r="DI70" s="307">
        <v>59</v>
      </c>
      <c r="DJ70" s="90">
        <f t="shared" si="50"/>
        <v>0.59000000000000008</v>
      </c>
      <c r="DK70" s="90">
        <f t="shared" si="71"/>
        <v>6.1789429599979913E-2</v>
      </c>
      <c r="DL70" s="90" t="e">
        <f t="shared" si="72"/>
        <v>#N/A</v>
      </c>
      <c r="DM70" s="90">
        <f t="shared" si="73"/>
        <v>6.1789429599979913E-2</v>
      </c>
      <c r="DN70" s="90">
        <f t="shared" si="74"/>
        <v>32</v>
      </c>
      <c r="DO70" s="308">
        <f t="shared" si="51"/>
        <v>0.21600000000000005</v>
      </c>
      <c r="DP70" s="307">
        <f t="shared" si="63"/>
        <v>0.58999999999999964</v>
      </c>
      <c r="DQ70" s="90">
        <f t="shared" si="75"/>
        <v>6.4874164507536533E-3</v>
      </c>
      <c r="DR70" s="90">
        <f t="shared" si="76"/>
        <v>6.4874164507536533E-3</v>
      </c>
      <c r="DS70" s="90">
        <f t="shared" si="64"/>
        <v>33</v>
      </c>
      <c r="DT70" s="308">
        <f t="shared" si="65"/>
        <v>0.21599999999999989</v>
      </c>
      <c r="DU70" s="307">
        <f t="shared" si="58"/>
        <v>0.58999999999999841</v>
      </c>
      <c r="DV70" s="90">
        <f t="shared" si="77"/>
        <v>0.163997318386288</v>
      </c>
      <c r="DW70" s="90">
        <f t="shared" si="78"/>
        <v>0.163997318386288</v>
      </c>
      <c r="DX70" s="90">
        <f t="shared" si="61"/>
        <v>34</v>
      </c>
      <c r="DY70" s="308">
        <f t="shared" si="62"/>
        <v>0.21599999999999939</v>
      </c>
    </row>
    <row r="71" spans="28:129" ht="12" customHeight="1" x14ac:dyDescent="0.2">
      <c r="AB71" s="554"/>
      <c r="BN71" s="268" t="s">
        <v>345</v>
      </c>
      <c r="BO71" s="113">
        <f>EXP(0.5*LN(BO53/BO52)-NORMSINV((100+$M$2)/200)*BO70)</f>
        <v>0.5381772373562973</v>
      </c>
      <c r="BQ71" s="90">
        <f>EXP(0.5*LN(BP53/BP52)-NORMSINV((100+$M$2)/200)*BQ70)</f>
        <v>0.571296889410569</v>
      </c>
      <c r="BS71" s="290" t="str">
        <f t="shared" si="90"/>
        <v/>
      </c>
      <c r="BT71" s="290">
        <v>27</v>
      </c>
      <c r="BU71" s="90"/>
      <c r="BV71" s="90"/>
      <c r="BW71" s="90" t="str">
        <f>IF(AND(BW34&lt;&gt;"",$BV34=$BV$44),BW34,"")</f>
        <v/>
      </c>
      <c r="BX71" s="90" t="str">
        <f t="shared" ref="BX71:BY74" si="121">IF(AND(BX34&lt;&gt;"",$BV34=$BV$44),BX34,"")</f>
        <v/>
      </c>
      <c r="BY71" s="90" t="str">
        <f t="shared" si="121"/>
        <v/>
      </c>
      <c r="BZ71" s="90" t="e">
        <f t="shared" si="92"/>
        <v>#N/A</v>
      </c>
      <c r="CA71" s="90" t="e">
        <f t="shared" si="93"/>
        <v>#N/A</v>
      </c>
      <c r="CB71" s="90" t="e">
        <f t="shared" si="94"/>
        <v>#N/A</v>
      </c>
      <c r="CC71" s="127" t="str">
        <f t="shared" ref="CC71:CE74" si="122">IF(AND(CC34&lt;&gt;"",$BV34=$BV$44),CC34,"")</f>
        <v/>
      </c>
      <c r="CD71" s="127" t="str">
        <f t="shared" si="122"/>
        <v/>
      </c>
      <c r="CE71" s="90" t="str">
        <f t="shared" si="122"/>
        <v/>
      </c>
      <c r="CF71" s="90" t="str">
        <f t="shared" si="79"/>
        <v/>
      </c>
      <c r="CG71" s="90" t="str">
        <f t="shared" ref="CG71:CI74" si="123">IF(AND(CG34&lt;&gt;"",$BV34=$BV$44),CG34,"")</f>
        <v/>
      </c>
      <c r="CH71" s="90" t="str">
        <f t="shared" si="123"/>
        <v/>
      </c>
      <c r="CI71" s="90" t="str">
        <f t="shared" si="123"/>
        <v/>
      </c>
      <c r="CJ71" s="90" t="str">
        <f t="shared" si="95"/>
        <v/>
      </c>
      <c r="CK71" s="90" t="str">
        <f t="shared" si="96"/>
        <v/>
      </c>
      <c r="CL71" s="113" t="str">
        <f t="shared" si="97"/>
        <v/>
      </c>
      <c r="CM71" s="106" t="e">
        <f t="shared" si="80"/>
        <v>#N/A</v>
      </c>
      <c r="CN71" s="90" t="e">
        <f t="shared" si="81"/>
        <v>#N/A</v>
      </c>
      <c r="CO71" s="90" t="e">
        <f t="shared" si="82"/>
        <v>#N/A</v>
      </c>
      <c r="CP71" s="90" t="e">
        <f t="shared" si="83"/>
        <v>#N/A</v>
      </c>
      <c r="CQ71" s="90" t="e">
        <f t="shared" si="84"/>
        <v>#N/A</v>
      </c>
      <c r="CR71" s="90" t="e">
        <f t="shared" si="85"/>
        <v>#N/A</v>
      </c>
      <c r="CS71" s="90" t="e">
        <f t="shared" si="86"/>
        <v>#N/A</v>
      </c>
      <c r="CT71" s="90" t="e">
        <f t="shared" si="87"/>
        <v>#N/A</v>
      </c>
      <c r="CU71" s="113" t="e">
        <f t="shared" si="88"/>
        <v>#N/A</v>
      </c>
      <c r="CV71" s="90">
        <f t="shared" si="89"/>
        <v>27</v>
      </c>
      <c r="CW71" s="308">
        <v>27</v>
      </c>
      <c r="CX71" s="102"/>
      <c r="CY71" s="102"/>
      <c r="CZ71" s="102"/>
      <c r="DA71" s="102"/>
      <c r="DB71" s="102"/>
      <c r="DC71" s="102"/>
      <c r="DD71" s="102"/>
      <c r="DE71" s="102"/>
      <c r="DF71" s="102"/>
      <c r="DG71" s="102"/>
      <c r="DH71" s="102"/>
      <c r="DI71" s="307">
        <v>60</v>
      </c>
      <c r="DJ71" s="90">
        <f t="shared" si="50"/>
        <v>0.60000000000000009</v>
      </c>
      <c r="DK71" s="90">
        <f t="shared" si="71"/>
        <v>6.2582768501073874E-2</v>
      </c>
      <c r="DL71" s="90" t="e">
        <f t="shared" si="72"/>
        <v>#N/A</v>
      </c>
      <c r="DM71" s="90">
        <f t="shared" si="73"/>
        <v>6.2582768501073874E-2</v>
      </c>
      <c r="DN71" s="90">
        <f t="shared" si="74"/>
        <v>32</v>
      </c>
      <c r="DO71" s="308">
        <f t="shared" si="51"/>
        <v>0.22000000000000006</v>
      </c>
      <c r="DP71" s="307">
        <f t="shared" si="63"/>
        <v>0.59999999999999964</v>
      </c>
      <c r="DQ71" s="90">
        <f t="shared" si="75"/>
        <v>7.1203326638941671E-3</v>
      </c>
      <c r="DR71" s="90">
        <f t="shared" si="76"/>
        <v>7.1203326638941671E-3</v>
      </c>
      <c r="DS71" s="90">
        <f t="shared" si="64"/>
        <v>33</v>
      </c>
      <c r="DT71" s="308">
        <f t="shared" si="65"/>
        <v>0.21999999999999989</v>
      </c>
      <c r="DU71" s="307">
        <f t="shared" si="58"/>
        <v>0.59999999999999831</v>
      </c>
      <c r="DV71" s="90">
        <f t="shared" si="77"/>
        <v>0.165281117834646</v>
      </c>
      <c r="DW71" s="90">
        <f t="shared" si="78"/>
        <v>0.165281117834646</v>
      </c>
      <c r="DX71" s="90">
        <f t="shared" si="61"/>
        <v>34</v>
      </c>
      <c r="DY71" s="308">
        <f t="shared" si="62"/>
        <v>0.21999999999999933</v>
      </c>
    </row>
    <row r="72" spans="28:129" ht="12" customHeight="1" x14ac:dyDescent="0.2">
      <c r="BN72" s="268" t="s">
        <v>346</v>
      </c>
      <c r="BO72" s="113">
        <f>EXP(0.5*LN(BO53/BO52)+NORMSINV((100+$M$2)/200)*BO70)</f>
        <v>2.1836603886734776</v>
      </c>
      <c r="BQ72" s="90">
        <f>EXP(0.5*LN(BP53/BP52)+NORMSINV((100+$M$2)/200)*BQ70)</f>
        <v>1.6345707985102516</v>
      </c>
      <c r="BS72" s="290" t="str">
        <f t="shared" si="90"/>
        <v/>
      </c>
      <c r="BT72" s="290">
        <v>28</v>
      </c>
      <c r="BU72" s="90"/>
      <c r="BV72" s="90"/>
      <c r="BW72" s="90" t="str">
        <f>IF(AND(BW35&lt;&gt;"",$BV35=$BV$44),BW35,"")</f>
        <v/>
      </c>
      <c r="BX72" s="90" t="str">
        <f t="shared" si="121"/>
        <v/>
      </c>
      <c r="BY72" s="90" t="str">
        <f t="shared" si="121"/>
        <v/>
      </c>
      <c r="BZ72" s="90" t="e">
        <f t="shared" si="92"/>
        <v>#N/A</v>
      </c>
      <c r="CA72" s="90" t="e">
        <f t="shared" si="93"/>
        <v>#N/A</v>
      </c>
      <c r="CB72" s="90" t="e">
        <f t="shared" si="94"/>
        <v>#N/A</v>
      </c>
      <c r="CC72" s="127" t="str">
        <f t="shared" si="122"/>
        <v/>
      </c>
      <c r="CD72" s="127" t="str">
        <f t="shared" si="122"/>
        <v/>
      </c>
      <c r="CE72" s="90" t="str">
        <f t="shared" si="122"/>
        <v/>
      </c>
      <c r="CF72" s="90" t="str">
        <f t="shared" si="79"/>
        <v/>
      </c>
      <c r="CG72" s="90" t="str">
        <f t="shared" si="123"/>
        <v/>
      </c>
      <c r="CH72" s="90" t="str">
        <f t="shared" si="123"/>
        <v/>
      </c>
      <c r="CI72" s="90" t="str">
        <f t="shared" si="123"/>
        <v/>
      </c>
      <c r="CJ72" s="90" t="str">
        <f t="shared" si="95"/>
        <v/>
      </c>
      <c r="CK72" s="90" t="str">
        <f t="shared" si="96"/>
        <v/>
      </c>
      <c r="CL72" s="113" t="str">
        <f t="shared" si="97"/>
        <v/>
      </c>
      <c r="CM72" s="106" t="e">
        <f t="shared" si="80"/>
        <v>#N/A</v>
      </c>
      <c r="CN72" s="90" t="e">
        <f t="shared" si="81"/>
        <v>#N/A</v>
      </c>
      <c r="CO72" s="90" t="e">
        <f t="shared" si="82"/>
        <v>#N/A</v>
      </c>
      <c r="CP72" s="90" t="e">
        <f t="shared" si="83"/>
        <v>#N/A</v>
      </c>
      <c r="CQ72" s="90" t="e">
        <f t="shared" si="84"/>
        <v>#N/A</v>
      </c>
      <c r="CR72" s="90" t="e">
        <f t="shared" si="85"/>
        <v>#N/A</v>
      </c>
      <c r="CS72" s="90" t="e">
        <f t="shared" si="86"/>
        <v>#N/A</v>
      </c>
      <c r="CT72" s="90" t="e">
        <f t="shared" si="87"/>
        <v>#N/A</v>
      </c>
      <c r="CU72" s="113" t="e">
        <f t="shared" si="88"/>
        <v>#N/A</v>
      </c>
      <c r="CV72" s="90">
        <f t="shared" si="89"/>
        <v>28</v>
      </c>
      <c r="CW72" s="308">
        <v>28</v>
      </c>
      <c r="CX72" s="102"/>
      <c r="CY72" s="102"/>
      <c r="CZ72" s="102"/>
      <c r="DA72" s="102"/>
      <c r="DB72" s="102"/>
      <c r="DC72" s="102"/>
      <c r="DD72" s="102"/>
      <c r="DE72" s="102"/>
      <c r="DF72" s="102"/>
      <c r="DG72" s="102"/>
      <c r="DH72" s="102"/>
      <c r="DI72" s="307">
        <v>61</v>
      </c>
      <c r="DJ72" s="90">
        <f t="shared" si="50"/>
        <v>0.6100000000000001</v>
      </c>
      <c r="DK72" s="90">
        <f t="shared" si="71"/>
        <v>6.3376107402167828E-2</v>
      </c>
      <c r="DL72" s="90" t="e">
        <f t="shared" si="72"/>
        <v>#N/A</v>
      </c>
      <c r="DM72" s="90">
        <f t="shared" si="73"/>
        <v>6.3376107402167828E-2</v>
      </c>
      <c r="DN72" s="90">
        <f t="shared" si="74"/>
        <v>32</v>
      </c>
      <c r="DO72" s="308">
        <f t="shared" si="51"/>
        <v>0.22400000000000006</v>
      </c>
      <c r="DP72" s="307">
        <f t="shared" si="63"/>
        <v>0.60999999999999965</v>
      </c>
      <c r="DQ72" s="90">
        <f t="shared" si="75"/>
        <v>7.7532488770346809E-3</v>
      </c>
      <c r="DR72" s="90">
        <f t="shared" si="76"/>
        <v>7.7532488770346809E-3</v>
      </c>
      <c r="DS72" s="90">
        <f t="shared" si="64"/>
        <v>33</v>
      </c>
      <c r="DT72" s="308">
        <f t="shared" si="65"/>
        <v>0.22399999999999989</v>
      </c>
      <c r="DU72" s="307">
        <f t="shared" si="58"/>
        <v>0.60999999999999832</v>
      </c>
      <c r="DV72" s="90">
        <f t="shared" si="77"/>
        <v>0.16656491728300399</v>
      </c>
      <c r="DW72" s="90">
        <f t="shared" si="78"/>
        <v>0.16656491728300399</v>
      </c>
      <c r="DX72" s="90">
        <f t="shared" si="61"/>
        <v>34</v>
      </c>
      <c r="DY72" s="308">
        <f t="shared" si="62"/>
        <v>0.22399999999999934</v>
      </c>
    </row>
    <row r="73" spans="28:129" ht="12" customHeight="1" x14ac:dyDescent="0.2">
      <c r="BN73" s="268" t="s">
        <v>347</v>
      </c>
      <c r="BO73" s="113">
        <f>MAX(0,BO52*(BO71^2-1)/BO55)</f>
        <v>0</v>
      </c>
      <c r="BQ73" s="90">
        <f>MAX(0,BP52*(BQ71^2-1)/BP55)</f>
        <v>0</v>
      </c>
      <c r="BS73" s="290" t="str">
        <f t="shared" si="90"/>
        <v/>
      </c>
      <c r="BT73" s="290">
        <v>29</v>
      </c>
      <c r="BU73" s="90"/>
      <c r="BV73" s="90"/>
      <c r="BW73" s="90" t="str">
        <f>IF(AND(BW36&lt;&gt;"",$BV36=$BV$44),BW36,"")</f>
        <v/>
      </c>
      <c r="BX73" s="90" t="str">
        <f t="shared" si="121"/>
        <v/>
      </c>
      <c r="BY73" s="90" t="str">
        <f t="shared" si="121"/>
        <v/>
      </c>
      <c r="BZ73" s="90" t="e">
        <f t="shared" si="92"/>
        <v>#N/A</v>
      </c>
      <c r="CA73" s="90" t="e">
        <f t="shared" si="93"/>
        <v>#N/A</v>
      </c>
      <c r="CB73" s="90" t="e">
        <f t="shared" si="94"/>
        <v>#N/A</v>
      </c>
      <c r="CC73" s="127" t="str">
        <f t="shared" si="122"/>
        <v/>
      </c>
      <c r="CD73" s="127" t="str">
        <f t="shared" si="122"/>
        <v/>
      </c>
      <c r="CE73" s="90" t="str">
        <f t="shared" si="122"/>
        <v/>
      </c>
      <c r="CF73" s="90" t="str">
        <f t="shared" si="79"/>
        <v/>
      </c>
      <c r="CG73" s="90" t="str">
        <f t="shared" si="123"/>
        <v/>
      </c>
      <c r="CH73" s="90" t="str">
        <f t="shared" si="123"/>
        <v/>
      </c>
      <c r="CI73" s="90" t="str">
        <f t="shared" si="123"/>
        <v/>
      </c>
      <c r="CJ73" s="90" t="str">
        <f t="shared" si="95"/>
        <v/>
      </c>
      <c r="CK73" s="90" t="str">
        <f t="shared" si="96"/>
        <v/>
      </c>
      <c r="CL73" s="113" t="str">
        <f t="shared" si="97"/>
        <v/>
      </c>
      <c r="CM73" s="106" t="e">
        <f t="shared" si="80"/>
        <v>#N/A</v>
      </c>
      <c r="CN73" s="90" t="e">
        <f t="shared" si="81"/>
        <v>#N/A</v>
      </c>
      <c r="CO73" s="90" t="e">
        <f t="shared" si="82"/>
        <v>#N/A</v>
      </c>
      <c r="CP73" s="90" t="e">
        <f t="shared" si="83"/>
        <v>#N/A</v>
      </c>
      <c r="CQ73" s="90" t="e">
        <f t="shared" si="84"/>
        <v>#N/A</v>
      </c>
      <c r="CR73" s="90" t="e">
        <f t="shared" si="85"/>
        <v>#N/A</v>
      </c>
      <c r="CS73" s="90" t="e">
        <f t="shared" si="86"/>
        <v>#N/A</v>
      </c>
      <c r="CT73" s="90" t="e">
        <f t="shared" si="87"/>
        <v>#N/A</v>
      </c>
      <c r="CU73" s="113" t="e">
        <f t="shared" si="88"/>
        <v>#N/A</v>
      </c>
      <c r="CV73" s="90">
        <f t="shared" si="89"/>
        <v>29</v>
      </c>
      <c r="CW73" s="308">
        <v>29</v>
      </c>
      <c r="CX73" s="102"/>
      <c r="CY73" s="102"/>
      <c r="CZ73" s="102"/>
      <c r="DA73" s="102"/>
      <c r="DB73" s="102"/>
      <c r="DC73" s="102"/>
      <c r="DD73" s="102"/>
      <c r="DE73" s="102"/>
      <c r="DF73" s="102"/>
      <c r="DG73" s="102"/>
      <c r="DH73" s="102"/>
      <c r="DI73" s="307">
        <v>62</v>
      </c>
      <c r="DJ73" s="90">
        <f t="shared" si="50"/>
        <v>0.61999999999999988</v>
      </c>
      <c r="DK73" s="90">
        <f t="shared" si="71"/>
        <v>6.4169446303261782E-2</v>
      </c>
      <c r="DL73" s="90" t="e">
        <f t="shared" si="72"/>
        <v>#N/A</v>
      </c>
      <c r="DM73" s="90">
        <f t="shared" si="73"/>
        <v>6.4169446303261782E-2</v>
      </c>
      <c r="DN73" s="90">
        <f t="shared" si="74"/>
        <v>32</v>
      </c>
      <c r="DO73" s="308">
        <f t="shared" si="51"/>
        <v>0.22799999999999998</v>
      </c>
      <c r="DP73" s="307">
        <f t="shared" si="63"/>
        <v>0.61999999999999966</v>
      </c>
      <c r="DQ73" s="90">
        <f t="shared" si="75"/>
        <v>8.3861650901751947E-3</v>
      </c>
      <c r="DR73" s="90">
        <f t="shared" si="76"/>
        <v>8.3861650901751947E-3</v>
      </c>
      <c r="DS73" s="90">
        <f t="shared" si="64"/>
        <v>33</v>
      </c>
      <c r="DT73" s="308">
        <f t="shared" si="65"/>
        <v>0.2279999999999999</v>
      </c>
      <c r="DU73" s="307">
        <f t="shared" si="58"/>
        <v>0.61999999999999822</v>
      </c>
      <c r="DV73" s="90">
        <f t="shared" si="77"/>
        <v>0.16784871673136198</v>
      </c>
      <c r="DW73" s="90">
        <f t="shared" si="78"/>
        <v>0.16784871673136198</v>
      </c>
      <c r="DX73" s="90">
        <f t="shared" si="61"/>
        <v>34</v>
      </c>
      <c r="DY73" s="308">
        <f t="shared" si="62"/>
        <v>0.22799999999999931</v>
      </c>
    </row>
    <row r="74" spans="28:129" ht="12" customHeight="1" x14ac:dyDescent="0.2">
      <c r="BN74" s="268" t="s">
        <v>348</v>
      </c>
      <c r="BO74" s="113">
        <f>MAX(0,BO52*(BO72^2-1)/BO55)</f>
        <v>2.792339798314801E-2</v>
      </c>
      <c r="BQ74" s="90">
        <f>MAX(0,BP52*(BQ72^2-1)/BP55)</f>
        <v>1.6011413150907913E-2</v>
      </c>
      <c r="BS74" s="124" t="str">
        <f t="shared" si="90"/>
        <v/>
      </c>
      <c r="BT74" s="124">
        <v>30</v>
      </c>
      <c r="BU74" s="79"/>
      <c r="BV74" s="79"/>
      <c r="BW74" s="79" t="str">
        <f>IF(AND(BW37&lt;&gt;"",$BV37=$BV$44),BW37,"")</f>
        <v/>
      </c>
      <c r="BX74" s="79" t="str">
        <f t="shared" si="121"/>
        <v/>
      </c>
      <c r="BY74" s="79" t="str">
        <f t="shared" si="121"/>
        <v/>
      </c>
      <c r="BZ74" s="79" t="e">
        <f t="shared" si="92"/>
        <v>#N/A</v>
      </c>
      <c r="CA74" s="79" t="e">
        <f t="shared" si="93"/>
        <v>#N/A</v>
      </c>
      <c r="CB74" s="79" t="e">
        <f t="shared" si="94"/>
        <v>#N/A</v>
      </c>
      <c r="CC74" s="225" t="str">
        <f t="shared" si="122"/>
        <v/>
      </c>
      <c r="CD74" s="225" t="str">
        <f t="shared" si="122"/>
        <v/>
      </c>
      <c r="CE74" s="79" t="str">
        <f t="shared" si="122"/>
        <v/>
      </c>
      <c r="CF74" s="79" t="str">
        <f t="shared" si="79"/>
        <v/>
      </c>
      <c r="CG74" s="79" t="str">
        <f t="shared" si="123"/>
        <v/>
      </c>
      <c r="CH74" s="79" t="str">
        <f t="shared" si="123"/>
        <v/>
      </c>
      <c r="CI74" s="79" t="str">
        <f t="shared" si="123"/>
        <v/>
      </c>
      <c r="CJ74" s="79" t="str">
        <f t="shared" si="95"/>
        <v/>
      </c>
      <c r="CK74" s="79" t="str">
        <f t="shared" si="96"/>
        <v/>
      </c>
      <c r="CL74" s="109" t="str">
        <f t="shared" si="97"/>
        <v/>
      </c>
      <c r="CM74" s="207" t="e">
        <f t="shared" si="80"/>
        <v>#N/A</v>
      </c>
      <c r="CN74" s="79" t="e">
        <f t="shared" si="81"/>
        <v>#N/A</v>
      </c>
      <c r="CO74" s="79" t="e">
        <f t="shared" si="82"/>
        <v>#N/A</v>
      </c>
      <c r="CP74" s="79" t="e">
        <f t="shared" si="83"/>
        <v>#N/A</v>
      </c>
      <c r="CQ74" s="79" t="e">
        <f t="shared" si="84"/>
        <v>#N/A</v>
      </c>
      <c r="CR74" s="79" t="e">
        <f t="shared" si="85"/>
        <v>#N/A</v>
      </c>
      <c r="CS74" s="79" t="e">
        <f t="shared" si="86"/>
        <v>#N/A</v>
      </c>
      <c r="CT74" s="79" t="e">
        <f t="shared" si="87"/>
        <v>#N/A</v>
      </c>
      <c r="CU74" s="109" t="e">
        <f t="shared" si="88"/>
        <v>#N/A</v>
      </c>
      <c r="CV74" s="79">
        <f t="shared" si="89"/>
        <v>30</v>
      </c>
      <c r="CW74" s="551">
        <v>30</v>
      </c>
      <c r="CX74" s="102"/>
      <c r="CY74" s="102"/>
      <c r="CZ74" s="102"/>
      <c r="DA74" s="102"/>
      <c r="DB74" s="102"/>
      <c r="DC74" s="102"/>
      <c r="DD74" s="102"/>
      <c r="DE74" s="102"/>
      <c r="DF74" s="102"/>
      <c r="DG74" s="102"/>
      <c r="DH74" s="102"/>
      <c r="DI74" s="307">
        <v>63</v>
      </c>
      <c r="DJ74" s="90">
        <f t="shared" si="50"/>
        <v>0.62999999999999989</v>
      </c>
      <c r="DK74" s="90">
        <f t="shared" si="71"/>
        <v>6.4962785204355736E-2</v>
      </c>
      <c r="DL74" s="90" t="e">
        <f t="shared" si="72"/>
        <v>#N/A</v>
      </c>
      <c r="DM74" s="90">
        <f t="shared" si="73"/>
        <v>6.4962785204355736E-2</v>
      </c>
      <c r="DN74" s="90">
        <f t="shared" si="74"/>
        <v>32</v>
      </c>
      <c r="DO74" s="308">
        <f t="shared" si="51"/>
        <v>0.23199999999999996</v>
      </c>
      <c r="DP74" s="307">
        <f t="shared" si="63"/>
        <v>0.62999999999999967</v>
      </c>
      <c r="DQ74" s="90">
        <f t="shared" si="75"/>
        <v>9.0190813033157076E-3</v>
      </c>
      <c r="DR74" s="90">
        <f t="shared" si="76"/>
        <v>9.0190813033157076E-3</v>
      </c>
      <c r="DS74" s="90">
        <f t="shared" si="64"/>
        <v>33</v>
      </c>
      <c r="DT74" s="308">
        <f t="shared" si="65"/>
        <v>0.2319999999999999</v>
      </c>
      <c r="DU74" s="307">
        <f t="shared" si="58"/>
        <v>0.62999999999999812</v>
      </c>
      <c r="DV74" s="90">
        <f t="shared" si="77"/>
        <v>0.16913251617971997</v>
      </c>
      <c r="DW74" s="90">
        <f t="shared" si="78"/>
        <v>0.16913251617971997</v>
      </c>
      <c r="DX74" s="90">
        <f t="shared" si="61"/>
        <v>34</v>
      </c>
      <c r="DY74" s="308">
        <f t="shared" si="62"/>
        <v>0.23199999999999929</v>
      </c>
    </row>
    <row r="75" spans="28:129" ht="12" customHeight="1" x14ac:dyDescent="0.2">
      <c r="BN75" s="268" t="s">
        <v>349</v>
      </c>
      <c r="BO75" s="113">
        <f>SQRT(BO73)</f>
        <v>0</v>
      </c>
      <c r="BQ75" s="50">
        <f>SQRT(BQ73)</f>
        <v>0</v>
      </c>
      <c r="BS75" s="465">
        <f>SUM(BS45:BS74)</f>
        <v>100</v>
      </c>
      <c r="BY75" s="562" t="s">
        <v>315</v>
      </c>
      <c r="BZ75" s="50">
        <f>J40</f>
        <v>3.2436981189514734E-2</v>
      </c>
      <c r="CA75" s="1">
        <v>33</v>
      </c>
      <c r="CB75" s="435" t="s">
        <v>299</v>
      </c>
      <c r="CD75" s="563" t="s">
        <v>325</v>
      </c>
      <c r="CE75" s="408">
        <f t="shared" ref="CE75:CL75" si="124">SUM(CE45:CE74)</f>
        <v>958.96717149300207</v>
      </c>
      <c r="CF75" s="408">
        <f t="shared" si="124"/>
        <v>958.96717149300207</v>
      </c>
      <c r="CG75" s="271">
        <f t="shared" si="124"/>
        <v>31.10600010308066</v>
      </c>
      <c r="CH75" s="271">
        <f t="shared" si="124"/>
        <v>272536.02528438461</v>
      </c>
      <c r="CI75" s="271">
        <f t="shared" si="124"/>
        <v>6.8849663167280237</v>
      </c>
      <c r="CJ75" s="271">
        <f t="shared" si="124"/>
        <v>8.7884540069253711E-2</v>
      </c>
      <c r="CK75" s="271">
        <f t="shared" si="124"/>
        <v>958.96717149300207</v>
      </c>
      <c r="CL75" s="564">
        <f t="shared" si="124"/>
        <v>31.10600010308066</v>
      </c>
      <c r="DI75" s="307">
        <v>64</v>
      </c>
      <c r="DJ75" s="90">
        <f t="shared" ref="DJ75:DJ138" si="125">1-ABS($BZ$38-DM75)/$CB$39</f>
        <v>0.63999999999999968</v>
      </c>
      <c r="DK75" s="90">
        <f t="shared" si="71"/>
        <v>6.575612410544969E-2</v>
      </c>
      <c r="DL75" s="90" t="e">
        <f t="shared" si="72"/>
        <v>#N/A</v>
      </c>
      <c r="DM75" s="90">
        <f t="shared" si="73"/>
        <v>6.575612410544969E-2</v>
      </c>
      <c r="DN75" s="90">
        <f t="shared" si="74"/>
        <v>32</v>
      </c>
      <c r="DO75" s="308">
        <f t="shared" ref="DO75:DO138" si="126">MAX($DL$3*DJ75-$DL$9,0)</f>
        <v>0.2359999999999999</v>
      </c>
      <c r="DP75" s="307">
        <f t="shared" si="63"/>
        <v>0.63999999999999968</v>
      </c>
      <c r="DQ75" s="90">
        <f t="shared" si="75"/>
        <v>9.6519975164562205E-3</v>
      </c>
      <c r="DR75" s="90">
        <f t="shared" si="76"/>
        <v>9.6519975164562205E-3</v>
      </c>
      <c r="DS75" s="90">
        <f t="shared" si="64"/>
        <v>33</v>
      </c>
      <c r="DT75" s="308">
        <f t="shared" si="65"/>
        <v>0.2359999999999999</v>
      </c>
      <c r="DU75" s="307">
        <f t="shared" si="58"/>
        <v>0.63999999999999813</v>
      </c>
      <c r="DV75" s="90">
        <f t="shared" si="77"/>
        <v>0.17041631562807796</v>
      </c>
      <c r="DW75" s="90">
        <f t="shared" si="78"/>
        <v>0.17041631562807796</v>
      </c>
      <c r="DX75" s="90">
        <f t="shared" si="61"/>
        <v>34</v>
      </c>
      <c r="DY75" s="308">
        <f t="shared" si="62"/>
        <v>0.23599999999999929</v>
      </c>
    </row>
    <row r="76" spans="28:129" ht="12" customHeight="1" x14ac:dyDescent="0.2">
      <c r="BN76" s="107" t="s">
        <v>350</v>
      </c>
      <c r="BO76" s="109">
        <f>SQRT(BO74)</f>
        <v>0.1671029562370098</v>
      </c>
      <c r="BQ76" s="90">
        <f>SQRT(BQ74)</f>
        <v>0.12653621280450872</v>
      </c>
      <c r="BS76" s="90"/>
      <c r="BW76" s="581">
        <f>IF($BY76&lt;&gt;"",J40,"")</f>
        <v>3.2436981189514734E-2</v>
      </c>
      <c r="BX76" s="582">
        <f>IF($BY76&lt;&gt;"",L40,"")</f>
        <v>0</v>
      </c>
      <c r="BY76" s="484">
        <f>IF(J40&lt;&gt;"", (J40)/CE76,"")</f>
        <v>1.004482324495892</v>
      </c>
      <c r="BZ76" s="264" t="e">
        <f>IF(AND($BX$5,$BY$6,$CJ$2),IF(NOT($CG$4),J40,NA()),NA())</f>
        <v>#N/A</v>
      </c>
      <c r="CA76" s="264">
        <v>33</v>
      </c>
      <c r="CB76" s="485">
        <f>IF(BY76&lt;&gt;"",IF(fixedrandom=1,NORMSINV((100+$M$2)/200)*CE76,BO61),NA())</f>
        <v>6.3291621314051361E-2</v>
      </c>
      <c r="CC76" s="237"/>
      <c r="CD76" s="67" t="s">
        <v>316</v>
      </c>
      <c r="CE76" s="238">
        <f>IF($BY$6,SQRT(1/SUM(CE45:CE74)),"")</f>
        <v>3.2292236905008265E-2</v>
      </c>
      <c r="CF76" s="486">
        <f>IF(fixedrandom=1,MAX(CE45:CE74),MAX(CK45:CK74))</f>
        <v>425.17016807979013</v>
      </c>
      <c r="CG76" s="487" t="s">
        <v>296</v>
      </c>
      <c r="DI76" s="307">
        <v>65</v>
      </c>
      <c r="DJ76" s="90">
        <f t="shared" si="125"/>
        <v>0.64999999999999969</v>
      </c>
      <c r="DK76" s="90">
        <f t="shared" ref="DK76:DK107" si="127">IF(AND($BX$5,$CG$4,$CJ$2),DM75+$DL$8,NA())</f>
        <v>6.6549463006543644E-2</v>
      </c>
      <c r="DL76" s="90" t="e">
        <f t="shared" ref="DL76:DL107" si="128">IF(AND(NOT($BX$5),$CG$4),DM75+$DL$8,NA())</f>
        <v>#N/A</v>
      </c>
      <c r="DM76" s="90">
        <f t="shared" ref="DM76:DM107" si="129">IF($CG$4,DM75+$DL$8,NA())</f>
        <v>6.6549463006543644E-2</v>
      </c>
      <c r="DN76" s="90">
        <f t="shared" ref="DN76:DN107" si="130">DN75</f>
        <v>32</v>
      </c>
      <c r="DO76" s="308">
        <f t="shared" si="126"/>
        <v>0.23999999999999991</v>
      </c>
      <c r="DP76" s="307">
        <f t="shared" si="63"/>
        <v>0.64999999999999969</v>
      </c>
      <c r="DQ76" s="90">
        <f t="shared" ref="DQ76:DQ107" si="131">IF(AND($BX$5,$CG$4),DR75+$DQ$8,NA())</f>
        <v>1.0284913729596733E-2</v>
      </c>
      <c r="DR76" s="90">
        <f t="shared" ref="DR76:DR107" si="132">IF($CG$4,DR75+$DQ$8,NA())</f>
        <v>1.0284913729596733E-2</v>
      </c>
      <c r="DS76" s="90">
        <f t="shared" si="64"/>
        <v>33</v>
      </c>
      <c r="DT76" s="308">
        <f t="shared" si="65"/>
        <v>0.23999999999999991</v>
      </c>
      <c r="DU76" s="307">
        <f t="shared" ref="DU76:DU139" si="133">1-ABS($BZ$112-DW76)/$CB$113</f>
        <v>0.64999999999999791</v>
      </c>
      <c r="DV76" s="90">
        <f t="shared" ref="DV76:DV107" si="134">IF(AND($BX$5,$CG$4),DW75+$DV$8,NA())</f>
        <v>0.17170011507643596</v>
      </c>
      <c r="DW76" s="90">
        <f t="shared" ref="DW76:DW107" si="135">IF($CG$4,DW75+$DV$8,NA())</f>
        <v>0.17170011507643596</v>
      </c>
      <c r="DX76" s="90">
        <f t="shared" ref="DX76:DX139" si="136">DX75</f>
        <v>34</v>
      </c>
      <c r="DY76" s="308">
        <f t="shared" ref="DY76:DY139" si="137">MAX($DX$3*DU76-$DV$9,0)</f>
        <v>0.23999999999999919</v>
      </c>
    </row>
    <row r="77" spans="28:129" ht="12" customHeight="1" x14ac:dyDescent="0.2">
      <c r="CA77" s="59" t="s">
        <v>81</v>
      </c>
      <c r="CB77" s="50">
        <f>IF(BY76&lt;&gt;"",BO61/(NORMSINV((100+$M$2)/200)*CE76),NA())</f>
        <v>1</v>
      </c>
      <c r="DI77" s="307">
        <v>66</v>
      </c>
      <c r="DJ77" s="90">
        <f t="shared" si="125"/>
        <v>0.65999999999999959</v>
      </c>
      <c r="DK77" s="90">
        <f t="shared" si="127"/>
        <v>6.7342801907637598E-2</v>
      </c>
      <c r="DL77" s="90" t="e">
        <f t="shared" si="128"/>
        <v>#N/A</v>
      </c>
      <c r="DM77" s="90">
        <f t="shared" si="129"/>
        <v>6.7342801907637598E-2</v>
      </c>
      <c r="DN77" s="90">
        <f t="shared" si="130"/>
        <v>32</v>
      </c>
      <c r="DO77" s="308">
        <f t="shared" si="126"/>
        <v>0.24399999999999986</v>
      </c>
      <c r="DP77" s="307">
        <f t="shared" ref="DP77:DP140" si="138">1-ABS($BZ$75-DR77)/$CB$76</f>
        <v>0.65999999999999959</v>
      </c>
      <c r="DQ77" s="90">
        <f t="shared" si="131"/>
        <v>1.0917829942737246E-2</v>
      </c>
      <c r="DR77" s="90">
        <f t="shared" si="132"/>
        <v>1.0917829942737246E-2</v>
      </c>
      <c r="DS77" s="90">
        <f t="shared" ref="DS77:DS140" si="139">DS76</f>
        <v>33</v>
      </c>
      <c r="DT77" s="308">
        <f t="shared" ref="DT77:DT140" si="140">MAX($DS$3*DP77-$DQ$9,0)</f>
        <v>0.24399999999999986</v>
      </c>
      <c r="DU77" s="307">
        <f t="shared" si="133"/>
        <v>0.65999999999999792</v>
      </c>
      <c r="DV77" s="90">
        <f t="shared" si="134"/>
        <v>0.17298391452479395</v>
      </c>
      <c r="DW77" s="90">
        <f t="shared" si="135"/>
        <v>0.17298391452479395</v>
      </c>
      <c r="DX77" s="90">
        <f t="shared" si="136"/>
        <v>34</v>
      </c>
      <c r="DY77" s="308">
        <f t="shared" si="137"/>
        <v>0.24399999999999919</v>
      </c>
    </row>
    <row r="78" spans="28:129" ht="12" customHeight="1" x14ac:dyDescent="0.2">
      <c r="DI78" s="307">
        <v>67</v>
      </c>
      <c r="DJ78" s="90">
        <f t="shared" si="125"/>
        <v>0.66999999999999948</v>
      </c>
      <c r="DK78" s="90">
        <f t="shared" si="127"/>
        <v>6.8136140808731552E-2</v>
      </c>
      <c r="DL78" s="90" t="e">
        <f t="shared" si="128"/>
        <v>#N/A</v>
      </c>
      <c r="DM78" s="90">
        <f t="shared" si="129"/>
        <v>6.8136140808731552E-2</v>
      </c>
      <c r="DN78" s="90">
        <f t="shared" si="130"/>
        <v>32</v>
      </c>
      <c r="DO78" s="308">
        <f t="shared" si="126"/>
        <v>0.2479999999999998</v>
      </c>
      <c r="DP78" s="307">
        <f t="shared" si="138"/>
        <v>0.6699999999999996</v>
      </c>
      <c r="DQ78" s="90">
        <f t="shared" si="131"/>
        <v>1.1550746155877759E-2</v>
      </c>
      <c r="DR78" s="90">
        <f t="shared" si="132"/>
        <v>1.1550746155877759E-2</v>
      </c>
      <c r="DS78" s="90">
        <f t="shared" si="139"/>
        <v>33</v>
      </c>
      <c r="DT78" s="308">
        <f t="shared" si="140"/>
        <v>0.24799999999999986</v>
      </c>
      <c r="DU78" s="307">
        <f t="shared" si="133"/>
        <v>0.66999999999999782</v>
      </c>
      <c r="DV78" s="90">
        <f t="shared" si="134"/>
        <v>0.17426771397315194</v>
      </c>
      <c r="DW78" s="90">
        <f t="shared" si="135"/>
        <v>0.17426771397315194</v>
      </c>
      <c r="DX78" s="90">
        <f t="shared" si="136"/>
        <v>34</v>
      </c>
      <c r="DY78" s="308">
        <f t="shared" si="137"/>
        <v>0.24799999999999914</v>
      </c>
    </row>
    <row r="79" spans="28:129" ht="12" customHeight="1" x14ac:dyDescent="0.2">
      <c r="BT79" s="565" t="s">
        <v>216</v>
      </c>
      <c r="BU79" s="577"/>
      <c r="BV79" s="566" t="s">
        <v>220</v>
      </c>
      <c r="BW79" s="566"/>
      <c r="BX79" s="566"/>
      <c r="BY79" s="566"/>
      <c r="BZ79" s="566"/>
      <c r="CA79" s="566"/>
      <c r="CB79" s="566"/>
      <c r="CC79" s="566"/>
      <c r="CD79" s="566"/>
      <c r="CE79" s="566"/>
      <c r="CF79" s="567" t="s">
        <v>337</v>
      </c>
      <c r="CG79" s="568"/>
      <c r="CH79" s="568"/>
      <c r="CI79" s="566"/>
      <c r="CJ79" s="566"/>
      <c r="CK79" s="566"/>
      <c r="CL79" s="566"/>
      <c r="CM79" s="566"/>
      <c r="CN79" s="566"/>
      <c r="CO79" s="566"/>
      <c r="CP79" s="566"/>
      <c r="CQ79" s="566"/>
      <c r="CR79" s="566"/>
      <c r="CS79" s="566"/>
      <c r="CT79" s="566"/>
      <c r="CU79" s="566"/>
      <c r="CV79" s="566"/>
      <c r="CW79" s="566"/>
      <c r="DI79" s="307">
        <v>68</v>
      </c>
      <c r="DJ79" s="90">
        <f t="shared" si="125"/>
        <v>0.67999999999999949</v>
      </c>
      <c r="DK79" s="90">
        <f t="shared" si="127"/>
        <v>6.8929479709825506E-2</v>
      </c>
      <c r="DL79" s="90" t="e">
        <f t="shared" si="128"/>
        <v>#N/A</v>
      </c>
      <c r="DM79" s="90">
        <f t="shared" si="129"/>
        <v>6.8929479709825506E-2</v>
      </c>
      <c r="DN79" s="90">
        <f t="shared" si="130"/>
        <v>32</v>
      </c>
      <c r="DO79" s="308">
        <f t="shared" si="126"/>
        <v>0.25199999999999978</v>
      </c>
      <c r="DP79" s="307">
        <f t="shared" si="138"/>
        <v>0.6799999999999996</v>
      </c>
      <c r="DQ79" s="90">
        <f t="shared" si="131"/>
        <v>1.2183662369018272E-2</v>
      </c>
      <c r="DR79" s="90">
        <f t="shared" si="132"/>
        <v>1.2183662369018272E-2</v>
      </c>
      <c r="DS79" s="90">
        <f t="shared" si="139"/>
        <v>33</v>
      </c>
      <c r="DT79" s="308">
        <f t="shared" si="140"/>
        <v>0.25199999999999984</v>
      </c>
      <c r="DU79" s="307">
        <f t="shared" si="133"/>
        <v>0.67999999999999772</v>
      </c>
      <c r="DV79" s="90">
        <f t="shared" si="134"/>
        <v>0.17555151342150993</v>
      </c>
      <c r="DW79" s="90">
        <f t="shared" si="135"/>
        <v>0.17555151342150993</v>
      </c>
      <c r="DX79" s="90">
        <f t="shared" si="136"/>
        <v>34</v>
      </c>
      <c r="DY79" s="308">
        <f t="shared" si="137"/>
        <v>0.25199999999999906</v>
      </c>
    </row>
    <row r="80" spans="28:129" ht="12" customHeight="1" x14ac:dyDescent="0.2">
      <c r="BT80" s="569" t="s">
        <v>423</v>
      </c>
      <c r="BU80" s="63" t="s">
        <v>276</v>
      </c>
      <c r="BV80" s="121" t="s">
        <v>216</v>
      </c>
      <c r="BW80" s="122" t="s">
        <v>280</v>
      </c>
      <c r="BX80" s="122" t="s">
        <v>280</v>
      </c>
      <c r="BY80" s="124" t="b">
        <f>IF(OR(BY82="",COUNT(BY82:BY111)=0),FALSE,TRUE)</f>
        <v>0</v>
      </c>
      <c r="BZ80" s="125" t="s">
        <v>281</v>
      </c>
      <c r="CA80" s="90"/>
      <c r="CB80" s="125" t="s">
        <v>282</v>
      </c>
      <c r="CC80" s="110"/>
      <c r="CD80" s="90"/>
      <c r="CE80" s="90"/>
      <c r="CF80" s="128" t="s">
        <v>338</v>
      </c>
      <c r="CG80" s="129" t="s">
        <v>324</v>
      </c>
      <c r="CH80" s="129"/>
      <c r="CI80" s="129"/>
      <c r="CJ80" s="130"/>
      <c r="CK80" s="130"/>
      <c r="CL80" s="130"/>
      <c r="CM80" s="570" t="s">
        <v>425</v>
      </c>
      <c r="CN80" s="571"/>
      <c r="CO80" s="571"/>
      <c r="CP80" s="571"/>
      <c r="CQ80" s="571"/>
      <c r="CR80" s="571"/>
      <c r="CS80" s="571"/>
      <c r="CT80" s="571"/>
      <c r="CU80" s="571"/>
      <c r="CV80" s="571"/>
      <c r="CW80" s="571"/>
      <c r="DI80" s="307">
        <v>69</v>
      </c>
      <c r="DJ80" s="90">
        <f t="shared" si="125"/>
        <v>0.68999999999999928</v>
      </c>
      <c r="DK80" s="90">
        <f t="shared" si="127"/>
        <v>6.972281861091946E-2</v>
      </c>
      <c r="DL80" s="90" t="e">
        <f t="shared" si="128"/>
        <v>#N/A</v>
      </c>
      <c r="DM80" s="90">
        <f t="shared" si="129"/>
        <v>6.972281861091946E-2</v>
      </c>
      <c r="DN80" s="90">
        <f t="shared" si="130"/>
        <v>32</v>
      </c>
      <c r="DO80" s="308">
        <f t="shared" si="126"/>
        <v>0.25599999999999973</v>
      </c>
      <c r="DP80" s="307">
        <f t="shared" si="138"/>
        <v>0.6899999999999995</v>
      </c>
      <c r="DQ80" s="90">
        <f t="shared" si="131"/>
        <v>1.2816578582158785E-2</v>
      </c>
      <c r="DR80" s="90">
        <f t="shared" si="132"/>
        <v>1.2816578582158785E-2</v>
      </c>
      <c r="DS80" s="90">
        <f t="shared" si="139"/>
        <v>33</v>
      </c>
      <c r="DT80" s="308">
        <f t="shared" si="140"/>
        <v>0.25599999999999978</v>
      </c>
      <c r="DU80" s="307">
        <f t="shared" si="133"/>
        <v>0.68999999999999773</v>
      </c>
      <c r="DV80" s="90">
        <f t="shared" si="134"/>
        <v>0.17683531286986792</v>
      </c>
      <c r="DW80" s="90">
        <f t="shared" si="135"/>
        <v>0.17683531286986792</v>
      </c>
      <c r="DX80" s="90">
        <f t="shared" si="136"/>
        <v>34</v>
      </c>
      <c r="DY80" s="308">
        <f t="shared" si="137"/>
        <v>0.25599999999999906</v>
      </c>
    </row>
    <row r="81" spans="66:129" ht="12" customHeight="1" x14ac:dyDescent="0.2">
      <c r="BS81" s="572" t="s">
        <v>441</v>
      </c>
      <c r="BT81" s="124" t="str">
        <f>INDEX(M8:M37,MATCH(2,BV82:BV111,0))</f>
        <v>Critique</v>
      </c>
      <c r="BU81" s="63" t="s">
        <v>779</v>
      </c>
      <c r="BV81" s="121">
        <v>2</v>
      </c>
      <c r="BW81" s="122" t="s">
        <v>257</v>
      </c>
      <c r="BX81" s="380" t="s">
        <v>269</v>
      </c>
      <c r="BY81" s="146" t="s">
        <v>265</v>
      </c>
      <c r="BZ81" s="147" t="s">
        <v>287</v>
      </c>
      <c r="CA81" s="63" t="s">
        <v>268</v>
      </c>
      <c r="CB81" s="147" t="s">
        <v>288</v>
      </c>
      <c r="CC81" s="148" t="s">
        <v>289</v>
      </c>
      <c r="CD81" s="148" t="s">
        <v>290</v>
      </c>
      <c r="CE81" s="149" t="s">
        <v>291</v>
      </c>
      <c r="CF81" s="150" t="s">
        <v>291</v>
      </c>
      <c r="CG81" s="151" t="s">
        <v>318</v>
      </c>
      <c r="CH81" s="151" t="s">
        <v>319</v>
      </c>
      <c r="CI81" s="151" t="s">
        <v>320</v>
      </c>
      <c r="CJ81" s="153" t="s">
        <v>321</v>
      </c>
      <c r="CK81" s="153" t="s">
        <v>322</v>
      </c>
      <c r="CL81" s="153" t="s">
        <v>323</v>
      </c>
      <c r="CM81" s="76">
        <v>3</v>
      </c>
      <c r="CN81" s="77">
        <v>4</v>
      </c>
      <c r="CO81" s="78">
        <v>6</v>
      </c>
      <c r="CP81" s="76">
        <v>7</v>
      </c>
      <c r="CQ81" s="77">
        <v>9</v>
      </c>
      <c r="CR81" s="78">
        <v>10</v>
      </c>
      <c r="CS81" s="76">
        <v>12</v>
      </c>
      <c r="CT81" s="77">
        <v>13</v>
      </c>
      <c r="CU81" s="78">
        <v>15</v>
      </c>
      <c r="CV81" s="207"/>
      <c r="DI81" s="307">
        <v>70</v>
      </c>
      <c r="DJ81" s="90">
        <f t="shared" si="125"/>
        <v>0.69999999999999929</v>
      </c>
      <c r="DK81" s="90">
        <f t="shared" si="127"/>
        <v>7.0516157512013414E-2</v>
      </c>
      <c r="DL81" s="90" t="e">
        <f t="shared" si="128"/>
        <v>#N/A</v>
      </c>
      <c r="DM81" s="90">
        <f t="shared" si="129"/>
        <v>7.0516157512013414E-2</v>
      </c>
      <c r="DN81" s="90">
        <f t="shared" si="130"/>
        <v>32</v>
      </c>
      <c r="DO81" s="308">
        <f t="shared" si="126"/>
        <v>0.25999999999999973</v>
      </c>
      <c r="DP81" s="307">
        <f t="shared" si="138"/>
        <v>0.69999999999999951</v>
      </c>
      <c r="DQ81" s="90">
        <f t="shared" si="131"/>
        <v>1.3449494795299298E-2</v>
      </c>
      <c r="DR81" s="90">
        <f t="shared" si="132"/>
        <v>1.3449494795299298E-2</v>
      </c>
      <c r="DS81" s="90">
        <f t="shared" si="139"/>
        <v>33</v>
      </c>
      <c r="DT81" s="308">
        <f t="shared" si="140"/>
        <v>0.25999999999999979</v>
      </c>
      <c r="DU81" s="307">
        <f t="shared" si="133"/>
        <v>0.69999999999999751</v>
      </c>
      <c r="DV81" s="90">
        <f t="shared" si="134"/>
        <v>0.17811911231822591</v>
      </c>
      <c r="DW81" s="90">
        <f t="shared" si="135"/>
        <v>0.17811911231822591</v>
      </c>
      <c r="DX81" s="90">
        <f t="shared" si="136"/>
        <v>34</v>
      </c>
      <c r="DY81" s="308">
        <f t="shared" si="137"/>
        <v>0.25999999999999901</v>
      </c>
    </row>
    <row r="82" spans="66:129" ht="12" customHeight="1" x14ac:dyDescent="0.2">
      <c r="BS82" s="290" t="str">
        <f>IF(CF82&lt;&gt;"",100*CF82/$CF$112,"")</f>
        <v/>
      </c>
      <c r="BT82" s="70">
        <v>1</v>
      </c>
      <c r="BU82" s="94"/>
      <c r="BV82" s="94" t="str">
        <f>IF(M8&lt;&gt;"",IF(M8=$M$8,"",2),"")</f>
        <v/>
      </c>
      <c r="BW82" s="94" t="str">
        <f t="shared" ref="BW82:BY109" si="141">IF(AND(BW8&lt;&gt;"",$BV8=$BV$81),BW8,"")</f>
        <v/>
      </c>
      <c r="BX82" s="94" t="str">
        <f t="shared" si="141"/>
        <v/>
      </c>
      <c r="BY82" s="94" t="str">
        <f t="shared" si="141"/>
        <v/>
      </c>
      <c r="BZ82" s="94" t="e">
        <f>IF(AND($BX$5,$BV8=$BV$81,$BY$6,NOT($CG$3)),N8,NA())</f>
        <v>#N/A</v>
      </c>
      <c r="CA82" s="94" t="e">
        <f>IF(BY82&lt;&gt;"",BT82,NA())</f>
        <v>#N/A</v>
      </c>
      <c r="CB82" s="94" t="e">
        <f>IF(BY82&lt;&gt;"",SQRT(P8)*TINV((100-$M$2)/100,I8+L8-2),NA())</f>
        <v>#N/A</v>
      </c>
      <c r="CC82" s="178" t="str">
        <f t="shared" ref="CC82:CE109" si="142">IF(AND(CC8&lt;&gt;"",$BV8=$BV$81),CC8,"")</f>
        <v/>
      </c>
      <c r="CD82" s="178" t="str">
        <f t="shared" si="142"/>
        <v/>
      </c>
      <c r="CE82" s="94" t="str">
        <f t="shared" si="142"/>
        <v/>
      </c>
      <c r="CF82" s="94" t="str">
        <f t="shared" ref="CF82:CF111" si="143">IF(fixedrandom=1,CE82,CK82)</f>
        <v/>
      </c>
      <c r="CG82" s="94" t="str">
        <f t="shared" ref="CG82:CI111" si="144">IF(AND(CG8&lt;&gt;"",$BV8=$BV$81),CG8,"")</f>
        <v/>
      </c>
      <c r="CH82" s="94" t="str">
        <f t="shared" si="144"/>
        <v/>
      </c>
      <c r="CI82" s="94" t="str">
        <f t="shared" si="144"/>
        <v/>
      </c>
      <c r="CJ82" s="94" t="str">
        <f>IF(AND(CE82&lt;&gt;""),1/CE82+$BR$93,"")</f>
        <v/>
      </c>
      <c r="CK82" s="94" t="str">
        <f>IF(AND(CE82&lt;&gt;""),1/CJ82,"")</f>
        <v/>
      </c>
      <c r="CL82" s="94" t="str">
        <f>IF(AND(CE82&lt;&gt;""),CK82*BW82,"")</f>
        <v/>
      </c>
      <c r="CM82" s="97" t="e">
        <f t="shared" ref="CM82:CM111" si="145">IF(AND(CF82&lt;=$EE$4,$CG$3,$BX$5),N8,NA())</f>
        <v>#N/A</v>
      </c>
      <c r="CN82" s="94" t="e">
        <f t="shared" ref="CN82:CN111" si="146">IF(AND(CF82&gt;$EE$4,CF82&lt;=$EE$5,$CG$3,$BX$5),N8,NA())</f>
        <v>#N/A</v>
      </c>
      <c r="CO82" s="94" t="e">
        <f t="shared" ref="CO82:CO111" si="147">IF(AND(CF82&gt;$EE$5,CF82&lt;=$EE$6,$CG$3,$BX$5),N8,NA())</f>
        <v>#N/A</v>
      </c>
      <c r="CP82" s="94" t="e">
        <f t="shared" ref="CP82:CP111" si="148">IF(AND(CF82&gt;$EE$6,CF82&lt;=$EE$7,$CG$3,$BX$5),N8,NA())</f>
        <v>#N/A</v>
      </c>
      <c r="CQ82" s="94" t="e">
        <f t="shared" ref="CQ82:CQ111" si="149">IF(AND(CF82&gt;$EE$7,CF82&lt;=$EE$8,$CG$3,$BX$5),N8,NA())</f>
        <v>#N/A</v>
      </c>
      <c r="CR82" s="94" t="e">
        <f t="shared" ref="CR82:CR111" si="150">IF(AND(CF82&gt;$EE$8,CF82&lt;=$EE$9,$CG$3,$BX$5),N8,NA())</f>
        <v>#N/A</v>
      </c>
      <c r="CS82" s="94" t="e">
        <f t="shared" ref="CS82:CS111" si="151">IF(AND(CF82&gt;$EE$9,CF82&lt;=$EE$10,$CG$3,$BX$5),N8,NA())</f>
        <v>#N/A</v>
      </c>
      <c r="CT82" s="94" t="e">
        <f t="shared" ref="CT82:CT111" si="152">IF(AND(CF82&gt;$EE$10,CF82&lt;=$EE$11,$CG$3,$BX$5),N8,NA())</f>
        <v>#N/A</v>
      </c>
      <c r="CU82" s="94" t="e">
        <f t="shared" ref="CU82:CU111" si="153">IF(AND(CF82&lt;&gt;"",CF82&gt;$EE$11,$CG$3,$BX$5),N8,NA())</f>
        <v>#N/A</v>
      </c>
      <c r="CV82" s="106">
        <f t="shared" ref="CV82:CV111" si="154">IF($CJ$2,CW82,NA())</f>
        <v>1</v>
      </c>
      <c r="CW82" s="343">
        <v>1</v>
      </c>
      <c r="CX82" s="102"/>
      <c r="CY82" s="102"/>
      <c r="CZ82" s="102"/>
      <c r="DA82" s="102"/>
      <c r="DB82" s="102"/>
      <c r="DC82" s="102"/>
      <c r="DD82" s="102"/>
      <c r="DE82" s="102"/>
      <c r="DF82" s="102"/>
      <c r="DG82" s="102"/>
      <c r="DH82" s="102"/>
      <c r="DI82" s="307">
        <v>71</v>
      </c>
      <c r="DJ82" s="90">
        <f t="shared" si="125"/>
        <v>0.70999999999999919</v>
      </c>
      <c r="DK82" s="90">
        <f t="shared" si="127"/>
        <v>7.1309496413107368E-2</v>
      </c>
      <c r="DL82" s="90" t="e">
        <f t="shared" si="128"/>
        <v>#N/A</v>
      </c>
      <c r="DM82" s="90">
        <f t="shared" si="129"/>
        <v>7.1309496413107368E-2</v>
      </c>
      <c r="DN82" s="90">
        <f t="shared" si="130"/>
        <v>32</v>
      </c>
      <c r="DO82" s="308">
        <f t="shared" si="126"/>
        <v>0.26399999999999968</v>
      </c>
      <c r="DP82" s="307">
        <f t="shared" si="138"/>
        <v>0.70999999999999952</v>
      </c>
      <c r="DQ82" s="90">
        <f t="shared" si="131"/>
        <v>1.4082411008439811E-2</v>
      </c>
      <c r="DR82" s="90">
        <f t="shared" si="132"/>
        <v>1.4082411008439811E-2</v>
      </c>
      <c r="DS82" s="90">
        <f t="shared" si="139"/>
        <v>33</v>
      </c>
      <c r="DT82" s="308">
        <f t="shared" si="140"/>
        <v>0.26399999999999979</v>
      </c>
      <c r="DU82" s="307">
        <f t="shared" si="133"/>
        <v>0.70999999999999752</v>
      </c>
      <c r="DV82" s="90">
        <f t="shared" si="134"/>
        <v>0.17940291176658391</v>
      </c>
      <c r="DW82" s="90">
        <f t="shared" si="135"/>
        <v>0.17940291176658391</v>
      </c>
      <c r="DX82" s="90">
        <f t="shared" si="136"/>
        <v>34</v>
      </c>
      <c r="DY82" s="308">
        <f t="shared" si="137"/>
        <v>0.26399999999999901</v>
      </c>
    </row>
    <row r="83" spans="66:129" ht="12" customHeight="1" x14ac:dyDescent="0.2">
      <c r="BS83" s="290">
        <f t="shared" ref="BS83:BS111" si="155">IF(CF83&lt;&gt;"",100*CF83/$CF$112,"")</f>
        <v>19.485556845360641</v>
      </c>
      <c r="BT83" s="290">
        <v>2</v>
      </c>
      <c r="BU83" s="90"/>
      <c r="BV83" s="90">
        <f t="shared" ref="BV83:BV111" si="156">IF(M9&lt;&gt;"",IF(M9=$M$8,"",2),"")</f>
        <v>2</v>
      </c>
      <c r="BW83" s="90">
        <f t="shared" si="141"/>
        <v>0.31000000000000005</v>
      </c>
      <c r="BX83" s="90">
        <f t="shared" si="141"/>
        <v>28</v>
      </c>
      <c r="BY83" s="90">
        <f t="shared" si="141"/>
        <v>2.0891470537078654</v>
      </c>
      <c r="BZ83" s="90" t="e">
        <f t="shared" ref="BZ83:BZ111" si="157">IF(AND($BX$5,$BV9=$BV$81,$BY$6,NOT($CG$3)),N9,NA())</f>
        <v>#N/A</v>
      </c>
      <c r="CA83" s="90">
        <f t="shared" ref="CA83:CA111" si="158">IF(BY83&lt;&gt;"",BT83,NA())</f>
        <v>2</v>
      </c>
      <c r="CB83" s="90">
        <f t="shared" ref="CB83:CB111" si="159">IF(BY83&lt;&gt;"",SQRT(P9)*TINV((100-$M$2)/100,I9+L9-2),NA())</f>
        <v>0.297758125003731</v>
      </c>
      <c r="CC83" s="127">
        <f t="shared" si="142"/>
        <v>7.8732000000000006</v>
      </c>
      <c r="CD83" s="127">
        <f t="shared" si="142"/>
        <v>27</v>
      </c>
      <c r="CE83" s="90">
        <f t="shared" si="142"/>
        <v>45.416601581854863</v>
      </c>
      <c r="CF83" s="90">
        <f t="shared" si="143"/>
        <v>45.416601581854863</v>
      </c>
      <c r="CG83" s="90">
        <f t="shared" si="144"/>
        <v>14.07914649037501</v>
      </c>
      <c r="CH83" s="90">
        <f t="shared" si="144"/>
        <v>2062.6676992449416</v>
      </c>
      <c r="CI83" s="90">
        <f t="shared" si="144"/>
        <v>4.3645354120162541</v>
      </c>
      <c r="CJ83" s="90">
        <f t="shared" ref="CJ83:CJ111" si="160">IF(AND(CE83&lt;&gt;""),1/CE83+$BR$93,"")</f>
        <v>2.2018380177514792E-2</v>
      </c>
      <c r="CK83" s="90">
        <f t="shared" ref="CK83:CK111" si="161">IF(AND(CE83&lt;&gt;""),1/CJ83,"")</f>
        <v>45.416601581854863</v>
      </c>
      <c r="CL83" s="113">
        <f t="shared" ref="CL83:CL111" si="162">IF(AND(CE83&lt;&gt;""),CK83*BW83,"")</f>
        <v>14.07914649037501</v>
      </c>
      <c r="CM83" s="106" t="e">
        <f t="shared" si="145"/>
        <v>#N/A</v>
      </c>
      <c r="CN83" s="90" t="e">
        <f t="shared" si="146"/>
        <v>#N/A</v>
      </c>
      <c r="CO83" s="90" t="e">
        <f t="shared" si="147"/>
        <v>#N/A</v>
      </c>
      <c r="CP83" s="90" t="e">
        <f t="shared" si="148"/>
        <v>#N/A</v>
      </c>
      <c r="CQ83" s="90" t="e">
        <f t="shared" si="149"/>
        <v>#N/A</v>
      </c>
      <c r="CR83" s="90">
        <f t="shared" si="150"/>
        <v>0.31000000000000005</v>
      </c>
      <c r="CS83" s="90" t="e">
        <f t="shared" si="151"/>
        <v>#N/A</v>
      </c>
      <c r="CT83" s="90" t="e">
        <f t="shared" si="152"/>
        <v>#N/A</v>
      </c>
      <c r="CU83" s="113" t="e">
        <f t="shared" si="153"/>
        <v>#N/A</v>
      </c>
      <c r="CV83" s="90">
        <f t="shared" si="154"/>
        <v>2</v>
      </c>
      <c r="CW83" s="308">
        <v>2</v>
      </c>
      <c r="CX83" s="102"/>
      <c r="CY83" s="102"/>
      <c r="CZ83" s="102"/>
      <c r="DA83" s="102"/>
      <c r="DB83" s="102"/>
      <c r="DC83" s="102"/>
      <c r="DD83" s="102"/>
      <c r="DE83" s="102"/>
      <c r="DF83" s="102"/>
      <c r="DG83" s="102"/>
      <c r="DH83" s="102"/>
      <c r="DI83" s="307">
        <v>72</v>
      </c>
      <c r="DJ83" s="90">
        <f t="shared" si="125"/>
        <v>0.71999999999999909</v>
      </c>
      <c r="DK83" s="90">
        <f t="shared" si="127"/>
        <v>7.2102835314201322E-2</v>
      </c>
      <c r="DL83" s="90" t="e">
        <f t="shared" si="128"/>
        <v>#N/A</v>
      </c>
      <c r="DM83" s="90">
        <f t="shared" si="129"/>
        <v>7.2102835314201322E-2</v>
      </c>
      <c r="DN83" s="90">
        <f t="shared" si="130"/>
        <v>32</v>
      </c>
      <c r="DO83" s="308">
        <f t="shared" si="126"/>
        <v>0.26799999999999963</v>
      </c>
      <c r="DP83" s="307">
        <f t="shared" si="138"/>
        <v>0.71999999999999953</v>
      </c>
      <c r="DQ83" s="90">
        <f t="shared" si="131"/>
        <v>1.4715327221580324E-2</v>
      </c>
      <c r="DR83" s="90">
        <f t="shared" si="132"/>
        <v>1.4715327221580324E-2</v>
      </c>
      <c r="DS83" s="90">
        <f t="shared" si="139"/>
        <v>33</v>
      </c>
      <c r="DT83" s="308">
        <f t="shared" si="140"/>
        <v>0.26799999999999979</v>
      </c>
      <c r="DU83" s="307">
        <f t="shared" si="133"/>
        <v>0.71999999999999742</v>
      </c>
      <c r="DV83" s="90">
        <f t="shared" si="134"/>
        <v>0.1806867112149419</v>
      </c>
      <c r="DW83" s="90">
        <f t="shared" si="135"/>
        <v>0.1806867112149419</v>
      </c>
      <c r="DX83" s="90">
        <f t="shared" si="136"/>
        <v>34</v>
      </c>
      <c r="DY83" s="308">
        <f t="shared" si="137"/>
        <v>0.26799999999999896</v>
      </c>
    </row>
    <row r="84" spans="66:129" ht="12" customHeight="1" x14ac:dyDescent="0.2">
      <c r="BS84" s="290" t="str">
        <f t="shared" si="155"/>
        <v/>
      </c>
      <c r="BT84" s="290">
        <v>3</v>
      </c>
      <c r="BU84" s="90"/>
      <c r="BV84" s="90" t="str">
        <f t="shared" si="156"/>
        <v/>
      </c>
      <c r="BW84" s="90" t="str">
        <f t="shared" si="141"/>
        <v/>
      </c>
      <c r="BX84" s="90" t="str">
        <f t="shared" si="141"/>
        <v/>
      </c>
      <c r="BY84" s="90" t="str">
        <f t="shared" si="141"/>
        <v/>
      </c>
      <c r="BZ84" s="90" t="e">
        <f t="shared" si="157"/>
        <v>#N/A</v>
      </c>
      <c r="CA84" s="90" t="e">
        <f t="shared" si="158"/>
        <v>#N/A</v>
      </c>
      <c r="CB84" s="90" t="e">
        <f t="shared" si="159"/>
        <v>#N/A</v>
      </c>
      <c r="CC84" s="127" t="str">
        <f t="shared" si="142"/>
        <v/>
      </c>
      <c r="CD84" s="127" t="str">
        <f t="shared" si="142"/>
        <v/>
      </c>
      <c r="CE84" s="90" t="str">
        <f t="shared" si="142"/>
        <v/>
      </c>
      <c r="CF84" s="90" t="str">
        <f t="shared" si="143"/>
        <v/>
      </c>
      <c r="CG84" s="90" t="str">
        <f t="shared" si="144"/>
        <v/>
      </c>
      <c r="CH84" s="90" t="str">
        <f t="shared" si="144"/>
        <v/>
      </c>
      <c r="CI84" s="90" t="str">
        <f t="shared" si="144"/>
        <v/>
      </c>
      <c r="CJ84" s="90" t="str">
        <f t="shared" si="160"/>
        <v/>
      </c>
      <c r="CK84" s="90" t="str">
        <f t="shared" si="161"/>
        <v/>
      </c>
      <c r="CL84" s="113" t="str">
        <f t="shared" si="162"/>
        <v/>
      </c>
      <c r="CM84" s="106" t="e">
        <f t="shared" si="145"/>
        <v>#N/A</v>
      </c>
      <c r="CN84" s="90" t="e">
        <f t="shared" si="146"/>
        <v>#N/A</v>
      </c>
      <c r="CO84" s="90" t="e">
        <f t="shared" si="147"/>
        <v>#N/A</v>
      </c>
      <c r="CP84" s="90" t="e">
        <f t="shared" si="148"/>
        <v>#N/A</v>
      </c>
      <c r="CQ84" s="90" t="e">
        <f t="shared" si="149"/>
        <v>#N/A</v>
      </c>
      <c r="CR84" s="90" t="e">
        <f t="shared" si="150"/>
        <v>#N/A</v>
      </c>
      <c r="CS84" s="90" t="e">
        <f t="shared" si="151"/>
        <v>#N/A</v>
      </c>
      <c r="CT84" s="90" t="e">
        <f t="shared" si="152"/>
        <v>#N/A</v>
      </c>
      <c r="CU84" s="113" t="e">
        <f t="shared" si="153"/>
        <v>#N/A</v>
      </c>
      <c r="CV84" s="90">
        <f t="shared" si="154"/>
        <v>3</v>
      </c>
      <c r="CW84" s="308">
        <v>3</v>
      </c>
      <c r="CX84" s="102"/>
      <c r="CY84" s="102"/>
      <c r="CZ84" s="102"/>
      <c r="DA84" s="102"/>
      <c r="DB84" s="102"/>
      <c r="DC84" s="102"/>
      <c r="DD84" s="102"/>
      <c r="DE84" s="102"/>
      <c r="DF84" s="102"/>
      <c r="DG84" s="102"/>
      <c r="DH84" s="102"/>
      <c r="DI84" s="307">
        <v>73</v>
      </c>
      <c r="DJ84" s="90">
        <f t="shared" si="125"/>
        <v>0.72999999999999898</v>
      </c>
      <c r="DK84" s="90">
        <f t="shared" si="127"/>
        <v>7.2896174215295276E-2</v>
      </c>
      <c r="DL84" s="90" t="e">
        <f t="shared" si="128"/>
        <v>#N/A</v>
      </c>
      <c r="DM84" s="90">
        <f t="shared" si="129"/>
        <v>7.2896174215295276E-2</v>
      </c>
      <c r="DN84" s="90">
        <f t="shared" si="130"/>
        <v>32</v>
      </c>
      <c r="DO84" s="308">
        <f t="shared" si="126"/>
        <v>0.27199999999999958</v>
      </c>
      <c r="DP84" s="307">
        <f t="shared" si="138"/>
        <v>0.72999999999999954</v>
      </c>
      <c r="DQ84" s="90">
        <f t="shared" si="131"/>
        <v>1.5348243434720837E-2</v>
      </c>
      <c r="DR84" s="90">
        <f t="shared" si="132"/>
        <v>1.5348243434720837E-2</v>
      </c>
      <c r="DS84" s="90">
        <f t="shared" si="139"/>
        <v>33</v>
      </c>
      <c r="DT84" s="308">
        <f t="shared" si="140"/>
        <v>0.2719999999999998</v>
      </c>
      <c r="DU84" s="307">
        <f t="shared" si="133"/>
        <v>0.72999999999999732</v>
      </c>
      <c r="DV84" s="90">
        <f t="shared" si="134"/>
        <v>0.18197051066329989</v>
      </c>
      <c r="DW84" s="90">
        <f t="shared" si="135"/>
        <v>0.18197051066329989</v>
      </c>
      <c r="DX84" s="90">
        <f t="shared" si="136"/>
        <v>34</v>
      </c>
      <c r="DY84" s="308">
        <f t="shared" si="137"/>
        <v>0.27199999999999891</v>
      </c>
    </row>
    <row r="85" spans="66:129" ht="12" customHeight="1" x14ac:dyDescent="0.2">
      <c r="BS85" s="290" t="str">
        <f t="shared" si="155"/>
        <v/>
      </c>
      <c r="BT85" s="290">
        <v>4</v>
      </c>
      <c r="BU85" s="90"/>
      <c r="BV85" s="90" t="str">
        <f t="shared" si="156"/>
        <v/>
      </c>
      <c r="BW85" s="90" t="str">
        <f t="shared" si="141"/>
        <v/>
      </c>
      <c r="BX85" s="90" t="str">
        <f t="shared" si="141"/>
        <v/>
      </c>
      <c r="BY85" s="90" t="str">
        <f t="shared" si="141"/>
        <v/>
      </c>
      <c r="BZ85" s="90" t="e">
        <f t="shared" si="157"/>
        <v>#N/A</v>
      </c>
      <c r="CA85" s="90" t="e">
        <f t="shared" si="158"/>
        <v>#N/A</v>
      </c>
      <c r="CB85" s="90" t="e">
        <f t="shared" si="159"/>
        <v>#N/A</v>
      </c>
      <c r="CC85" s="127" t="str">
        <f t="shared" si="142"/>
        <v/>
      </c>
      <c r="CD85" s="127" t="str">
        <f t="shared" si="142"/>
        <v/>
      </c>
      <c r="CE85" s="90" t="str">
        <f t="shared" si="142"/>
        <v/>
      </c>
      <c r="CF85" s="90" t="str">
        <f t="shared" si="143"/>
        <v/>
      </c>
      <c r="CG85" s="90" t="str">
        <f t="shared" si="144"/>
        <v/>
      </c>
      <c r="CH85" s="90" t="str">
        <f t="shared" si="144"/>
        <v/>
      </c>
      <c r="CI85" s="90" t="str">
        <f t="shared" si="144"/>
        <v/>
      </c>
      <c r="CJ85" s="90" t="str">
        <f t="shared" si="160"/>
        <v/>
      </c>
      <c r="CK85" s="90" t="str">
        <f t="shared" si="161"/>
        <v/>
      </c>
      <c r="CL85" s="113" t="str">
        <f t="shared" si="162"/>
        <v/>
      </c>
      <c r="CM85" s="106" t="e">
        <f t="shared" si="145"/>
        <v>#N/A</v>
      </c>
      <c r="CN85" s="90" t="e">
        <f t="shared" si="146"/>
        <v>#N/A</v>
      </c>
      <c r="CO85" s="90" t="e">
        <f t="shared" si="147"/>
        <v>#N/A</v>
      </c>
      <c r="CP85" s="90" t="e">
        <f t="shared" si="148"/>
        <v>#N/A</v>
      </c>
      <c r="CQ85" s="90" t="e">
        <f t="shared" si="149"/>
        <v>#N/A</v>
      </c>
      <c r="CR85" s="90" t="e">
        <f t="shared" si="150"/>
        <v>#N/A</v>
      </c>
      <c r="CS85" s="90" t="e">
        <f t="shared" si="151"/>
        <v>#N/A</v>
      </c>
      <c r="CT85" s="90" t="e">
        <f t="shared" si="152"/>
        <v>#N/A</v>
      </c>
      <c r="CU85" s="113" t="e">
        <f t="shared" si="153"/>
        <v>#N/A</v>
      </c>
      <c r="CV85" s="90">
        <f t="shared" si="154"/>
        <v>4</v>
      </c>
      <c r="CW85" s="308">
        <v>4</v>
      </c>
      <c r="CX85" s="102"/>
      <c r="CY85" s="102"/>
      <c r="CZ85" s="102"/>
      <c r="DA85" s="102"/>
      <c r="DB85" s="102"/>
      <c r="DC85" s="102"/>
      <c r="DD85" s="102"/>
      <c r="DE85" s="102"/>
      <c r="DF85" s="102"/>
      <c r="DG85" s="102"/>
      <c r="DH85" s="102"/>
      <c r="DI85" s="307">
        <v>74</v>
      </c>
      <c r="DJ85" s="90">
        <f t="shared" si="125"/>
        <v>0.73999999999999888</v>
      </c>
      <c r="DK85" s="90">
        <f t="shared" si="127"/>
        <v>7.368951311638923E-2</v>
      </c>
      <c r="DL85" s="90" t="e">
        <f t="shared" si="128"/>
        <v>#N/A</v>
      </c>
      <c r="DM85" s="90">
        <f t="shared" si="129"/>
        <v>7.368951311638923E-2</v>
      </c>
      <c r="DN85" s="90">
        <f t="shared" si="130"/>
        <v>32</v>
      </c>
      <c r="DO85" s="308">
        <f t="shared" si="126"/>
        <v>0.27599999999999952</v>
      </c>
      <c r="DP85" s="307">
        <f t="shared" si="138"/>
        <v>0.73999999999999955</v>
      </c>
      <c r="DQ85" s="90">
        <f t="shared" si="131"/>
        <v>1.598115964786135E-2</v>
      </c>
      <c r="DR85" s="90">
        <f t="shared" si="132"/>
        <v>1.598115964786135E-2</v>
      </c>
      <c r="DS85" s="90">
        <f t="shared" si="139"/>
        <v>33</v>
      </c>
      <c r="DT85" s="308">
        <f t="shared" si="140"/>
        <v>0.2759999999999998</v>
      </c>
      <c r="DU85" s="307">
        <f t="shared" si="133"/>
        <v>0.73999999999999733</v>
      </c>
      <c r="DV85" s="90">
        <f t="shared" si="134"/>
        <v>0.18325431011165788</v>
      </c>
      <c r="DW85" s="90">
        <f t="shared" si="135"/>
        <v>0.18325431011165788</v>
      </c>
      <c r="DX85" s="90">
        <f t="shared" si="136"/>
        <v>34</v>
      </c>
      <c r="DY85" s="308">
        <f t="shared" si="137"/>
        <v>0.27599999999999891</v>
      </c>
    </row>
    <row r="86" spans="66:129" ht="12" customHeight="1" x14ac:dyDescent="0.2">
      <c r="BS86" s="290" t="str">
        <f t="shared" si="155"/>
        <v/>
      </c>
      <c r="BT86" s="290">
        <v>5</v>
      </c>
      <c r="BU86" s="90"/>
      <c r="BV86" s="90" t="str">
        <f t="shared" si="156"/>
        <v/>
      </c>
      <c r="BW86" s="90" t="str">
        <f t="shared" si="141"/>
        <v/>
      </c>
      <c r="BX86" s="90" t="str">
        <f t="shared" si="141"/>
        <v/>
      </c>
      <c r="BY86" s="90" t="str">
        <f t="shared" si="141"/>
        <v/>
      </c>
      <c r="BZ86" s="90" t="e">
        <f t="shared" si="157"/>
        <v>#N/A</v>
      </c>
      <c r="CA86" s="90" t="e">
        <f t="shared" si="158"/>
        <v>#N/A</v>
      </c>
      <c r="CB86" s="90" t="e">
        <f t="shared" si="159"/>
        <v>#N/A</v>
      </c>
      <c r="CC86" s="127" t="str">
        <f t="shared" si="142"/>
        <v/>
      </c>
      <c r="CD86" s="127" t="str">
        <f t="shared" si="142"/>
        <v/>
      </c>
      <c r="CE86" s="90" t="str">
        <f t="shared" si="142"/>
        <v/>
      </c>
      <c r="CF86" s="90" t="str">
        <f t="shared" si="143"/>
        <v/>
      </c>
      <c r="CG86" s="90" t="str">
        <f t="shared" si="144"/>
        <v/>
      </c>
      <c r="CH86" s="90" t="str">
        <f t="shared" si="144"/>
        <v/>
      </c>
      <c r="CI86" s="90" t="str">
        <f t="shared" si="144"/>
        <v/>
      </c>
      <c r="CJ86" s="90" t="str">
        <f t="shared" si="160"/>
        <v/>
      </c>
      <c r="CK86" s="90" t="str">
        <f t="shared" si="161"/>
        <v/>
      </c>
      <c r="CL86" s="113" t="str">
        <f t="shared" si="162"/>
        <v/>
      </c>
      <c r="CM86" s="106" t="e">
        <f t="shared" si="145"/>
        <v>#N/A</v>
      </c>
      <c r="CN86" s="90" t="e">
        <f t="shared" si="146"/>
        <v>#N/A</v>
      </c>
      <c r="CO86" s="90" t="e">
        <f t="shared" si="147"/>
        <v>#N/A</v>
      </c>
      <c r="CP86" s="90" t="e">
        <f t="shared" si="148"/>
        <v>#N/A</v>
      </c>
      <c r="CQ86" s="90" t="e">
        <f t="shared" si="149"/>
        <v>#N/A</v>
      </c>
      <c r="CR86" s="90" t="e">
        <f t="shared" si="150"/>
        <v>#N/A</v>
      </c>
      <c r="CS86" s="90" t="e">
        <f t="shared" si="151"/>
        <v>#N/A</v>
      </c>
      <c r="CT86" s="90" t="e">
        <f t="shared" si="152"/>
        <v>#N/A</v>
      </c>
      <c r="CU86" s="113" t="e">
        <f t="shared" si="153"/>
        <v>#N/A</v>
      </c>
      <c r="CV86" s="90">
        <f t="shared" si="154"/>
        <v>5</v>
      </c>
      <c r="CW86" s="308">
        <v>5</v>
      </c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307">
        <v>75</v>
      </c>
      <c r="DJ86" s="90">
        <f t="shared" si="125"/>
        <v>0.74999999999999889</v>
      </c>
      <c r="DK86" s="90">
        <f t="shared" si="127"/>
        <v>7.4482852017483184E-2</v>
      </c>
      <c r="DL86" s="90" t="e">
        <f t="shared" si="128"/>
        <v>#N/A</v>
      </c>
      <c r="DM86" s="90">
        <f t="shared" si="129"/>
        <v>7.4482852017483184E-2</v>
      </c>
      <c r="DN86" s="90">
        <f t="shared" si="130"/>
        <v>32</v>
      </c>
      <c r="DO86" s="308">
        <f t="shared" si="126"/>
        <v>0.27999999999999958</v>
      </c>
      <c r="DP86" s="307">
        <f t="shared" si="138"/>
        <v>0.74999999999999956</v>
      </c>
      <c r="DQ86" s="90">
        <f t="shared" si="131"/>
        <v>1.6614075861001863E-2</v>
      </c>
      <c r="DR86" s="90">
        <f t="shared" si="132"/>
        <v>1.6614075861001863E-2</v>
      </c>
      <c r="DS86" s="90">
        <f t="shared" si="139"/>
        <v>33</v>
      </c>
      <c r="DT86" s="308">
        <f t="shared" si="140"/>
        <v>0.2799999999999998</v>
      </c>
      <c r="DU86" s="307">
        <f t="shared" si="133"/>
        <v>0.74999999999999711</v>
      </c>
      <c r="DV86" s="90">
        <f t="shared" si="134"/>
        <v>0.18453810956001587</v>
      </c>
      <c r="DW86" s="90">
        <f t="shared" si="135"/>
        <v>0.18453810956001587</v>
      </c>
      <c r="DX86" s="90">
        <f t="shared" si="136"/>
        <v>34</v>
      </c>
      <c r="DY86" s="308">
        <f t="shared" si="137"/>
        <v>0.27999999999999886</v>
      </c>
    </row>
    <row r="87" spans="66:129" ht="12" customHeight="1" x14ac:dyDescent="0.2">
      <c r="BS87" s="290" t="str">
        <f t="shared" si="155"/>
        <v/>
      </c>
      <c r="BT87" s="290">
        <v>6</v>
      </c>
      <c r="BU87" s="90"/>
      <c r="BV87" s="90" t="str">
        <f t="shared" si="156"/>
        <v/>
      </c>
      <c r="BW87" s="90" t="str">
        <f t="shared" si="141"/>
        <v/>
      </c>
      <c r="BX87" s="90" t="str">
        <f t="shared" si="141"/>
        <v/>
      </c>
      <c r="BY87" s="90" t="str">
        <f t="shared" si="141"/>
        <v/>
      </c>
      <c r="BZ87" s="90" t="e">
        <f t="shared" si="157"/>
        <v>#N/A</v>
      </c>
      <c r="CA87" s="90" t="e">
        <f t="shared" si="158"/>
        <v>#N/A</v>
      </c>
      <c r="CB87" s="90" t="e">
        <f t="shared" si="159"/>
        <v>#N/A</v>
      </c>
      <c r="CC87" s="127" t="str">
        <f t="shared" si="142"/>
        <v/>
      </c>
      <c r="CD87" s="127" t="str">
        <f t="shared" si="142"/>
        <v/>
      </c>
      <c r="CE87" s="90" t="str">
        <f t="shared" si="142"/>
        <v/>
      </c>
      <c r="CF87" s="90" t="str">
        <f t="shared" si="143"/>
        <v/>
      </c>
      <c r="CG87" s="90" t="str">
        <f t="shared" si="144"/>
        <v/>
      </c>
      <c r="CH87" s="90" t="str">
        <f t="shared" si="144"/>
        <v/>
      </c>
      <c r="CI87" s="90" t="str">
        <f t="shared" si="144"/>
        <v/>
      </c>
      <c r="CJ87" s="90" t="str">
        <f t="shared" si="160"/>
        <v/>
      </c>
      <c r="CK87" s="90" t="str">
        <f t="shared" si="161"/>
        <v/>
      </c>
      <c r="CL87" s="113" t="str">
        <f t="shared" si="162"/>
        <v/>
      </c>
      <c r="CM87" s="106" t="e">
        <f t="shared" si="145"/>
        <v>#N/A</v>
      </c>
      <c r="CN87" s="90" t="e">
        <f t="shared" si="146"/>
        <v>#N/A</v>
      </c>
      <c r="CO87" s="90" t="e">
        <f t="shared" si="147"/>
        <v>#N/A</v>
      </c>
      <c r="CP87" s="90" t="e">
        <f t="shared" si="148"/>
        <v>#N/A</v>
      </c>
      <c r="CQ87" s="90" t="e">
        <f t="shared" si="149"/>
        <v>#N/A</v>
      </c>
      <c r="CR87" s="90" t="e">
        <f t="shared" si="150"/>
        <v>#N/A</v>
      </c>
      <c r="CS87" s="90" t="e">
        <f t="shared" si="151"/>
        <v>#N/A</v>
      </c>
      <c r="CT87" s="90" t="e">
        <f t="shared" si="152"/>
        <v>#N/A</v>
      </c>
      <c r="CU87" s="113" t="e">
        <f t="shared" si="153"/>
        <v>#N/A</v>
      </c>
      <c r="CV87" s="90">
        <f t="shared" si="154"/>
        <v>6</v>
      </c>
      <c r="CW87" s="308">
        <v>6</v>
      </c>
      <c r="CX87" s="102"/>
      <c r="CY87" s="102"/>
      <c r="CZ87" s="102"/>
      <c r="DA87" s="102"/>
      <c r="DB87" s="102"/>
      <c r="DC87" s="102"/>
      <c r="DD87" s="102"/>
      <c r="DE87" s="102"/>
      <c r="DF87" s="102"/>
      <c r="DG87" s="102"/>
      <c r="DH87" s="102"/>
      <c r="DI87" s="307">
        <v>76</v>
      </c>
      <c r="DJ87" s="90">
        <f t="shared" si="125"/>
        <v>0.75999999999999868</v>
      </c>
      <c r="DK87" s="90">
        <f t="shared" si="127"/>
        <v>7.5276190918577138E-2</v>
      </c>
      <c r="DL87" s="90" t="e">
        <f t="shared" si="128"/>
        <v>#N/A</v>
      </c>
      <c r="DM87" s="90">
        <f t="shared" si="129"/>
        <v>7.5276190918577138E-2</v>
      </c>
      <c r="DN87" s="90">
        <f t="shared" si="130"/>
        <v>32</v>
      </c>
      <c r="DO87" s="308">
        <f t="shared" si="126"/>
        <v>0.28399999999999948</v>
      </c>
      <c r="DP87" s="307">
        <f t="shared" si="138"/>
        <v>0.75999999999999956</v>
      </c>
      <c r="DQ87" s="90">
        <f t="shared" si="131"/>
        <v>1.7246992074142375E-2</v>
      </c>
      <c r="DR87" s="90">
        <f t="shared" si="132"/>
        <v>1.7246992074142375E-2</v>
      </c>
      <c r="DS87" s="90">
        <f t="shared" si="139"/>
        <v>33</v>
      </c>
      <c r="DT87" s="308">
        <f t="shared" si="140"/>
        <v>0.28399999999999981</v>
      </c>
      <c r="DU87" s="307">
        <f t="shared" si="133"/>
        <v>0.75999999999999712</v>
      </c>
      <c r="DV87" s="90">
        <f t="shared" si="134"/>
        <v>0.18582190900837386</v>
      </c>
      <c r="DW87" s="90">
        <f t="shared" si="135"/>
        <v>0.18582190900837386</v>
      </c>
      <c r="DX87" s="90">
        <f t="shared" si="136"/>
        <v>34</v>
      </c>
      <c r="DY87" s="308">
        <f t="shared" si="137"/>
        <v>0.28399999999999886</v>
      </c>
    </row>
    <row r="88" spans="66:129" ht="12" customHeight="1" x14ac:dyDescent="0.2">
      <c r="BN88" s="573" t="s">
        <v>422</v>
      </c>
      <c r="BO88" s="574" t="s">
        <v>225</v>
      </c>
      <c r="BQ88" s="63"/>
      <c r="BS88" s="290" t="str">
        <f t="shared" si="155"/>
        <v/>
      </c>
      <c r="BT88" s="290">
        <v>7</v>
      </c>
      <c r="BU88" s="90"/>
      <c r="BV88" s="90" t="str">
        <f t="shared" si="156"/>
        <v/>
      </c>
      <c r="BW88" s="90" t="str">
        <f t="shared" si="141"/>
        <v/>
      </c>
      <c r="BX88" s="90" t="str">
        <f t="shared" si="141"/>
        <v/>
      </c>
      <c r="BY88" s="90" t="str">
        <f t="shared" si="141"/>
        <v/>
      </c>
      <c r="BZ88" s="90" t="e">
        <f t="shared" si="157"/>
        <v>#N/A</v>
      </c>
      <c r="CA88" s="90" t="e">
        <f t="shared" si="158"/>
        <v>#N/A</v>
      </c>
      <c r="CB88" s="90" t="e">
        <f t="shared" si="159"/>
        <v>#N/A</v>
      </c>
      <c r="CC88" s="127" t="str">
        <f t="shared" si="142"/>
        <v/>
      </c>
      <c r="CD88" s="127" t="str">
        <f t="shared" si="142"/>
        <v/>
      </c>
      <c r="CE88" s="90" t="str">
        <f t="shared" si="142"/>
        <v/>
      </c>
      <c r="CF88" s="90" t="str">
        <f t="shared" si="143"/>
        <v/>
      </c>
      <c r="CG88" s="90" t="str">
        <f t="shared" si="144"/>
        <v/>
      </c>
      <c r="CH88" s="90" t="str">
        <f t="shared" si="144"/>
        <v/>
      </c>
      <c r="CI88" s="90" t="str">
        <f t="shared" si="144"/>
        <v/>
      </c>
      <c r="CJ88" s="90" t="str">
        <f t="shared" si="160"/>
        <v/>
      </c>
      <c r="CK88" s="90" t="str">
        <f t="shared" si="161"/>
        <v/>
      </c>
      <c r="CL88" s="113" t="str">
        <f t="shared" si="162"/>
        <v/>
      </c>
      <c r="CM88" s="106" t="e">
        <f t="shared" si="145"/>
        <v>#N/A</v>
      </c>
      <c r="CN88" s="90" t="e">
        <f t="shared" si="146"/>
        <v>#N/A</v>
      </c>
      <c r="CO88" s="90" t="e">
        <f t="shared" si="147"/>
        <v>#N/A</v>
      </c>
      <c r="CP88" s="90" t="e">
        <f t="shared" si="148"/>
        <v>#N/A</v>
      </c>
      <c r="CQ88" s="90" t="e">
        <f t="shared" si="149"/>
        <v>#N/A</v>
      </c>
      <c r="CR88" s="90" t="e">
        <f t="shared" si="150"/>
        <v>#N/A</v>
      </c>
      <c r="CS88" s="90" t="e">
        <f t="shared" si="151"/>
        <v>#N/A</v>
      </c>
      <c r="CT88" s="90" t="e">
        <f t="shared" si="152"/>
        <v>#N/A</v>
      </c>
      <c r="CU88" s="113" t="e">
        <f t="shared" si="153"/>
        <v>#N/A</v>
      </c>
      <c r="CV88" s="90">
        <f t="shared" si="154"/>
        <v>7</v>
      </c>
      <c r="CW88" s="308">
        <v>7</v>
      </c>
      <c r="CX88" s="102"/>
      <c r="CY88" s="102"/>
      <c r="CZ88" s="102"/>
      <c r="DA88" s="102"/>
      <c r="DB88" s="102"/>
      <c r="DC88" s="102"/>
      <c r="DD88" s="102"/>
      <c r="DE88" s="102"/>
      <c r="DF88" s="102"/>
      <c r="DG88" s="102"/>
      <c r="DH88" s="102"/>
      <c r="DI88" s="307">
        <v>77</v>
      </c>
      <c r="DJ88" s="90">
        <f t="shared" si="125"/>
        <v>0.76999999999999869</v>
      </c>
      <c r="DK88" s="90">
        <f t="shared" si="127"/>
        <v>7.6069529819671092E-2</v>
      </c>
      <c r="DL88" s="90" t="e">
        <f t="shared" si="128"/>
        <v>#N/A</v>
      </c>
      <c r="DM88" s="90">
        <f t="shared" si="129"/>
        <v>7.6069529819671092E-2</v>
      </c>
      <c r="DN88" s="90">
        <f t="shared" si="130"/>
        <v>32</v>
      </c>
      <c r="DO88" s="308">
        <f t="shared" si="126"/>
        <v>0.28799999999999948</v>
      </c>
      <c r="DP88" s="307">
        <f t="shared" si="138"/>
        <v>0.76999999999999946</v>
      </c>
      <c r="DQ88" s="90">
        <f t="shared" si="131"/>
        <v>1.7879908287282888E-2</v>
      </c>
      <c r="DR88" s="90">
        <f t="shared" si="132"/>
        <v>1.7879908287282888E-2</v>
      </c>
      <c r="DS88" s="90">
        <f t="shared" si="139"/>
        <v>33</v>
      </c>
      <c r="DT88" s="308">
        <f t="shared" si="140"/>
        <v>0.28799999999999981</v>
      </c>
      <c r="DU88" s="307">
        <f t="shared" si="133"/>
        <v>0.76999999999999702</v>
      </c>
      <c r="DV88" s="90">
        <f t="shared" si="134"/>
        <v>0.18710570845673186</v>
      </c>
      <c r="DW88" s="90">
        <f t="shared" si="135"/>
        <v>0.18710570845673186</v>
      </c>
      <c r="DX88" s="90">
        <f t="shared" si="136"/>
        <v>34</v>
      </c>
      <c r="DY88" s="308">
        <f t="shared" si="137"/>
        <v>0.28799999999999881</v>
      </c>
    </row>
    <row r="89" spans="66:129" ht="12" customHeight="1" x14ac:dyDescent="0.2">
      <c r="BN89" s="268" t="s">
        <v>267</v>
      </c>
      <c r="BO89" s="113">
        <f>COUNT(CG82:CG111)-1</f>
        <v>3</v>
      </c>
      <c r="BQ89" s="90"/>
      <c r="BR89" s="90"/>
      <c r="BS89" s="290">
        <f t="shared" si="155"/>
        <v>17.365262822517817</v>
      </c>
      <c r="BT89" s="290">
        <v>8</v>
      </c>
      <c r="BU89" s="90"/>
      <c r="BV89" s="90">
        <f t="shared" si="156"/>
        <v>2</v>
      </c>
      <c r="BW89" s="90">
        <f t="shared" si="141"/>
        <v>0.10000000000000009</v>
      </c>
      <c r="BX89" s="90">
        <f t="shared" si="141"/>
        <v>55</v>
      </c>
      <c r="BY89" s="90">
        <f t="shared" si="141"/>
        <v>0.63619695575549018</v>
      </c>
      <c r="BZ89" s="90" t="e">
        <f t="shared" si="157"/>
        <v>#N/A</v>
      </c>
      <c r="CA89" s="90">
        <f t="shared" si="158"/>
        <v>8</v>
      </c>
      <c r="CB89" s="90">
        <f t="shared" si="159"/>
        <v>0.31147064429470156</v>
      </c>
      <c r="CC89" s="127">
        <f t="shared" si="142"/>
        <v>37.200599999999994</v>
      </c>
      <c r="CD89" s="127">
        <f t="shared" si="142"/>
        <v>54</v>
      </c>
      <c r="CE89" s="90">
        <f t="shared" si="142"/>
        <v>40.474656651255245</v>
      </c>
      <c r="CF89" s="90">
        <f t="shared" si="143"/>
        <v>40.474656651255245</v>
      </c>
      <c r="CG89" s="90">
        <f t="shared" si="144"/>
        <v>4.0474656651255279</v>
      </c>
      <c r="CH89" s="90">
        <f t="shared" si="144"/>
        <v>1638.1978310370005</v>
      </c>
      <c r="CI89" s="90">
        <f t="shared" si="144"/>
        <v>0.40474656651255314</v>
      </c>
      <c r="CJ89" s="90">
        <f t="shared" si="160"/>
        <v>2.4706818605439284E-2</v>
      </c>
      <c r="CK89" s="90">
        <f t="shared" si="161"/>
        <v>40.474656651255245</v>
      </c>
      <c r="CL89" s="113">
        <f t="shared" si="162"/>
        <v>4.0474656651255279</v>
      </c>
      <c r="CM89" s="106" t="e">
        <f t="shared" si="145"/>
        <v>#N/A</v>
      </c>
      <c r="CN89" s="90" t="e">
        <f t="shared" si="146"/>
        <v>#N/A</v>
      </c>
      <c r="CO89" s="90" t="e">
        <f t="shared" si="147"/>
        <v>#N/A</v>
      </c>
      <c r="CP89" s="90" t="e">
        <f t="shared" si="148"/>
        <v>#N/A</v>
      </c>
      <c r="CQ89" s="90">
        <f t="shared" si="149"/>
        <v>0.10000000000000009</v>
      </c>
      <c r="CR89" s="90" t="e">
        <f t="shared" si="150"/>
        <v>#N/A</v>
      </c>
      <c r="CS89" s="90" t="e">
        <f t="shared" si="151"/>
        <v>#N/A</v>
      </c>
      <c r="CT89" s="90" t="e">
        <f t="shared" si="152"/>
        <v>#N/A</v>
      </c>
      <c r="CU89" s="113" t="e">
        <f t="shared" si="153"/>
        <v>#N/A</v>
      </c>
      <c r="CV89" s="90">
        <f t="shared" si="154"/>
        <v>8</v>
      </c>
      <c r="CW89" s="308">
        <v>8</v>
      </c>
      <c r="CX89" s="102"/>
      <c r="CY89" s="102"/>
      <c r="CZ89" s="102"/>
      <c r="DA89" s="102"/>
      <c r="DB89" s="102"/>
      <c r="DC89" s="102"/>
      <c r="DD89" s="102"/>
      <c r="DE89" s="102"/>
      <c r="DF89" s="102"/>
      <c r="DG89" s="102"/>
      <c r="DH89" s="102"/>
      <c r="DI89" s="307">
        <v>78</v>
      </c>
      <c r="DJ89" s="90">
        <f t="shared" si="125"/>
        <v>0.77999999999999858</v>
      </c>
      <c r="DK89" s="90">
        <f t="shared" si="127"/>
        <v>7.6862868720765046E-2</v>
      </c>
      <c r="DL89" s="90" t="e">
        <f t="shared" si="128"/>
        <v>#N/A</v>
      </c>
      <c r="DM89" s="90">
        <f t="shared" si="129"/>
        <v>7.6862868720765046E-2</v>
      </c>
      <c r="DN89" s="90">
        <f t="shared" si="130"/>
        <v>32</v>
      </c>
      <c r="DO89" s="308">
        <f t="shared" si="126"/>
        <v>0.29199999999999943</v>
      </c>
      <c r="DP89" s="307">
        <f t="shared" si="138"/>
        <v>0.77999999999999947</v>
      </c>
      <c r="DQ89" s="90">
        <f t="shared" si="131"/>
        <v>1.8512824500423401E-2</v>
      </c>
      <c r="DR89" s="90">
        <f t="shared" si="132"/>
        <v>1.8512824500423401E-2</v>
      </c>
      <c r="DS89" s="90">
        <f t="shared" si="139"/>
        <v>33</v>
      </c>
      <c r="DT89" s="308">
        <f t="shared" si="140"/>
        <v>0.29199999999999982</v>
      </c>
      <c r="DU89" s="307">
        <f t="shared" si="133"/>
        <v>0.77999999999999692</v>
      </c>
      <c r="DV89" s="90">
        <f t="shared" si="134"/>
        <v>0.18838950790508985</v>
      </c>
      <c r="DW89" s="90">
        <f t="shared" si="135"/>
        <v>0.18838950790508985</v>
      </c>
      <c r="DX89" s="90">
        <f t="shared" si="136"/>
        <v>34</v>
      </c>
      <c r="DY89" s="308">
        <f t="shared" si="137"/>
        <v>0.29199999999999876</v>
      </c>
    </row>
    <row r="90" spans="66:129" ht="12" customHeight="1" x14ac:dyDescent="0.2">
      <c r="BN90" s="268" t="s">
        <v>326</v>
      </c>
      <c r="BO90" s="270">
        <f>IF(CE112=0,"",CI112-CG112^2/CE112)</f>
        <v>1.5946201251787002</v>
      </c>
      <c r="BQ90" s="102"/>
      <c r="BR90" s="102"/>
      <c r="BS90" s="424">
        <f t="shared" si="155"/>
        <v>16.796054752007713</v>
      </c>
      <c r="BT90" s="290">
        <v>9</v>
      </c>
      <c r="BU90" s="90"/>
      <c r="BV90" s="90">
        <f t="shared" si="156"/>
        <v>2</v>
      </c>
      <c r="BW90" s="90">
        <f t="shared" si="141"/>
        <v>0.33000000000000007</v>
      </c>
      <c r="BX90" s="90">
        <f t="shared" si="141"/>
        <v>34</v>
      </c>
      <c r="BY90" s="90">
        <f t="shared" si="141"/>
        <v>2.064754812376802</v>
      </c>
      <c r="BZ90" s="90" t="e">
        <f t="shared" si="157"/>
        <v>#N/A</v>
      </c>
      <c r="CA90" s="90">
        <f t="shared" si="158"/>
        <v>9</v>
      </c>
      <c r="CB90" s="90">
        <f t="shared" si="159"/>
        <v>0.31910145180667826</v>
      </c>
      <c r="CC90" s="127">
        <f t="shared" si="142"/>
        <v>8.5832999999999995</v>
      </c>
      <c r="CD90" s="127">
        <f t="shared" si="142"/>
        <v>33</v>
      </c>
      <c r="CE90" s="90">
        <f t="shared" si="142"/>
        <v>39.147956246401854</v>
      </c>
      <c r="CF90" s="90">
        <f t="shared" si="143"/>
        <v>39.147956246401854</v>
      </c>
      <c r="CG90" s="90">
        <f t="shared" si="144"/>
        <v>12.918825561312614</v>
      </c>
      <c r="CH90" s="90">
        <f t="shared" si="144"/>
        <v>1532.5624782701939</v>
      </c>
      <c r="CI90" s="90">
        <f t="shared" si="144"/>
        <v>4.2632124352331644</v>
      </c>
      <c r="CJ90" s="90">
        <f t="shared" si="160"/>
        <v>2.5544117647058814E-2</v>
      </c>
      <c r="CK90" s="90">
        <f t="shared" si="161"/>
        <v>39.147956246401854</v>
      </c>
      <c r="CL90" s="113">
        <f t="shared" si="162"/>
        <v>12.918825561312614</v>
      </c>
      <c r="CM90" s="106" t="e">
        <f t="shared" si="145"/>
        <v>#N/A</v>
      </c>
      <c r="CN90" s="90" t="e">
        <f t="shared" si="146"/>
        <v>#N/A</v>
      </c>
      <c r="CO90" s="90" t="e">
        <f t="shared" si="147"/>
        <v>#N/A</v>
      </c>
      <c r="CP90" s="90" t="e">
        <f t="shared" si="148"/>
        <v>#N/A</v>
      </c>
      <c r="CQ90" s="90">
        <f t="shared" si="149"/>
        <v>0.33000000000000007</v>
      </c>
      <c r="CR90" s="90" t="e">
        <f t="shared" si="150"/>
        <v>#N/A</v>
      </c>
      <c r="CS90" s="90" t="e">
        <f t="shared" si="151"/>
        <v>#N/A</v>
      </c>
      <c r="CT90" s="90" t="e">
        <f t="shared" si="152"/>
        <v>#N/A</v>
      </c>
      <c r="CU90" s="113" t="e">
        <f t="shared" si="153"/>
        <v>#N/A</v>
      </c>
      <c r="CV90" s="90">
        <f t="shared" si="154"/>
        <v>9</v>
      </c>
      <c r="CW90" s="308">
        <v>9</v>
      </c>
      <c r="CX90" s="102"/>
      <c r="CY90" s="102"/>
      <c r="CZ90" s="102"/>
      <c r="DA90" s="102"/>
      <c r="DB90" s="102"/>
      <c r="DC90" s="102"/>
      <c r="DD90" s="102"/>
      <c r="DE90" s="102"/>
      <c r="DF90" s="102"/>
      <c r="DG90" s="102"/>
      <c r="DH90" s="102"/>
      <c r="DI90" s="307">
        <v>79</v>
      </c>
      <c r="DJ90" s="90">
        <f t="shared" si="125"/>
        <v>0.78999999999999848</v>
      </c>
      <c r="DK90" s="90">
        <f t="shared" si="127"/>
        <v>7.7656207621859E-2</v>
      </c>
      <c r="DL90" s="90" t="e">
        <f t="shared" si="128"/>
        <v>#N/A</v>
      </c>
      <c r="DM90" s="90">
        <f t="shared" si="129"/>
        <v>7.7656207621859E-2</v>
      </c>
      <c r="DN90" s="90">
        <f t="shared" si="130"/>
        <v>32</v>
      </c>
      <c r="DO90" s="308">
        <f t="shared" si="126"/>
        <v>0.29599999999999937</v>
      </c>
      <c r="DP90" s="307">
        <f t="shared" si="138"/>
        <v>0.78999999999999948</v>
      </c>
      <c r="DQ90" s="90">
        <f t="shared" si="131"/>
        <v>1.9145740713563914E-2</v>
      </c>
      <c r="DR90" s="90">
        <f t="shared" si="132"/>
        <v>1.9145740713563914E-2</v>
      </c>
      <c r="DS90" s="90">
        <f t="shared" si="139"/>
        <v>33</v>
      </c>
      <c r="DT90" s="308">
        <f t="shared" si="140"/>
        <v>0.29599999999999982</v>
      </c>
      <c r="DU90" s="307">
        <f t="shared" si="133"/>
        <v>0.78999999999999693</v>
      </c>
      <c r="DV90" s="90">
        <f t="shared" si="134"/>
        <v>0.18967330735344784</v>
      </c>
      <c r="DW90" s="90">
        <f t="shared" si="135"/>
        <v>0.18967330735344784</v>
      </c>
      <c r="DX90" s="90">
        <f t="shared" si="136"/>
        <v>34</v>
      </c>
      <c r="DY90" s="308">
        <f t="shared" si="137"/>
        <v>0.29599999999999876</v>
      </c>
    </row>
    <row r="91" spans="66:129" ht="12" customHeight="1" x14ac:dyDescent="0.2">
      <c r="BN91" s="268" t="s">
        <v>352</v>
      </c>
      <c r="BO91" s="113">
        <f>CHIDIST(BO90,BO89)</f>
        <v>0.66061028460936433</v>
      </c>
      <c r="BQ91" s="90"/>
      <c r="BR91" s="90"/>
      <c r="BS91" s="290">
        <f t="shared" si="155"/>
        <v>46.353125580113833</v>
      </c>
      <c r="BT91" s="290">
        <v>10</v>
      </c>
      <c r="BU91" s="90"/>
      <c r="BV91" s="90">
        <f t="shared" si="156"/>
        <v>2</v>
      </c>
      <c r="BW91" s="90">
        <f t="shared" si="141"/>
        <v>0.18000000000000016</v>
      </c>
      <c r="BX91" s="90">
        <f t="shared" si="141"/>
        <v>95</v>
      </c>
      <c r="BY91" s="90">
        <f t="shared" si="141"/>
        <v>1.8709531961671788</v>
      </c>
      <c r="BZ91" s="90" t="e">
        <f t="shared" si="157"/>
        <v>#N/A</v>
      </c>
      <c r="CA91" s="90">
        <f t="shared" si="158"/>
        <v>10</v>
      </c>
      <c r="CB91" s="90">
        <f t="shared" si="159"/>
        <v>0.18975962047801079</v>
      </c>
      <c r="CC91" s="127">
        <f t="shared" si="142"/>
        <v>43.465600000000009</v>
      </c>
      <c r="CD91" s="127">
        <f t="shared" si="142"/>
        <v>94</v>
      </c>
      <c r="CE91" s="90">
        <f t="shared" si="142"/>
        <v>108.03906982247456</v>
      </c>
      <c r="CF91" s="90">
        <f t="shared" si="143"/>
        <v>108.03906982247456</v>
      </c>
      <c r="CG91" s="90">
        <f t="shared" si="144"/>
        <v>19.447032568045437</v>
      </c>
      <c r="CH91" s="90">
        <f t="shared" si="144"/>
        <v>11672.440608105533</v>
      </c>
      <c r="CI91" s="90">
        <f t="shared" si="144"/>
        <v>3.5004658622481823</v>
      </c>
      <c r="CJ91" s="90">
        <f t="shared" si="160"/>
        <v>9.2559108630161264E-3</v>
      </c>
      <c r="CK91" s="90">
        <f t="shared" si="161"/>
        <v>108.03906982247456</v>
      </c>
      <c r="CL91" s="113">
        <f t="shared" si="162"/>
        <v>19.447032568045437</v>
      </c>
      <c r="CM91" s="106" t="e">
        <f t="shared" si="145"/>
        <v>#N/A</v>
      </c>
      <c r="CN91" s="90" t="e">
        <f t="shared" si="146"/>
        <v>#N/A</v>
      </c>
      <c r="CO91" s="90" t="e">
        <f t="shared" si="147"/>
        <v>#N/A</v>
      </c>
      <c r="CP91" s="90" t="e">
        <f t="shared" si="148"/>
        <v>#N/A</v>
      </c>
      <c r="CQ91" s="90" t="e">
        <f t="shared" si="149"/>
        <v>#N/A</v>
      </c>
      <c r="CR91" s="90" t="e">
        <f t="shared" si="150"/>
        <v>#N/A</v>
      </c>
      <c r="CS91" s="90" t="e">
        <f t="shared" si="151"/>
        <v>#N/A</v>
      </c>
      <c r="CT91" s="90" t="e">
        <f t="shared" si="152"/>
        <v>#N/A</v>
      </c>
      <c r="CU91" s="113">
        <f t="shared" si="153"/>
        <v>0.18000000000000016</v>
      </c>
      <c r="CV91" s="90">
        <f t="shared" si="154"/>
        <v>10</v>
      </c>
      <c r="CW91" s="308">
        <v>10</v>
      </c>
      <c r="CX91" s="102"/>
      <c r="CY91" s="102"/>
      <c r="CZ91" s="102"/>
      <c r="DA91" s="102"/>
      <c r="DB91" s="102"/>
      <c r="DC91" s="102"/>
      <c r="DD91" s="102"/>
      <c r="DE91" s="102"/>
      <c r="DF91" s="102"/>
      <c r="DG91" s="102"/>
      <c r="DH91" s="102"/>
      <c r="DI91" s="307">
        <v>80</v>
      </c>
      <c r="DJ91" s="90">
        <f t="shared" si="125"/>
        <v>0.79999999999999838</v>
      </c>
      <c r="DK91" s="90">
        <f t="shared" si="127"/>
        <v>7.8449546522952954E-2</v>
      </c>
      <c r="DL91" s="90" t="e">
        <f t="shared" si="128"/>
        <v>#N/A</v>
      </c>
      <c r="DM91" s="90">
        <f t="shared" si="129"/>
        <v>7.8449546522952954E-2</v>
      </c>
      <c r="DN91" s="90">
        <f t="shared" si="130"/>
        <v>32</v>
      </c>
      <c r="DO91" s="308">
        <f t="shared" si="126"/>
        <v>0.29999999999999938</v>
      </c>
      <c r="DP91" s="307">
        <f t="shared" si="138"/>
        <v>0.79999999999999949</v>
      </c>
      <c r="DQ91" s="90">
        <f t="shared" si="131"/>
        <v>1.9778656926704427E-2</v>
      </c>
      <c r="DR91" s="90">
        <f t="shared" si="132"/>
        <v>1.9778656926704427E-2</v>
      </c>
      <c r="DS91" s="90">
        <f t="shared" si="139"/>
        <v>33</v>
      </c>
      <c r="DT91" s="308">
        <f t="shared" si="140"/>
        <v>0.29999999999999982</v>
      </c>
      <c r="DU91" s="307">
        <f t="shared" si="133"/>
        <v>0.79999999999999682</v>
      </c>
      <c r="DV91" s="90">
        <f t="shared" si="134"/>
        <v>0.19095710680180583</v>
      </c>
      <c r="DW91" s="90">
        <f t="shared" si="135"/>
        <v>0.19095710680180583</v>
      </c>
      <c r="DX91" s="90">
        <f t="shared" si="136"/>
        <v>34</v>
      </c>
      <c r="DY91" s="308">
        <f t="shared" si="137"/>
        <v>0.29999999999999871</v>
      </c>
    </row>
    <row r="92" spans="66:129" ht="12" customHeight="1" x14ac:dyDescent="0.2">
      <c r="BN92" s="268" t="s">
        <v>251</v>
      </c>
      <c r="BO92" s="280">
        <f>CE112-CH112/CE112</f>
        <v>160.54527820368486</v>
      </c>
      <c r="BQ92" s="425"/>
      <c r="BR92" s="63" t="s">
        <v>462</v>
      </c>
      <c r="BS92" s="428" t="str">
        <f t="shared" si="155"/>
        <v/>
      </c>
      <c r="BT92" s="290">
        <v>11</v>
      </c>
      <c r="BU92" s="90"/>
      <c r="BV92" s="90" t="str">
        <f t="shared" si="156"/>
        <v/>
      </c>
      <c r="BW92" s="90" t="str">
        <f t="shared" si="141"/>
        <v/>
      </c>
      <c r="BX92" s="90" t="str">
        <f t="shared" si="141"/>
        <v/>
      </c>
      <c r="BY92" s="90" t="str">
        <f t="shared" si="141"/>
        <v/>
      </c>
      <c r="BZ92" s="90" t="e">
        <f t="shared" si="157"/>
        <v>#N/A</v>
      </c>
      <c r="CA92" s="90" t="e">
        <f t="shared" si="158"/>
        <v>#N/A</v>
      </c>
      <c r="CB92" s="90" t="e">
        <f t="shared" si="159"/>
        <v>#N/A</v>
      </c>
      <c r="CC92" s="127" t="str">
        <f t="shared" si="142"/>
        <v/>
      </c>
      <c r="CD92" s="127" t="str">
        <f t="shared" si="142"/>
        <v/>
      </c>
      <c r="CE92" s="90" t="str">
        <f t="shared" si="142"/>
        <v/>
      </c>
      <c r="CF92" s="90" t="str">
        <f t="shared" si="143"/>
        <v/>
      </c>
      <c r="CG92" s="90" t="str">
        <f t="shared" si="144"/>
        <v/>
      </c>
      <c r="CH92" s="90" t="str">
        <f t="shared" si="144"/>
        <v/>
      </c>
      <c r="CI92" s="90" t="str">
        <f t="shared" si="144"/>
        <v/>
      </c>
      <c r="CJ92" s="90" t="str">
        <f t="shared" si="160"/>
        <v/>
      </c>
      <c r="CK92" s="90" t="str">
        <f t="shared" si="161"/>
        <v/>
      </c>
      <c r="CL92" s="113" t="str">
        <f t="shared" si="162"/>
        <v/>
      </c>
      <c r="CM92" s="106" t="e">
        <f t="shared" si="145"/>
        <v>#N/A</v>
      </c>
      <c r="CN92" s="90" t="e">
        <f t="shared" si="146"/>
        <v>#N/A</v>
      </c>
      <c r="CO92" s="90" t="e">
        <f t="shared" si="147"/>
        <v>#N/A</v>
      </c>
      <c r="CP92" s="90" t="e">
        <f t="shared" si="148"/>
        <v>#N/A</v>
      </c>
      <c r="CQ92" s="90" t="e">
        <f t="shared" si="149"/>
        <v>#N/A</v>
      </c>
      <c r="CR92" s="90" t="e">
        <f t="shared" si="150"/>
        <v>#N/A</v>
      </c>
      <c r="CS92" s="90" t="e">
        <f t="shared" si="151"/>
        <v>#N/A</v>
      </c>
      <c r="CT92" s="90" t="e">
        <f t="shared" si="152"/>
        <v>#N/A</v>
      </c>
      <c r="CU92" s="113" t="e">
        <f t="shared" si="153"/>
        <v>#N/A</v>
      </c>
      <c r="CV92" s="90">
        <f t="shared" si="154"/>
        <v>11</v>
      </c>
      <c r="CW92" s="308">
        <v>11</v>
      </c>
      <c r="CX92" s="102"/>
      <c r="CY92" s="102"/>
      <c r="CZ92" s="102"/>
      <c r="DA92" s="102"/>
      <c r="DB92" s="102"/>
      <c r="DC92" s="102"/>
      <c r="DD92" s="102"/>
      <c r="DE92" s="102"/>
      <c r="DF92" s="102"/>
      <c r="DG92" s="102"/>
      <c r="DH92" s="102"/>
      <c r="DI92" s="307">
        <v>81</v>
      </c>
      <c r="DJ92" s="90">
        <f t="shared" si="125"/>
        <v>0.80999999999999828</v>
      </c>
      <c r="DK92" s="90">
        <f t="shared" si="127"/>
        <v>7.9242885424046908E-2</v>
      </c>
      <c r="DL92" s="90" t="e">
        <f t="shared" si="128"/>
        <v>#N/A</v>
      </c>
      <c r="DM92" s="90">
        <f t="shared" si="129"/>
        <v>7.9242885424046908E-2</v>
      </c>
      <c r="DN92" s="90">
        <f t="shared" si="130"/>
        <v>32</v>
      </c>
      <c r="DO92" s="308">
        <f t="shared" si="126"/>
        <v>0.30399999999999933</v>
      </c>
      <c r="DP92" s="307">
        <f t="shared" si="138"/>
        <v>0.80999999999999939</v>
      </c>
      <c r="DQ92" s="90">
        <f t="shared" si="131"/>
        <v>2.041157313984494E-2</v>
      </c>
      <c r="DR92" s="90">
        <f t="shared" si="132"/>
        <v>2.041157313984494E-2</v>
      </c>
      <c r="DS92" s="90">
        <f t="shared" si="139"/>
        <v>33</v>
      </c>
      <c r="DT92" s="308">
        <f t="shared" si="140"/>
        <v>0.30399999999999977</v>
      </c>
      <c r="DU92" s="307">
        <f t="shared" si="133"/>
        <v>0.80999999999999672</v>
      </c>
      <c r="DV92" s="90">
        <f t="shared" si="134"/>
        <v>0.19224090625016382</v>
      </c>
      <c r="DW92" s="90">
        <f t="shared" si="135"/>
        <v>0.19224090625016382</v>
      </c>
      <c r="DX92" s="90">
        <f t="shared" si="136"/>
        <v>34</v>
      </c>
      <c r="DY92" s="308">
        <f t="shared" si="137"/>
        <v>0.30399999999999872</v>
      </c>
    </row>
    <row r="93" spans="66:129" ht="12" customHeight="1" x14ac:dyDescent="0.2">
      <c r="BN93" s="268" t="s">
        <v>327</v>
      </c>
      <c r="BO93" s="113">
        <f>IF(BO92=0,0,MAX(0,(BO90-BO89)/BO92))</f>
        <v>0</v>
      </c>
      <c r="BQ93" s="90"/>
      <c r="BR93" s="586">
        <f>BQ56</f>
        <v>0</v>
      </c>
      <c r="BS93" s="290" t="str">
        <f t="shared" si="155"/>
        <v/>
      </c>
      <c r="BT93" s="290">
        <v>12</v>
      </c>
      <c r="BU93" s="90"/>
      <c r="BV93" s="90" t="str">
        <f t="shared" si="156"/>
        <v/>
      </c>
      <c r="BW93" s="90" t="str">
        <f t="shared" si="141"/>
        <v/>
      </c>
      <c r="BX93" s="90" t="str">
        <f t="shared" si="141"/>
        <v/>
      </c>
      <c r="BY93" s="90" t="str">
        <f t="shared" si="141"/>
        <v/>
      </c>
      <c r="BZ93" s="90" t="e">
        <f t="shared" si="157"/>
        <v>#N/A</v>
      </c>
      <c r="CA93" s="90" t="e">
        <f t="shared" si="158"/>
        <v>#N/A</v>
      </c>
      <c r="CB93" s="90" t="e">
        <f t="shared" si="159"/>
        <v>#N/A</v>
      </c>
      <c r="CC93" s="127" t="str">
        <f t="shared" si="142"/>
        <v/>
      </c>
      <c r="CD93" s="127" t="str">
        <f t="shared" si="142"/>
        <v/>
      </c>
      <c r="CE93" s="90" t="str">
        <f t="shared" si="142"/>
        <v/>
      </c>
      <c r="CF93" s="90" t="str">
        <f t="shared" si="143"/>
        <v/>
      </c>
      <c r="CG93" s="90" t="str">
        <f t="shared" si="144"/>
        <v/>
      </c>
      <c r="CH93" s="90" t="str">
        <f t="shared" si="144"/>
        <v/>
      </c>
      <c r="CI93" s="90" t="str">
        <f t="shared" si="144"/>
        <v/>
      </c>
      <c r="CJ93" s="90" t="str">
        <f t="shared" si="160"/>
        <v/>
      </c>
      <c r="CK93" s="90" t="str">
        <f t="shared" si="161"/>
        <v/>
      </c>
      <c r="CL93" s="113" t="str">
        <f t="shared" si="162"/>
        <v/>
      </c>
      <c r="CM93" s="106" t="e">
        <f t="shared" si="145"/>
        <v>#N/A</v>
      </c>
      <c r="CN93" s="90" t="e">
        <f t="shared" si="146"/>
        <v>#N/A</v>
      </c>
      <c r="CO93" s="90" t="e">
        <f t="shared" si="147"/>
        <v>#N/A</v>
      </c>
      <c r="CP93" s="90" t="e">
        <f t="shared" si="148"/>
        <v>#N/A</v>
      </c>
      <c r="CQ93" s="90" t="e">
        <f t="shared" si="149"/>
        <v>#N/A</v>
      </c>
      <c r="CR93" s="90" t="e">
        <f t="shared" si="150"/>
        <v>#N/A</v>
      </c>
      <c r="CS93" s="90" t="e">
        <f t="shared" si="151"/>
        <v>#N/A</v>
      </c>
      <c r="CT93" s="90" t="e">
        <f t="shared" si="152"/>
        <v>#N/A</v>
      </c>
      <c r="CU93" s="113" t="e">
        <f t="shared" si="153"/>
        <v>#N/A</v>
      </c>
      <c r="CV93" s="90">
        <f t="shared" si="154"/>
        <v>12</v>
      </c>
      <c r="CW93" s="308">
        <v>12</v>
      </c>
      <c r="CX93" s="102"/>
      <c r="CY93" s="102"/>
      <c r="CZ93" s="102"/>
      <c r="DA93" s="102"/>
      <c r="DB93" s="102"/>
      <c r="DC93" s="102"/>
      <c r="DD93" s="102"/>
      <c r="DE93" s="102"/>
      <c r="DF93" s="102"/>
      <c r="DG93" s="102"/>
      <c r="DH93" s="102"/>
      <c r="DI93" s="307">
        <v>82</v>
      </c>
      <c r="DJ93" s="90">
        <f t="shared" si="125"/>
        <v>0.81999999999999829</v>
      </c>
      <c r="DK93" s="90">
        <f t="shared" si="127"/>
        <v>8.0036224325140862E-2</v>
      </c>
      <c r="DL93" s="90" t="e">
        <f t="shared" si="128"/>
        <v>#N/A</v>
      </c>
      <c r="DM93" s="90">
        <f t="shared" si="129"/>
        <v>8.0036224325140862E-2</v>
      </c>
      <c r="DN93" s="90">
        <f t="shared" si="130"/>
        <v>32</v>
      </c>
      <c r="DO93" s="308">
        <f t="shared" si="126"/>
        <v>0.30799999999999933</v>
      </c>
      <c r="DP93" s="307">
        <f t="shared" si="138"/>
        <v>0.8199999999999994</v>
      </c>
      <c r="DQ93" s="90">
        <f t="shared" si="131"/>
        <v>2.1044489352985453E-2</v>
      </c>
      <c r="DR93" s="90">
        <f t="shared" si="132"/>
        <v>2.1044489352985453E-2</v>
      </c>
      <c r="DS93" s="90">
        <f t="shared" si="139"/>
        <v>33</v>
      </c>
      <c r="DT93" s="308">
        <f t="shared" si="140"/>
        <v>0.30799999999999977</v>
      </c>
      <c r="DU93" s="307">
        <f t="shared" si="133"/>
        <v>0.81999999999999662</v>
      </c>
      <c r="DV93" s="90">
        <f t="shared" si="134"/>
        <v>0.19352470569852182</v>
      </c>
      <c r="DW93" s="90">
        <f t="shared" si="135"/>
        <v>0.19352470569852182</v>
      </c>
      <c r="DX93" s="90">
        <f t="shared" si="136"/>
        <v>34</v>
      </c>
      <c r="DY93" s="308">
        <f t="shared" si="137"/>
        <v>0.30799999999999866</v>
      </c>
    </row>
    <row r="94" spans="66:129" ht="12" customHeight="1" x14ac:dyDescent="0.2">
      <c r="BN94" s="268" t="s">
        <v>340</v>
      </c>
      <c r="BO94" s="113">
        <f>SQRT(BO93)</f>
        <v>0</v>
      </c>
      <c r="BQ94" s="90"/>
      <c r="BR94" s="113">
        <f>SQRT(BR93)</f>
        <v>0</v>
      </c>
      <c r="BS94" s="290" t="str">
        <f t="shared" si="155"/>
        <v/>
      </c>
      <c r="BT94" s="290">
        <v>13</v>
      </c>
      <c r="BU94" s="90"/>
      <c r="BV94" s="90" t="str">
        <f t="shared" si="156"/>
        <v/>
      </c>
      <c r="BW94" s="90" t="str">
        <f t="shared" si="141"/>
        <v/>
      </c>
      <c r="BX94" s="90" t="str">
        <f t="shared" si="141"/>
        <v/>
      </c>
      <c r="BY94" s="90" t="str">
        <f t="shared" si="141"/>
        <v/>
      </c>
      <c r="BZ94" s="90" t="e">
        <f t="shared" si="157"/>
        <v>#N/A</v>
      </c>
      <c r="CA94" s="90" t="e">
        <f t="shared" si="158"/>
        <v>#N/A</v>
      </c>
      <c r="CB94" s="90" t="e">
        <f t="shared" si="159"/>
        <v>#N/A</v>
      </c>
      <c r="CC94" s="127" t="str">
        <f t="shared" si="142"/>
        <v/>
      </c>
      <c r="CD94" s="127" t="str">
        <f t="shared" si="142"/>
        <v/>
      </c>
      <c r="CE94" s="90" t="str">
        <f t="shared" si="142"/>
        <v/>
      </c>
      <c r="CF94" s="90" t="str">
        <f t="shared" si="143"/>
        <v/>
      </c>
      <c r="CG94" s="90" t="str">
        <f t="shared" si="144"/>
        <v/>
      </c>
      <c r="CH94" s="90" t="str">
        <f t="shared" si="144"/>
        <v/>
      </c>
      <c r="CI94" s="90" t="str">
        <f t="shared" si="144"/>
        <v/>
      </c>
      <c r="CJ94" s="90" t="str">
        <f t="shared" si="160"/>
        <v/>
      </c>
      <c r="CK94" s="90" t="str">
        <f t="shared" si="161"/>
        <v/>
      </c>
      <c r="CL94" s="113" t="str">
        <f t="shared" si="162"/>
        <v/>
      </c>
      <c r="CM94" s="106" t="e">
        <f t="shared" si="145"/>
        <v>#N/A</v>
      </c>
      <c r="CN94" s="90" t="e">
        <f t="shared" si="146"/>
        <v>#N/A</v>
      </c>
      <c r="CO94" s="90" t="e">
        <f t="shared" si="147"/>
        <v>#N/A</v>
      </c>
      <c r="CP94" s="90" t="e">
        <f t="shared" si="148"/>
        <v>#N/A</v>
      </c>
      <c r="CQ94" s="90" t="e">
        <f t="shared" si="149"/>
        <v>#N/A</v>
      </c>
      <c r="CR94" s="90" t="e">
        <f t="shared" si="150"/>
        <v>#N/A</v>
      </c>
      <c r="CS94" s="90" t="e">
        <f t="shared" si="151"/>
        <v>#N/A</v>
      </c>
      <c r="CT94" s="90" t="e">
        <f t="shared" si="152"/>
        <v>#N/A</v>
      </c>
      <c r="CU94" s="113" t="e">
        <f t="shared" si="153"/>
        <v>#N/A</v>
      </c>
      <c r="CV94" s="90">
        <f t="shared" si="154"/>
        <v>13</v>
      </c>
      <c r="CW94" s="308">
        <v>13</v>
      </c>
      <c r="CX94" s="102"/>
      <c r="CY94" s="102"/>
      <c r="CZ94" s="102"/>
      <c r="DA94" s="102"/>
      <c r="DB94" s="102"/>
      <c r="DC94" s="102"/>
      <c r="DD94" s="102"/>
      <c r="DE94" s="102"/>
      <c r="DF94" s="102"/>
      <c r="DG94" s="102"/>
      <c r="DH94" s="102"/>
      <c r="DI94" s="307">
        <v>83</v>
      </c>
      <c r="DJ94" s="90">
        <f t="shared" si="125"/>
        <v>0.82999999999999807</v>
      </c>
      <c r="DK94" s="90">
        <f t="shared" si="127"/>
        <v>8.0829563226234816E-2</v>
      </c>
      <c r="DL94" s="90" t="e">
        <f t="shared" si="128"/>
        <v>#N/A</v>
      </c>
      <c r="DM94" s="90">
        <f t="shared" si="129"/>
        <v>8.0829563226234816E-2</v>
      </c>
      <c r="DN94" s="90">
        <f t="shared" si="130"/>
        <v>32</v>
      </c>
      <c r="DO94" s="308">
        <f t="shared" si="126"/>
        <v>0.31199999999999922</v>
      </c>
      <c r="DP94" s="307">
        <f t="shared" si="138"/>
        <v>0.8299999999999994</v>
      </c>
      <c r="DQ94" s="90">
        <f t="shared" si="131"/>
        <v>2.1677405566125966E-2</v>
      </c>
      <c r="DR94" s="90">
        <f t="shared" si="132"/>
        <v>2.1677405566125966E-2</v>
      </c>
      <c r="DS94" s="90">
        <f t="shared" si="139"/>
        <v>33</v>
      </c>
      <c r="DT94" s="308">
        <f t="shared" si="140"/>
        <v>0.31199999999999978</v>
      </c>
      <c r="DU94" s="307">
        <f t="shared" si="133"/>
        <v>0.82999999999999652</v>
      </c>
      <c r="DV94" s="90">
        <f t="shared" si="134"/>
        <v>0.19480850514687981</v>
      </c>
      <c r="DW94" s="90">
        <f t="shared" si="135"/>
        <v>0.19480850514687981</v>
      </c>
      <c r="DX94" s="90">
        <f t="shared" si="136"/>
        <v>34</v>
      </c>
      <c r="DY94" s="308">
        <f t="shared" si="137"/>
        <v>0.31199999999999861</v>
      </c>
    </row>
    <row r="95" spans="66:129" ht="12" customHeight="1" x14ac:dyDescent="0.2">
      <c r="BN95" s="291" t="s">
        <v>328</v>
      </c>
      <c r="BO95" s="113">
        <f>CL112/CK112</f>
        <v>0.21663309576896628</v>
      </c>
      <c r="BQ95" s="90"/>
      <c r="BR95" s="90"/>
      <c r="BS95" s="290" t="str">
        <f t="shared" si="155"/>
        <v/>
      </c>
      <c r="BT95" s="290">
        <v>14</v>
      </c>
      <c r="BU95" s="90"/>
      <c r="BV95" s="90" t="str">
        <f t="shared" si="156"/>
        <v/>
      </c>
      <c r="BW95" s="90" t="str">
        <f t="shared" si="141"/>
        <v/>
      </c>
      <c r="BX95" s="90" t="str">
        <f t="shared" si="141"/>
        <v/>
      </c>
      <c r="BY95" s="90" t="str">
        <f t="shared" si="141"/>
        <v/>
      </c>
      <c r="BZ95" s="90" t="e">
        <f t="shared" si="157"/>
        <v>#N/A</v>
      </c>
      <c r="CA95" s="90" t="e">
        <f t="shared" si="158"/>
        <v>#N/A</v>
      </c>
      <c r="CB95" s="90" t="e">
        <f t="shared" si="159"/>
        <v>#N/A</v>
      </c>
      <c r="CC95" s="127" t="str">
        <f t="shared" si="142"/>
        <v/>
      </c>
      <c r="CD95" s="127" t="str">
        <f t="shared" si="142"/>
        <v/>
      </c>
      <c r="CE95" s="90" t="str">
        <f t="shared" si="142"/>
        <v/>
      </c>
      <c r="CF95" s="90" t="str">
        <f t="shared" si="143"/>
        <v/>
      </c>
      <c r="CG95" s="90" t="str">
        <f t="shared" si="144"/>
        <v/>
      </c>
      <c r="CH95" s="90" t="str">
        <f t="shared" si="144"/>
        <v/>
      </c>
      <c r="CI95" s="90" t="str">
        <f t="shared" si="144"/>
        <v/>
      </c>
      <c r="CJ95" s="90" t="str">
        <f t="shared" si="160"/>
        <v/>
      </c>
      <c r="CK95" s="90" t="str">
        <f t="shared" si="161"/>
        <v/>
      </c>
      <c r="CL95" s="113" t="str">
        <f t="shared" si="162"/>
        <v/>
      </c>
      <c r="CM95" s="106" t="e">
        <f t="shared" si="145"/>
        <v>#N/A</v>
      </c>
      <c r="CN95" s="90" t="e">
        <f t="shared" si="146"/>
        <v>#N/A</v>
      </c>
      <c r="CO95" s="90" t="e">
        <f t="shared" si="147"/>
        <v>#N/A</v>
      </c>
      <c r="CP95" s="90" t="e">
        <f t="shared" si="148"/>
        <v>#N/A</v>
      </c>
      <c r="CQ95" s="90" t="e">
        <f t="shared" si="149"/>
        <v>#N/A</v>
      </c>
      <c r="CR95" s="90" t="e">
        <f t="shared" si="150"/>
        <v>#N/A</v>
      </c>
      <c r="CS95" s="90" t="e">
        <f t="shared" si="151"/>
        <v>#N/A</v>
      </c>
      <c r="CT95" s="90" t="e">
        <f t="shared" si="152"/>
        <v>#N/A</v>
      </c>
      <c r="CU95" s="113" t="e">
        <f t="shared" si="153"/>
        <v>#N/A</v>
      </c>
      <c r="CV95" s="90">
        <f t="shared" si="154"/>
        <v>14</v>
      </c>
      <c r="CW95" s="308">
        <v>14</v>
      </c>
      <c r="CX95" s="102"/>
      <c r="CY95" s="102"/>
      <c r="CZ95" s="102"/>
      <c r="DA95" s="102"/>
      <c r="DB95" s="102"/>
      <c r="DC95" s="102"/>
      <c r="DD95" s="102"/>
      <c r="DE95" s="102"/>
      <c r="DF95" s="102"/>
      <c r="DG95" s="102"/>
      <c r="DH95" s="102"/>
      <c r="DI95" s="307">
        <v>84</v>
      </c>
      <c r="DJ95" s="90">
        <f t="shared" si="125"/>
        <v>0.83999999999999808</v>
      </c>
      <c r="DK95" s="90">
        <f t="shared" si="127"/>
        <v>8.162290212732877E-2</v>
      </c>
      <c r="DL95" s="90" t="e">
        <f t="shared" si="128"/>
        <v>#N/A</v>
      </c>
      <c r="DM95" s="90">
        <f t="shared" si="129"/>
        <v>8.162290212732877E-2</v>
      </c>
      <c r="DN95" s="90">
        <f t="shared" si="130"/>
        <v>32</v>
      </c>
      <c r="DO95" s="308">
        <f t="shared" si="126"/>
        <v>0.31599999999999923</v>
      </c>
      <c r="DP95" s="307">
        <f t="shared" si="138"/>
        <v>0.83999999999999941</v>
      </c>
      <c r="DQ95" s="90">
        <f t="shared" si="131"/>
        <v>2.2310321779266479E-2</v>
      </c>
      <c r="DR95" s="90">
        <f t="shared" si="132"/>
        <v>2.2310321779266479E-2</v>
      </c>
      <c r="DS95" s="90">
        <f t="shared" si="139"/>
        <v>33</v>
      </c>
      <c r="DT95" s="308">
        <f t="shared" si="140"/>
        <v>0.31599999999999978</v>
      </c>
      <c r="DU95" s="307">
        <f t="shared" si="133"/>
        <v>0.83999999999999653</v>
      </c>
      <c r="DV95" s="90">
        <f t="shared" si="134"/>
        <v>0.1960923045952378</v>
      </c>
      <c r="DW95" s="90">
        <f t="shared" si="135"/>
        <v>0.1960923045952378</v>
      </c>
      <c r="DX95" s="90">
        <f t="shared" si="136"/>
        <v>34</v>
      </c>
      <c r="DY95" s="308">
        <f t="shared" si="137"/>
        <v>0.31599999999999862</v>
      </c>
    </row>
    <row r="96" spans="66:129" ht="12" customHeight="1" x14ac:dyDescent="0.2">
      <c r="BN96" s="268" t="s">
        <v>329</v>
      </c>
      <c r="BO96" s="113">
        <f>1/CK112</f>
        <v>4.2904039859172636E-3</v>
      </c>
      <c r="BQ96" s="90"/>
      <c r="BR96" s="90"/>
      <c r="BS96" s="290" t="str">
        <f t="shared" si="155"/>
        <v/>
      </c>
      <c r="BT96" s="290">
        <v>15</v>
      </c>
      <c r="BU96" s="90"/>
      <c r="BV96" s="90" t="str">
        <f t="shared" si="156"/>
        <v/>
      </c>
      <c r="BW96" s="90" t="str">
        <f t="shared" si="141"/>
        <v/>
      </c>
      <c r="BX96" s="90" t="str">
        <f t="shared" si="141"/>
        <v/>
      </c>
      <c r="BY96" s="90" t="str">
        <f t="shared" si="141"/>
        <v/>
      </c>
      <c r="BZ96" s="90" t="e">
        <f t="shared" si="157"/>
        <v>#N/A</v>
      </c>
      <c r="CA96" s="90" t="e">
        <f t="shared" si="158"/>
        <v>#N/A</v>
      </c>
      <c r="CB96" s="90" t="e">
        <f t="shared" si="159"/>
        <v>#N/A</v>
      </c>
      <c r="CC96" s="127" t="str">
        <f t="shared" si="142"/>
        <v/>
      </c>
      <c r="CD96" s="127" t="str">
        <f t="shared" si="142"/>
        <v/>
      </c>
      <c r="CE96" s="90" t="str">
        <f t="shared" si="142"/>
        <v/>
      </c>
      <c r="CF96" s="90" t="str">
        <f t="shared" si="143"/>
        <v/>
      </c>
      <c r="CG96" s="90" t="str">
        <f t="shared" si="144"/>
        <v/>
      </c>
      <c r="CH96" s="90" t="str">
        <f t="shared" si="144"/>
        <v/>
      </c>
      <c r="CI96" s="90" t="str">
        <f t="shared" si="144"/>
        <v/>
      </c>
      <c r="CJ96" s="90" t="str">
        <f t="shared" si="160"/>
        <v/>
      </c>
      <c r="CK96" s="90" t="str">
        <f t="shared" si="161"/>
        <v/>
      </c>
      <c r="CL96" s="113" t="str">
        <f t="shared" si="162"/>
        <v/>
      </c>
      <c r="CM96" s="106" t="e">
        <f t="shared" si="145"/>
        <v>#N/A</v>
      </c>
      <c r="CN96" s="90" t="e">
        <f t="shared" si="146"/>
        <v>#N/A</v>
      </c>
      <c r="CO96" s="90" t="e">
        <f t="shared" si="147"/>
        <v>#N/A</v>
      </c>
      <c r="CP96" s="90" t="e">
        <f t="shared" si="148"/>
        <v>#N/A</v>
      </c>
      <c r="CQ96" s="90" t="e">
        <f t="shared" si="149"/>
        <v>#N/A</v>
      </c>
      <c r="CR96" s="90" t="e">
        <f t="shared" si="150"/>
        <v>#N/A</v>
      </c>
      <c r="CS96" s="90" t="e">
        <f t="shared" si="151"/>
        <v>#N/A</v>
      </c>
      <c r="CT96" s="90" t="e">
        <f t="shared" si="152"/>
        <v>#N/A</v>
      </c>
      <c r="CU96" s="113" t="e">
        <f t="shared" si="153"/>
        <v>#N/A</v>
      </c>
      <c r="CV96" s="90">
        <f t="shared" si="154"/>
        <v>15</v>
      </c>
      <c r="CW96" s="308">
        <v>15</v>
      </c>
      <c r="CX96" s="102"/>
      <c r="CY96" s="102"/>
      <c r="CZ96" s="102"/>
      <c r="DA96" s="102"/>
      <c r="DB96" s="102"/>
      <c r="DC96" s="102"/>
      <c r="DD96" s="102"/>
      <c r="DE96" s="102"/>
      <c r="DF96" s="102"/>
      <c r="DG96" s="102"/>
      <c r="DH96" s="102"/>
      <c r="DI96" s="307">
        <v>85</v>
      </c>
      <c r="DJ96" s="90">
        <f t="shared" si="125"/>
        <v>0.84999999999999798</v>
      </c>
      <c r="DK96" s="90">
        <f t="shared" si="127"/>
        <v>8.2416241028422724E-2</v>
      </c>
      <c r="DL96" s="90" t="e">
        <f t="shared" si="128"/>
        <v>#N/A</v>
      </c>
      <c r="DM96" s="90">
        <f t="shared" si="129"/>
        <v>8.2416241028422724E-2</v>
      </c>
      <c r="DN96" s="90">
        <f t="shared" si="130"/>
        <v>32</v>
      </c>
      <c r="DO96" s="308">
        <f t="shared" si="126"/>
        <v>0.31999999999999917</v>
      </c>
      <c r="DP96" s="307">
        <f t="shared" si="138"/>
        <v>0.84999999999999942</v>
      </c>
      <c r="DQ96" s="90">
        <f t="shared" si="131"/>
        <v>2.2943237992406992E-2</v>
      </c>
      <c r="DR96" s="90">
        <f t="shared" si="132"/>
        <v>2.2943237992406992E-2</v>
      </c>
      <c r="DS96" s="90">
        <f t="shared" si="139"/>
        <v>33</v>
      </c>
      <c r="DT96" s="308">
        <f t="shared" si="140"/>
        <v>0.31999999999999978</v>
      </c>
      <c r="DU96" s="307">
        <f t="shared" si="133"/>
        <v>0.84999999999999643</v>
      </c>
      <c r="DV96" s="90">
        <f t="shared" si="134"/>
        <v>0.19737610404359579</v>
      </c>
      <c r="DW96" s="90">
        <f t="shared" si="135"/>
        <v>0.19737610404359579</v>
      </c>
      <c r="DX96" s="90">
        <f t="shared" si="136"/>
        <v>34</v>
      </c>
      <c r="DY96" s="308">
        <f t="shared" si="137"/>
        <v>0.31999999999999856</v>
      </c>
    </row>
    <row r="97" spans="66:129" ht="12" customHeight="1" x14ac:dyDescent="0.2">
      <c r="BN97" s="268" t="s">
        <v>330</v>
      </c>
      <c r="BO97" s="113">
        <f>SQRT(BO96)</f>
        <v>6.5501175454469998E-2</v>
      </c>
      <c r="BQ97" s="90"/>
      <c r="BR97" s="90"/>
      <c r="BS97" s="290" t="str">
        <f t="shared" si="155"/>
        <v/>
      </c>
      <c r="BT97" s="290">
        <v>16</v>
      </c>
      <c r="BU97" s="90"/>
      <c r="BV97" s="90" t="str">
        <f t="shared" si="156"/>
        <v/>
      </c>
      <c r="BW97" s="90" t="str">
        <f t="shared" si="141"/>
        <v/>
      </c>
      <c r="BX97" s="90" t="str">
        <f t="shared" si="141"/>
        <v/>
      </c>
      <c r="BY97" s="90" t="str">
        <f t="shared" si="141"/>
        <v/>
      </c>
      <c r="BZ97" s="90" t="e">
        <f t="shared" si="157"/>
        <v>#N/A</v>
      </c>
      <c r="CA97" s="90" t="e">
        <f t="shared" si="158"/>
        <v>#N/A</v>
      </c>
      <c r="CB97" s="90" t="e">
        <f t="shared" si="159"/>
        <v>#N/A</v>
      </c>
      <c r="CC97" s="127" t="str">
        <f t="shared" si="142"/>
        <v/>
      </c>
      <c r="CD97" s="127" t="str">
        <f t="shared" si="142"/>
        <v/>
      </c>
      <c r="CE97" s="90" t="str">
        <f t="shared" si="142"/>
        <v/>
      </c>
      <c r="CF97" s="90" t="str">
        <f t="shared" si="143"/>
        <v/>
      </c>
      <c r="CG97" s="90" t="str">
        <f t="shared" si="144"/>
        <v/>
      </c>
      <c r="CH97" s="90" t="str">
        <f t="shared" si="144"/>
        <v/>
      </c>
      <c r="CI97" s="90" t="str">
        <f t="shared" si="144"/>
        <v/>
      </c>
      <c r="CJ97" s="90" t="str">
        <f t="shared" si="160"/>
        <v/>
      </c>
      <c r="CK97" s="90" t="str">
        <f t="shared" si="161"/>
        <v/>
      </c>
      <c r="CL97" s="113" t="str">
        <f t="shared" si="162"/>
        <v/>
      </c>
      <c r="CM97" s="106" t="e">
        <f t="shared" si="145"/>
        <v>#N/A</v>
      </c>
      <c r="CN97" s="90" t="e">
        <f t="shared" si="146"/>
        <v>#N/A</v>
      </c>
      <c r="CO97" s="90" t="e">
        <f t="shared" si="147"/>
        <v>#N/A</v>
      </c>
      <c r="CP97" s="90" t="e">
        <f t="shared" si="148"/>
        <v>#N/A</v>
      </c>
      <c r="CQ97" s="90" t="e">
        <f t="shared" si="149"/>
        <v>#N/A</v>
      </c>
      <c r="CR97" s="90" t="e">
        <f t="shared" si="150"/>
        <v>#N/A</v>
      </c>
      <c r="CS97" s="90" t="e">
        <f t="shared" si="151"/>
        <v>#N/A</v>
      </c>
      <c r="CT97" s="90" t="e">
        <f t="shared" si="152"/>
        <v>#N/A</v>
      </c>
      <c r="CU97" s="113" t="e">
        <f t="shared" si="153"/>
        <v>#N/A</v>
      </c>
      <c r="CV97" s="90">
        <f t="shared" si="154"/>
        <v>16</v>
      </c>
      <c r="CW97" s="308">
        <v>16</v>
      </c>
      <c r="CX97" s="102"/>
      <c r="CY97" s="102"/>
      <c r="CZ97" s="102"/>
      <c r="DA97" s="102"/>
      <c r="DB97" s="102"/>
      <c r="DC97" s="102"/>
      <c r="DD97" s="102"/>
      <c r="DE97" s="102"/>
      <c r="DF97" s="102"/>
      <c r="DG97" s="102"/>
      <c r="DH97" s="102"/>
      <c r="DI97" s="307">
        <v>86</v>
      </c>
      <c r="DJ97" s="90">
        <f t="shared" si="125"/>
        <v>0.85999999999999788</v>
      </c>
      <c r="DK97" s="90">
        <f t="shared" si="127"/>
        <v>8.3209579929516678E-2</v>
      </c>
      <c r="DL97" s="90" t="e">
        <f t="shared" si="128"/>
        <v>#N/A</v>
      </c>
      <c r="DM97" s="90">
        <f t="shared" si="129"/>
        <v>8.3209579929516678E-2</v>
      </c>
      <c r="DN97" s="90">
        <f t="shared" si="130"/>
        <v>32</v>
      </c>
      <c r="DO97" s="308">
        <f t="shared" si="126"/>
        <v>0.32399999999999918</v>
      </c>
      <c r="DP97" s="307">
        <f t="shared" si="138"/>
        <v>0.85999999999999943</v>
      </c>
      <c r="DQ97" s="90">
        <f t="shared" si="131"/>
        <v>2.3576154205547505E-2</v>
      </c>
      <c r="DR97" s="90">
        <f t="shared" si="132"/>
        <v>2.3576154205547505E-2</v>
      </c>
      <c r="DS97" s="90">
        <f t="shared" si="139"/>
        <v>33</v>
      </c>
      <c r="DT97" s="308">
        <f t="shared" si="140"/>
        <v>0.32399999999999979</v>
      </c>
      <c r="DU97" s="307">
        <f t="shared" si="133"/>
        <v>0.85999999999999632</v>
      </c>
      <c r="DV97" s="90">
        <f t="shared" si="134"/>
        <v>0.19865990349195378</v>
      </c>
      <c r="DW97" s="90">
        <f t="shared" si="135"/>
        <v>0.19865990349195378</v>
      </c>
      <c r="DX97" s="90">
        <f t="shared" si="136"/>
        <v>34</v>
      </c>
      <c r="DY97" s="308">
        <f t="shared" si="137"/>
        <v>0.32399999999999851</v>
      </c>
    </row>
    <row r="98" spans="66:129" ht="12" customHeight="1" x14ac:dyDescent="0.2">
      <c r="BN98" s="268" t="s">
        <v>331</v>
      </c>
      <c r="BO98" s="113">
        <f>NORMSINV((100+$M$2)/200)*BO97</f>
        <v>0.12837994483580017</v>
      </c>
      <c r="BQ98" s="90"/>
      <c r="BR98" s="90"/>
      <c r="BS98" s="290" t="str">
        <f t="shared" si="155"/>
        <v/>
      </c>
      <c r="BT98" s="290">
        <v>17</v>
      </c>
      <c r="BU98" s="90"/>
      <c r="BV98" s="90" t="str">
        <f t="shared" si="156"/>
        <v/>
      </c>
      <c r="BW98" s="90" t="str">
        <f t="shared" si="141"/>
        <v/>
      </c>
      <c r="BX98" s="90" t="str">
        <f t="shared" si="141"/>
        <v/>
      </c>
      <c r="BY98" s="90" t="str">
        <f t="shared" si="141"/>
        <v/>
      </c>
      <c r="BZ98" s="90" t="e">
        <f t="shared" si="157"/>
        <v>#N/A</v>
      </c>
      <c r="CA98" s="90" t="e">
        <f t="shared" si="158"/>
        <v>#N/A</v>
      </c>
      <c r="CB98" s="90" t="e">
        <f t="shared" si="159"/>
        <v>#N/A</v>
      </c>
      <c r="CC98" s="127" t="str">
        <f t="shared" si="142"/>
        <v/>
      </c>
      <c r="CD98" s="127" t="str">
        <f t="shared" si="142"/>
        <v/>
      </c>
      <c r="CE98" s="90" t="str">
        <f t="shared" si="142"/>
        <v/>
      </c>
      <c r="CF98" s="90" t="str">
        <f t="shared" si="143"/>
        <v/>
      </c>
      <c r="CG98" s="90" t="str">
        <f t="shared" si="144"/>
        <v/>
      </c>
      <c r="CH98" s="90" t="str">
        <f t="shared" si="144"/>
        <v/>
      </c>
      <c r="CI98" s="90" t="str">
        <f t="shared" si="144"/>
        <v/>
      </c>
      <c r="CJ98" s="90" t="str">
        <f t="shared" si="160"/>
        <v/>
      </c>
      <c r="CK98" s="90" t="str">
        <f t="shared" si="161"/>
        <v/>
      </c>
      <c r="CL98" s="113" t="str">
        <f t="shared" si="162"/>
        <v/>
      </c>
      <c r="CM98" s="106" t="e">
        <f t="shared" si="145"/>
        <v>#N/A</v>
      </c>
      <c r="CN98" s="90" t="e">
        <f t="shared" si="146"/>
        <v>#N/A</v>
      </c>
      <c r="CO98" s="90" t="e">
        <f t="shared" si="147"/>
        <v>#N/A</v>
      </c>
      <c r="CP98" s="90" t="e">
        <f t="shared" si="148"/>
        <v>#N/A</v>
      </c>
      <c r="CQ98" s="90" t="e">
        <f t="shared" si="149"/>
        <v>#N/A</v>
      </c>
      <c r="CR98" s="90" t="e">
        <f t="shared" si="150"/>
        <v>#N/A</v>
      </c>
      <c r="CS98" s="90" t="e">
        <f t="shared" si="151"/>
        <v>#N/A</v>
      </c>
      <c r="CT98" s="90" t="e">
        <f t="shared" si="152"/>
        <v>#N/A</v>
      </c>
      <c r="CU98" s="113" t="e">
        <f t="shared" si="153"/>
        <v>#N/A</v>
      </c>
      <c r="CV98" s="90">
        <f t="shared" si="154"/>
        <v>17</v>
      </c>
      <c r="CW98" s="308">
        <v>17</v>
      </c>
      <c r="CX98" s="102"/>
      <c r="CY98" s="102"/>
      <c r="CZ98" s="102"/>
      <c r="DA98" s="102"/>
      <c r="DB98" s="102"/>
      <c r="DC98" s="102"/>
      <c r="DD98" s="102"/>
      <c r="DE98" s="102"/>
      <c r="DF98" s="102"/>
      <c r="DG98" s="102"/>
      <c r="DH98" s="102"/>
      <c r="DI98" s="307">
        <v>87</v>
      </c>
      <c r="DJ98" s="90">
        <f t="shared" si="125"/>
        <v>0.86999999999999778</v>
      </c>
      <c r="DK98" s="90">
        <f t="shared" si="127"/>
        <v>8.4002918830610632E-2</v>
      </c>
      <c r="DL98" s="90" t="e">
        <f t="shared" si="128"/>
        <v>#N/A</v>
      </c>
      <c r="DM98" s="90">
        <f t="shared" si="129"/>
        <v>8.4002918830610632E-2</v>
      </c>
      <c r="DN98" s="90">
        <f t="shared" si="130"/>
        <v>32</v>
      </c>
      <c r="DO98" s="308">
        <f t="shared" si="126"/>
        <v>0.32799999999999913</v>
      </c>
      <c r="DP98" s="307">
        <f t="shared" si="138"/>
        <v>0.86999999999999944</v>
      </c>
      <c r="DQ98" s="90">
        <f t="shared" si="131"/>
        <v>2.4209070418688017E-2</v>
      </c>
      <c r="DR98" s="90">
        <f t="shared" si="132"/>
        <v>2.4209070418688017E-2</v>
      </c>
      <c r="DS98" s="90">
        <f t="shared" si="139"/>
        <v>33</v>
      </c>
      <c r="DT98" s="308">
        <f t="shared" si="140"/>
        <v>0.32799999999999979</v>
      </c>
      <c r="DU98" s="307">
        <f t="shared" si="133"/>
        <v>0.86999999999999622</v>
      </c>
      <c r="DV98" s="90">
        <f t="shared" si="134"/>
        <v>0.19994370294031177</v>
      </c>
      <c r="DW98" s="90">
        <f t="shared" si="135"/>
        <v>0.19994370294031177</v>
      </c>
      <c r="DX98" s="90">
        <f t="shared" si="136"/>
        <v>34</v>
      </c>
      <c r="DY98" s="308">
        <f t="shared" si="137"/>
        <v>0.32799999999999851</v>
      </c>
    </row>
    <row r="99" spans="66:129" ht="12" customHeight="1" x14ac:dyDescent="0.2">
      <c r="BN99" s="268" t="s">
        <v>332</v>
      </c>
      <c r="BO99" s="113">
        <f>BO95-BO98</f>
        <v>8.8253150933166102E-2</v>
      </c>
      <c r="BQ99" s="90"/>
      <c r="BR99" s="90"/>
      <c r="BS99" s="290" t="str">
        <f t="shared" si="155"/>
        <v/>
      </c>
      <c r="BT99" s="290">
        <v>18</v>
      </c>
      <c r="BU99" s="90"/>
      <c r="BV99" s="90" t="str">
        <f t="shared" si="156"/>
        <v/>
      </c>
      <c r="BW99" s="90" t="str">
        <f t="shared" si="141"/>
        <v/>
      </c>
      <c r="BX99" s="90" t="str">
        <f t="shared" si="141"/>
        <v/>
      </c>
      <c r="BY99" s="90" t="str">
        <f t="shared" si="141"/>
        <v/>
      </c>
      <c r="BZ99" s="90" t="e">
        <f t="shared" si="157"/>
        <v>#N/A</v>
      </c>
      <c r="CA99" s="90" t="e">
        <f t="shared" si="158"/>
        <v>#N/A</v>
      </c>
      <c r="CB99" s="90" t="e">
        <f t="shared" si="159"/>
        <v>#N/A</v>
      </c>
      <c r="CC99" s="127" t="str">
        <f t="shared" si="142"/>
        <v/>
      </c>
      <c r="CD99" s="127" t="str">
        <f t="shared" si="142"/>
        <v/>
      </c>
      <c r="CE99" s="90" t="str">
        <f t="shared" si="142"/>
        <v/>
      </c>
      <c r="CF99" s="90" t="str">
        <f t="shared" si="143"/>
        <v/>
      </c>
      <c r="CG99" s="90" t="str">
        <f t="shared" si="144"/>
        <v/>
      </c>
      <c r="CH99" s="90" t="str">
        <f t="shared" si="144"/>
        <v/>
      </c>
      <c r="CI99" s="90" t="str">
        <f t="shared" si="144"/>
        <v/>
      </c>
      <c r="CJ99" s="90" t="str">
        <f t="shared" si="160"/>
        <v/>
      </c>
      <c r="CK99" s="90" t="str">
        <f t="shared" si="161"/>
        <v/>
      </c>
      <c r="CL99" s="113" t="str">
        <f t="shared" si="162"/>
        <v/>
      </c>
      <c r="CM99" s="106" t="e">
        <f t="shared" si="145"/>
        <v>#N/A</v>
      </c>
      <c r="CN99" s="90" t="e">
        <f t="shared" si="146"/>
        <v>#N/A</v>
      </c>
      <c r="CO99" s="90" t="e">
        <f t="shared" si="147"/>
        <v>#N/A</v>
      </c>
      <c r="CP99" s="90" t="e">
        <f t="shared" si="148"/>
        <v>#N/A</v>
      </c>
      <c r="CQ99" s="90" t="e">
        <f t="shared" si="149"/>
        <v>#N/A</v>
      </c>
      <c r="CR99" s="90" t="e">
        <f t="shared" si="150"/>
        <v>#N/A</v>
      </c>
      <c r="CS99" s="90" t="e">
        <f t="shared" si="151"/>
        <v>#N/A</v>
      </c>
      <c r="CT99" s="90" t="e">
        <f t="shared" si="152"/>
        <v>#N/A</v>
      </c>
      <c r="CU99" s="113" t="e">
        <f t="shared" si="153"/>
        <v>#N/A</v>
      </c>
      <c r="CV99" s="90">
        <f t="shared" si="154"/>
        <v>18</v>
      </c>
      <c r="CW99" s="308">
        <v>18</v>
      </c>
      <c r="CX99" s="102"/>
      <c r="CY99" s="102"/>
      <c r="CZ99" s="102"/>
      <c r="DA99" s="102"/>
      <c r="DB99" s="102"/>
      <c r="DC99" s="102"/>
      <c r="DD99" s="102"/>
      <c r="DE99" s="102"/>
      <c r="DF99" s="102"/>
      <c r="DG99" s="102"/>
      <c r="DH99" s="102"/>
      <c r="DI99" s="307">
        <v>88</v>
      </c>
      <c r="DJ99" s="90">
        <f t="shared" si="125"/>
        <v>0.87999999999999767</v>
      </c>
      <c r="DK99" s="90">
        <f t="shared" si="127"/>
        <v>8.4796257731704586E-2</v>
      </c>
      <c r="DL99" s="90" t="e">
        <f t="shared" si="128"/>
        <v>#N/A</v>
      </c>
      <c r="DM99" s="90">
        <f t="shared" si="129"/>
        <v>8.4796257731704586E-2</v>
      </c>
      <c r="DN99" s="90">
        <f t="shared" si="130"/>
        <v>32</v>
      </c>
      <c r="DO99" s="308">
        <f t="shared" si="126"/>
        <v>0.33199999999999907</v>
      </c>
      <c r="DP99" s="307">
        <f t="shared" si="138"/>
        <v>0.87999999999999934</v>
      </c>
      <c r="DQ99" s="90">
        <f t="shared" si="131"/>
        <v>2.484198663182853E-2</v>
      </c>
      <c r="DR99" s="90">
        <f t="shared" si="132"/>
        <v>2.484198663182853E-2</v>
      </c>
      <c r="DS99" s="90">
        <f t="shared" si="139"/>
        <v>33</v>
      </c>
      <c r="DT99" s="308">
        <f t="shared" si="140"/>
        <v>0.33199999999999974</v>
      </c>
      <c r="DU99" s="307">
        <f t="shared" si="133"/>
        <v>0.87999999999999612</v>
      </c>
      <c r="DV99" s="90">
        <f t="shared" si="134"/>
        <v>0.20122750238866977</v>
      </c>
      <c r="DW99" s="90">
        <f t="shared" si="135"/>
        <v>0.20122750238866977</v>
      </c>
      <c r="DX99" s="90">
        <f t="shared" si="136"/>
        <v>34</v>
      </c>
      <c r="DY99" s="308">
        <f t="shared" si="137"/>
        <v>0.33199999999999846</v>
      </c>
    </row>
    <row r="100" spans="66:129" ht="12" customHeight="1" x14ac:dyDescent="0.2">
      <c r="BN100" s="268" t="s">
        <v>333</v>
      </c>
      <c r="BO100" s="113">
        <f>BO95+BO98</f>
        <v>0.34501304060476645</v>
      </c>
      <c r="BQ100" s="90"/>
      <c r="BR100" s="90"/>
      <c r="BS100" s="290" t="str">
        <f t="shared" si="155"/>
        <v/>
      </c>
      <c r="BT100" s="290">
        <v>19</v>
      </c>
      <c r="BU100" s="90"/>
      <c r="BV100" s="90" t="str">
        <f t="shared" si="156"/>
        <v/>
      </c>
      <c r="BW100" s="90" t="str">
        <f t="shared" si="141"/>
        <v/>
      </c>
      <c r="BX100" s="90" t="str">
        <f t="shared" si="141"/>
        <v/>
      </c>
      <c r="BY100" s="90" t="str">
        <f t="shared" si="141"/>
        <v/>
      </c>
      <c r="BZ100" s="90" t="e">
        <f t="shared" si="157"/>
        <v>#N/A</v>
      </c>
      <c r="CA100" s="90" t="e">
        <f t="shared" si="158"/>
        <v>#N/A</v>
      </c>
      <c r="CB100" s="90" t="e">
        <f t="shared" si="159"/>
        <v>#N/A</v>
      </c>
      <c r="CC100" s="127" t="str">
        <f t="shared" si="142"/>
        <v/>
      </c>
      <c r="CD100" s="127" t="str">
        <f t="shared" si="142"/>
        <v/>
      </c>
      <c r="CE100" s="90" t="str">
        <f t="shared" si="142"/>
        <v/>
      </c>
      <c r="CF100" s="90" t="str">
        <f t="shared" si="143"/>
        <v/>
      </c>
      <c r="CG100" s="90" t="str">
        <f t="shared" si="144"/>
        <v/>
      </c>
      <c r="CH100" s="90" t="str">
        <f t="shared" si="144"/>
        <v/>
      </c>
      <c r="CI100" s="90" t="str">
        <f t="shared" si="144"/>
        <v/>
      </c>
      <c r="CJ100" s="90" t="str">
        <f t="shared" si="160"/>
        <v/>
      </c>
      <c r="CK100" s="90" t="str">
        <f t="shared" si="161"/>
        <v/>
      </c>
      <c r="CL100" s="113" t="str">
        <f t="shared" si="162"/>
        <v/>
      </c>
      <c r="CM100" s="106" t="e">
        <f t="shared" si="145"/>
        <v>#N/A</v>
      </c>
      <c r="CN100" s="90" t="e">
        <f t="shared" si="146"/>
        <v>#N/A</v>
      </c>
      <c r="CO100" s="90" t="e">
        <f t="shared" si="147"/>
        <v>#N/A</v>
      </c>
      <c r="CP100" s="90" t="e">
        <f t="shared" si="148"/>
        <v>#N/A</v>
      </c>
      <c r="CQ100" s="90" t="e">
        <f t="shared" si="149"/>
        <v>#N/A</v>
      </c>
      <c r="CR100" s="90" t="e">
        <f t="shared" si="150"/>
        <v>#N/A</v>
      </c>
      <c r="CS100" s="90" t="e">
        <f t="shared" si="151"/>
        <v>#N/A</v>
      </c>
      <c r="CT100" s="90" t="e">
        <f t="shared" si="152"/>
        <v>#N/A</v>
      </c>
      <c r="CU100" s="113" t="e">
        <f t="shared" si="153"/>
        <v>#N/A</v>
      </c>
      <c r="CV100" s="90">
        <f t="shared" si="154"/>
        <v>19</v>
      </c>
      <c r="CW100" s="308">
        <v>19</v>
      </c>
      <c r="CX100" s="102"/>
      <c r="CY100" s="102"/>
      <c r="CZ100" s="102"/>
      <c r="DA100" s="102"/>
      <c r="DB100" s="102"/>
      <c r="DC100" s="102"/>
      <c r="DD100" s="102"/>
      <c r="DE100" s="102"/>
      <c r="DF100" s="102"/>
      <c r="DG100" s="102"/>
      <c r="DH100" s="102"/>
      <c r="DI100" s="307">
        <v>89</v>
      </c>
      <c r="DJ100" s="90">
        <f t="shared" si="125"/>
        <v>0.88999999999999757</v>
      </c>
      <c r="DK100" s="90">
        <f t="shared" si="127"/>
        <v>8.558959663279854E-2</v>
      </c>
      <c r="DL100" s="90" t="e">
        <f t="shared" si="128"/>
        <v>#N/A</v>
      </c>
      <c r="DM100" s="90">
        <f t="shared" si="129"/>
        <v>8.558959663279854E-2</v>
      </c>
      <c r="DN100" s="90">
        <f t="shared" si="130"/>
        <v>32</v>
      </c>
      <c r="DO100" s="308">
        <f t="shared" si="126"/>
        <v>0.33599999999999902</v>
      </c>
      <c r="DP100" s="307">
        <f t="shared" si="138"/>
        <v>0.88999999999999935</v>
      </c>
      <c r="DQ100" s="90">
        <f t="shared" si="131"/>
        <v>2.5474902844969043E-2</v>
      </c>
      <c r="DR100" s="90">
        <f t="shared" si="132"/>
        <v>2.5474902844969043E-2</v>
      </c>
      <c r="DS100" s="90">
        <f t="shared" si="139"/>
        <v>33</v>
      </c>
      <c r="DT100" s="308">
        <f t="shared" si="140"/>
        <v>0.33599999999999974</v>
      </c>
      <c r="DU100" s="307">
        <f t="shared" si="133"/>
        <v>0.88999999999999613</v>
      </c>
      <c r="DV100" s="90">
        <f t="shared" si="134"/>
        <v>0.20251130183702776</v>
      </c>
      <c r="DW100" s="90">
        <f t="shared" si="135"/>
        <v>0.20251130183702776</v>
      </c>
      <c r="DX100" s="90">
        <f t="shared" si="136"/>
        <v>34</v>
      </c>
      <c r="DY100" s="308">
        <f t="shared" si="137"/>
        <v>0.33599999999999847</v>
      </c>
    </row>
    <row r="101" spans="66:129" ht="12" customHeight="1" x14ac:dyDescent="0.2">
      <c r="BN101" s="268" t="s">
        <v>315</v>
      </c>
      <c r="BO101" s="113">
        <f>(BO95)/BO97</f>
        <v>3.3073161552581358</v>
      </c>
      <c r="BQ101" s="90"/>
      <c r="BR101" s="90"/>
      <c r="BS101" s="290" t="str">
        <f t="shared" si="155"/>
        <v/>
      </c>
      <c r="BT101" s="290">
        <v>20</v>
      </c>
      <c r="BU101" s="90"/>
      <c r="BV101" s="90" t="str">
        <f t="shared" si="156"/>
        <v/>
      </c>
      <c r="BW101" s="90" t="str">
        <f t="shared" si="141"/>
        <v/>
      </c>
      <c r="BX101" s="90" t="str">
        <f t="shared" si="141"/>
        <v/>
      </c>
      <c r="BY101" s="90" t="str">
        <f t="shared" si="141"/>
        <v/>
      </c>
      <c r="BZ101" s="90" t="e">
        <f t="shared" si="157"/>
        <v>#N/A</v>
      </c>
      <c r="CA101" s="90" t="e">
        <f t="shared" si="158"/>
        <v>#N/A</v>
      </c>
      <c r="CB101" s="90" t="e">
        <f t="shared" si="159"/>
        <v>#N/A</v>
      </c>
      <c r="CC101" s="127" t="str">
        <f t="shared" si="142"/>
        <v/>
      </c>
      <c r="CD101" s="127" t="str">
        <f t="shared" si="142"/>
        <v/>
      </c>
      <c r="CE101" s="90" t="str">
        <f t="shared" si="142"/>
        <v/>
      </c>
      <c r="CF101" s="90" t="str">
        <f t="shared" si="143"/>
        <v/>
      </c>
      <c r="CG101" s="90" t="str">
        <f t="shared" si="144"/>
        <v/>
      </c>
      <c r="CH101" s="90" t="str">
        <f t="shared" si="144"/>
        <v/>
      </c>
      <c r="CI101" s="90" t="str">
        <f t="shared" si="144"/>
        <v/>
      </c>
      <c r="CJ101" s="90" t="str">
        <f t="shared" si="160"/>
        <v/>
      </c>
      <c r="CK101" s="90" t="str">
        <f t="shared" si="161"/>
        <v/>
      </c>
      <c r="CL101" s="113" t="str">
        <f t="shared" si="162"/>
        <v/>
      </c>
      <c r="CM101" s="106" t="e">
        <f t="shared" si="145"/>
        <v>#N/A</v>
      </c>
      <c r="CN101" s="90" t="e">
        <f t="shared" si="146"/>
        <v>#N/A</v>
      </c>
      <c r="CO101" s="90" t="e">
        <f t="shared" si="147"/>
        <v>#N/A</v>
      </c>
      <c r="CP101" s="90" t="e">
        <f t="shared" si="148"/>
        <v>#N/A</v>
      </c>
      <c r="CQ101" s="90" t="e">
        <f t="shared" si="149"/>
        <v>#N/A</v>
      </c>
      <c r="CR101" s="90" t="e">
        <f t="shared" si="150"/>
        <v>#N/A</v>
      </c>
      <c r="CS101" s="90" t="e">
        <f t="shared" si="151"/>
        <v>#N/A</v>
      </c>
      <c r="CT101" s="90" t="e">
        <f t="shared" si="152"/>
        <v>#N/A</v>
      </c>
      <c r="CU101" s="113" t="e">
        <f t="shared" si="153"/>
        <v>#N/A</v>
      </c>
      <c r="CV101" s="90">
        <f t="shared" si="154"/>
        <v>20</v>
      </c>
      <c r="CW101" s="308">
        <v>20</v>
      </c>
      <c r="CX101" s="102"/>
      <c r="CY101" s="102"/>
      <c r="CZ101" s="102"/>
      <c r="DA101" s="102"/>
      <c r="DB101" s="102"/>
      <c r="DC101" s="102"/>
      <c r="DD101" s="102"/>
      <c r="DE101" s="102"/>
      <c r="DF101" s="102"/>
      <c r="DG101" s="102"/>
      <c r="DH101" s="102"/>
      <c r="DI101" s="307">
        <v>90</v>
      </c>
      <c r="DJ101" s="90">
        <f t="shared" si="125"/>
        <v>0.89999999999999758</v>
      </c>
      <c r="DK101" s="90">
        <f t="shared" si="127"/>
        <v>8.6382935533892494E-2</v>
      </c>
      <c r="DL101" s="90" t="e">
        <f t="shared" si="128"/>
        <v>#N/A</v>
      </c>
      <c r="DM101" s="90">
        <f t="shared" si="129"/>
        <v>8.6382935533892494E-2</v>
      </c>
      <c r="DN101" s="90">
        <f t="shared" si="130"/>
        <v>32</v>
      </c>
      <c r="DO101" s="308">
        <f t="shared" si="126"/>
        <v>0.33999999999999903</v>
      </c>
      <c r="DP101" s="307">
        <f t="shared" si="138"/>
        <v>0.89999999999999936</v>
      </c>
      <c r="DQ101" s="90">
        <f t="shared" si="131"/>
        <v>2.6107819058109556E-2</v>
      </c>
      <c r="DR101" s="90">
        <f t="shared" si="132"/>
        <v>2.6107819058109556E-2</v>
      </c>
      <c r="DS101" s="90">
        <f t="shared" si="139"/>
        <v>33</v>
      </c>
      <c r="DT101" s="308">
        <f t="shared" si="140"/>
        <v>0.33999999999999975</v>
      </c>
      <c r="DU101" s="307">
        <f t="shared" si="133"/>
        <v>0.89999999999999603</v>
      </c>
      <c r="DV101" s="90">
        <f t="shared" si="134"/>
        <v>0.20379510128538575</v>
      </c>
      <c r="DW101" s="90">
        <f t="shared" si="135"/>
        <v>0.20379510128538575</v>
      </c>
      <c r="DX101" s="90">
        <f t="shared" si="136"/>
        <v>34</v>
      </c>
      <c r="DY101" s="308">
        <f t="shared" si="137"/>
        <v>0.33999999999999841</v>
      </c>
    </row>
    <row r="102" spans="66:129" ht="12" customHeight="1" x14ac:dyDescent="0.2">
      <c r="BN102" s="268" t="s">
        <v>266</v>
      </c>
      <c r="BO102" s="113">
        <f>2*(1-NORMSDIST(ABS(BO101)))</f>
        <v>9.4194517608503503E-4</v>
      </c>
      <c r="BQ102" s="90"/>
      <c r="BR102" s="90"/>
      <c r="BS102" s="290" t="str">
        <f t="shared" si="155"/>
        <v/>
      </c>
      <c r="BT102" s="290">
        <v>21</v>
      </c>
      <c r="BU102" s="90"/>
      <c r="BV102" s="90" t="str">
        <f t="shared" si="156"/>
        <v/>
      </c>
      <c r="BW102" s="90" t="str">
        <f t="shared" si="141"/>
        <v/>
      </c>
      <c r="BX102" s="90" t="str">
        <f t="shared" si="141"/>
        <v/>
      </c>
      <c r="BY102" s="90" t="str">
        <f t="shared" si="141"/>
        <v/>
      </c>
      <c r="BZ102" s="90" t="e">
        <f t="shared" si="157"/>
        <v>#N/A</v>
      </c>
      <c r="CA102" s="90" t="e">
        <f t="shared" si="158"/>
        <v>#N/A</v>
      </c>
      <c r="CB102" s="90" t="e">
        <f t="shared" si="159"/>
        <v>#N/A</v>
      </c>
      <c r="CC102" s="127" t="str">
        <f t="shared" si="142"/>
        <v/>
      </c>
      <c r="CD102" s="127" t="str">
        <f t="shared" si="142"/>
        <v/>
      </c>
      <c r="CE102" s="90" t="str">
        <f t="shared" si="142"/>
        <v/>
      </c>
      <c r="CF102" s="90" t="str">
        <f t="shared" si="143"/>
        <v/>
      </c>
      <c r="CG102" s="90" t="str">
        <f t="shared" si="144"/>
        <v/>
      </c>
      <c r="CH102" s="90" t="str">
        <f t="shared" si="144"/>
        <v/>
      </c>
      <c r="CI102" s="90" t="str">
        <f t="shared" si="144"/>
        <v/>
      </c>
      <c r="CJ102" s="90" t="str">
        <f t="shared" si="160"/>
        <v/>
      </c>
      <c r="CK102" s="90" t="str">
        <f t="shared" si="161"/>
        <v/>
      </c>
      <c r="CL102" s="113" t="str">
        <f t="shared" si="162"/>
        <v/>
      </c>
      <c r="CM102" s="106" t="e">
        <f t="shared" si="145"/>
        <v>#N/A</v>
      </c>
      <c r="CN102" s="90" t="e">
        <f t="shared" si="146"/>
        <v>#N/A</v>
      </c>
      <c r="CO102" s="90" t="e">
        <f t="shared" si="147"/>
        <v>#N/A</v>
      </c>
      <c r="CP102" s="90" t="e">
        <f t="shared" si="148"/>
        <v>#N/A</v>
      </c>
      <c r="CQ102" s="90" t="e">
        <f t="shared" si="149"/>
        <v>#N/A</v>
      </c>
      <c r="CR102" s="90" t="e">
        <f t="shared" si="150"/>
        <v>#N/A</v>
      </c>
      <c r="CS102" s="90" t="e">
        <f t="shared" si="151"/>
        <v>#N/A</v>
      </c>
      <c r="CT102" s="90" t="e">
        <f t="shared" si="152"/>
        <v>#N/A</v>
      </c>
      <c r="CU102" s="113" t="e">
        <f t="shared" si="153"/>
        <v>#N/A</v>
      </c>
      <c r="CV102" s="90">
        <f t="shared" si="154"/>
        <v>21</v>
      </c>
      <c r="CW102" s="308">
        <v>21</v>
      </c>
      <c r="CX102" s="102"/>
      <c r="CY102" s="102"/>
      <c r="CZ102" s="102"/>
      <c r="DA102" s="102"/>
      <c r="DB102" s="102"/>
      <c r="DC102" s="102"/>
      <c r="DD102" s="102"/>
      <c r="DE102" s="102"/>
      <c r="DF102" s="102"/>
      <c r="DG102" s="102"/>
      <c r="DH102" s="102"/>
      <c r="DI102" s="307">
        <v>91</v>
      </c>
      <c r="DJ102" s="90">
        <f t="shared" si="125"/>
        <v>0.90999999999999748</v>
      </c>
      <c r="DK102" s="90">
        <f t="shared" si="127"/>
        <v>8.7176274434986448E-2</v>
      </c>
      <c r="DL102" s="90" t="e">
        <f t="shared" si="128"/>
        <v>#N/A</v>
      </c>
      <c r="DM102" s="90">
        <f t="shared" si="129"/>
        <v>8.7176274434986448E-2</v>
      </c>
      <c r="DN102" s="90">
        <f t="shared" si="130"/>
        <v>32</v>
      </c>
      <c r="DO102" s="308">
        <f t="shared" si="126"/>
        <v>0.34399999999999897</v>
      </c>
      <c r="DP102" s="307">
        <f t="shared" si="138"/>
        <v>0.90999999999999936</v>
      </c>
      <c r="DQ102" s="90">
        <f t="shared" si="131"/>
        <v>2.6740735271250069E-2</v>
      </c>
      <c r="DR102" s="90">
        <f t="shared" si="132"/>
        <v>2.6740735271250069E-2</v>
      </c>
      <c r="DS102" s="90">
        <f t="shared" si="139"/>
        <v>33</v>
      </c>
      <c r="DT102" s="308">
        <f t="shared" si="140"/>
        <v>0.34399999999999975</v>
      </c>
      <c r="DU102" s="307">
        <f t="shared" si="133"/>
        <v>0.90999999999999592</v>
      </c>
      <c r="DV102" s="90">
        <f t="shared" si="134"/>
        <v>0.20507890073374374</v>
      </c>
      <c r="DW102" s="90">
        <f t="shared" si="135"/>
        <v>0.20507890073374374</v>
      </c>
      <c r="DX102" s="90">
        <f t="shared" si="136"/>
        <v>34</v>
      </c>
      <c r="DY102" s="308">
        <f t="shared" si="137"/>
        <v>0.34399999999999836</v>
      </c>
    </row>
    <row r="103" spans="66:129" ht="12" customHeight="1" x14ac:dyDescent="0.2">
      <c r="BN103" s="303" t="s">
        <v>341</v>
      </c>
      <c r="BO103" s="304">
        <f>MAX(0,(BO90-BO89)/BO90)</f>
        <v>0</v>
      </c>
      <c r="BQ103" s="431"/>
      <c r="BR103" s="431"/>
      <c r="BS103" s="434" t="str">
        <f t="shared" si="155"/>
        <v/>
      </c>
      <c r="BT103" s="290">
        <v>22</v>
      </c>
      <c r="BU103" s="90"/>
      <c r="BV103" s="90" t="str">
        <f t="shared" si="156"/>
        <v/>
      </c>
      <c r="BW103" s="90" t="str">
        <f t="shared" si="141"/>
        <v/>
      </c>
      <c r="BX103" s="90" t="str">
        <f t="shared" si="141"/>
        <v/>
      </c>
      <c r="BY103" s="90" t="str">
        <f t="shared" si="141"/>
        <v/>
      </c>
      <c r="BZ103" s="90" t="e">
        <f t="shared" si="157"/>
        <v>#N/A</v>
      </c>
      <c r="CA103" s="90" t="e">
        <f t="shared" si="158"/>
        <v>#N/A</v>
      </c>
      <c r="CB103" s="90" t="e">
        <f t="shared" si="159"/>
        <v>#N/A</v>
      </c>
      <c r="CC103" s="127" t="str">
        <f t="shared" si="142"/>
        <v/>
      </c>
      <c r="CD103" s="127" t="str">
        <f t="shared" si="142"/>
        <v/>
      </c>
      <c r="CE103" s="90" t="str">
        <f t="shared" si="142"/>
        <v/>
      </c>
      <c r="CF103" s="90" t="str">
        <f t="shared" si="143"/>
        <v/>
      </c>
      <c r="CG103" s="90" t="str">
        <f t="shared" si="144"/>
        <v/>
      </c>
      <c r="CH103" s="90" t="str">
        <f t="shared" si="144"/>
        <v/>
      </c>
      <c r="CI103" s="90" t="str">
        <f t="shared" si="144"/>
        <v/>
      </c>
      <c r="CJ103" s="90" t="str">
        <f t="shared" si="160"/>
        <v/>
      </c>
      <c r="CK103" s="90" t="str">
        <f t="shared" si="161"/>
        <v/>
      </c>
      <c r="CL103" s="113" t="str">
        <f t="shared" si="162"/>
        <v/>
      </c>
      <c r="CM103" s="106" t="e">
        <f t="shared" si="145"/>
        <v>#N/A</v>
      </c>
      <c r="CN103" s="90" t="e">
        <f t="shared" si="146"/>
        <v>#N/A</v>
      </c>
      <c r="CO103" s="90" t="e">
        <f t="shared" si="147"/>
        <v>#N/A</v>
      </c>
      <c r="CP103" s="90" t="e">
        <f t="shared" si="148"/>
        <v>#N/A</v>
      </c>
      <c r="CQ103" s="90" t="e">
        <f t="shared" si="149"/>
        <v>#N/A</v>
      </c>
      <c r="CR103" s="90" t="e">
        <f t="shared" si="150"/>
        <v>#N/A</v>
      </c>
      <c r="CS103" s="90" t="e">
        <f t="shared" si="151"/>
        <v>#N/A</v>
      </c>
      <c r="CT103" s="90" t="e">
        <f t="shared" si="152"/>
        <v>#N/A</v>
      </c>
      <c r="CU103" s="113" t="e">
        <f t="shared" si="153"/>
        <v>#N/A</v>
      </c>
      <c r="CV103" s="90">
        <f t="shared" si="154"/>
        <v>22</v>
      </c>
      <c r="CW103" s="308">
        <v>22</v>
      </c>
      <c r="CX103" s="102"/>
      <c r="CY103" s="102"/>
      <c r="CZ103" s="102"/>
      <c r="DA103" s="102"/>
      <c r="DB103" s="102"/>
      <c r="DC103" s="102"/>
      <c r="DD103" s="102"/>
      <c r="DE103" s="102"/>
      <c r="DF103" s="102"/>
      <c r="DG103" s="102"/>
      <c r="DH103" s="102"/>
      <c r="DI103" s="307">
        <v>92</v>
      </c>
      <c r="DJ103" s="90">
        <f t="shared" si="125"/>
        <v>0.91999999999999738</v>
      </c>
      <c r="DK103" s="90">
        <f t="shared" si="127"/>
        <v>8.7969613336080402E-2</v>
      </c>
      <c r="DL103" s="90" t="e">
        <f t="shared" si="128"/>
        <v>#N/A</v>
      </c>
      <c r="DM103" s="90">
        <f t="shared" si="129"/>
        <v>8.7969613336080402E-2</v>
      </c>
      <c r="DN103" s="90">
        <f t="shared" si="130"/>
        <v>32</v>
      </c>
      <c r="DO103" s="308">
        <f t="shared" si="126"/>
        <v>0.34799999999999898</v>
      </c>
      <c r="DP103" s="307">
        <f t="shared" si="138"/>
        <v>0.91999999999999926</v>
      </c>
      <c r="DQ103" s="90">
        <f t="shared" si="131"/>
        <v>2.7373651484390582E-2</v>
      </c>
      <c r="DR103" s="90">
        <f t="shared" si="132"/>
        <v>2.7373651484390582E-2</v>
      </c>
      <c r="DS103" s="90">
        <f t="shared" si="139"/>
        <v>33</v>
      </c>
      <c r="DT103" s="308">
        <f t="shared" si="140"/>
        <v>0.3479999999999997</v>
      </c>
      <c r="DU103" s="307">
        <f t="shared" si="133"/>
        <v>0.91999999999999582</v>
      </c>
      <c r="DV103" s="90">
        <f t="shared" si="134"/>
        <v>0.20636270018210173</v>
      </c>
      <c r="DW103" s="90">
        <f t="shared" si="135"/>
        <v>0.20636270018210173</v>
      </c>
      <c r="DX103" s="90">
        <f t="shared" si="136"/>
        <v>34</v>
      </c>
      <c r="DY103" s="308">
        <f t="shared" si="137"/>
        <v>0.34799999999999831</v>
      </c>
    </row>
    <row r="104" spans="66:129" ht="12" customHeight="1" x14ac:dyDescent="0.2">
      <c r="BN104" s="106" t="s">
        <v>342</v>
      </c>
      <c r="BO104" s="113"/>
      <c r="BQ104" s="90"/>
      <c r="BR104" s="90"/>
      <c r="BS104" s="290" t="str">
        <f t="shared" si="155"/>
        <v/>
      </c>
      <c r="BT104" s="290">
        <v>23</v>
      </c>
      <c r="BU104" s="90"/>
      <c r="BV104" s="90" t="str">
        <f t="shared" si="156"/>
        <v/>
      </c>
      <c r="BW104" s="90" t="str">
        <f t="shared" si="141"/>
        <v/>
      </c>
      <c r="BX104" s="90" t="str">
        <f t="shared" si="141"/>
        <v/>
      </c>
      <c r="BY104" s="90" t="str">
        <f t="shared" si="141"/>
        <v/>
      </c>
      <c r="BZ104" s="90" t="e">
        <f t="shared" si="157"/>
        <v>#N/A</v>
      </c>
      <c r="CA104" s="90" t="e">
        <f t="shared" si="158"/>
        <v>#N/A</v>
      </c>
      <c r="CB104" s="90" t="e">
        <f t="shared" si="159"/>
        <v>#N/A</v>
      </c>
      <c r="CC104" s="127" t="str">
        <f t="shared" si="142"/>
        <v/>
      </c>
      <c r="CD104" s="127" t="str">
        <f t="shared" si="142"/>
        <v/>
      </c>
      <c r="CE104" s="90" t="str">
        <f t="shared" si="142"/>
        <v/>
      </c>
      <c r="CF104" s="90" t="str">
        <f t="shared" si="143"/>
        <v/>
      </c>
      <c r="CG104" s="90" t="str">
        <f t="shared" si="144"/>
        <v/>
      </c>
      <c r="CH104" s="90" t="str">
        <f t="shared" si="144"/>
        <v/>
      </c>
      <c r="CI104" s="90" t="str">
        <f t="shared" si="144"/>
        <v/>
      </c>
      <c r="CJ104" s="90" t="str">
        <f t="shared" si="160"/>
        <v/>
      </c>
      <c r="CK104" s="90" t="str">
        <f t="shared" si="161"/>
        <v/>
      </c>
      <c r="CL104" s="113" t="str">
        <f t="shared" si="162"/>
        <v/>
      </c>
      <c r="CM104" s="106" t="e">
        <f t="shared" si="145"/>
        <v>#N/A</v>
      </c>
      <c r="CN104" s="90" t="e">
        <f t="shared" si="146"/>
        <v>#N/A</v>
      </c>
      <c r="CO104" s="90" t="e">
        <f t="shared" si="147"/>
        <v>#N/A</v>
      </c>
      <c r="CP104" s="90" t="e">
        <f t="shared" si="148"/>
        <v>#N/A</v>
      </c>
      <c r="CQ104" s="90" t="e">
        <f t="shared" si="149"/>
        <v>#N/A</v>
      </c>
      <c r="CR104" s="90" t="e">
        <f t="shared" si="150"/>
        <v>#N/A</v>
      </c>
      <c r="CS104" s="90" t="e">
        <f t="shared" si="151"/>
        <v>#N/A</v>
      </c>
      <c r="CT104" s="90" t="e">
        <f t="shared" si="152"/>
        <v>#N/A</v>
      </c>
      <c r="CU104" s="113" t="e">
        <f t="shared" si="153"/>
        <v>#N/A</v>
      </c>
      <c r="CV104" s="90">
        <f t="shared" si="154"/>
        <v>23</v>
      </c>
      <c r="CW104" s="308">
        <v>23</v>
      </c>
      <c r="CX104" s="102"/>
      <c r="CY104" s="102"/>
      <c r="CZ104" s="102"/>
      <c r="DA104" s="102"/>
      <c r="DB104" s="102"/>
      <c r="DC104" s="102"/>
      <c r="DD104" s="102"/>
      <c r="DE104" s="102"/>
      <c r="DF104" s="102"/>
      <c r="DG104" s="102"/>
      <c r="DH104" s="102"/>
      <c r="DI104" s="307">
        <v>93</v>
      </c>
      <c r="DJ104" s="90">
        <f t="shared" si="125"/>
        <v>0.92999999999999727</v>
      </c>
      <c r="DK104" s="90">
        <f t="shared" si="127"/>
        <v>8.8762952237174356E-2</v>
      </c>
      <c r="DL104" s="90" t="e">
        <f t="shared" si="128"/>
        <v>#N/A</v>
      </c>
      <c r="DM104" s="90">
        <f t="shared" si="129"/>
        <v>8.8762952237174356E-2</v>
      </c>
      <c r="DN104" s="90">
        <f t="shared" si="130"/>
        <v>32</v>
      </c>
      <c r="DO104" s="308">
        <f t="shared" si="126"/>
        <v>0.35199999999999892</v>
      </c>
      <c r="DP104" s="307">
        <f t="shared" si="138"/>
        <v>0.92999999999999927</v>
      </c>
      <c r="DQ104" s="90">
        <f t="shared" si="131"/>
        <v>2.8006567697531095E-2</v>
      </c>
      <c r="DR104" s="90">
        <f t="shared" si="132"/>
        <v>2.8006567697531095E-2</v>
      </c>
      <c r="DS104" s="90">
        <f t="shared" si="139"/>
        <v>33</v>
      </c>
      <c r="DT104" s="308">
        <f t="shared" si="140"/>
        <v>0.3519999999999997</v>
      </c>
      <c r="DU104" s="307">
        <f t="shared" si="133"/>
        <v>0.92999999999999583</v>
      </c>
      <c r="DV104" s="90">
        <f t="shared" si="134"/>
        <v>0.20764649963045972</v>
      </c>
      <c r="DW104" s="90">
        <f t="shared" si="135"/>
        <v>0.20764649963045972</v>
      </c>
      <c r="DX104" s="90">
        <f t="shared" si="136"/>
        <v>34</v>
      </c>
      <c r="DY104" s="308">
        <f t="shared" si="137"/>
        <v>0.35199999999999831</v>
      </c>
    </row>
    <row r="105" spans="66:129" ht="12" customHeight="1" x14ac:dyDescent="0.2">
      <c r="BN105" s="268" t="s">
        <v>343</v>
      </c>
      <c r="BO105" s="113">
        <f>0.5*(LN(BO90)-LN(BO89))/(SQRT(2*BO90)-SQRT(2*BO89-1))</f>
        <v>0.7018476929531362</v>
      </c>
      <c r="BQ105" s="90"/>
      <c r="BR105" s="90"/>
      <c r="BS105" s="290" t="str">
        <f t="shared" si="155"/>
        <v/>
      </c>
      <c r="BT105" s="290">
        <v>24</v>
      </c>
      <c r="BU105" s="90"/>
      <c r="BV105" s="90" t="str">
        <f t="shared" si="156"/>
        <v/>
      </c>
      <c r="BW105" s="90" t="str">
        <f t="shared" si="141"/>
        <v/>
      </c>
      <c r="BX105" s="90" t="str">
        <f t="shared" si="141"/>
        <v/>
      </c>
      <c r="BY105" s="90" t="str">
        <f t="shared" si="141"/>
        <v/>
      </c>
      <c r="BZ105" s="90" t="e">
        <f t="shared" si="157"/>
        <v>#N/A</v>
      </c>
      <c r="CA105" s="90" t="e">
        <f t="shared" si="158"/>
        <v>#N/A</v>
      </c>
      <c r="CB105" s="90" t="e">
        <f t="shared" si="159"/>
        <v>#N/A</v>
      </c>
      <c r="CC105" s="127" t="str">
        <f t="shared" si="142"/>
        <v/>
      </c>
      <c r="CD105" s="127" t="str">
        <f t="shared" si="142"/>
        <v/>
      </c>
      <c r="CE105" s="90" t="str">
        <f t="shared" si="142"/>
        <v/>
      </c>
      <c r="CF105" s="90" t="str">
        <f t="shared" si="143"/>
        <v/>
      </c>
      <c r="CG105" s="90" t="str">
        <f t="shared" si="144"/>
        <v/>
      </c>
      <c r="CH105" s="90" t="str">
        <f t="shared" si="144"/>
        <v/>
      </c>
      <c r="CI105" s="90" t="str">
        <f t="shared" si="144"/>
        <v/>
      </c>
      <c r="CJ105" s="90" t="str">
        <f t="shared" si="160"/>
        <v/>
      </c>
      <c r="CK105" s="90" t="str">
        <f t="shared" si="161"/>
        <v/>
      </c>
      <c r="CL105" s="113" t="str">
        <f t="shared" si="162"/>
        <v/>
      </c>
      <c r="CM105" s="106" t="e">
        <f t="shared" si="145"/>
        <v>#N/A</v>
      </c>
      <c r="CN105" s="90" t="e">
        <f t="shared" si="146"/>
        <v>#N/A</v>
      </c>
      <c r="CO105" s="90" t="e">
        <f t="shared" si="147"/>
        <v>#N/A</v>
      </c>
      <c r="CP105" s="90" t="e">
        <f t="shared" si="148"/>
        <v>#N/A</v>
      </c>
      <c r="CQ105" s="90" t="e">
        <f t="shared" si="149"/>
        <v>#N/A</v>
      </c>
      <c r="CR105" s="90" t="e">
        <f t="shared" si="150"/>
        <v>#N/A</v>
      </c>
      <c r="CS105" s="90" t="e">
        <f t="shared" si="151"/>
        <v>#N/A</v>
      </c>
      <c r="CT105" s="90" t="e">
        <f t="shared" si="152"/>
        <v>#N/A</v>
      </c>
      <c r="CU105" s="113" t="e">
        <f t="shared" si="153"/>
        <v>#N/A</v>
      </c>
      <c r="CV105" s="90">
        <f t="shared" si="154"/>
        <v>24</v>
      </c>
      <c r="CW105" s="308">
        <v>24</v>
      </c>
      <c r="CX105" s="102"/>
      <c r="CY105" s="102"/>
      <c r="CZ105" s="102"/>
      <c r="DA105" s="102"/>
      <c r="DB105" s="102"/>
      <c r="DC105" s="102"/>
      <c r="DD105" s="102"/>
      <c r="DE105" s="102"/>
      <c r="DF105" s="102"/>
      <c r="DG105" s="102"/>
      <c r="DH105" s="102"/>
      <c r="DI105" s="307">
        <v>94</v>
      </c>
      <c r="DJ105" s="90">
        <f t="shared" si="125"/>
        <v>0.93999999999999717</v>
      </c>
      <c r="DK105" s="90">
        <f t="shared" si="127"/>
        <v>8.955629113826831E-2</v>
      </c>
      <c r="DL105" s="90" t="e">
        <f t="shared" si="128"/>
        <v>#N/A</v>
      </c>
      <c r="DM105" s="90">
        <f t="shared" si="129"/>
        <v>8.955629113826831E-2</v>
      </c>
      <c r="DN105" s="90">
        <f t="shared" si="130"/>
        <v>32</v>
      </c>
      <c r="DO105" s="308">
        <f t="shared" si="126"/>
        <v>0.35599999999999887</v>
      </c>
      <c r="DP105" s="307">
        <f t="shared" si="138"/>
        <v>0.93999999999999928</v>
      </c>
      <c r="DQ105" s="90">
        <f t="shared" si="131"/>
        <v>2.8639483910671608E-2</v>
      </c>
      <c r="DR105" s="90">
        <f t="shared" si="132"/>
        <v>2.8639483910671608E-2</v>
      </c>
      <c r="DS105" s="90">
        <f t="shared" si="139"/>
        <v>33</v>
      </c>
      <c r="DT105" s="308">
        <f t="shared" si="140"/>
        <v>0.35599999999999971</v>
      </c>
      <c r="DU105" s="307">
        <f t="shared" si="133"/>
        <v>0.93999999999999573</v>
      </c>
      <c r="DV105" s="90">
        <f t="shared" si="134"/>
        <v>0.20893029907881772</v>
      </c>
      <c r="DW105" s="90">
        <f t="shared" si="135"/>
        <v>0.20893029907881772</v>
      </c>
      <c r="DX105" s="90">
        <f t="shared" si="136"/>
        <v>34</v>
      </c>
      <c r="DY105" s="308">
        <f t="shared" si="137"/>
        <v>0.35599999999999832</v>
      </c>
    </row>
    <row r="106" spans="66:129" ht="12" customHeight="1" x14ac:dyDescent="0.2">
      <c r="BN106" s="268" t="s">
        <v>344</v>
      </c>
      <c r="BO106" s="305">
        <f>SQRT(1/(2*(BO89-1)*(1-(1/(3*(BO89-1)^2)))))</f>
        <v>0.5222329678670935</v>
      </c>
      <c r="BQ106" s="154"/>
      <c r="BR106" s="154"/>
      <c r="BS106" s="435" t="str">
        <f t="shared" si="155"/>
        <v/>
      </c>
      <c r="BT106" s="290">
        <v>25</v>
      </c>
      <c r="BU106" s="90"/>
      <c r="BV106" s="90" t="str">
        <f t="shared" si="156"/>
        <v/>
      </c>
      <c r="BW106" s="90" t="str">
        <f t="shared" si="141"/>
        <v/>
      </c>
      <c r="BX106" s="90" t="str">
        <f t="shared" si="141"/>
        <v/>
      </c>
      <c r="BY106" s="90" t="str">
        <f t="shared" si="141"/>
        <v/>
      </c>
      <c r="BZ106" s="90" t="e">
        <f t="shared" si="157"/>
        <v>#N/A</v>
      </c>
      <c r="CA106" s="90" t="e">
        <f t="shared" si="158"/>
        <v>#N/A</v>
      </c>
      <c r="CB106" s="90" t="e">
        <f t="shared" si="159"/>
        <v>#N/A</v>
      </c>
      <c r="CC106" s="127" t="str">
        <f t="shared" si="142"/>
        <v/>
      </c>
      <c r="CD106" s="127" t="str">
        <f t="shared" si="142"/>
        <v/>
      </c>
      <c r="CE106" s="90" t="str">
        <f t="shared" si="142"/>
        <v/>
      </c>
      <c r="CF106" s="90" t="str">
        <f t="shared" si="143"/>
        <v/>
      </c>
      <c r="CG106" s="90" t="str">
        <f t="shared" si="144"/>
        <v/>
      </c>
      <c r="CH106" s="90" t="str">
        <f t="shared" si="144"/>
        <v/>
      </c>
      <c r="CI106" s="90" t="str">
        <f t="shared" si="144"/>
        <v/>
      </c>
      <c r="CJ106" s="90" t="str">
        <f t="shared" si="160"/>
        <v/>
      </c>
      <c r="CK106" s="90" t="str">
        <f t="shared" si="161"/>
        <v/>
      </c>
      <c r="CL106" s="113" t="str">
        <f t="shared" si="162"/>
        <v/>
      </c>
      <c r="CM106" s="106" t="e">
        <f t="shared" si="145"/>
        <v>#N/A</v>
      </c>
      <c r="CN106" s="90" t="e">
        <f t="shared" si="146"/>
        <v>#N/A</v>
      </c>
      <c r="CO106" s="90" t="e">
        <f t="shared" si="147"/>
        <v>#N/A</v>
      </c>
      <c r="CP106" s="90" t="e">
        <f t="shared" si="148"/>
        <v>#N/A</v>
      </c>
      <c r="CQ106" s="90" t="e">
        <f t="shared" si="149"/>
        <v>#N/A</v>
      </c>
      <c r="CR106" s="90" t="e">
        <f t="shared" si="150"/>
        <v>#N/A</v>
      </c>
      <c r="CS106" s="90" t="e">
        <f t="shared" si="151"/>
        <v>#N/A</v>
      </c>
      <c r="CT106" s="90" t="e">
        <f t="shared" si="152"/>
        <v>#N/A</v>
      </c>
      <c r="CU106" s="113" t="e">
        <f t="shared" si="153"/>
        <v>#N/A</v>
      </c>
      <c r="CV106" s="90">
        <f t="shared" si="154"/>
        <v>25</v>
      </c>
      <c r="CW106" s="308">
        <v>25</v>
      </c>
      <c r="CX106" s="102"/>
      <c r="CY106" s="102"/>
      <c r="CZ106" s="102"/>
      <c r="DA106" s="102"/>
      <c r="DB106" s="102"/>
      <c r="DC106" s="102"/>
      <c r="DD106" s="102"/>
      <c r="DE106" s="102"/>
      <c r="DF106" s="102"/>
      <c r="DG106" s="102"/>
      <c r="DH106" s="102"/>
      <c r="DI106" s="307">
        <v>95</v>
      </c>
      <c r="DJ106" s="90">
        <f t="shared" si="125"/>
        <v>0.94999999999999707</v>
      </c>
      <c r="DK106" s="90">
        <f t="shared" si="127"/>
        <v>9.0349630039362264E-2</v>
      </c>
      <c r="DL106" s="90" t="e">
        <f t="shared" si="128"/>
        <v>#N/A</v>
      </c>
      <c r="DM106" s="90">
        <f t="shared" si="129"/>
        <v>9.0349630039362264E-2</v>
      </c>
      <c r="DN106" s="90">
        <f t="shared" si="130"/>
        <v>32</v>
      </c>
      <c r="DO106" s="308">
        <f t="shared" si="126"/>
        <v>0.35999999999999882</v>
      </c>
      <c r="DP106" s="307">
        <f t="shared" si="138"/>
        <v>0.94999999999999929</v>
      </c>
      <c r="DQ106" s="90">
        <f t="shared" si="131"/>
        <v>2.9272400123812121E-2</v>
      </c>
      <c r="DR106" s="90">
        <f t="shared" si="132"/>
        <v>2.9272400123812121E-2</v>
      </c>
      <c r="DS106" s="90">
        <f t="shared" si="139"/>
        <v>33</v>
      </c>
      <c r="DT106" s="308">
        <f t="shared" si="140"/>
        <v>0.35999999999999971</v>
      </c>
      <c r="DU106" s="307">
        <f t="shared" si="133"/>
        <v>0.94999999999999563</v>
      </c>
      <c r="DV106" s="90">
        <f t="shared" si="134"/>
        <v>0.21021409852717571</v>
      </c>
      <c r="DW106" s="90">
        <f t="shared" si="135"/>
        <v>0.21021409852717571</v>
      </c>
      <c r="DX106" s="90">
        <f t="shared" si="136"/>
        <v>34</v>
      </c>
      <c r="DY106" s="308">
        <f t="shared" si="137"/>
        <v>0.35999999999999827</v>
      </c>
    </row>
    <row r="107" spans="66:129" ht="12" customHeight="1" x14ac:dyDescent="0.2">
      <c r="BN107" s="268" t="s">
        <v>258</v>
      </c>
      <c r="BO107" s="305">
        <f>IF(BO90&gt;(BO89+1),BO105,BO106)</f>
        <v>0.5222329678670935</v>
      </c>
      <c r="BQ107" s="154"/>
      <c r="BR107" s="154"/>
      <c r="BS107" s="435" t="str">
        <f t="shared" si="155"/>
        <v/>
      </c>
      <c r="BT107" s="290">
        <v>26</v>
      </c>
      <c r="BU107" s="90"/>
      <c r="BV107" s="90" t="str">
        <f t="shared" si="156"/>
        <v/>
      </c>
      <c r="BW107" s="90" t="str">
        <f t="shared" si="141"/>
        <v/>
      </c>
      <c r="BX107" s="90" t="str">
        <f t="shared" si="141"/>
        <v/>
      </c>
      <c r="BY107" s="90" t="str">
        <f t="shared" si="141"/>
        <v/>
      </c>
      <c r="BZ107" s="90" t="e">
        <f t="shared" si="157"/>
        <v>#N/A</v>
      </c>
      <c r="CA107" s="90" t="e">
        <f t="shared" si="158"/>
        <v>#N/A</v>
      </c>
      <c r="CB107" s="90" t="e">
        <f t="shared" si="159"/>
        <v>#N/A</v>
      </c>
      <c r="CC107" s="127" t="str">
        <f t="shared" si="142"/>
        <v/>
      </c>
      <c r="CD107" s="127" t="str">
        <f t="shared" si="142"/>
        <v/>
      </c>
      <c r="CE107" s="90" t="str">
        <f t="shared" si="142"/>
        <v/>
      </c>
      <c r="CF107" s="90" t="str">
        <f t="shared" si="143"/>
        <v/>
      </c>
      <c r="CG107" s="90" t="str">
        <f t="shared" si="144"/>
        <v/>
      </c>
      <c r="CH107" s="90" t="str">
        <f t="shared" si="144"/>
        <v/>
      </c>
      <c r="CI107" s="90" t="str">
        <f t="shared" si="144"/>
        <v/>
      </c>
      <c r="CJ107" s="90" t="str">
        <f t="shared" si="160"/>
        <v/>
      </c>
      <c r="CK107" s="90" t="str">
        <f t="shared" si="161"/>
        <v/>
      </c>
      <c r="CL107" s="113" t="str">
        <f t="shared" si="162"/>
        <v/>
      </c>
      <c r="CM107" s="106" t="e">
        <f t="shared" si="145"/>
        <v>#N/A</v>
      </c>
      <c r="CN107" s="90" t="e">
        <f t="shared" si="146"/>
        <v>#N/A</v>
      </c>
      <c r="CO107" s="90" t="e">
        <f t="shared" si="147"/>
        <v>#N/A</v>
      </c>
      <c r="CP107" s="90" t="e">
        <f t="shared" si="148"/>
        <v>#N/A</v>
      </c>
      <c r="CQ107" s="90" t="e">
        <f t="shared" si="149"/>
        <v>#N/A</v>
      </c>
      <c r="CR107" s="90" t="e">
        <f t="shared" si="150"/>
        <v>#N/A</v>
      </c>
      <c r="CS107" s="90" t="e">
        <f t="shared" si="151"/>
        <v>#N/A</v>
      </c>
      <c r="CT107" s="90" t="e">
        <f t="shared" si="152"/>
        <v>#N/A</v>
      </c>
      <c r="CU107" s="113" t="e">
        <f t="shared" si="153"/>
        <v>#N/A</v>
      </c>
      <c r="CV107" s="90">
        <f t="shared" si="154"/>
        <v>26</v>
      </c>
      <c r="CW107" s="308">
        <v>26</v>
      </c>
      <c r="CX107" s="102"/>
      <c r="CY107" s="102"/>
      <c r="CZ107" s="102"/>
      <c r="DA107" s="102"/>
      <c r="DB107" s="102"/>
      <c r="DC107" s="102"/>
      <c r="DD107" s="102"/>
      <c r="DE107" s="102"/>
      <c r="DF107" s="102"/>
      <c r="DG107" s="102"/>
      <c r="DH107" s="102"/>
      <c r="DI107" s="307">
        <v>96</v>
      </c>
      <c r="DJ107" s="90">
        <f t="shared" si="125"/>
        <v>0.95999999999999708</v>
      </c>
      <c r="DK107" s="90">
        <f t="shared" si="127"/>
        <v>9.1142968940456218E-2</v>
      </c>
      <c r="DL107" s="90" t="e">
        <f t="shared" si="128"/>
        <v>#N/A</v>
      </c>
      <c r="DM107" s="90">
        <f t="shared" si="129"/>
        <v>9.1142968940456218E-2</v>
      </c>
      <c r="DN107" s="90">
        <f t="shared" si="130"/>
        <v>32</v>
      </c>
      <c r="DO107" s="308">
        <f t="shared" si="126"/>
        <v>0.36399999999999882</v>
      </c>
      <c r="DP107" s="307">
        <f t="shared" si="138"/>
        <v>0.9599999999999993</v>
      </c>
      <c r="DQ107" s="90">
        <f t="shared" si="131"/>
        <v>2.9905316336952634E-2</v>
      </c>
      <c r="DR107" s="90">
        <f t="shared" si="132"/>
        <v>2.9905316336952634E-2</v>
      </c>
      <c r="DS107" s="90">
        <f t="shared" si="139"/>
        <v>33</v>
      </c>
      <c r="DT107" s="308">
        <f t="shared" si="140"/>
        <v>0.36399999999999971</v>
      </c>
      <c r="DU107" s="307">
        <f t="shared" si="133"/>
        <v>0.95999999999999552</v>
      </c>
      <c r="DV107" s="90">
        <f t="shared" si="134"/>
        <v>0.2114978979755337</v>
      </c>
      <c r="DW107" s="90">
        <f t="shared" si="135"/>
        <v>0.2114978979755337</v>
      </c>
      <c r="DX107" s="90">
        <f t="shared" si="136"/>
        <v>34</v>
      </c>
      <c r="DY107" s="308">
        <f t="shared" si="137"/>
        <v>0.36399999999999821</v>
      </c>
    </row>
    <row r="108" spans="66:129" ht="12" customHeight="1" x14ac:dyDescent="0.2">
      <c r="BN108" s="268" t="s">
        <v>345</v>
      </c>
      <c r="BO108" s="113">
        <f>EXP(0.5*LN(BO90/BO89)-NORMSINV((100+$M$2)/200)*BO107)</f>
        <v>0.26196452583257424</v>
      </c>
      <c r="BQ108" s="90"/>
      <c r="BR108" s="90"/>
      <c r="BS108" s="290" t="str">
        <f t="shared" si="155"/>
        <v/>
      </c>
      <c r="BT108" s="290">
        <v>27</v>
      </c>
      <c r="BU108" s="90"/>
      <c r="BV108" s="90" t="str">
        <f t="shared" si="156"/>
        <v/>
      </c>
      <c r="BW108" s="90" t="str">
        <f t="shared" si="141"/>
        <v/>
      </c>
      <c r="BX108" s="90" t="str">
        <f t="shared" si="141"/>
        <v/>
      </c>
      <c r="BY108" s="90" t="str">
        <f t="shared" si="141"/>
        <v/>
      </c>
      <c r="BZ108" s="90" t="e">
        <f t="shared" si="157"/>
        <v>#N/A</v>
      </c>
      <c r="CA108" s="90" t="e">
        <f t="shared" si="158"/>
        <v>#N/A</v>
      </c>
      <c r="CB108" s="90" t="e">
        <f t="shared" si="159"/>
        <v>#N/A</v>
      </c>
      <c r="CC108" s="127" t="str">
        <f t="shared" si="142"/>
        <v/>
      </c>
      <c r="CD108" s="127" t="str">
        <f t="shared" si="142"/>
        <v/>
      </c>
      <c r="CE108" s="90" t="str">
        <f t="shared" si="142"/>
        <v/>
      </c>
      <c r="CF108" s="90" t="str">
        <f t="shared" si="143"/>
        <v/>
      </c>
      <c r="CG108" s="90" t="str">
        <f t="shared" si="144"/>
        <v/>
      </c>
      <c r="CH108" s="90" t="str">
        <f t="shared" si="144"/>
        <v/>
      </c>
      <c r="CI108" s="90" t="str">
        <f t="shared" si="144"/>
        <v/>
      </c>
      <c r="CJ108" s="90" t="str">
        <f t="shared" si="160"/>
        <v/>
      </c>
      <c r="CK108" s="90" t="str">
        <f t="shared" si="161"/>
        <v/>
      </c>
      <c r="CL108" s="113" t="str">
        <f t="shared" si="162"/>
        <v/>
      </c>
      <c r="CM108" s="106" t="e">
        <f t="shared" si="145"/>
        <v>#N/A</v>
      </c>
      <c r="CN108" s="90" t="e">
        <f t="shared" si="146"/>
        <v>#N/A</v>
      </c>
      <c r="CO108" s="90" t="e">
        <f t="shared" si="147"/>
        <v>#N/A</v>
      </c>
      <c r="CP108" s="90" t="e">
        <f t="shared" si="148"/>
        <v>#N/A</v>
      </c>
      <c r="CQ108" s="90" t="e">
        <f t="shared" si="149"/>
        <v>#N/A</v>
      </c>
      <c r="CR108" s="90" t="e">
        <f t="shared" si="150"/>
        <v>#N/A</v>
      </c>
      <c r="CS108" s="90" t="e">
        <f t="shared" si="151"/>
        <v>#N/A</v>
      </c>
      <c r="CT108" s="90" t="e">
        <f t="shared" si="152"/>
        <v>#N/A</v>
      </c>
      <c r="CU108" s="113" t="e">
        <f t="shared" si="153"/>
        <v>#N/A</v>
      </c>
      <c r="CV108" s="90">
        <f t="shared" si="154"/>
        <v>27</v>
      </c>
      <c r="CW108" s="308">
        <v>27</v>
      </c>
      <c r="CX108" s="102"/>
      <c r="CY108" s="102"/>
      <c r="CZ108" s="102"/>
      <c r="DA108" s="102"/>
      <c r="DB108" s="102"/>
      <c r="DC108" s="102"/>
      <c r="DD108" s="102"/>
      <c r="DE108" s="102"/>
      <c r="DF108" s="102"/>
      <c r="DG108" s="102"/>
      <c r="DH108" s="102"/>
      <c r="DI108" s="307">
        <v>97</v>
      </c>
      <c r="DJ108" s="90">
        <f t="shared" si="125"/>
        <v>0.96999999999999698</v>
      </c>
      <c r="DK108" s="90">
        <f t="shared" ref="DK108:DK139" si="163">IF(AND($BX$5,$CG$4,$CJ$2),DM107+$DL$8,NA())</f>
        <v>9.1936307841550172E-2</v>
      </c>
      <c r="DL108" s="90" t="e">
        <f t="shared" ref="DL108:DL139" si="164">IF(AND(NOT($BX$5),$CG$4),DM107+$DL$8,NA())</f>
        <v>#N/A</v>
      </c>
      <c r="DM108" s="90">
        <f t="shared" ref="DM108:DM139" si="165">IF($CG$4,DM107+$DL$8,NA())</f>
        <v>9.1936307841550172E-2</v>
      </c>
      <c r="DN108" s="90">
        <f t="shared" ref="DN108:DN139" si="166">DN107</f>
        <v>32</v>
      </c>
      <c r="DO108" s="308">
        <f t="shared" si="126"/>
        <v>0.36799999999999877</v>
      </c>
      <c r="DP108" s="307">
        <f t="shared" si="138"/>
        <v>0.96999999999999931</v>
      </c>
      <c r="DQ108" s="90">
        <f t="shared" ref="DQ108:DQ139" si="167">IF(AND($BX$5,$CG$4),DR107+$DQ$8,NA())</f>
        <v>3.0538232550093147E-2</v>
      </c>
      <c r="DR108" s="90">
        <f t="shared" ref="DR108:DR139" si="168">IF($CG$4,DR107+$DQ$8,NA())</f>
        <v>3.0538232550093147E-2</v>
      </c>
      <c r="DS108" s="90">
        <f t="shared" si="139"/>
        <v>33</v>
      </c>
      <c r="DT108" s="308">
        <f t="shared" si="140"/>
        <v>0.36799999999999972</v>
      </c>
      <c r="DU108" s="307">
        <f t="shared" si="133"/>
        <v>0.96999999999999553</v>
      </c>
      <c r="DV108" s="90">
        <f t="shared" ref="DV108:DV139" si="169">IF(AND($BX$5,$CG$4),DW107+$DV$8,NA())</f>
        <v>0.21278169742389169</v>
      </c>
      <c r="DW108" s="90">
        <f t="shared" ref="DW108:DW139" si="170">IF($CG$4,DW107+$DV$8,NA())</f>
        <v>0.21278169742389169</v>
      </c>
      <c r="DX108" s="90">
        <f t="shared" si="136"/>
        <v>34</v>
      </c>
      <c r="DY108" s="308">
        <f t="shared" si="137"/>
        <v>0.36799999999999822</v>
      </c>
    </row>
    <row r="109" spans="66:129" ht="12" customHeight="1" x14ac:dyDescent="0.2">
      <c r="BN109" s="268" t="s">
        <v>346</v>
      </c>
      <c r="BO109" s="113">
        <f>EXP(0.5*LN(BO90/BO89)+NORMSINV((100+$M$2)/200)*BO107)</f>
        <v>2.0290535141614909</v>
      </c>
      <c r="BQ109" s="90"/>
      <c r="BR109" s="90"/>
      <c r="BS109" s="290" t="str">
        <f t="shared" si="155"/>
        <v/>
      </c>
      <c r="BT109" s="290">
        <v>28</v>
      </c>
      <c r="BU109" s="90"/>
      <c r="BV109" s="90" t="str">
        <f t="shared" si="156"/>
        <v/>
      </c>
      <c r="BW109" s="90" t="str">
        <f t="shared" si="141"/>
        <v/>
      </c>
      <c r="BX109" s="90" t="str">
        <f t="shared" si="141"/>
        <v/>
      </c>
      <c r="BY109" s="90" t="str">
        <f t="shared" si="141"/>
        <v/>
      </c>
      <c r="BZ109" s="90" t="e">
        <f t="shared" si="157"/>
        <v>#N/A</v>
      </c>
      <c r="CA109" s="90" t="e">
        <f t="shared" si="158"/>
        <v>#N/A</v>
      </c>
      <c r="CB109" s="90" t="e">
        <f t="shared" si="159"/>
        <v>#N/A</v>
      </c>
      <c r="CC109" s="127" t="str">
        <f t="shared" si="142"/>
        <v/>
      </c>
      <c r="CD109" s="127" t="str">
        <f t="shared" si="142"/>
        <v/>
      </c>
      <c r="CE109" s="90" t="str">
        <f t="shared" si="142"/>
        <v/>
      </c>
      <c r="CF109" s="90" t="str">
        <f t="shared" si="143"/>
        <v/>
      </c>
      <c r="CG109" s="90" t="str">
        <f t="shared" si="144"/>
        <v/>
      </c>
      <c r="CH109" s="90" t="str">
        <f t="shared" si="144"/>
        <v/>
      </c>
      <c r="CI109" s="90" t="str">
        <f t="shared" si="144"/>
        <v/>
      </c>
      <c r="CJ109" s="90" t="str">
        <f t="shared" si="160"/>
        <v/>
      </c>
      <c r="CK109" s="90" t="str">
        <f t="shared" si="161"/>
        <v/>
      </c>
      <c r="CL109" s="113" t="str">
        <f t="shared" si="162"/>
        <v/>
      </c>
      <c r="CM109" s="106" t="e">
        <f t="shared" si="145"/>
        <v>#N/A</v>
      </c>
      <c r="CN109" s="90" t="e">
        <f t="shared" si="146"/>
        <v>#N/A</v>
      </c>
      <c r="CO109" s="90" t="e">
        <f t="shared" si="147"/>
        <v>#N/A</v>
      </c>
      <c r="CP109" s="90" t="e">
        <f t="shared" si="148"/>
        <v>#N/A</v>
      </c>
      <c r="CQ109" s="90" t="e">
        <f t="shared" si="149"/>
        <v>#N/A</v>
      </c>
      <c r="CR109" s="90" t="e">
        <f t="shared" si="150"/>
        <v>#N/A</v>
      </c>
      <c r="CS109" s="90" t="e">
        <f t="shared" si="151"/>
        <v>#N/A</v>
      </c>
      <c r="CT109" s="90" t="e">
        <f t="shared" si="152"/>
        <v>#N/A</v>
      </c>
      <c r="CU109" s="113" t="e">
        <f t="shared" si="153"/>
        <v>#N/A</v>
      </c>
      <c r="CV109" s="90">
        <f t="shared" si="154"/>
        <v>28</v>
      </c>
      <c r="CW109" s="308">
        <v>28</v>
      </c>
      <c r="CX109" s="102"/>
      <c r="CY109" s="102"/>
      <c r="CZ109" s="102"/>
      <c r="DA109" s="102"/>
      <c r="DB109" s="102"/>
      <c r="DC109" s="102"/>
      <c r="DD109" s="102"/>
      <c r="DE109" s="102"/>
      <c r="DF109" s="102"/>
      <c r="DG109" s="102"/>
      <c r="DH109" s="102"/>
      <c r="DI109" s="307">
        <v>98</v>
      </c>
      <c r="DJ109" s="90">
        <f t="shared" si="125"/>
        <v>0.97999999999999687</v>
      </c>
      <c r="DK109" s="90">
        <f t="shared" si="163"/>
        <v>9.2729646742644126E-2</v>
      </c>
      <c r="DL109" s="90" t="e">
        <f t="shared" si="164"/>
        <v>#N/A</v>
      </c>
      <c r="DM109" s="90">
        <f t="shared" si="165"/>
        <v>9.2729646742644126E-2</v>
      </c>
      <c r="DN109" s="90">
        <f t="shared" si="166"/>
        <v>32</v>
      </c>
      <c r="DO109" s="308">
        <f t="shared" si="126"/>
        <v>0.37199999999999878</v>
      </c>
      <c r="DP109" s="307">
        <f t="shared" si="138"/>
        <v>0.97999999999999921</v>
      </c>
      <c r="DQ109" s="90">
        <f t="shared" si="167"/>
        <v>3.117114876323366E-2</v>
      </c>
      <c r="DR109" s="90">
        <f t="shared" si="168"/>
        <v>3.117114876323366E-2</v>
      </c>
      <c r="DS109" s="90">
        <f t="shared" si="139"/>
        <v>33</v>
      </c>
      <c r="DT109" s="308">
        <f t="shared" si="140"/>
        <v>0.37199999999999966</v>
      </c>
      <c r="DU109" s="307">
        <f t="shared" si="133"/>
        <v>0.97999999999999543</v>
      </c>
      <c r="DV109" s="90">
        <f t="shared" si="169"/>
        <v>0.21406549687224968</v>
      </c>
      <c r="DW109" s="90">
        <f t="shared" si="170"/>
        <v>0.21406549687224968</v>
      </c>
      <c r="DX109" s="90">
        <f t="shared" si="136"/>
        <v>34</v>
      </c>
      <c r="DY109" s="308">
        <f t="shared" si="137"/>
        <v>0.37199999999999817</v>
      </c>
    </row>
    <row r="110" spans="66:129" ht="12" customHeight="1" x14ac:dyDescent="0.2">
      <c r="BN110" s="268" t="s">
        <v>347</v>
      </c>
      <c r="BO110" s="113">
        <f>MAX(0,BO89*(BO108^2-1)/BO92)</f>
        <v>0</v>
      </c>
      <c r="BQ110" s="90"/>
      <c r="BR110" s="90"/>
      <c r="BS110" s="290" t="str">
        <f t="shared" si="155"/>
        <v/>
      </c>
      <c r="BT110" s="290">
        <v>29</v>
      </c>
      <c r="BU110" s="90"/>
      <c r="BV110" s="90" t="str">
        <f t="shared" si="156"/>
        <v/>
      </c>
      <c r="BW110" s="90" t="str">
        <f t="shared" ref="BW110:BY111" si="171">IF(AND(BW36&lt;&gt;"",$BV36=$BV$81),BW36,"")</f>
        <v/>
      </c>
      <c r="BX110" s="90" t="str">
        <f t="shared" si="171"/>
        <v/>
      </c>
      <c r="BY110" s="90" t="str">
        <f t="shared" si="171"/>
        <v/>
      </c>
      <c r="BZ110" s="90" t="e">
        <f t="shared" si="157"/>
        <v>#N/A</v>
      </c>
      <c r="CA110" s="90" t="e">
        <f t="shared" si="158"/>
        <v>#N/A</v>
      </c>
      <c r="CB110" s="90" t="e">
        <f t="shared" si="159"/>
        <v>#N/A</v>
      </c>
      <c r="CC110" s="127" t="str">
        <f t="shared" ref="CC110:CE111" si="172">IF(AND(CC36&lt;&gt;"",$BV36=$BV$81),CC36,"")</f>
        <v/>
      </c>
      <c r="CD110" s="127" t="str">
        <f t="shared" si="172"/>
        <v/>
      </c>
      <c r="CE110" s="90" t="str">
        <f t="shared" si="172"/>
        <v/>
      </c>
      <c r="CF110" s="90" t="str">
        <f t="shared" si="143"/>
        <v/>
      </c>
      <c r="CG110" s="90" t="str">
        <f t="shared" si="144"/>
        <v/>
      </c>
      <c r="CH110" s="90" t="str">
        <f t="shared" si="144"/>
        <v/>
      </c>
      <c r="CI110" s="90" t="str">
        <f t="shared" si="144"/>
        <v/>
      </c>
      <c r="CJ110" s="90" t="str">
        <f t="shared" si="160"/>
        <v/>
      </c>
      <c r="CK110" s="90" t="str">
        <f t="shared" si="161"/>
        <v/>
      </c>
      <c r="CL110" s="113" t="str">
        <f t="shared" si="162"/>
        <v/>
      </c>
      <c r="CM110" s="106" t="e">
        <f t="shared" si="145"/>
        <v>#N/A</v>
      </c>
      <c r="CN110" s="90" t="e">
        <f t="shared" si="146"/>
        <v>#N/A</v>
      </c>
      <c r="CO110" s="90" t="e">
        <f t="shared" si="147"/>
        <v>#N/A</v>
      </c>
      <c r="CP110" s="90" t="e">
        <f t="shared" si="148"/>
        <v>#N/A</v>
      </c>
      <c r="CQ110" s="90" t="e">
        <f t="shared" si="149"/>
        <v>#N/A</v>
      </c>
      <c r="CR110" s="90" t="e">
        <f t="shared" si="150"/>
        <v>#N/A</v>
      </c>
      <c r="CS110" s="90" t="e">
        <f t="shared" si="151"/>
        <v>#N/A</v>
      </c>
      <c r="CT110" s="90" t="e">
        <f t="shared" si="152"/>
        <v>#N/A</v>
      </c>
      <c r="CU110" s="113" t="e">
        <f t="shared" si="153"/>
        <v>#N/A</v>
      </c>
      <c r="CV110" s="90">
        <f t="shared" si="154"/>
        <v>29</v>
      </c>
      <c r="CW110" s="308">
        <v>29</v>
      </c>
      <c r="CX110" s="102"/>
      <c r="CY110" s="102"/>
      <c r="CZ110" s="102"/>
      <c r="DA110" s="102"/>
      <c r="DB110" s="102"/>
      <c r="DC110" s="102"/>
      <c r="DD110" s="102"/>
      <c r="DE110" s="102"/>
      <c r="DF110" s="102"/>
      <c r="DG110" s="102"/>
      <c r="DH110" s="102"/>
      <c r="DI110" s="307">
        <v>99</v>
      </c>
      <c r="DJ110" s="90">
        <f t="shared" si="125"/>
        <v>0.98999999999999677</v>
      </c>
      <c r="DK110" s="90">
        <f t="shared" si="163"/>
        <v>9.352298564373808E-2</v>
      </c>
      <c r="DL110" s="90" t="e">
        <f t="shared" si="164"/>
        <v>#N/A</v>
      </c>
      <c r="DM110" s="90">
        <f t="shared" si="165"/>
        <v>9.352298564373808E-2</v>
      </c>
      <c r="DN110" s="90">
        <f t="shared" si="166"/>
        <v>32</v>
      </c>
      <c r="DO110" s="308">
        <f t="shared" si="126"/>
        <v>0.37599999999999872</v>
      </c>
      <c r="DP110" s="307">
        <f t="shared" si="138"/>
        <v>0.98999999999999932</v>
      </c>
      <c r="DQ110" s="90">
        <f t="shared" si="167"/>
        <v>3.1804064976374176E-2</v>
      </c>
      <c r="DR110" s="90">
        <f t="shared" si="168"/>
        <v>3.1804064976374176E-2</v>
      </c>
      <c r="DS110" s="90">
        <f t="shared" si="139"/>
        <v>33</v>
      </c>
      <c r="DT110" s="308">
        <f t="shared" si="140"/>
        <v>0.37599999999999972</v>
      </c>
      <c r="DU110" s="307">
        <f t="shared" si="133"/>
        <v>0.98999999999999533</v>
      </c>
      <c r="DV110" s="90">
        <f t="shared" si="169"/>
        <v>0.21534929632060767</v>
      </c>
      <c r="DW110" s="90">
        <f t="shared" si="170"/>
        <v>0.21534929632060767</v>
      </c>
      <c r="DX110" s="90">
        <f t="shared" si="136"/>
        <v>34</v>
      </c>
      <c r="DY110" s="308">
        <f t="shared" si="137"/>
        <v>0.37599999999999811</v>
      </c>
    </row>
    <row r="111" spans="66:129" ht="12" customHeight="1" x14ac:dyDescent="0.2">
      <c r="BN111" s="268" t="s">
        <v>348</v>
      </c>
      <c r="BO111" s="113">
        <f>MAX(0,BO89*(BO109^2-1)/BO92)</f>
        <v>5.8246337697514777E-2</v>
      </c>
      <c r="BQ111" s="90"/>
      <c r="BR111" s="90"/>
      <c r="BS111" s="124" t="str">
        <f t="shared" si="155"/>
        <v/>
      </c>
      <c r="BT111" s="124">
        <v>30</v>
      </c>
      <c r="BU111" s="79"/>
      <c r="BV111" s="79" t="str">
        <f t="shared" si="156"/>
        <v/>
      </c>
      <c r="BW111" s="79" t="str">
        <f t="shared" si="171"/>
        <v/>
      </c>
      <c r="BX111" s="79" t="str">
        <f t="shared" si="171"/>
        <v/>
      </c>
      <c r="BY111" s="79" t="str">
        <f t="shared" si="171"/>
        <v/>
      </c>
      <c r="BZ111" s="79" t="e">
        <f t="shared" si="157"/>
        <v>#N/A</v>
      </c>
      <c r="CA111" s="79" t="e">
        <f t="shared" si="158"/>
        <v>#N/A</v>
      </c>
      <c r="CB111" s="79" t="e">
        <f t="shared" si="159"/>
        <v>#N/A</v>
      </c>
      <c r="CC111" s="225" t="str">
        <f t="shared" si="172"/>
        <v/>
      </c>
      <c r="CD111" s="225" t="str">
        <f t="shared" si="172"/>
        <v/>
      </c>
      <c r="CE111" s="79" t="str">
        <f t="shared" si="172"/>
        <v/>
      </c>
      <c r="CF111" s="79" t="str">
        <f t="shared" si="143"/>
        <v/>
      </c>
      <c r="CG111" s="79" t="str">
        <f t="shared" si="144"/>
        <v/>
      </c>
      <c r="CH111" s="79" t="str">
        <f t="shared" si="144"/>
        <v/>
      </c>
      <c r="CI111" s="79" t="str">
        <f t="shared" si="144"/>
        <v/>
      </c>
      <c r="CJ111" s="79" t="str">
        <f t="shared" si="160"/>
        <v/>
      </c>
      <c r="CK111" s="79" t="str">
        <f t="shared" si="161"/>
        <v/>
      </c>
      <c r="CL111" s="109" t="str">
        <f t="shared" si="162"/>
        <v/>
      </c>
      <c r="CM111" s="207" t="e">
        <f t="shared" si="145"/>
        <v>#N/A</v>
      </c>
      <c r="CN111" s="79" t="e">
        <f t="shared" si="146"/>
        <v>#N/A</v>
      </c>
      <c r="CO111" s="79" t="e">
        <f t="shared" si="147"/>
        <v>#N/A</v>
      </c>
      <c r="CP111" s="79" t="e">
        <f t="shared" si="148"/>
        <v>#N/A</v>
      </c>
      <c r="CQ111" s="79" t="e">
        <f t="shared" si="149"/>
        <v>#N/A</v>
      </c>
      <c r="CR111" s="79" t="e">
        <f t="shared" si="150"/>
        <v>#N/A</v>
      </c>
      <c r="CS111" s="79" t="e">
        <f t="shared" si="151"/>
        <v>#N/A</v>
      </c>
      <c r="CT111" s="79" t="e">
        <f t="shared" si="152"/>
        <v>#N/A</v>
      </c>
      <c r="CU111" s="109" t="e">
        <f t="shared" si="153"/>
        <v>#N/A</v>
      </c>
      <c r="CV111" s="79">
        <f t="shared" si="154"/>
        <v>30</v>
      </c>
      <c r="CW111" s="551">
        <v>30</v>
      </c>
      <c r="CX111" s="102"/>
      <c r="CY111" s="102"/>
      <c r="CZ111" s="102"/>
      <c r="DA111" s="102"/>
      <c r="DB111" s="102"/>
      <c r="DC111" s="102"/>
      <c r="DD111" s="102"/>
      <c r="DE111" s="102"/>
      <c r="DF111" s="102"/>
      <c r="DG111" s="102"/>
      <c r="DH111" s="102"/>
      <c r="DI111" s="307">
        <v>100</v>
      </c>
      <c r="DJ111" s="90">
        <f t="shared" si="125"/>
        <v>0.99999999999999667</v>
      </c>
      <c r="DK111" s="90">
        <f t="shared" si="163"/>
        <v>9.4316324544832034E-2</v>
      </c>
      <c r="DL111" s="90" t="e">
        <f t="shared" si="164"/>
        <v>#N/A</v>
      </c>
      <c r="DM111" s="90">
        <f t="shared" si="165"/>
        <v>9.4316324544832034E-2</v>
      </c>
      <c r="DN111" s="90">
        <f t="shared" si="166"/>
        <v>32</v>
      </c>
      <c r="DO111" s="308">
        <f t="shared" si="126"/>
        <v>0.37999999999999867</v>
      </c>
      <c r="DP111" s="307">
        <f t="shared" si="138"/>
        <v>0.99999999999999933</v>
      </c>
      <c r="DQ111" s="90">
        <f t="shared" si="167"/>
        <v>3.2436981189514692E-2</v>
      </c>
      <c r="DR111" s="90">
        <f t="shared" si="168"/>
        <v>3.2436981189514692E-2</v>
      </c>
      <c r="DS111" s="90">
        <f t="shared" si="139"/>
        <v>33</v>
      </c>
      <c r="DT111" s="308">
        <f t="shared" si="140"/>
        <v>0.37999999999999973</v>
      </c>
      <c r="DU111" s="307">
        <f t="shared" si="133"/>
        <v>0.99999999999999523</v>
      </c>
      <c r="DV111" s="90">
        <f t="shared" si="169"/>
        <v>0.21663309576896567</v>
      </c>
      <c r="DW111" s="90">
        <f t="shared" si="170"/>
        <v>0.21663309576896567</v>
      </c>
      <c r="DX111" s="90">
        <f t="shared" si="136"/>
        <v>34</v>
      </c>
      <c r="DY111" s="308">
        <f t="shared" si="137"/>
        <v>0.37999999999999812</v>
      </c>
    </row>
    <row r="112" spans="66:129" ht="12" customHeight="1" x14ac:dyDescent="0.2">
      <c r="BN112" s="268" t="s">
        <v>349</v>
      </c>
      <c r="BO112" s="113">
        <f>SQRT(BO110)</f>
        <v>0</v>
      </c>
      <c r="BS112" s="465">
        <f>SUM(BS82:BS111)</f>
        <v>100</v>
      </c>
      <c r="BY112" s="562" t="s">
        <v>315</v>
      </c>
      <c r="BZ112" s="50">
        <f>J41</f>
        <v>0.21663309576896628</v>
      </c>
      <c r="CA112" s="1">
        <v>34</v>
      </c>
      <c r="CB112" s="435" t="s">
        <v>299</v>
      </c>
      <c r="CD112" s="563" t="s">
        <v>325</v>
      </c>
      <c r="CE112" s="408">
        <f t="shared" ref="CE112:CL112" si="173">SUM(CE82:CE111)</f>
        <v>233.07828430198651</v>
      </c>
      <c r="CF112" s="408">
        <f t="shared" si="173"/>
        <v>233.07828430198651</v>
      </c>
      <c r="CG112" s="271">
        <f t="shared" si="173"/>
        <v>50.492470284858591</v>
      </c>
      <c r="CH112" s="271">
        <f t="shared" si="173"/>
        <v>16905.86861665767</v>
      </c>
      <c r="CI112" s="271">
        <f t="shared" si="173"/>
        <v>12.532960276010154</v>
      </c>
      <c r="CJ112" s="271">
        <f t="shared" si="173"/>
        <v>8.152522729302901E-2</v>
      </c>
      <c r="CK112" s="271">
        <f t="shared" si="173"/>
        <v>233.07828430198651</v>
      </c>
      <c r="CL112" s="564">
        <f t="shared" si="173"/>
        <v>50.492470284858591</v>
      </c>
      <c r="DI112" s="307">
        <v>101</v>
      </c>
      <c r="DJ112" s="90">
        <f t="shared" si="125"/>
        <v>0.99000000000000343</v>
      </c>
      <c r="DK112" s="90">
        <f t="shared" si="163"/>
        <v>9.5109663445925988E-2</v>
      </c>
      <c r="DL112" s="90" t="e">
        <f t="shared" si="164"/>
        <v>#N/A</v>
      </c>
      <c r="DM112" s="90">
        <f t="shared" si="165"/>
        <v>9.5109663445925988E-2</v>
      </c>
      <c r="DN112" s="90">
        <f t="shared" si="166"/>
        <v>32</v>
      </c>
      <c r="DO112" s="308">
        <f t="shared" si="126"/>
        <v>0.37600000000000139</v>
      </c>
      <c r="DP112" s="307">
        <f t="shared" si="138"/>
        <v>0.99000000000000066</v>
      </c>
      <c r="DQ112" s="90">
        <f t="shared" si="167"/>
        <v>3.3069897402655209E-2</v>
      </c>
      <c r="DR112" s="90">
        <f t="shared" si="168"/>
        <v>3.3069897402655209E-2</v>
      </c>
      <c r="DS112" s="90">
        <f t="shared" si="139"/>
        <v>33</v>
      </c>
      <c r="DT112" s="308">
        <f t="shared" si="140"/>
        <v>0.37600000000000028</v>
      </c>
      <c r="DU112" s="307">
        <f t="shared" si="133"/>
        <v>0.99000000000000488</v>
      </c>
      <c r="DV112" s="90">
        <f t="shared" si="169"/>
        <v>0.21791689521732366</v>
      </c>
      <c r="DW112" s="90">
        <f t="shared" si="170"/>
        <v>0.21791689521732366</v>
      </c>
      <c r="DX112" s="90">
        <f t="shared" si="136"/>
        <v>34</v>
      </c>
      <c r="DY112" s="308">
        <f t="shared" si="137"/>
        <v>0.37600000000000194</v>
      </c>
    </row>
    <row r="113" spans="66:129" ht="12" customHeight="1" x14ac:dyDescent="0.2">
      <c r="BN113" s="107" t="s">
        <v>350</v>
      </c>
      <c r="BO113" s="109">
        <f>SQRT(BO111)</f>
        <v>0.24134278049594685</v>
      </c>
      <c r="BQ113" s="90"/>
      <c r="BR113" s="90"/>
      <c r="BS113" s="90"/>
      <c r="BW113" s="581">
        <f>IF($BY113&lt;&gt;"",J41,"")</f>
        <v>0.21663309576896628</v>
      </c>
      <c r="BX113" s="582">
        <f>IF($BY113&lt;&gt;"",L41,"")</f>
        <v>0</v>
      </c>
      <c r="BY113" s="484">
        <f>IF(J41&lt;&gt;"", (J41)/CE113,"")</f>
        <v>3.3073161552581358</v>
      </c>
      <c r="BZ113" s="264" t="e">
        <f>IF(AND($BX$5,$BY$6,$CJ$2),IF(NOT($CG$4),J41,NA()),NA())</f>
        <v>#N/A</v>
      </c>
      <c r="CA113" s="264">
        <v>34</v>
      </c>
      <c r="CB113" s="485">
        <f>IF(BY113&lt;&gt;"",IF(fixedrandom=1,NORMSINV((100+$M$2)/200)*CE113,BO98),NA())</f>
        <v>0.12837994483580017</v>
      </c>
      <c r="CC113" s="237"/>
      <c r="CD113" s="67" t="s">
        <v>316</v>
      </c>
      <c r="CE113" s="238">
        <f>IF($BY$6,SQRT(1/SUM(CE82:CE111)),"")</f>
        <v>6.5501175454469998E-2</v>
      </c>
      <c r="CF113" s="486">
        <f>IF(fixedrandom=1,MAX(CE82:CE111),MAX(CK82:CK111))</f>
        <v>108.03906982247456</v>
      </c>
      <c r="CG113" s="487" t="s">
        <v>296</v>
      </c>
      <c r="DI113" s="307">
        <v>102</v>
      </c>
      <c r="DJ113" s="90">
        <f t="shared" si="125"/>
        <v>0.98000000000000353</v>
      </c>
      <c r="DK113" s="90">
        <f t="shared" si="163"/>
        <v>9.5903002347019942E-2</v>
      </c>
      <c r="DL113" s="90" t="e">
        <f t="shared" si="164"/>
        <v>#N/A</v>
      </c>
      <c r="DM113" s="90">
        <f t="shared" si="165"/>
        <v>9.5903002347019942E-2</v>
      </c>
      <c r="DN113" s="90">
        <f t="shared" si="166"/>
        <v>32</v>
      </c>
      <c r="DO113" s="308">
        <f t="shared" si="126"/>
        <v>0.37200000000000144</v>
      </c>
      <c r="DP113" s="307">
        <f t="shared" si="138"/>
        <v>0.98000000000000054</v>
      </c>
      <c r="DQ113" s="90">
        <f t="shared" si="167"/>
        <v>3.3702813615795725E-2</v>
      </c>
      <c r="DR113" s="90">
        <f t="shared" si="168"/>
        <v>3.3702813615795725E-2</v>
      </c>
      <c r="DS113" s="90">
        <f t="shared" si="139"/>
        <v>33</v>
      </c>
      <c r="DT113" s="308">
        <f t="shared" si="140"/>
        <v>0.37200000000000022</v>
      </c>
      <c r="DU113" s="307">
        <f t="shared" si="133"/>
        <v>0.98000000000000487</v>
      </c>
      <c r="DV113" s="90">
        <f t="shared" si="169"/>
        <v>0.21920069466568165</v>
      </c>
      <c r="DW113" s="90">
        <f t="shared" si="170"/>
        <v>0.21920069466568165</v>
      </c>
      <c r="DX113" s="90">
        <f t="shared" si="136"/>
        <v>34</v>
      </c>
      <c r="DY113" s="308">
        <f t="shared" si="137"/>
        <v>0.37200000000000194</v>
      </c>
    </row>
    <row r="114" spans="66:129" ht="12" customHeight="1" x14ac:dyDescent="0.2">
      <c r="CA114" s="59" t="s">
        <v>81</v>
      </c>
      <c r="CB114" s="50">
        <f>IF(BY113&lt;&gt;"",BO98/(NORMSINV((100+$M$2)/200)*CE113),NA())</f>
        <v>1</v>
      </c>
      <c r="DI114" s="307">
        <v>103</v>
      </c>
      <c r="DJ114" s="90">
        <f t="shared" si="125"/>
        <v>0.97000000000000353</v>
      </c>
      <c r="DK114" s="90">
        <f t="shared" si="163"/>
        <v>9.6696341248113896E-2</v>
      </c>
      <c r="DL114" s="90" t="e">
        <f t="shared" si="164"/>
        <v>#N/A</v>
      </c>
      <c r="DM114" s="90">
        <f t="shared" si="165"/>
        <v>9.6696341248113896E-2</v>
      </c>
      <c r="DN114" s="90">
        <f t="shared" si="166"/>
        <v>32</v>
      </c>
      <c r="DO114" s="308">
        <f t="shared" si="126"/>
        <v>0.36800000000000144</v>
      </c>
      <c r="DP114" s="307">
        <f t="shared" si="138"/>
        <v>0.97000000000000053</v>
      </c>
      <c r="DQ114" s="90">
        <f t="shared" si="167"/>
        <v>3.4335729828936241E-2</v>
      </c>
      <c r="DR114" s="90">
        <f t="shared" si="168"/>
        <v>3.4335729828936241E-2</v>
      </c>
      <c r="DS114" s="90">
        <f t="shared" si="139"/>
        <v>33</v>
      </c>
      <c r="DT114" s="308">
        <f t="shared" si="140"/>
        <v>0.36800000000000022</v>
      </c>
      <c r="DU114" s="307">
        <f t="shared" si="133"/>
        <v>0.97000000000000497</v>
      </c>
      <c r="DV114" s="90">
        <f t="shared" si="169"/>
        <v>0.22048449411403964</v>
      </c>
      <c r="DW114" s="90">
        <f t="shared" si="170"/>
        <v>0.22048449411403964</v>
      </c>
      <c r="DX114" s="90">
        <f t="shared" si="136"/>
        <v>34</v>
      </c>
      <c r="DY114" s="308">
        <f t="shared" si="137"/>
        <v>0.36800000000000199</v>
      </c>
    </row>
    <row r="115" spans="66:129" ht="12" customHeight="1" x14ac:dyDescent="0.2">
      <c r="DI115" s="307">
        <v>104</v>
      </c>
      <c r="DJ115" s="90">
        <f t="shared" si="125"/>
        <v>0.96000000000000363</v>
      </c>
      <c r="DK115" s="90">
        <f t="shared" si="163"/>
        <v>9.748968014920785E-2</v>
      </c>
      <c r="DL115" s="90" t="e">
        <f t="shared" si="164"/>
        <v>#N/A</v>
      </c>
      <c r="DM115" s="90">
        <f t="shared" si="165"/>
        <v>9.748968014920785E-2</v>
      </c>
      <c r="DN115" s="90">
        <f t="shared" si="166"/>
        <v>32</v>
      </c>
      <c r="DO115" s="308">
        <f t="shared" si="126"/>
        <v>0.36400000000000143</v>
      </c>
      <c r="DP115" s="307">
        <f t="shared" si="138"/>
        <v>0.96000000000000052</v>
      </c>
      <c r="DQ115" s="90">
        <f t="shared" si="167"/>
        <v>3.4968646042076758E-2</v>
      </c>
      <c r="DR115" s="90">
        <f t="shared" si="168"/>
        <v>3.4968646042076758E-2</v>
      </c>
      <c r="DS115" s="90">
        <f t="shared" si="139"/>
        <v>33</v>
      </c>
      <c r="DT115" s="308">
        <f t="shared" si="140"/>
        <v>0.36400000000000021</v>
      </c>
      <c r="DU115" s="307">
        <f t="shared" si="133"/>
        <v>0.96000000000000507</v>
      </c>
      <c r="DV115" s="90">
        <f t="shared" si="169"/>
        <v>0.22176829356239763</v>
      </c>
      <c r="DW115" s="90">
        <f t="shared" si="170"/>
        <v>0.22176829356239763</v>
      </c>
      <c r="DX115" s="90">
        <f t="shared" si="136"/>
        <v>34</v>
      </c>
      <c r="DY115" s="308">
        <f t="shared" si="137"/>
        <v>0.36400000000000204</v>
      </c>
    </row>
    <row r="116" spans="66:129" ht="12" customHeight="1" x14ac:dyDescent="0.2">
      <c r="DI116" s="307">
        <v>105</v>
      </c>
      <c r="DJ116" s="90">
        <f t="shared" si="125"/>
        <v>0.95000000000000373</v>
      </c>
      <c r="DK116" s="90">
        <f t="shared" si="163"/>
        <v>9.8283019050301804E-2</v>
      </c>
      <c r="DL116" s="90" t="e">
        <f t="shared" si="164"/>
        <v>#N/A</v>
      </c>
      <c r="DM116" s="90">
        <f t="shared" si="165"/>
        <v>9.8283019050301804E-2</v>
      </c>
      <c r="DN116" s="90">
        <f t="shared" si="166"/>
        <v>32</v>
      </c>
      <c r="DO116" s="308">
        <f t="shared" si="126"/>
        <v>0.36000000000000149</v>
      </c>
      <c r="DP116" s="307">
        <f t="shared" si="138"/>
        <v>0.9500000000000004</v>
      </c>
      <c r="DQ116" s="90">
        <f t="shared" si="167"/>
        <v>3.5601562255217274E-2</v>
      </c>
      <c r="DR116" s="90">
        <f t="shared" si="168"/>
        <v>3.5601562255217274E-2</v>
      </c>
      <c r="DS116" s="90">
        <f t="shared" si="139"/>
        <v>33</v>
      </c>
      <c r="DT116" s="308">
        <f t="shared" si="140"/>
        <v>0.36000000000000015</v>
      </c>
      <c r="DU116" s="307">
        <f t="shared" si="133"/>
        <v>0.95000000000000517</v>
      </c>
      <c r="DV116" s="90">
        <f t="shared" si="169"/>
        <v>0.22305209301075563</v>
      </c>
      <c r="DW116" s="90">
        <f t="shared" si="170"/>
        <v>0.22305209301075563</v>
      </c>
      <c r="DX116" s="90">
        <f t="shared" si="136"/>
        <v>34</v>
      </c>
      <c r="DY116" s="308">
        <f t="shared" si="137"/>
        <v>0.3600000000000021</v>
      </c>
    </row>
    <row r="117" spans="66:129" ht="12" customHeight="1" x14ac:dyDescent="0.2">
      <c r="DI117" s="307">
        <v>106</v>
      </c>
      <c r="DJ117" s="90">
        <f t="shared" si="125"/>
        <v>0.94000000000000383</v>
      </c>
      <c r="DK117" s="90">
        <f t="shared" si="163"/>
        <v>9.9076357951395758E-2</v>
      </c>
      <c r="DL117" s="90" t="e">
        <f t="shared" si="164"/>
        <v>#N/A</v>
      </c>
      <c r="DM117" s="90">
        <f t="shared" si="165"/>
        <v>9.9076357951395758E-2</v>
      </c>
      <c r="DN117" s="90">
        <f t="shared" si="166"/>
        <v>32</v>
      </c>
      <c r="DO117" s="308">
        <f t="shared" si="126"/>
        <v>0.35600000000000154</v>
      </c>
      <c r="DP117" s="307">
        <f t="shared" si="138"/>
        <v>0.94000000000000039</v>
      </c>
      <c r="DQ117" s="90">
        <f t="shared" si="167"/>
        <v>3.6234478468357791E-2</v>
      </c>
      <c r="DR117" s="90">
        <f t="shared" si="168"/>
        <v>3.6234478468357791E-2</v>
      </c>
      <c r="DS117" s="90">
        <f t="shared" si="139"/>
        <v>33</v>
      </c>
      <c r="DT117" s="308">
        <f t="shared" si="140"/>
        <v>0.35600000000000015</v>
      </c>
      <c r="DU117" s="307">
        <f t="shared" si="133"/>
        <v>0.94000000000000528</v>
      </c>
      <c r="DV117" s="90">
        <f t="shared" si="169"/>
        <v>0.22433589245911362</v>
      </c>
      <c r="DW117" s="90">
        <f t="shared" si="170"/>
        <v>0.22433589245911362</v>
      </c>
      <c r="DX117" s="90">
        <f t="shared" si="136"/>
        <v>34</v>
      </c>
      <c r="DY117" s="308">
        <f t="shared" si="137"/>
        <v>0.35600000000000209</v>
      </c>
    </row>
    <row r="118" spans="66:129" ht="12" customHeight="1" x14ac:dyDescent="0.2">
      <c r="DI118" s="307">
        <v>107</v>
      </c>
      <c r="DJ118" s="90">
        <f t="shared" si="125"/>
        <v>0.93000000000000393</v>
      </c>
      <c r="DK118" s="90">
        <f t="shared" si="163"/>
        <v>9.9869696852489712E-2</v>
      </c>
      <c r="DL118" s="90" t="e">
        <f t="shared" si="164"/>
        <v>#N/A</v>
      </c>
      <c r="DM118" s="90">
        <f t="shared" si="165"/>
        <v>9.9869696852489712E-2</v>
      </c>
      <c r="DN118" s="90">
        <f t="shared" si="166"/>
        <v>32</v>
      </c>
      <c r="DO118" s="308">
        <f t="shared" si="126"/>
        <v>0.35200000000000159</v>
      </c>
      <c r="DP118" s="307">
        <f t="shared" si="138"/>
        <v>0.93000000000000038</v>
      </c>
      <c r="DQ118" s="90">
        <f t="shared" si="167"/>
        <v>3.6867394681498307E-2</v>
      </c>
      <c r="DR118" s="90">
        <f t="shared" si="168"/>
        <v>3.6867394681498307E-2</v>
      </c>
      <c r="DS118" s="90">
        <f t="shared" si="139"/>
        <v>33</v>
      </c>
      <c r="DT118" s="308">
        <f t="shared" si="140"/>
        <v>0.35200000000000015</v>
      </c>
      <c r="DU118" s="307">
        <f t="shared" si="133"/>
        <v>0.93000000000000527</v>
      </c>
      <c r="DV118" s="90">
        <f t="shared" si="169"/>
        <v>0.22561969190747161</v>
      </c>
      <c r="DW118" s="90">
        <f t="shared" si="170"/>
        <v>0.22561969190747161</v>
      </c>
      <c r="DX118" s="90">
        <f t="shared" si="136"/>
        <v>34</v>
      </c>
      <c r="DY118" s="308">
        <f t="shared" si="137"/>
        <v>0.35200000000000209</v>
      </c>
    </row>
    <row r="119" spans="66:129" ht="12" customHeight="1" x14ac:dyDescent="0.2">
      <c r="DI119" s="307">
        <v>108</v>
      </c>
      <c r="DJ119" s="90">
        <f t="shared" si="125"/>
        <v>0.92000000000000404</v>
      </c>
      <c r="DK119" s="90">
        <f t="shared" si="163"/>
        <v>0.10066303575358367</v>
      </c>
      <c r="DL119" s="90" t="e">
        <f t="shared" si="164"/>
        <v>#N/A</v>
      </c>
      <c r="DM119" s="90">
        <f t="shared" si="165"/>
        <v>0.10066303575358367</v>
      </c>
      <c r="DN119" s="90">
        <f t="shared" si="166"/>
        <v>32</v>
      </c>
      <c r="DO119" s="308">
        <f t="shared" si="126"/>
        <v>0.34800000000000164</v>
      </c>
      <c r="DP119" s="307">
        <f t="shared" si="138"/>
        <v>0.92000000000000026</v>
      </c>
      <c r="DQ119" s="90">
        <f t="shared" si="167"/>
        <v>3.7500310894638823E-2</v>
      </c>
      <c r="DR119" s="90">
        <f t="shared" si="168"/>
        <v>3.7500310894638823E-2</v>
      </c>
      <c r="DS119" s="90">
        <f t="shared" si="139"/>
        <v>33</v>
      </c>
      <c r="DT119" s="308">
        <f t="shared" si="140"/>
        <v>0.34800000000000009</v>
      </c>
      <c r="DU119" s="307">
        <f t="shared" si="133"/>
        <v>0.92000000000000537</v>
      </c>
      <c r="DV119" s="90">
        <f t="shared" si="169"/>
        <v>0.2269034913558296</v>
      </c>
      <c r="DW119" s="90">
        <f t="shared" si="170"/>
        <v>0.2269034913558296</v>
      </c>
      <c r="DX119" s="90">
        <f t="shared" si="136"/>
        <v>34</v>
      </c>
      <c r="DY119" s="308">
        <f t="shared" si="137"/>
        <v>0.34800000000000214</v>
      </c>
    </row>
    <row r="120" spans="66:129" ht="12" customHeight="1" x14ac:dyDescent="0.2">
      <c r="DI120" s="307">
        <v>109</v>
      </c>
      <c r="DJ120" s="90">
        <f t="shared" si="125"/>
        <v>0.91000000000000414</v>
      </c>
      <c r="DK120" s="90">
        <f t="shared" si="163"/>
        <v>0.10145637465467762</v>
      </c>
      <c r="DL120" s="90" t="e">
        <f t="shared" si="164"/>
        <v>#N/A</v>
      </c>
      <c r="DM120" s="90">
        <f t="shared" si="165"/>
        <v>0.10145637465467762</v>
      </c>
      <c r="DN120" s="90">
        <f t="shared" si="166"/>
        <v>32</v>
      </c>
      <c r="DO120" s="308">
        <f t="shared" si="126"/>
        <v>0.34400000000000164</v>
      </c>
      <c r="DP120" s="307">
        <f t="shared" si="138"/>
        <v>0.91000000000000025</v>
      </c>
      <c r="DQ120" s="90">
        <f t="shared" si="167"/>
        <v>3.813322710777934E-2</v>
      </c>
      <c r="DR120" s="90">
        <f t="shared" si="168"/>
        <v>3.813322710777934E-2</v>
      </c>
      <c r="DS120" s="90">
        <f t="shared" si="139"/>
        <v>33</v>
      </c>
      <c r="DT120" s="308">
        <f t="shared" si="140"/>
        <v>0.34400000000000008</v>
      </c>
      <c r="DU120" s="307">
        <f t="shared" si="133"/>
        <v>0.91000000000000547</v>
      </c>
      <c r="DV120" s="90">
        <f t="shared" si="169"/>
        <v>0.22818729080418759</v>
      </c>
      <c r="DW120" s="90">
        <f t="shared" si="170"/>
        <v>0.22818729080418759</v>
      </c>
      <c r="DX120" s="90">
        <f t="shared" si="136"/>
        <v>34</v>
      </c>
      <c r="DY120" s="308">
        <f t="shared" si="137"/>
        <v>0.34400000000000219</v>
      </c>
    </row>
    <row r="121" spans="66:129" ht="12" customHeight="1" x14ac:dyDescent="0.2">
      <c r="DI121" s="307">
        <v>110</v>
      </c>
      <c r="DJ121" s="90">
        <f t="shared" si="125"/>
        <v>0.90000000000000413</v>
      </c>
      <c r="DK121" s="90">
        <f t="shared" si="163"/>
        <v>0.10224971355577157</v>
      </c>
      <c r="DL121" s="90" t="e">
        <f t="shared" si="164"/>
        <v>#N/A</v>
      </c>
      <c r="DM121" s="90">
        <f t="shared" si="165"/>
        <v>0.10224971355577157</v>
      </c>
      <c r="DN121" s="90">
        <f t="shared" si="166"/>
        <v>32</v>
      </c>
      <c r="DO121" s="308">
        <f t="shared" si="126"/>
        <v>0.34000000000000163</v>
      </c>
      <c r="DP121" s="307">
        <f t="shared" si="138"/>
        <v>0.90000000000000024</v>
      </c>
      <c r="DQ121" s="90">
        <f t="shared" si="167"/>
        <v>3.8766143320919856E-2</v>
      </c>
      <c r="DR121" s="90">
        <f t="shared" si="168"/>
        <v>3.8766143320919856E-2</v>
      </c>
      <c r="DS121" s="90">
        <f t="shared" si="139"/>
        <v>33</v>
      </c>
      <c r="DT121" s="308">
        <f t="shared" si="140"/>
        <v>0.34000000000000008</v>
      </c>
      <c r="DU121" s="307">
        <f t="shared" si="133"/>
        <v>0.90000000000000557</v>
      </c>
      <c r="DV121" s="90">
        <f t="shared" si="169"/>
        <v>0.22947109025254558</v>
      </c>
      <c r="DW121" s="90">
        <f t="shared" si="170"/>
        <v>0.22947109025254558</v>
      </c>
      <c r="DX121" s="90">
        <f t="shared" si="136"/>
        <v>34</v>
      </c>
      <c r="DY121" s="308">
        <f t="shared" si="137"/>
        <v>0.34000000000000224</v>
      </c>
    </row>
    <row r="122" spans="66:129" ht="12" customHeight="1" x14ac:dyDescent="0.2">
      <c r="DI122" s="307">
        <v>111</v>
      </c>
      <c r="DJ122" s="90">
        <f t="shared" si="125"/>
        <v>0.89000000000000423</v>
      </c>
      <c r="DK122" s="90">
        <f t="shared" si="163"/>
        <v>0.10304305245686553</v>
      </c>
      <c r="DL122" s="90" t="e">
        <f t="shared" si="164"/>
        <v>#N/A</v>
      </c>
      <c r="DM122" s="90">
        <f t="shared" si="165"/>
        <v>0.10304305245686553</v>
      </c>
      <c r="DN122" s="90">
        <f t="shared" si="166"/>
        <v>32</v>
      </c>
      <c r="DO122" s="308">
        <f t="shared" si="126"/>
        <v>0.33600000000000169</v>
      </c>
      <c r="DP122" s="307">
        <f t="shared" si="138"/>
        <v>0.89000000000000012</v>
      </c>
      <c r="DQ122" s="90">
        <f t="shared" si="167"/>
        <v>3.9399059534060372E-2</v>
      </c>
      <c r="DR122" s="90">
        <f t="shared" si="168"/>
        <v>3.9399059534060372E-2</v>
      </c>
      <c r="DS122" s="90">
        <f t="shared" si="139"/>
        <v>33</v>
      </c>
      <c r="DT122" s="308">
        <f t="shared" si="140"/>
        <v>0.33600000000000008</v>
      </c>
      <c r="DU122" s="307">
        <f t="shared" si="133"/>
        <v>0.89000000000000556</v>
      </c>
      <c r="DV122" s="90">
        <f t="shared" si="169"/>
        <v>0.23075488970090358</v>
      </c>
      <c r="DW122" s="90">
        <f t="shared" si="170"/>
        <v>0.23075488970090358</v>
      </c>
      <c r="DX122" s="90">
        <f t="shared" si="136"/>
        <v>34</v>
      </c>
      <c r="DY122" s="308">
        <f t="shared" si="137"/>
        <v>0.33600000000000224</v>
      </c>
    </row>
    <row r="123" spans="66:129" ht="12" customHeight="1" x14ac:dyDescent="0.2">
      <c r="DI123" s="307">
        <v>112</v>
      </c>
      <c r="DJ123" s="90">
        <f t="shared" si="125"/>
        <v>0.88000000000000433</v>
      </c>
      <c r="DK123" s="90">
        <f t="shared" si="163"/>
        <v>0.10383639135795948</v>
      </c>
      <c r="DL123" s="90" t="e">
        <f t="shared" si="164"/>
        <v>#N/A</v>
      </c>
      <c r="DM123" s="90">
        <f t="shared" si="165"/>
        <v>0.10383639135795948</v>
      </c>
      <c r="DN123" s="90">
        <f t="shared" si="166"/>
        <v>32</v>
      </c>
      <c r="DO123" s="308">
        <f t="shared" si="126"/>
        <v>0.33200000000000174</v>
      </c>
      <c r="DP123" s="307">
        <f t="shared" si="138"/>
        <v>0.88000000000000012</v>
      </c>
      <c r="DQ123" s="90">
        <f t="shared" si="167"/>
        <v>4.0031975747200889E-2</v>
      </c>
      <c r="DR123" s="90">
        <f t="shared" si="168"/>
        <v>4.0031975747200889E-2</v>
      </c>
      <c r="DS123" s="90">
        <f t="shared" si="139"/>
        <v>33</v>
      </c>
      <c r="DT123" s="308">
        <f t="shared" si="140"/>
        <v>0.33200000000000007</v>
      </c>
      <c r="DU123" s="307">
        <f t="shared" si="133"/>
        <v>0.88000000000000567</v>
      </c>
      <c r="DV123" s="90">
        <f t="shared" si="169"/>
        <v>0.23203868914926157</v>
      </c>
      <c r="DW123" s="90">
        <f t="shared" si="170"/>
        <v>0.23203868914926157</v>
      </c>
      <c r="DX123" s="90">
        <f t="shared" si="136"/>
        <v>34</v>
      </c>
      <c r="DY123" s="308">
        <f t="shared" si="137"/>
        <v>0.33200000000000229</v>
      </c>
    </row>
    <row r="124" spans="66:129" ht="12" customHeight="1" x14ac:dyDescent="0.2">
      <c r="DI124" s="307">
        <v>113</v>
      </c>
      <c r="DJ124" s="90">
        <f t="shared" si="125"/>
        <v>0.87000000000000444</v>
      </c>
      <c r="DK124" s="90">
        <f t="shared" si="163"/>
        <v>0.10462973025905344</v>
      </c>
      <c r="DL124" s="90" t="e">
        <f t="shared" si="164"/>
        <v>#N/A</v>
      </c>
      <c r="DM124" s="90">
        <f t="shared" si="165"/>
        <v>0.10462973025905344</v>
      </c>
      <c r="DN124" s="90">
        <f t="shared" si="166"/>
        <v>32</v>
      </c>
      <c r="DO124" s="308">
        <f t="shared" si="126"/>
        <v>0.32800000000000179</v>
      </c>
      <c r="DP124" s="307">
        <f t="shared" si="138"/>
        <v>0.87000000000000011</v>
      </c>
      <c r="DQ124" s="90">
        <f t="shared" si="167"/>
        <v>4.0664891960341405E-2</v>
      </c>
      <c r="DR124" s="90">
        <f t="shared" si="168"/>
        <v>4.0664891960341405E-2</v>
      </c>
      <c r="DS124" s="90">
        <f t="shared" si="139"/>
        <v>33</v>
      </c>
      <c r="DT124" s="308">
        <f t="shared" si="140"/>
        <v>0.32800000000000007</v>
      </c>
      <c r="DU124" s="307">
        <f t="shared" si="133"/>
        <v>0.87000000000000577</v>
      </c>
      <c r="DV124" s="90">
        <f t="shared" si="169"/>
        <v>0.23332248859761956</v>
      </c>
      <c r="DW124" s="90">
        <f t="shared" si="170"/>
        <v>0.23332248859761956</v>
      </c>
      <c r="DX124" s="90">
        <f t="shared" si="136"/>
        <v>34</v>
      </c>
      <c r="DY124" s="308">
        <f t="shared" si="137"/>
        <v>0.32800000000000229</v>
      </c>
    </row>
    <row r="125" spans="66:129" ht="12" customHeight="1" x14ac:dyDescent="0.2">
      <c r="DI125" s="307">
        <v>114</v>
      </c>
      <c r="DJ125" s="90">
        <f t="shared" si="125"/>
        <v>0.86000000000000454</v>
      </c>
      <c r="DK125" s="90">
        <f t="shared" si="163"/>
        <v>0.10542306916014739</v>
      </c>
      <c r="DL125" s="90" t="e">
        <f t="shared" si="164"/>
        <v>#N/A</v>
      </c>
      <c r="DM125" s="90">
        <f t="shared" si="165"/>
        <v>0.10542306916014739</v>
      </c>
      <c r="DN125" s="90">
        <f t="shared" si="166"/>
        <v>32</v>
      </c>
      <c r="DO125" s="308">
        <f t="shared" si="126"/>
        <v>0.32400000000000184</v>
      </c>
      <c r="DP125" s="307">
        <f t="shared" si="138"/>
        <v>0.8600000000000001</v>
      </c>
      <c r="DQ125" s="90">
        <f t="shared" si="167"/>
        <v>4.1297808173481922E-2</v>
      </c>
      <c r="DR125" s="90">
        <f t="shared" si="168"/>
        <v>4.1297808173481922E-2</v>
      </c>
      <c r="DS125" s="90">
        <f t="shared" si="139"/>
        <v>33</v>
      </c>
      <c r="DT125" s="308">
        <f t="shared" si="140"/>
        <v>0.32400000000000007</v>
      </c>
      <c r="DU125" s="307">
        <f t="shared" si="133"/>
        <v>0.86000000000000587</v>
      </c>
      <c r="DV125" s="90">
        <f t="shared" si="169"/>
        <v>0.23460628804597755</v>
      </c>
      <c r="DW125" s="90">
        <f t="shared" si="170"/>
        <v>0.23460628804597755</v>
      </c>
      <c r="DX125" s="90">
        <f t="shared" si="136"/>
        <v>34</v>
      </c>
      <c r="DY125" s="308">
        <f t="shared" si="137"/>
        <v>0.32400000000000234</v>
      </c>
    </row>
    <row r="126" spans="66:129" ht="12" customHeight="1" x14ac:dyDescent="0.2">
      <c r="DI126" s="307">
        <v>115</v>
      </c>
      <c r="DJ126" s="90">
        <f t="shared" si="125"/>
        <v>0.85000000000000464</v>
      </c>
      <c r="DK126" s="90">
        <f t="shared" si="163"/>
        <v>0.10621640806124134</v>
      </c>
      <c r="DL126" s="90" t="e">
        <f t="shared" si="164"/>
        <v>#N/A</v>
      </c>
      <c r="DM126" s="90">
        <f t="shared" si="165"/>
        <v>0.10621640806124134</v>
      </c>
      <c r="DN126" s="90">
        <f t="shared" si="166"/>
        <v>32</v>
      </c>
      <c r="DO126" s="308">
        <f t="shared" si="126"/>
        <v>0.32000000000000184</v>
      </c>
      <c r="DP126" s="307">
        <f t="shared" si="138"/>
        <v>0.85</v>
      </c>
      <c r="DQ126" s="90">
        <f t="shared" si="167"/>
        <v>4.1930724386622438E-2</v>
      </c>
      <c r="DR126" s="90">
        <f t="shared" si="168"/>
        <v>4.1930724386622438E-2</v>
      </c>
      <c r="DS126" s="90">
        <f t="shared" si="139"/>
        <v>33</v>
      </c>
      <c r="DT126" s="308">
        <f t="shared" si="140"/>
        <v>0.32</v>
      </c>
      <c r="DU126" s="307">
        <f t="shared" si="133"/>
        <v>0.85000000000000586</v>
      </c>
      <c r="DV126" s="90">
        <f t="shared" si="169"/>
        <v>0.23589008749433554</v>
      </c>
      <c r="DW126" s="90">
        <f t="shared" si="170"/>
        <v>0.23589008749433554</v>
      </c>
      <c r="DX126" s="90">
        <f t="shared" si="136"/>
        <v>34</v>
      </c>
      <c r="DY126" s="308">
        <f t="shared" si="137"/>
        <v>0.32000000000000234</v>
      </c>
    </row>
    <row r="127" spans="66:129" ht="12" customHeight="1" x14ac:dyDescent="0.2">
      <c r="DI127" s="307">
        <v>116</v>
      </c>
      <c r="DJ127" s="90">
        <f t="shared" si="125"/>
        <v>0.84000000000000474</v>
      </c>
      <c r="DK127" s="90">
        <f t="shared" si="163"/>
        <v>0.1070097469623353</v>
      </c>
      <c r="DL127" s="90" t="e">
        <f t="shared" si="164"/>
        <v>#N/A</v>
      </c>
      <c r="DM127" s="90">
        <f t="shared" si="165"/>
        <v>0.1070097469623353</v>
      </c>
      <c r="DN127" s="90">
        <f t="shared" si="166"/>
        <v>32</v>
      </c>
      <c r="DO127" s="308">
        <f t="shared" si="126"/>
        <v>0.31600000000000189</v>
      </c>
      <c r="DP127" s="307">
        <f t="shared" si="138"/>
        <v>0.84</v>
      </c>
      <c r="DQ127" s="90">
        <f t="shared" si="167"/>
        <v>4.2563640599762954E-2</v>
      </c>
      <c r="DR127" s="90">
        <f t="shared" si="168"/>
        <v>4.2563640599762954E-2</v>
      </c>
      <c r="DS127" s="90">
        <f t="shared" si="139"/>
        <v>33</v>
      </c>
      <c r="DT127" s="308">
        <f t="shared" si="140"/>
        <v>0.316</v>
      </c>
      <c r="DU127" s="307">
        <f t="shared" si="133"/>
        <v>0.84000000000000596</v>
      </c>
      <c r="DV127" s="90">
        <f t="shared" si="169"/>
        <v>0.23717388694269353</v>
      </c>
      <c r="DW127" s="90">
        <f t="shared" si="170"/>
        <v>0.23717388694269353</v>
      </c>
      <c r="DX127" s="90">
        <f t="shared" si="136"/>
        <v>34</v>
      </c>
      <c r="DY127" s="308">
        <f t="shared" si="137"/>
        <v>0.31600000000000239</v>
      </c>
    </row>
    <row r="128" spans="66:129" ht="12" customHeight="1" x14ac:dyDescent="0.2">
      <c r="DI128" s="307">
        <v>117</v>
      </c>
      <c r="DJ128" s="90">
        <f t="shared" si="125"/>
        <v>0.83000000000000473</v>
      </c>
      <c r="DK128" s="90">
        <f t="shared" si="163"/>
        <v>0.10780308586342925</v>
      </c>
      <c r="DL128" s="90" t="e">
        <f t="shared" si="164"/>
        <v>#N/A</v>
      </c>
      <c r="DM128" s="90">
        <f t="shared" si="165"/>
        <v>0.10780308586342925</v>
      </c>
      <c r="DN128" s="90">
        <f t="shared" si="166"/>
        <v>32</v>
      </c>
      <c r="DO128" s="308">
        <f t="shared" si="126"/>
        <v>0.31200000000000189</v>
      </c>
      <c r="DP128" s="307">
        <f t="shared" si="138"/>
        <v>0.82999999999999985</v>
      </c>
      <c r="DQ128" s="90">
        <f t="shared" si="167"/>
        <v>4.3196556812903471E-2</v>
      </c>
      <c r="DR128" s="90">
        <f t="shared" si="168"/>
        <v>4.3196556812903471E-2</v>
      </c>
      <c r="DS128" s="90">
        <f t="shared" si="139"/>
        <v>33</v>
      </c>
      <c r="DT128" s="308">
        <f t="shared" si="140"/>
        <v>0.31199999999999994</v>
      </c>
      <c r="DU128" s="307">
        <f t="shared" si="133"/>
        <v>0.83000000000000607</v>
      </c>
      <c r="DV128" s="90">
        <f t="shared" si="169"/>
        <v>0.23845768639105153</v>
      </c>
      <c r="DW128" s="90">
        <f t="shared" si="170"/>
        <v>0.23845768639105153</v>
      </c>
      <c r="DX128" s="90">
        <f t="shared" si="136"/>
        <v>34</v>
      </c>
      <c r="DY128" s="308">
        <f t="shared" si="137"/>
        <v>0.31200000000000244</v>
      </c>
    </row>
    <row r="129" spans="113:129" ht="12" customHeight="1" x14ac:dyDescent="0.2">
      <c r="DI129" s="307">
        <v>118</v>
      </c>
      <c r="DJ129" s="90">
        <f t="shared" si="125"/>
        <v>0.82000000000000484</v>
      </c>
      <c r="DK129" s="90">
        <f t="shared" si="163"/>
        <v>0.10859642476452321</v>
      </c>
      <c r="DL129" s="90" t="e">
        <f t="shared" si="164"/>
        <v>#N/A</v>
      </c>
      <c r="DM129" s="90">
        <f t="shared" si="165"/>
        <v>0.10859642476452321</v>
      </c>
      <c r="DN129" s="90">
        <f t="shared" si="166"/>
        <v>32</v>
      </c>
      <c r="DO129" s="308">
        <f t="shared" si="126"/>
        <v>0.30800000000000194</v>
      </c>
      <c r="DP129" s="307">
        <f t="shared" si="138"/>
        <v>0.81999999999999984</v>
      </c>
      <c r="DQ129" s="90">
        <f t="shared" si="167"/>
        <v>4.3829473026043987E-2</v>
      </c>
      <c r="DR129" s="90">
        <f t="shared" si="168"/>
        <v>4.3829473026043987E-2</v>
      </c>
      <c r="DS129" s="90">
        <f t="shared" si="139"/>
        <v>33</v>
      </c>
      <c r="DT129" s="308">
        <f t="shared" si="140"/>
        <v>0.30799999999999994</v>
      </c>
      <c r="DU129" s="307">
        <f t="shared" si="133"/>
        <v>0.82000000000000617</v>
      </c>
      <c r="DV129" s="90">
        <f t="shared" si="169"/>
        <v>0.23974148583940952</v>
      </c>
      <c r="DW129" s="90">
        <f t="shared" si="170"/>
        <v>0.23974148583940952</v>
      </c>
      <c r="DX129" s="90">
        <f t="shared" si="136"/>
        <v>34</v>
      </c>
      <c r="DY129" s="308">
        <f t="shared" si="137"/>
        <v>0.30800000000000249</v>
      </c>
    </row>
    <row r="130" spans="113:129" ht="12" customHeight="1" x14ac:dyDescent="0.2">
      <c r="DI130" s="307">
        <v>119</v>
      </c>
      <c r="DJ130" s="90">
        <f t="shared" si="125"/>
        <v>0.81000000000000494</v>
      </c>
      <c r="DK130" s="90">
        <f t="shared" si="163"/>
        <v>0.10938976366561716</v>
      </c>
      <c r="DL130" s="90" t="e">
        <f t="shared" si="164"/>
        <v>#N/A</v>
      </c>
      <c r="DM130" s="90">
        <f t="shared" si="165"/>
        <v>0.10938976366561716</v>
      </c>
      <c r="DN130" s="90">
        <f t="shared" si="166"/>
        <v>32</v>
      </c>
      <c r="DO130" s="308">
        <f t="shared" si="126"/>
        <v>0.30400000000000199</v>
      </c>
      <c r="DP130" s="307">
        <f t="shared" si="138"/>
        <v>0.80999999999999983</v>
      </c>
      <c r="DQ130" s="90">
        <f t="shared" si="167"/>
        <v>4.4462389239184504E-2</v>
      </c>
      <c r="DR130" s="90">
        <f t="shared" si="168"/>
        <v>4.4462389239184504E-2</v>
      </c>
      <c r="DS130" s="90">
        <f t="shared" si="139"/>
        <v>33</v>
      </c>
      <c r="DT130" s="308">
        <f t="shared" si="140"/>
        <v>0.30399999999999994</v>
      </c>
      <c r="DU130" s="307">
        <f t="shared" si="133"/>
        <v>0.81000000000000627</v>
      </c>
      <c r="DV130" s="90">
        <f t="shared" si="169"/>
        <v>0.24102528528776751</v>
      </c>
      <c r="DW130" s="90">
        <f t="shared" si="170"/>
        <v>0.24102528528776751</v>
      </c>
      <c r="DX130" s="90">
        <f t="shared" si="136"/>
        <v>34</v>
      </c>
      <c r="DY130" s="308">
        <f t="shared" si="137"/>
        <v>0.30400000000000249</v>
      </c>
    </row>
    <row r="131" spans="113:129" ht="12" customHeight="1" x14ac:dyDescent="0.2">
      <c r="DI131" s="307">
        <v>120</v>
      </c>
      <c r="DJ131" s="90">
        <f t="shared" si="125"/>
        <v>0.80000000000000504</v>
      </c>
      <c r="DK131" s="90">
        <f t="shared" si="163"/>
        <v>0.11018310256671111</v>
      </c>
      <c r="DL131" s="90" t="e">
        <f t="shared" si="164"/>
        <v>#N/A</v>
      </c>
      <c r="DM131" s="90">
        <f t="shared" si="165"/>
        <v>0.11018310256671111</v>
      </c>
      <c r="DN131" s="90">
        <f t="shared" si="166"/>
        <v>32</v>
      </c>
      <c r="DO131" s="308">
        <f t="shared" si="126"/>
        <v>0.30000000000000204</v>
      </c>
      <c r="DP131" s="307">
        <f t="shared" si="138"/>
        <v>0.79999999999999982</v>
      </c>
      <c r="DQ131" s="90">
        <f t="shared" si="167"/>
        <v>4.509530545232502E-2</v>
      </c>
      <c r="DR131" s="90">
        <f t="shared" si="168"/>
        <v>4.509530545232502E-2</v>
      </c>
      <c r="DS131" s="90">
        <f t="shared" si="139"/>
        <v>33</v>
      </c>
      <c r="DT131" s="308">
        <f t="shared" si="140"/>
        <v>0.29999999999999993</v>
      </c>
      <c r="DU131" s="307">
        <f t="shared" si="133"/>
        <v>0.80000000000000626</v>
      </c>
      <c r="DV131" s="90">
        <f t="shared" si="169"/>
        <v>0.2423090847361255</v>
      </c>
      <c r="DW131" s="90">
        <f t="shared" si="170"/>
        <v>0.2423090847361255</v>
      </c>
      <c r="DX131" s="90">
        <f t="shared" si="136"/>
        <v>34</v>
      </c>
      <c r="DY131" s="308">
        <f t="shared" si="137"/>
        <v>0.30000000000000249</v>
      </c>
    </row>
    <row r="132" spans="113:129" ht="12" customHeight="1" x14ac:dyDescent="0.2">
      <c r="DI132" s="307">
        <v>121</v>
      </c>
      <c r="DJ132" s="90">
        <f t="shared" si="125"/>
        <v>0.79000000000000514</v>
      </c>
      <c r="DK132" s="90">
        <f t="shared" si="163"/>
        <v>0.11097644146780507</v>
      </c>
      <c r="DL132" s="90" t="e">
        <f t="shared" si="164"/>
        <v>#N/A</v>
      </c>
      <c r="DM132" s="90">
        <f t="shared" si="165"/>
        <v>0.11097644146780507</v>
      </c>
      <c r="DN132" s="90">
        <f t="shared" si="166"/>
        <v>32</v>
      </c>
      <c r="DO132" s="308">
        <f t="shared" si="126"/>
        <v>0.29600000000000204</v>
      </c>
      <c r="DP132" s="307">
        <f t="shared" si="138"/>
        <v>0.7899999999999997</v>
      </c>
      <c r="DQ132" s="90">
        <f t="shared" si="167"/>
        <v>4.5728221665465536E-2</v>
      </c>
      <c r="DR132" s="90">
        <f t="shared" si="168"/>
        <v>4.5728221665465536E-2</v>
      </c>
      <c r="DS132" s="90">
        <f t="shared" si="139"/>
        <v>33</v>
      </c>
      <c r="DT132" s="308">
        <f t="shared" si="140"/>
        <v>0.29599999999999987</v>
      </c>
      <c r="DU132" s="307">
        <f t="shared" si="133"/>
        <v>0.79000000000000636</v>
      </c>
      <c r="DV132" s="90">
        <f t="shared" si="169"/>
        <v>0.24359288418448349</v>
      </c>
      <c r="DW132" s="90">
        <f t="shared" si="170"/>
        <v>0.24359288418448349</v>
      </c>
      <c r="DX132" s="90">
        <f t="shared" si="136"/>
        <v>34</v>
      </c>
      <c r="DY132" s="308">
        <f t="shared" si="137"/>
        <v>0.29600000000000254</v>
      </c>
    </row>
    <row r="133" spans="113:129" ht="12" customHeight="1" x14ac:dyDescent="0.2">
      <c r="DI133" s="307">
        <v>122</v>
      </c>
      <c r="DJ133" s="90">
        <f t="shared" si="125"/>
        <v>0.78000000000000524</v>
      </c>
      <c r="DK133" s="90">
        <f t="shared" si="163"/>
        <v>0.11176978036889902</v>
      </c>
      <c r="DL133" s="90" t="e">
        <f t="shared" si="164"/>
        <v>#N/A</v>
      </c>
      <c r="DM133" s="90">
        <f t="shared" si="165"/>
        <v>0.11176978036889902</v>
      </c>
      <c r="DN133" s="90">
        <f t="shared" si="166"/>
        <v>32</v>
      </c>
      <c r="DO133" s="308">
        <f t="shared" si="126"/>
        <v>0.29200000000000209</v>
      </c>
      <c r="DP133" s="307">
        <f t="shared" si="138"/>
        <v>0.77999999999999969</v>
      </c>
      <c r="DQ133" s="90">
        <f t="shared" si="167"/>
        <v>4.6361137878606053E-2</v>
      </c>
      <c r="DR133" s="90">
        <f t="shared" si="168"/>
        <v>4.6361137878606053E-2</v>
      </c>
      <c r="DS133" s="90">
        <f t="shared" si="139"/>
        <v>33</v>
      </c>
      <c r="DT133" s="308">
        <f t="shared" si="140"/>
        <v>0.29199999999999987</v>
      </c>
      <c r="DU133" s="307">
        <f t="shared" si="133"/>
        <v>0.78000000000000647</v>
      </c>
      <c r="DV133" s="90">
        <f t="shared" si="169"/>
        <v>0.24487668363284149</v>
      </c>
      <c r="DW133" s="90">
        <f t="shared" si="170"/>
        <v>0.24487668363284149</v>
      </c>
      <c r="DX133" s="90">
        <f t="shared" si="136"/>
        <v>34</v>
      </c>
      <c r="DY133" s="308">
        <f t="shared" si="137"/>
        <v>0.29200000000000259</v>
      </c>
    </row>
    <row r="134" spans="113:129" ht="12" customHeight="1" x14ac:dyDescent="0.2">
      <c r="DI134" s="307">
        <v>123</v>
      </c>
      <c r="DJ134" s="90">
        <f t="shared" si="125"/>
        <v>0.77000000000000535</v>
      </c>
      <c r="DK134" s="90">
        <f t="shared" si="163"/>
        <v>0.11256311926999298</v>
      </c>
      <c r="DL134" s="90" t="e">
        <f t="shared" si="164"/>
        <v>#N/A</v>
      </c>
      <c r="DM134" s="90">
        <f t="shared" si="165"/>
        <v>0.11256311926999298</v>
      </c>
      <c r="DN134" s="90">
        <f t="shared" si="166"/>
        <v>32</v>
      </c>
      <c r="DO134" s="308">
        <f t="shared" si="126"/>
        <v>0.28800000000000214</v>
      </c>
      <c r="DP134" s="307">
        <f t="shared" si="138"/>
        <v>0.76999999999999968</v>
      </c>
      <c r="DQ134" s="90">
        <f t="shared" si="167"/>
        <v>4.6994054091746569E-2</v>
      </c>
      <c r="DR134" s="90">
        <f t="shared" si="168"/>
        <v>4.6994054091746569E-2</v>
      </c>
      <c r="DS134" s="90">
        <f t="shared" si="139"/>
        <v>33</v>
      </c>
      <c r="DT134" s="308">
        <f t="shared" si="140"/>
        <v>0.28799999999999987</v>
      </c>
      <c r="DU134" s="307">
        <f t="shared" si="133"/>
        <v>0.77000000000000657</v>
      </c>
      <c r="DV134" s="90">
        <f t="shared" si="169"/>
        <v>0.24616048308119948</v>
      </c>
      <c r="DW134" s="90">
        <f t="shared" si="170"/>
        <v>0.24616048308119948</v>
      </c>
      <c r="DX134" s="90">
        <f t="shared" si="136"/>
        <v>34</v>
      </c>
      <c r="DY134" s="308">
        <f t="shared" si="137"/>
        <v>0.28800000000000264</v>
      </c>
    </row>
    <row r="135" spans="113:129" ht="12" customHeight="1" x14ac:dyDescent="0.2">
      <c r="DI135" s="307">
        <v>124</v>
      </c>
      <c r="DJ135" s="90">
        <f t="shared" si="125"/>
        <v>0.76000000000000534</v>
      </c>
      <c r="DK135" s="90">
        <f t="shared" si="163"/>
        <v>0.11335645817108693</v>
      </c>
      <c r="DL135" s="90" t="e">
        <f t="shared" si="164"/>
        <v>#N/A</v>
      </c>
      <c r="DM135" s="90">
        <f t="shared" si="165"/>
        <v>0.11335645817108693</v>
      </c>
      <c r="DN135" s="90">
        <f t="shared" si="166"/>
        <v>32</v>
      </c>
      <c r="DO135" s="308">
        <f t="shared" si="126"/>
        <v>0.28400000000000214</v>
      </c>
      <c r="DP135" s="307">
        <f t="shared" si="138"/>
        <v>0.75999999999999956</v>
      </c>
      <c r="DQ135" s="90">
        <f t="shared" si="167"/>
        <v>4.7626970304887085E-2</v>
      </c>
      <c r="DR135" s="90">
        <f t="shared" si="168"/>
        <v>4.7626970304887085E-2</v>
      </c>
      <c r="DS135" s="90">
        <f t="shared" si="139"/>
        <v>33</v>
      </c>
      <c r="DT135" s="308">
        <f t="shared" si="140"/>
        <v>0.28399999999999981</v>
      </c>
      <c r="DU135" s="307">
        <f t="shared" si="133"/>
        <v>0.76000000000000667</v>
      </c>
      <c r="DV135" s="90">
        <f t="shared" si="169"/>
        <v>0.24744428252955747</v>
      </c>
      <c r="DW135" s="90">
        <f t="shared" si="170"/>
        <v>0.24744428252955747</v>
      </c>
      <c r="DX135" s="90">
        <f t="shared" si="136"/>
        <v>34</v>
      </c>
      <c r="DY135" s="308">
        <f t="shared" si="137"/>
        <v>0.28400000000000269</v>
      </c>
    </row>
    <row r="136" spans="113:129" ht="12" customHeight="1" x14ac:dyDescent="0.2">
      <c r="DI136" s="307">
        <v>125</v>
      </c>
      <c r="DJ136" s="90">
        <f t="shared" si="125"/>
        <v>0.75000000000000544</v>
      </c>
      <c r="DK136" s="90">
        <f t="shared" si="163"/>
        <v>0.11414979707218088</v>
      </c>
      <c r="DL136" s="90" t="e">
        <f t="shared" si="164"/>
        <v>#N/A</v>
      </c>
      <c r="DM136" s="90">
        <f t="shared" si="165"/>
        <v>0.11414979707218088</v>
      </c>
      <c r="DN136" s="90">
        <f t="shared" si="166"/>
        <v>32</v>
      </c>
      <c r="DO136" s="308">
        <f t="shared" si="126"/>
        <v>0.28000000000000219</v>
      </c>
      <c r="DP136" s="307">
        <f t="shared" si="138"/>
        <v>0.74999999999999956</v>
      </c>
      <c r="DQ136" s="90">
        <f t="shared" si="167"/>
        <v>4.8259886518027602E-2</v>
      </c>
      <c r="DR136" s="90">
        <f t="shared" si="168"/>
        <v>4.8259886518027602E-2</v>
      </c>
      <c r="DS136" s="90">
        <f t="shared" si="139"/>
        <v>33</v>
      </c>
      <c r="DT136" s="308">
        <f t="shared" si="140"/>
        <v>0.2799999999999998</v>
      </c>
      <c r="DU136" s="307">
        <f t="shared" si="133"/>
        <v>0.75000000000000666</v>
      </c>
      <c r="DV136" s="90">
        <f t="shared" si="169"/>
        <v>0.24872808197791546</v>
      </c>
      <c r="DW136" s="90">
        <f t="shared" si="170"/>
        <v>0.24872808197791546</v>
      </c>
      <c r="DX136" s="90">
        <f t="shared" si="136"/>
        <v>34</v>
      </c>
      <c r="DY136" s="308">
        <f t="shared" si="137"/>
        <v>0.28000000000000269</v>
      </c>
    </row>
    <row r="137" spans="113:129" ht="12" customHeight="1" x14ac:dyDescent="0.2">
      <c r="DI137" s="307">
        <v>126</v>
      </c>
      <c r="DJ137" s="90">
        <f t="shared" si="125"/>
        <v>0.74000000000000554</v>
      </c>
      <c r="DK137" s="90">
        <f t="shared" si="163"/>
        <v>0.11494313597327484</v>
      </c>
      <c r="DL137" s="90" t="e">
        <f t="shared" si="164"/>
        <v>#N/A</v>
      </c>
      <c r="DM137" s="90">
        <f t="shared" si="165"/>
        <v>0.11494313597327484</v>
      </c>
      <c r="DN137" s="90">
        <f t="shared" si="166"/>
        <v>32</v>
      </c>
      <c r="DO137" s="308">
        <f t="shared" si="126"/>
        <v>0.27600000000000219</v>
      </c>
      <c r="DP137" s="307">
        <f t="shared" si="138"/>
        <v>0.73999999999999955</v>
      </c>
      <c r="DQ137" s="90">
        <f t="shared" si="167"/>
        <v>4.8892802731168118E-2</v>
      </c>
      <c r="DR137" s="90">
        <f t="shared" si="168"/>
        <v>4.8892802731168118E-2</v>
      </c>
      <c r="DS137" s="90">
        <f t="shared" si="139"/>
        <v>33</v>
      </c>
      <c r="DT137" s="308">
        <f t="shared" si="140"/>
        <v>0.2759999999999998</v>
      </c>
      <c r="DU137" s="307">
        <f t="shared" si="133"/>
        <v>0.74000000000000676</v>
      </c>
      <c r="DV137" s="90">
        <f t="shared" si="169"/>
        <v>0.25001188142627345</v>
      </c>
      <c r="DW137" s="90">
        <f t="shared" si="170"/>
        <v>0.25001188142627345</v>
      </c>
      <c r="DX137" s="90">
        <f t="shared" si="136"/>
        <v>34</v>
      </c>
      <c r="DY137" s="308">
        <f t="shared" si="137"/>
        <v>0.27600000000000269</v>
      </c>
    </row>
    <row r="138" spans="113:129" ht="12" customHeight="1" x14ac:dyDescent="0.2">
      <c r="DI138" s="307">
        <v>127</v>
      </c>
      <c r="DJ138" s="90">
        <f t="shared" si="125"/>
        <v>0.73000000000000564</v>
      </c>
      <c r="DK138" s="90">
        <f t="shared" si="163"/>
        <v>0.11573647487436879</v>
      </c>
      <c r="DL138" s="90" t="e">
        <f t="shared" si="164"/>
        <v>#N/A</v>
      </c>
      <c r="DM138" s="90">
        <f t="shared" si="165"/>
        <v>0.11573647487436879</v>
      </c>
      <c r="DN138" s="90">
        <f t="shared" si="166"/>
        <v>32</v>
      </c>
      <c r="DO138" s="308">
        <f t="shared" si="126"/>
        <v>0.27200000000000224</v>
      </c>
      <c r="DP138" s="307">
        <f t="shared" si="138"/>
        <v>0.72999999999999954</v>
      </c>
      <c r="DQ138" s="90">
        <f t="shared" si="167"/>
        <v>4.9525718944308635E-2</v>
      </c>
      <c r="DR138" s="90">
        <f t="shared" si="168"/>
        <v>4.9525718944308635E-2</v>
      </c>
      <c r="DS138" s="90">
        <f t="shared" si="139"/>
        <v>33</v>
      </c>
      <c r="DT138" s="308">
        <f t="shared" si="140"/>
        <v>0.2719999999999998</v>
      </c>
      <c r="DU138" s="307">
        <f t="shared" si="133"/>
        <v>0.73000000000000687</v>
      </c>
      <c r="DV138" s="90">
        <f t="shared" si="169"/>
        <v>0.25129568087463144</v>
      </c>
      <c r="DW138" s="90">
        <f t="shared" si="170"/>
        <v>0.25129568087463144</v>
      </c>
      <c r="DX138" s="90">
        <f t="shared" si="136"/>
        <v>34</v>
      </c>
      <c r="DY138" s="308">
        <f t="shared" si="137"/>
        <v>0.27200000000000274</v>
      </c>
    </row>
    <row r="139" spans="113:129" ht="12" customHeight="1" x14ac:dyDescent="0.2">
      <c r="DI139" s="307">
        <v>128</v>
      </c>
      <c r="DJ139" s="90">
        <f t="shared" ref="DJ139:DJ202" si="174">1-ABS($BZ$38-DM139)/$CB$39</f>
        <v>0.72000000000000575</v>
      </c>
      <c r="DK139" s="90">
        <f t="shared" si="163"/>
        <v>0.11652981377546275</v>
      </c>
      <c r="DL139" s="90" t="e">
        <f t="shared" si="164"/>
        <v>#N/A</v>
      </c>
      <c r="DM139" s="90">
        <f t="shared" si="165"/>
        <v>0.11652981377546275</v>
      </c>
      <c r="DN139" s="90">
        <f t="shared" si="166"/>
        <v>32</v>
      </c>
      <c r="DO139" s="308">
        <f t="shared" ref="DO139:DO202" si="175">MAX($DL$3*DJ139-$DL$9,0)</f>
        <v>0.26800000000000229</v>
      </c>
      <c r="DP139" s="307">
        <f t="shared" si="138"/>
        <v>0.71999999999999942</v>
      </c>
      <c r="DQ139" s="90">
        <f t="shared" si="167"/>
        <v>5.0158635157449151E-2</v>
      </c>
      <c r="DR139" s="90">
        <f t="shared" si="168"/>
        <v>5.0158635157449151E-2</v>
      </c>
      <c r="DS139" s="90">
        <f t="shared" si="139"/>
        <v>33</v>
      </c>
      <c r="DT139" s="308">
        <f t="shared" si="140"/>
        <v>0.26799999999999974</v>
      </c>
      <c r="DU139" s="307">
        <f t="shared" si="133"/>
        <v>0.72000000000000686</v>
      </c>
      <c r="DV139" s="90">
        <f t="shared" si="169"/>
        <v>0.25257948032298944</v>
      </c>
      <c r="DW139" s="90">
        <f t="shared" si="170"/>
        <v>0.25257948032298944</v>
      </c>
      <c r="DX139" s="90">
        <f t="shared" si="136"/>
        <v>34</v>
      </c>
      <c r="DY139" s="308">
        <f t="shared" si="137"/>
        <v>0.26800000000000274</v>
      </c>
    </row>
    <row r="140" spans="113:129" ht="12" customHeight="1" x14ac:dyDescent="0.2">
      <c r="DI140" s="307">
        <v>129</v>
      </c>
      <c r="DJ140" s="90">
        <f t="shared" si="174"/>
        <v>0.71000000000000574</v>
      </c>
      <c r="DK140" s="90">
        <f t="shared" ref="DK140:DK171" si="176">IF(AND($BX$5,$CG$4,$CJ$2),DM139+$DL$8,NA())</f>
        <v>0.1173231526765567</v>
      </c>
      <c r="DL140" s="90" t="e">
        <f t="shared" ref="DL140:DL171" si="177">IF(AND(NOT($BX$5),$CG$4),DM139+$DL$8,NA())</f>
        <v>#N/A</v>
      </c>
      <c r="DM140" s="90">
        <f t="shared" ref="DM140:DM171" si="178">IF($CG$4,DM139+$DL$8,NA())</f>
        <v>0.1173231526765567</v>
      </c>
      <c r="DN140" s="90">
        <f t="shared" ref="DN140:DN171" si="179">DN139</f>
        <v>32</v>
      </c>
      <c r="DO140" s="308">
        <f t="shared" si="175"/>
        <v>0.26400000000000229</v>
      </c>
      <c r="DP140" s="307">
        <f t="shared" si="138"/>
        <v>0.70999999999999941</v>
      </c>
      <c r="DQ140" s="90">
        <f t="shared" ref="DQ140:DQ171" si="180">IF(AND($BX$5,$CG$4),DR139+$DQ$8,NA())</f>
        <v>5.0791551370589667E-2</v>
      </c>
      <c r="DR140" s="90">
        <f t="shared" ref="DR140:DR171" si="181">IF($CG$4,DR139+$DQ$8,NA())</f>
        <v>5.0791551370589667E-2</v>
      </c>
      <c r="DS140" s="90">
        <f t="shared" si="139"/>
        <v>33</v>
      </c>
      <c r="DT140" s="308">
        <f t="shared" si="140"/>
        <v>0.26399999999999973</v>
      </c>
      <c r="DU140" s="307">
        <f t="shared" ref="DU140:DU203" si="182">1-ABS($BZ$112-DW140)/$CB$113</f>
        <v>0.71000000000000707</v>
      </c>
      <c r="DV140" s="90">
        <f t="shared" ref="DV140:DV171" si="183">IF(AND($BX$5,$CG$4),DW139+$DV$8,NA())</f>
        <v>0.25386327977134743</v>
      </c>
      <c r="DW140" s="90">
        <f t="shared" ref="DW140:DW171" si="184">IF($CG$4,DW139+$DV$8,NA())</f>
        <v>0.25386327977134743</v>
      </c>
      <c r="DX140" s="90">
        <f t="shared" ref="DX140:DX203" si="185">DX139</f>
        <v>34</v>
      </c>
      <c r="DY140" s="308">
        <f t="shared" ref="DY140:DY203" si="186">MAX($DX$3*DU140-$DV$9,0)</f>
        <v>0.26400000000000284</v>
      </c>
    </row>
    <row r="141" spans="113:129" ht="12" customHeight="1" x14ac:dyDescent="0.2">
      <c r="DI141" s="307">
        <v>130</v>
      </c>
      <c r="DJ141" s="90">
        <f t="shared" si="174"/>
        <v>0.70000000000000595</v>
      </c>
      <c r="DK141" s="90">
        <f t="shared" si="176"/>
        <v>0.11811649157765065</v>
      </c>
      <c r="DL141" s="90" t="e">
        <f t="shared" si="177"/>
        <v>#N/A</v>
      </c>
      <c r="DM141" s="90">
        <f t="shared" si="178"/>
        <v>0.11811649157765065</v>
      </c>
      <c r="DN141" s="90">
        <f t="shared" si="179"/>
        <v>32</v>
      </c>
      <c r="DO141" s="308">
        <f t="shared" si="175"/>
        <v>0.2600000000000024</v>
      </c>
      <c r="DP141" s="307">
        <f t="shared" ref="DP141:DP204" si="187">1-ABS($BZ$75-DR141)/$CB$76</f>
        <v>0.69999999999999929</v>
      </c>
      <c r="DQ141" s="90">
        <f t="shared" si="180"/>
        <v>5.1424467583730184E-2</v>
      </c>
      <c r="DR141" s="90">
        <f t="shared" si="181"/>
        <v>5.1424467583730184E-2</v>
      </c>
      <c r="DS141" s="90">
        <f t="shared" ref="DS141:DS204" si="188">DS140</f>
        <v>33</v>
      </c>
      <c r="DT141" s="308">
        <f t="shared" ref="DT141:DT204" si="189">MAX($DS$3*DP141-$DQ$9,0)</f>
        <v>0.25999999999999973</v>
      </c>
      <c r="DU141" s="307">
        <f t="shared" si="182"/>
        <v>0.70000000000000706</v>
      </c>
      <c r="DV141" s="90">
        <f t="shared" si="183"/>
        <v>0.25514707921970542</v>
      </c>
      <c r="DW141" s="90">
        <f t="shared" si="184"/>
        <v>0.25514707921970542</v>
      </c>
      <c r="DX141" s="90">
        <f t="shared" si="185"/>
        <v>34</v>
      </c>
      <c r="DY141" s="308">
        <f t="shared" si="186"/>
        <v>0.26000000000000284</v>
      </c>
    </row>
    <row r="142" spans="113:129" ht="12" customHeight="1" x14ac:dyDescent="0.2">
      <c r="DI142" s="307">
        <v>131</v>
      </c>
      <c r="DJ142" s="90">
        <f t="shared" si="174"/>
        <v>0.69000000000000594</v>
      </c>
      <c r="DK142" s="90">
        <f t="shared" si="176"/>
        <v>0.11890983047874461</v>
      </c>
      <c r="DL142" s="90" t="e">
        <f t="shared" si="177"/>
        <v>#N/A</v>
      </c>
      <c r="DM142" s="90">
        <f t="shared" si="178"/>
        <v>0.11890983047874461</v>
      </c>
      <c r="DN142" s="90">
        <f t="shared" si="179"/>
        <v>32</v>
      </c>
      <c r="DO142" s="308">
        <f t="shared" si="175"/>
        <v>0.25600000000000239</v>
      </c>
      <c r="DP142" s="307">
        <f t="shared" si="187"/>
        <v>0.68999999999999928</v>
      </c>
      <c r="DQ142" s="90">
        <f t="shared" si="180"/>
        <v>5.20573837968707E-2</v>
      </c>
      <c r="DR142" s="90">
        <f t="shared" si="181"/>
        <v>5.20573837968707E-2</v>
      </c>
      <c r="DS142" s="90">
        <f t="shared" si="188"/>
        <v>33</v>
      </c>
      <c r="DT142" s="308">
        <f t="shared" si="189"/>
        <v>0.25599999999999973</v>
      </c>
      <c r="DU142" s="307">
        <f t="shared" si="182"/>
        <v>0.69000000000000716</v>
      </c>
      <c r="DV142" s="90">
        <f t="shared" si="183"/>
        <v>0.25643087866806341</v>
      </c>
      <c r="DW142" s="90">
        <f t="shared" si="184"/>
        <v>0.25643087866806341</v>
      </c>
      <c r="DX142" s="90">
        <f t="shared" si="185"/>
        <v>34</v>
      </c>
      <c r="DY142" s="308">
        <f t="shared" si="186"/>
        <v>0.25600000000000284</v>
      </c>
    </row>
    <row r="143" spans="113:129" ht="12" customHeight="1" x14ac:dyDescent="0.2">
      <c r="DI143" s="307">
        <v>132</v>
      </c>
      <c r="DJ143" s="90">
        <f t="shared" si="174"/>
        <v>0.68000000000000604</v>
      </c>
      <c r="DK143" s="90">
        <f t="shared" si="176"/>
        <v>0.11970316937983856</v>
      </c>
      <c r="DL143" s="90" t="e">
        <f t="shared" si="177"/>
        <v>#N/A</v>
      </c>
      <c r="DM143" s="90">
        <f t="shared" si="178"/>
        <v>0.11970316937983856</v>
      </c>
      <c r="DN143" s="90">
        <f t="shared" si="179"/>
        <v>32</v>
      </c>
      <c r="DO143" s="308">
        <f t="shared" si="175"/>
        <v>0.25200000000000239</v>
      </c>
      <c r="DP143" s="307">
        <f t="shared" si="187"/>
        <v>0.67999999999999927</v>
      </c>
      <c r="DQ143" s="90">
        <f t="shared" si="180"/>
        <v>5.2690300010011216E-2</v>
      </c>
      <c r="DR143" s="90">
        <f t="shared" si="181"/>
        <v>5.2690300010011216E-2</v>
      </c>
      <c r="DS143" s="90">
        <f t="shared" si="188"/>
        <v>33</v>
      </c>
      <c r="DT143" s="308">
        <f t="shared" si="189"/>
        <v>0.25199999999999972</v>
      </c>
      <c r="DU143" s="307">
        <f t="shared" si="182"/>
        <v>0.68000000000000727</v>
      </c>
      <c r="DV143" s="90">
        <f t="shared" si="183"/>
        <v>0.2577146781164214</v>
      </c>
      <c r="DW143" s="90">
        <f t="shared" si="184"/>
        <v>0.2577146781164214</v>
      </c>
      <c r="DX143" s="90">
        <f t="shared" si="185"/>
        <v>34</v>
      </c>
      <c r="DY143" s="308">
        <f t="shared" si="186"/>
        <v>0.25200000000000289</v>
      </c>
    </row>
    <row r="144" spans="113:129" ht="12" customHeight="1" x14ac:dyDescent="0.2">
      <c r="DI144" s="307">
        <v>133</v>
      </c>
      <c r="DJ144" s="90">
        <f t="shared" si="174"/>
        <v>0.67000000000000615</v>
      </c>
      <c r="DK144" s="90">
        <f t="shared" si="176"/>
        <v>0.12049650828093252</v>
      </c>
      <c r="DL144" s="90" t="e">
        <f t="shared" si="177"/>
        <v>#N/A</v>
      </c>
      <c r="DM144" s="90">
        <f t="shared" si="178"/>
        <v>0.12049650828093252</v>
      </c>
      <c r="DN144" s="90">
        <f t="shared" si="179"/>
        <v>32</v>
      </c>
      <c r="DO144" s="308">
        <f t="shared" si="175"/>
        <v>0.24800000000000247</v>
      </c>
      <c r="DP144" s="307">
        <f t="shared" si="187"/>
        <v>0.66999999999999926</v>
      </c>
      <c r="DQ144" s="90">
        <f t="shared" si="180"/>
        <v>5.3323216223151733E-2</v>
      </c>
      <c r="DR144" s="90">
        <f t="shared" si="181"/>
        <v>5.3323216223151733E-2</v>
      </c>
      <c r="DS144" s="90">
        <f t="shared" si="188"/>
        <v>33</v>
      </c>
      <c r="DT144" s="308">
        <f t="shared" si="189"/>
        <v>0.24799999999999975</v>
      </c>
      <c r="DU144" s="307">
        <f t="shared" si="182"/>
        <v>0.67000000000000726</v>
      </c>
      <c r="DV144" s="90">
        <f t="shared" si="183"/>
        <v>0.25899847756477939</v>
      </c>
      <c r="DW144" s="90">
        <f t="shared" si="184"/>
        <v>0.25899847756477939</v>
      </c>
      <c r="DX144" s="90">
        <f t="shared" si="185"/>
        <v>34</v>
      </c>
      <c r="DY144" s="308">
        <f t="shared" si="186"/>
        <v>0.24800000000000291</v>
      </c>
    </row>
    <row r="145" spans="113:129" ht="12" customHeight="1" x14ac:dyDescent="0.2">
      <c r="DI145" s="307">
        <v>134</v>
      </c>
      <c r="DJ145" s="90">
        <f t="shared" si="174"/>
        <v>0.66000000000000625</v>
      </c>
      <c r="DK145" s="90">
        <f t="shared" si="176"/>
        <v>0.12128984718202647</v>
      </c>
      <c r="DL145" s="90" t="e">
        <f t="shared" si="177"/>
        <v>#N/A</v>
      </c>
      <c r="DM145" s="90">
        <f t="shared" si="178"/>
        <v>0.12128984718202647</v>
      </c>
      <c r="DN145" s="90">
        <f t="shared" si="179"/>
        <v>32</v>
      </c>
      <c r="DO145" s="308">
        <f t="shared" si="175"/>
        <v>0.24400000000000252</v>
      </c>
      <c r="DP145" s="307">
        <f t="shared" si="187"/>
        <v>0.65999999999999914</v>
      </c>
      <c r="DQ145" s="90">
        <f t="shared" si="180"/>
        <v>5.3956132436292249E-2</v>
      </c>
      <c r="DR145" s="90">
        <f t="shared" si="181"/>
        <v>5.3956132436292249E-2</v>
      </c>
      <c r="DS145" s="90">
        <f t="shared" si="188"/>
        <v>33</v>
      </c>
      <c r="DT145" s="308">
        <f t="shared" si="189"/>
        <v>0.24399999999999969</v>
      </c>
      <c r="DU145" s="307">
        <f t="shared" si="182"/>
        <v>0.66000000000000747</v>
      </c>
      <c r="DV145" s="90">
        <f t="shared" si="183"/>
        <v>0.26028227701313739</v>
      </c>
      <c r="DW145" s="90">
        <f t="shared" si="184"/>
        <v>0.26028227701313739</v>
      </c>
      <c r="DX145" s="90">
        <f t="shared" si="185"/>
        <v>34</v>
      </c>
      <c r="DY145" s="308">
        <f t="shared" si="186"/>
        <v>0.24400000000000302</v>
      </c>
    </row>
    <row r="146" spans="113:129" ht="12" customHeight="1" x14ac:dyDescent="0.2">
      <c r="DI146" s="307">
        <v>135</v>
      </c>
      <c r="DJ146" s="90">
        <f t="shared" si="174"/>
        <v>0.65000000000000635</v>
      </c>
      <c r="DK146" s="90">
        <f t="shared" si="176"/>
        <v>0.12208318608312042</v>
      </c>
      <c r="DL146" s="90" t="e">
        <f t="shared" si="177"/>
        <v>#N/A</v>
      </c>
      <c r="DM146" s="90">
        <f t="shared" si="178"/>
        <v>0.12208318608312042</v>
      </c>
      <c r="DN146" s="90">
        <f t="shared" si="179"/>
        <v>32</v>
      </c>
      <c r="DO146" s="308">
        <f t="shared" si="175"/>
        <v>0.24000000000000257</v>
      </c>
      <c r="DP146" s="307">
        <f t="shared" si="187"/>
        <v>0.64999999999999913</v>
      </c>
      <c r="DQ146" s="90">
        <f t="shared" si="180"/>
        <v>5.4589048649432766E-2</v>
      </c>
      <c r="DR146" s="90">
        <f t="shared" si="181"/>
        <v>5.4589048649432766E-2</v>
      </c>
      <c r="DS146" s="90">
        <f t="shared" si="188"/>
        <v>33</v>
      </c>
      <c r="DT146" s="308">
        <f t="shared" si="189"/>
        <v>0.23999999999999969</v>
      </c>
      <c r="DU146" s="307">
        <f t="shared" si="182"/>
        <v>0.65000000000000746</v>
      </c>
      <c r="DV146" s="90">
        <f t="shared" si="183"/>
        <v>0.26156607646149538</v>
      </c>
      <c r="DW146" s="90">
        <f t="shared" si="184"/>
        <v>0.26156607646149538</v>
      </c>
      <c r="DX146" s="90">
        <f t="shared" si="185"/>
        <v>34</v>
      </c>
      <c r="DY146" s="308">
        <f t="shared" si="186"/>
        <v>0.24000000000000302</v>
      </c>
    </row>
    <row r="147" spans="113:129" ht="12" customHeight="1" x14ac:dyDescent="0.2">
      <c r="DI147" s="307">
        <v>136</v>
      </c>
      <c r="DJ147" s="90">
        <f t="shared" si="174"/>
        <v>0.64000000000000634</v>
      </c>
      <c r="DK147" s="90">
        <f t="shared" si="176"/>
        <v>0.12287652498421438</v>
      </c>
      <c r="DL147" s="90" t="e">
        <f t="shared" si="177"/>
        <v>#N/A</v>
      </c>
      <c r="DM147" s="90">
        <f t="shared" si="178"/>
        <v>0.12287652498421438</v>
      </c>
      <c r="DN147" s="90">
        <f t="shared" si="179"/>
        <v>32</v>
      </c>
      <c r="DO147" s="308">
        <f t="shared" si="175"/>
        <v>0.23600000000000257</v>
      </c>
      <c r="DP147" s="307">
        <f t="shared" si="187"/>
        <v>0.63999999999999901</v>
      </c>
      <c r="DQ147" s="90">
        <f t="shared" si="180"/>
        <v>5.5221964862573282E-2</v>
      </c>
      <c r="DR147" s="90">
        <f t="shared" si="181"/>
        <v>5.5221964862573282E-2</v>
      </c>
      <c r="DS147" s="90">
        <f t="shared" si="188"/>
        <v>33</v>
      </c>
      <c r="DT147" s="308">
        <f t="shared" si="189"/>
        <v>0.23599999999999963</v>
      </c>
      <c r="DU147" s="307">
        <f t="shared" si="182"/>
        <v>0.64000000000000756</v>
      </c>
      <c r="DV147" s="90">
        <f t="shared" si="183"/>
        <v>0.26284987590985337</v>
      </c>
      <c r="DW147" s="90">
        <f t="shared" si="184"/>
        <v>0.26284987590985337</v>
      </c>
      <c r="DX147" s="90">
        <f t="shared" si="185"/>
        <v>34</v>
      </c>
      <c r="DY147" s="308">
        <f t="shared" si="186"/>
        <v>0.23600000000000307</v>
      </c>
    </row>
    <row r="148" spans="113:129" ht="12" customHeight="1" x14ac:dyDescent="0.2">
      <c r="DI148" s="307">
        <v>137</v>
      </c>
      <c r="DJ148" s="90">
        <f t="shared" si="174"/>
        <v>0.63000000000000655</v>
      </c>
      <c r="DK148" s="90">
        <f t="shared" si="176"/>
        <v>0.12366986388530833</v>
      </c>
      <c r="DL148" s="90" t="e">
        <f t="shared" si="177"/>
        <v>#N/A</v>
      </c>
      <c r="DM148" s="90">
        <f t="shared" si="178"/>
        <v>0.12366986388530833</v>
      </c>
      <c r="DN148" s="90">
        <f t="shared" si="179"/>
        <v>32</v>
      </c>
      <c r="DO148" s="308">
        <f t="shared" si="175"/>
        <v>0.23200000000000262</v>
      </c>
      <c r="DP148" s="307">
        <f t="shared" si="187"/>
        <v>0.62999999999999901</v>
      </c>
      <c r="DQ148" s="90">
        <f t="shared" si="180"/>
        <v>5.5854881075713798E-2</v>
      </c>
      <c r="DR148" s="90">
        <f t="shared" si="181"/>
        <v>5.5854881075713798E-2</v>
      </c>
      <c r="DS148" s="90">
        <f t="shared" si="188"/>
        <v>33</v>
      </c>
      <c r="DT148" s="308">
        <f t="shared" si="189"/>
        <v>0.23199999999999962</v>
      </c>
      <c r="DU148" s="307">
        <f t="shared" si="182"/>
        <v>0.63000000000000766</v>
      </c>
      <c r="DV148" s="90">
        <f t="shared" si="183"/>
        <v>0.26413367535821136</v>
      </c>
      <c r="DW148" s="90">
        <f t="shared" si="184"/>
        <v>0.26413367535821136</v>
      </c>
      <c r="DX148" s="90">
        <f t="shared" si="185"/>
        <v>34</v>
      </c>
      <c r="DY148" s="308">
        <f t="shared" si="186"/>
        <v>0.23200000000000306</v>
      </c>
    </row>
    <row r="149" spans="113:129" ht="12" customHeight="1" x14ac:dyDescent="0.2">
      <c r="DI149" s="307">
        <v>138</v>
      </c>
      <c r="DJ149" s="90">
        <f t="shared" si="174"/>
        <v>0.62000000000000655</v>
      </c>
      <c r="DK149" s="90">
        <f t="shared" si="176"/>
        <v>0.12446320278640229</v>
      </c>
      <c r="DL149" s="90" t="e">
        <f t="shared" si="177"/>
        <v>#N/A</v>
      </c>
      <c r="DM149" s="90">
        <f t="shared" si="178"/>
        <v>0.12446320278640229</v>
      </c>
      <c r="DN149" s="90">
        <f t="shared" si="179"/>
        <v>32</v>
      </c>
      <c r="DO149" s="308">
        <f t="shared" si="175"/>
        <v>0.22800000000000264</v>
      </c>
      <c r="DP149" s="307">
        <f t="shared" si="187"/>
        <v>0.619999999999999</v>
      </c>
      <c r="DQ149" s="90">
        <f t="shared" si="180"/>
        <v>5.6487797288854315E-2</v>
      </c>
      <c r="DR149" s="90">
        <f t="shared" si="181"/>
        <v>5.6487797288854315E-2</v>
      </c>
      <c r="DS149" s="90">
        <f t="shared" si="188"/>
        <v>33</v>
      </c>
      <c r="DT149" s="308">
        <f t="shared" si="189"/>
        <v>0.22799999999999962</v>
      </c>
      <c r="DU149" s="307">
        <f t="shared" si="182"/>
        <v>0.62000000000000766</v>
      </c>
      <c r="DV149" s="90">
        <f t="shared" si="183"/>
        <v>0.26541747480656935</v>
      </c>
      <c r="DW149" s="90">
        <f t="shared" si="184"/>
        <v>0.26541747480656935</v>
      </c>
      <c r="DX149" s="90">
        <f t="shared" si="185"/>
        <v>34</v>
      </c>
      <c r="DY149" s="308">
        <f t="shared" si="186"/>
        <v>0.22800000000000309</v>
      </c>
    </row>
    <row r="150" spans="113:129" ht="12" customHeight="1" x14ac:dyDescent="0.2">
      <c r="DI150" s="307">
        <v>139</v>
      </c>
      <c r="DJ150" s="90">
        <f t="shared" si="174"/>
        <v>0.61000000000000654</v>
      </c>
      <c r="DK150" s="90">
        <f t="shared" si="176"/>
        <v>0.12525654168749625</v>
      </c>
      <c r="DL150" s="90" t="e">
        <f t="shared" si="177"/>
        <v>#N/A</v>
      </c>
      <c r="DM150" s="90">
        <f t="shared" si="178"/>
        <v>0.12525654168749625</v>
      </c>
      <c r="DN150" s="90">
        <f t="shared" si="179"/>
        <v>32</v>
      </c>
      <c r="DO150" s="308">
        <f t="shared" si="175"/>
        <v>0.22400000000000264</v>
      </c>
      <c r="DP150" s="307">
        <f t="shared" si="187"/>
        <v>0.60999999999999899</v>
      </c>
      <c r="DQ150" s="90">
        <f t="shared" si="180"/>
        <v>5.7120713501994831E-2</v>
      </c>
      <c r="DR150" s="90">
        <f t="shared" si="181"/>
        <v>5.7120713501994831E-2</v>
      </c>
      <c r="DS150" s="90">
        <f t="shared" si="188"/>
        <v>33</v>
      </c>
      <c r="DT150" s="308">
        <f t="shared" si="189"/>
        <v>0.22399999999999962</v>
      </c>
      <c r="DU150" s="307">
        <f t="shared" si="182"/>
        <v>0.61000000000000787</v>
      </c>
      <c r="DV150" s="90">
        <f t="shared" si="183"/>
        <v>0.26670127425492735</v>
      </c>
      <c r="DW150" s="90">
        <f t="shared" si="184"/>
        <v>0.26670127425492735</v>
      </c>
      <c r="DX150" s="90">
        <f t="shared" si="185"/>
        <v>34</v>
      </c>
      <c r="DY150" s="308">
        <f t="shared" si="186"/>
        <v>0.22400000000000317</v>
      </c>
    </row>
    <row r="151" spans="113:129" ht="12" customHeight="1" x14ac:dyDescent="0.2">
      <c r="DI151" s="307">
        <v>140</v>
      </c>
      <c r="DJ151" s="90">
        <f t="shared" si="174"/>
        <v>0.60000000000000653</v>
      </c>
      <c r="DK151" s="90">
        <f t="shared" si="176"/>
        <v>0.12604988058859021</v>
      </c>
      <c r="DL151" s="90" t="e">
        <f t="shared" si="177"/>
        <v>#N/A</v>
      </c>
      <c r="DM151" s="90">
        <f t="shared" si="178"/>
        <v>0.12604988058859021</v>
      </c>
      <c r="DN151" s="90">
        <f t="shared" si="179"/>
        <v>32</v>
      </c>
      <c r="DO151" s="308">
        <f t="shared" si="175"/>
        <v>0.22000000000000264</v>
      </c>
      <c r="DP151" s="307">
        <f t="shared" si="187"/>
        <v>0.59999999999999898</v>
      </c>
      <c r="DQ151" s="90">
        <f t="shared" si="180"/>
        <v>5.7753629715135348E-2</v>
      </c>
      <c r="DR151" s="90">
        <f t="shared" si="181"/>
        <v>5.7753629715135348E-2</v>
      </c>
      <c r="DS151" s="90">
        <f t="shared" si="188"/>
        <v>33</v>
      </c>
      <c r="DT151" s="308">
        <f t="shared" si="189"/>
        <v>0.21999999999999961</v>
      </c>
      <c r="DU151" s="307">
        <f t="shared" si="182"/>
        <v>0.60000000000000786</v>
      </c>
      <c r="DV151" s="90">
        <f t="shared" si="183"/>
        <v>0.26798507370328534</v>
      </c>
      <c r="DW151" s="90">
        <f t="shared" si="184"/>
        <v>0.26798507370328534</v>
      </c>
      <c r="DX151" s="90">
        <f t="shared" si="185"/>
        <v>34</v>
      </c>
      <c r="DY151" s="308">
        <f t="shared" si="186"/>
        <v>0.22000000000000317</v>
      </c>
    </row>
    <row r="152" spans="113:129" ht="12" customHeight="1" x14ac:dyDescent="0.2">
      <c r="DI152" s="307">
        <v>141</v>
      </c>
      <c r="DJ152" s="90">
        <f t="shared" si="174"/>
        <v>0.59000000000000674</v>
      </c>
      <c r="DK152" s="90">
        <f t="shared" si="176"/>
        <v>0.12684321948968416</v>
      </c>
      <c r="DL152" s="90" t="e">
        <f t="shared" si="177"/>
        <v>#N/A</v>
      </c>
      <c r="DM152" s="90">
        <f t="shared" si="178"/>
        <v>0.12684321948968416</v>
      </c>
      <c r="DN152" s="90">
        <f t="shared" si="179"/>
        <v>32</v>
      </c>
      <c r="DO152" s="308">
        <f t="shared" si="175"/>
        <v>0.21600000000000272</v>
      </c>
      <c r="DP152" s="307">
        <f t="shared" si="187"/>
        <v>0.58999999999999886</v>
      </c>
      <c r="DQ152" s="90">
        <f t="shared" si="180"/>
        <v>5.8386545928275864E-2</v>
      </c>
      <c r="DR152" s="90">
        <f t="shared" si="181"/>
        <v>5.8386545928275864E-2</v>
      </c>
      <c r="DS152" s="90">
        <f t="shared" si="188"/>
        <v>33</v>
      </c>
      <c r="DT152" s="308">
        <f t="shared" si="189"/>
        <v>0.21599999999999955</v>
      </c>
      <c r="DU152" s="307">
        <f t="shared" si="182"/>
        <v>0.59000000000000796</v>
      </c>
      <c r="DV152" s="90">
        <f t="shared" si="183"/>
        <v>0.26926887315164333</v>
      </c>
      <c r="DW152" s="90">
        <f t="shared" si="184"/>
        <v>0.26926887315164333</v>
      </c>
      <c r="DX152" s="90">
        <f t="shared" si="185"/>
        <v>34</v>
      </c>
      <c r="DY152" s="308">
        <f t="shared" si="186"/>
        <v>0.21600000000000322</v>
      </c>
    </row>
    <row r="153" spans="113:129" ht="12" customHeight="1" x14ac:dyDescent="0.2">
      <c r="DI153" s="307">
        <v>142</v>
      </c>
      <c r="DJ153" s="90">
        <f t="shared" si="174"/>
        <v>0.58000000000000673</v>
      </c>
      <c r="DK153" s="90">
        <f t="shared" si="176"/>
        <v>0.12763655839077812</v>
      </c>
      <c r="DL153" s="90" t="e">
        <f t="shared" si="177"/>
        <v>#N/A</v>
      </c>
      <c r="DM153" s="90">
        <f t="shared" si="178"/>
        <v>0.12763655839077812</v>
      </c>
      <c r="DN153" s="90">
        <f t="shared" si="179"/>
        <v>32</v>
      </c>
      <c r="DO153" s="308">
        <f t="shared" si="175"/>
        <v>0.21200000000000271</v>
      </c>
      <c r="DP153" s="307">
        <f t="shared" si="187"/>
        <v>0.57999999999999874</v>
      </c>
      <c r="DQ153" s="90">
        <f t="shared" si="180"/>
        <v>5.901946214141638E-2</v>
      </c>
      <c r="DR153" s="90">
        <f t="shared" si="181"/>
        <v>5.901946214141638E-2</v>
      </c>
      <c r="DS153" s="90">
        <f t="shared" si="188"/>
        <v>33</v>
      </c>
      <c r="DT153" s="308">
        <f t="shared" si="189"/>
        <v>0.21199999999999952</v>
      </c>
      <c r="DU153" s="307">
        <f t="shared" si="182"/>
        <v>0.58000000000000806</v>
      </c>
      <c r="DV153" s="90">
        <f t="shared" si="183"/>
        <v>0.27055267260000132</v>
      </c>
      <c r="DW153" s="90">
        <f t="shared" si="184"/>
        <v>0.27055267260000132</v>
      </c>
      <c r="DX153" s="90">
        <f t="shared" si="185"/>
        <v>34</v>
      </c>
      <c r="DY153" s="308">
        <f t="shared" si="186"/>
        <v>0.21200000000000324</v>
      </c>
    </row>
    <row r="154" spans="113:129" ht="12" customHeight="1" x14ac:dyDescent="0.2">
      <c r="DI154" s="307">
        <v>143</v>
      </c>
      <c r="DJ154" s="90">
        <f t="shared" si="174"/>
        <v>0.57000000000000683</v>
      </c>
      <c r="DK154" s="90">
        <f t="shared" si="176"/>
        <v>0.12842989729187207</v>
      </c>
      <c r="DL154" s="90" t="e">
        <f t="shared" si="177"/>
        <v>#N/A</v>
      </c>
      <c r="DM154" s="90">
        <f t="shared" si="178"/>
        <v>0.12842989729187207</v>
      </c>
      <c r="DN154" s="90">
        <f t="shared" si="179"/>
        <v>32</v>
      </c>
      <c r="DO154" s="308">
        <f t="shared" si="175"/>
        <v>0.20800000000000277</v>
      </c>
      <c r="DP154" s="307">
        <f t="shared" si="187"/>
        <v>0.56999999999999873</v>
      </c>
      <c r="DQ154" s="90">
        <f t="shared" si="180"/>
        <v>5.9652378354556897E-2</v>
      </c>
      <c r="DR154" s="90">
        <f t="shared" si="181"/>
        <v>5.9652378354556897E-2</v>
      </c>
      <c r="DS154" s="90">
        <f t="shared" si="188"/>
        <v>33</v>
      </c>
      <c r="DT154" s="308">
        <f t="shared" si="189"/>
        <v>0.20799999999999952</v>
      </c>
      <c r="DU154" s="307">
        <f t="shared" si="182"/>
        <v>0.57000000000000806</v>
      </c>
      <c r="DV154" s="90">
        <f t="shared" si="183"/>
        <v>0.27183647204835931</v>
      </c>
      <c r="DW154" s="90">
        <f t="shared" si="184"/>
        <v>0.27183647204835931</v>
      </c>
      <c r="DX154" s="90">
        <f t="shared" si="185"/>
        <v>34</v>
      </c>
      <c r="DY154" s="308">
        <f t="shared" si="186"/>
        <v>0.20800000000000324</v>
      </c>
    </row>
    <row r="155" spans="113:129" ht="12" customHeight="1" x14ac:dyDescent="0.2">
      <c r="DI155" s="307">
        <v>144</v>
      </c>
      <c r="DJ155" s="90">
        <f t="shared" si="174"/>
        <v>0.56000000000000694</v>
      </c>
      <c r="DK155" s="90">
        <f t="shared" si="176"/>
        <v>0.12922323619296602</v>
      </c>
      <c r="DL155" s="90" t="e">
        <f t="shared" si="177"/>
        <v>#N/A</v>
      </c>
      <c r="DM155" s="90">
        <f t="shared" si="178"/>
        <v>0.12922323619296602</v>
      </c>
      <c r="DN155" s="90">
        <f t="shared" si="179"/>
        <v>32</v>
      </c>
      <c r="DO155" s="308">
        <f t="shared" si="175"/>
        <v>0.20400000000000279</v>
      </c>
      <c r="DP155" s="307">
        <f t="shared" si="187"/>
        <v>0.55999999999999872</v>
      </c>
      <c r="DQ155" s="90">
        <f t="shared" si="180"/>
        <v>6.0285294567697413E-2</v>
      </c>
      <c r="DR155" s="90">
        <f t="shared" si="181"/>
        <v>6.0285294567697413E-2</v>
      </c>
      <c r="DS155" s="90">
        <f t="shared" si="188"/>
        <v>33</v>
      </c>
      <c r="DT155" s="308">
        <f t="shared" si="189"/>
        <v>0.20399999999999952</v>
      </c>
      <c r="DU155" s="307">
        <f t="shared" si="182"/>
        <v>0.56000000000000816</v>
      </c>
      <c r="DV155" s="90">
        <f t="shared" si="183"/>
        <v>0.2731202714967173</v>
      </c>
      <c r="DW155" s="90">
        <f t="shared" si="184"/>
        <v>0.2731202714967173</v>
      </c>
      <c r="DX155" s="90">
        <f t="shared" si="185"/>
        <v>34</v>
      </c>
      <c r="DY155" s="308">
        <f t="shared" si="186"/>
        <v>0.20400000000000329</v>
      </c>
    </row>
    <row r="156" spans="113:129" ht="12" customHeight="1" x14ac:dyDescent="0.2">
      <c r="DI156" s="307">
        <v>145</v>
      </c>
      <c r="DJ156" s="90">
        <f t="shared" si="174"/>
        <v>0.55000000000000693</v>
      </c>
      <c r="DK156" s="90">
        <f t="shared" si="176"/>
        <v>0.13001657509405998</v>
      </c>
      <c r="DL156" s="90" t="e">
        <f t="shared" si="177"/>
        <v>#N/A</v>
      </c>
      <c r="DM156" s="90">
        <f t="shared" si="178"/>
        <v>0.13001657509405998</v>
      </c>
      <c r="DN156" s="90">
        <f t="shared" si="179"/>
        <v>32</v>
      </c>
      <c r="DO156" s="308">
        <f t="shared" si="175"/>
        <v>0.20000000000000279</v>
      </c>
      <c r="DP156" s="307">
        <f t="shared" si="187"/>
        <v>0.54999999999999871</v>
      </c>
      <c r="DQ156" s="90">
        <f t="shared" si="180"/>
        <v>6.0918210780837929E-2</v>
      </c>
      <c r="DR156" s="90">
        <f t="shared" si="181"/>
        <v>6.0918210780837929E-2</v>
      </c>
      <c r="DS156" s="90">
        <f t="shared" si="188"/>
        <v>33</v>
      </c>
      <c r="DT156" s="308">
        <f t="shared" si="189"/>
        <v>0.19999999999999951</v>
      </c>
      <c r="DU156" s="307">
        <f t="shared" si="182"/>
        <v>0.55000000000000826</v>
      </c>
      <c r="DV156" s="90">
        <f t="shared" si="183"/>
        <v>0.2744040709450753</v>
      </c>
      <c r="DW156" s="90">
        <f t="shared" si="184"/>
        <v>0.2744040709450753</v>
      </c>
      <c r="DX156" s="90">
        <f t="shared" si="185"/>
        <v>34</v>
      </c>
      <c r="DY156" s="308">
        <f t="shared" si="186"/>
        <v>0.20000000000000331</v>
      </c>
    </row>
    <row r="157" spans="113:129" ht="12" customHeight="1" x14ac:dyDescent="0.2">
      <c r="DI157" s="307">
        <v>146</v>
      </c>
      <c r="DJ157" s="90">
        <f t="shared" si="174"/>
        <v>0.54000000000000714</v>
      </c>
      <c r="DK157" s="90">
        <f t="shared" si="176"/>
        <v>0.13080991399515393</v>
      </c>
      <c r="DL157" s="90" t="e">
        <f t="shared" si="177"/>
        <v>#N/A</v>
      </c>
      <c r="DM157" s="90">
        <f t="shared" si="178"/>
        <v>0.13080991399515393</v>
      </c>
      <c r="DN157" s="90">
        <f t="shared" si="179"/>
        <v>32</v>
      </c>
      <c r="DO157" s="308">
        <f t="shared" si="175"/>
        <v>0.19600000000000287</v>
      </c>
      <c r="DP157" s="307">
        <f t="shared" si="187"/>
        <v>0.5399999999999987</v>
      </c>
      <c r="DQ157" s="90">
        <f t="shared" si="180"/>
        <v>6.1551126993978446E-2</v>
      </c>
      <c r="DR157" s="90">
        <f t="shared" si="181"/>
        <v>6.1551126993978446E-2</v>
      </c>
      <c r="DS157" s="90">
        <f t="shared" si="188"/>
        <v>33</v>
      </c>
      <c r="DT157" s="308">
        <f t="shared" si="189"/>
        <v>0.19599999999999951</v>
      </c>
      <c r="DU157" s="307">
        <f t="shared" si="182"/>
        <v>0.54000000000000836</v>
      </c>
      <c r="DV157" s="90">
        <f t="shared" si="183"/>
        <v>0.27568787039343329</v>
      </c>
      <c r="DW157" s="90">
        <f t="shared" si="184"/>
        <v>0.27568787039343329</v>
      </c>
      <c r="DX157" s="90">
        <f t="shared" si="185"/>
        <v>34</v>
      </c>
      <c r="DY157" s="308">
        <f t="shared" si="186"/>
        <v>0.19600000000000337</v>
      </c>
    </row>
    <row r="158" spans="113:129" ht="12" customHeight="1" x14ac:dyDescent="0.2">
      <c r="DI158" s="307">
        <v>147</v>
      </c>
      <c r="DJ158" s="90">
        <f t="shared" si="174"/>
        <v>0.53000000000000713</v>
      </c>
      <c r="DK158" s="90">
        <f t="shared" si="176"/>
        <v>0.13160325289624789</v>
      </c>
      <c r="DL158" s="90" t="e">
        <f t="shared" si="177"/>
        <v>#N/A</v>
      </c>
      <c r="DM158" s="90">
        <f t="shared" si="178"/>
        <v>0.13160325289624789</v>
      </c>
      <c r="DN158" s="90">
        <f t="shared" si="179"/>
        <v>32</v>
      </c>
      <c r="DO158" s="308">
        <f t="shared" si="175"/>
        <v>0.19200000000000286</v>
      </c>
      <c r="DP158" s="307">
        <f t="shared" si="187"/>
        <v>0.52999999999999858</v>
      </c>
      <c r="DQ158" s="90">
        <f t="shared" si="180"/>
        <v>6.2184043207118962E-2</v>
      </c>
      <c r="DR158" s="90">
        <f t="shared" si="181"/>
        <v>6.2184043207118962E-2</v>
      </c>
      <c r="DS158" s="90">
        <f t="shared" si="188"/>
        <v>33</v>
      </c>
      <c r="DT158" s="308">
        <f t="shared" si="189"/>
        <v>0.19199999999999945</v>
      </c>
      <c r="DU158" s="307">
        <f t="shared" si="182"/>
        <v>0.53000000000000846</v>
      </c>
      <c r="DV158" s="90">
        <f t="shared" si="183"/>
        <v>0.27697166984179128</v>
      </c>
      <c r="DW158" s="90">
        <f t="shared" si="184"/>
        <v>0.27697166984179128</v>
      </c>
      <c r="DX158" s="90">
        <f t="shared" si="185"/>
        <v>34</v>
      </c>
      <c r="DY158" s="308">
        <f t="shared" si="186"/>
        <v>0.19200000000000342</v>
      </c>
    </row>
    <row r="159" spans="113:129" ht="12" customHeight="1" x14ac:dyDescent="0.2">
      <c r="DI159" s="307">
        <v>148</v>
      </c>
      <c r="DJ159" s="90">
        <f t="shared" si="174"/>
        <v>0.52000000000000735</v>
      </c>
      <c r="DK159" s="90">
        <f t="shared" si="176"/>
        <v>0.13239659179734184</v>
      </c>
      <c r="DL159" s="90" t="e">
        <f t="shared" si="177"/>
        <v>#N/A</v>
      </c>
      <c r="DM159" s="90">
        <f t="shared" si="178"/>
        <v>0.13239659179734184</v>
      </c>
      <c r="DN159" s="90">
        <f t="shared" si="179"/>
        <v>32</v>
      </c>
      <c r="DO159" s="308">
        <f t="shared" si="175"/>
        <v>0.18800000000000297</v>
      </c>
      <c r="DP159" s="307">
        <f t="shared" si="187"/>
        <v>0.51999999999999869</v>
      </c>
      <c r="DQ159" s="90">
        <f t="shared" si="180"/>
        <v>6.2816959420259472E-2</v>
      </c>
      <c r="DR159" s="90">
        <f t="shared" si="181"/>
        <v>6.2816959420259472E-2</v>
      </c>
      <c r="DS159" s="90">
        <f t="shared" si="188"/>
        <v>33</v>
      </c>
      <c r="DT159" s="308">
        <f t="shared" si="189"/>
        <v>0.1879999999999995</v>
      </c>
      <c r="DU159" s="307">
        <f t="shared" si="182"/>
        <v>0.52000000000000846</v>
      </c>
      <c r="DV159" s="90">
        <f t="shared" si="183"/>
        <v>0.27825546929014927</v>
      </c>
      <c r="DW159" s="90">
        <f t="shared" si="184"/>
        <v>0.27825546929014927</v>
      </c>
      <c r="DX159" s="90">
        <f t="shared" si="185"/>
        <v>34</v>
      </c>
      <c r="DY159" s="308">
        <f t="shared" si="186"/>
        <v>0.18800000000000341</v>
      </c>
    </row>
    <row r="160" spans="113:129" ht="12" customHeight="1" x14ac:dyDescent="0.2">
      <c r="DI160" s="307">
        <v>149</v>
      </c>
      <c r="DJ160" s="90">
        <f t="shared" si="174"/>
        <v>0.51000000000000734</v>
      </c>
      <c r="DK160" s="90">
        <f t="shared" si="176"/>
        <v>0.13318993069843579</v>
      </c>
      <c r="DL160" s="90" t="e">
        <f t="shared" si="177"/>
        <v>#N/A</v>
      </c>
      <c r="DM160" s="90">
        <f t="shared" si="178"/>
        <v>0.13318993069843579</v>
      </c>
      <c r="DN160" s="90">
        <f t="shared" si="179"/>
        <v>32</v>
      </c>
      <c r="DO160" s="308">
        <f t="shared" si="175"/>
        <v>0.18400000000000297</v>
      </c>
      <c r="DP160" s="307">
        <f t="shared" si="187"/>
        <v>0.50999999999999868</v>
      </c>
      <c r="DQ160" s="90">
        <f t="shared" si="180"/>
        <v>6.3449875633399988E-2</v>
      </c>
      <c r="DR160" s="90">
        <f t="shared" si="181"/>
        <v>6.3449875633399988E-2</v>
      </c>
      <c r="DS160" s="90">
        <f t="shared" si="188"/>
        <v>33</v>
      </c>
      <c r="DT160" s="308">
        <f t="shared" si="189"/>
        <v>0.1839999999999995</v>
      </c>
      <c r="DU160" s="307">
        <f t="shared" si="182"/>
        <v>0.51000000000000856</v>
      </c>
      <c r="DV160" s="90">
        <f t="shared" si="183"/>
        <v>0.27953926873850726</v>
      </c>
      <c r="DW160" s="90">
        <f t="shared" si="184"/>
        <v>0.27953926873850726</v>
      </c>
      <c r="DX160" s="90">
        <f t="shared" si="185"/>
        <v>34</v>
      </c>
      <c r="DY160" s="308">
        <f t="shared" si="186"/>
        <v>0.18400000000000344</v>
      </c>
    </row>
    <row r="161" spans="113:129" ht="12" customHeight="1" x14ac:dyDescent="0.2">
      <c r="DI161" s="307">
        <v>150</v>
      </c>
      <c r="DJ161" s="90">
        <f t="shared" si="174"/>
        <v>0.50000000000000744</v>
      </c>
      <c r="DK161" s="90">
        <f t="shared" si="176"/>
        <v>0.13398326959952975</v>
      </c>
      <c r="DL161" s="90" t="e">
        <f t="shared" si="177"/>
        <v>#N/A</v>
      </c>
      <c r="DM161" s="90">
        <f t="shared" si="178"/>
        <v>0.13398326959952975</v>
      </c>
      <c r="DN161" s="90">
        <f t="shared" si="179"/>
        <v>32</v>
      </c>
      <c r="DO161" s="308">
        <f t="shared" si="175"/>
        <v>0.18000000000000299</v>
      </c>
      <c r="DP161" s="307">
        <f t="shared" si="187"/>
        <v>0.49999999999999856</v>
      </c>
      <c r="DQ161" s="90">
        <f t="shared" si="180"/>
        <v>6.4082791846540504E-2</v>
      </c>
      <c r="DR161" s="90">
        <f t="shared" si="181"/>
        <v>6.4082791846540504E-2</v>
      </c>
      <c r="DS161" s="90">
        <f t="shared" si="188"/>
        <v>33</v>
      </c>
      <c r="DT161" s="308">
        <f t="shared" si="189"/>
        <v>0.17999999999999944</v>
      </c>
      <c r="DU161" s="307">
        <f t="shared" si="182"/>
        <v>0.50000000000000866</v>
      </c>
      <c r="DV161" s="90">
        <f t="shared" si="183"/>
        <v>0.28082306818686525</v>
      </c>
      <c r="DW161" s="90">
        <f t="shared" si="184"/>
        <v>0.28082306818686525</v>
      </c>
      <c r="DX161" s="90">
        <f t="shared" si="185"/>
        <v>34</v>
      </c>
      <c r="DY161" s="308">
        <f t="shared" si="186"/>
        <v>0.18000000000000349</v>
      </c>
    </row>
    <row r="162" spans="113:129" ht="12" customHeight="1" x14ac:dyDescent="0.2">
      <c r="DI162" s="307">
        <v>151</v>
      </c>
      <c r="DJ162" s="90">
        <f t="shared" si="174"/>
        <v>0.49000000000000754</v>
      </c>
      <c r="DK162" s="90">
        <f t="shared" si="176"/>
        <v>0.1347766085006237</v>
      </c>
      <c r="DL162" s="90" t="e">
        <f t="shared" si="177"/>
        <v>#N/A</v>
      </c>
      <c r="DM162" s="90">
        <f t="shared" si="178"/>
        <v>0.1347766085006237</v>
      </c>
      <c r="DN162" s="90">
        <f t="shared" si="179"/>
        <v>32</v>
      </c>
      <c r="DO162" s="308">
        <f t="shared" si="175"/>
        <v>0.17600000000000304</v>
      </c>
      <c r="DP162" s="307">
        <f t="shared" si="187"/>
        <v>0.48999999999999855</v>
      </c>
      <c r="DQ162" s="90">
        <f t="shared" si="180"/>
        <v>6.4715708059681021E-2</v>
      </c>
      <c r="DR162" s="90">
        <f t="shared" si="181"/>
        <v>6.4715708059681021E-2</v>
      </c>
      <c r="DS162" s="90">
        <f t="shared" si="188"/>
        <v>33</v>
      </c>
      <c r="DT162" s="308">
        <f t="shared" si="189"/>
        <v>0.17599999999999943</v>
      </c>
      <c r="DU162" s="307">
        <f t="shared" si="182"/>
        <v>0.49000000000000876</v>
      </c>
      <c r="DV162" s="90">
        <f t="shared" si="183"/>
        <v>0.28210686763522325</v>
      </c>
      <c r="DW162" s="90">
        <f t="shared" si="184"/>
        <v>0.28210686763522325</v>
      </c>
      <c r="DX162" s="90">
        <f t="shared" si="185"/>
        <v>34</v>
      </c>
      <c r="DY162" s="308">
        <f t="shared" si="186"/>
        <v>0.17600000000000351</v>
      </c>
    </row>
    <row r="163" spans="113:129" ht="12" customHeight="1" x14ac:dyDescent="0.2">
      <c r="DI163" s="307">
        <v>152</v>
      </c>
      <c r="DJ163" s="90">
        <f t="shared" si="174"/>
        <v>0.48000000000000764</v>
      </c>
      <c r="DK163" s="90">
        <f t="shared" si="176"/>
        <v>0.13556994740171766</v>
      </c>
      <c r="DL163" s="90" t="e">
        <f t="shared" si="177"/>
        <v>#N/A</v>
      </c>
      <c r="DM163" s="90">
        <f t="shared" si="178"/>
        <v>0.13556994740171766</v>
      </c>
      <c r="DN163" s="90">
        <f t="shared" si="179"/>
        <v>32</v>
      </c>
      <c r="DO163" s="308">
        <f t="shared" si="175"/>
        <v>0.17200000000000307</v>
      </c>
      <c r="DP163" s="307">
        <f t="shared" si="187"/>
        <v>0.47999999999999854</v>
      </c>
      <c r="DQ163" s="90">
        <f t="shared" si="180"/>
        <v>6.5348624272821537E-2</v>
      </c>
      <c r="DR163" s="90">
        <f t="shared" si="181"/>
        <v>6.5348624272821537E-2</v>
      </c>
      <c r="DS163" s="90">
        <f t="shared" si="188"/>
        <v>33</v>
      </c>
      <c r="DT163" s="308">
        <f t="shared" si="189"/>
        <v>0.17199999999999943</v>
      </c>
      <c r="DU163" s="307">
        <f t="shared" si="182"/>
        <v>0.48000000000000875</v>
      </c>
      <c r="DV163" s="90">
        <f t="shared" si="183"/>
        <v>0.28339066708358124</v>
      </c>
      <c r="DW163" s="90">
        <f t="shared" si="184"/>
        <v>0.28339066708358124</v>
      </c>
      <c r="DX163" s="90">
        <f t="shared" si="185"/>
        <v>34</v>
      </c>
      <c r="DY163" s="308">
        <f t="shared" si="186"/>
        <v>0.17200000000000351</v>
      </c>
    </row>
    <row r="164" spans="113:129" ht="12" customHeight="1" x14ac:dyDescent="0.2">
      <c r="DI164" s="307">
        <v>153</v>
      </c>
      <c r="DJ164" s="90">
        <f t="shared" si="174"/>
        <v>0.47000000000000774</v>
      </c>
      <c r="DK164" s="90">
        <f t="shared" si="176"/>
        <v>0.13636328630281161</v>
      </c>
      <c r="DL164" s="90" t="e">
        <f t="shared" si="177"/>
        <v>#N/A</v>
      </c>
      <c r="DM164" s="90">
        <f t="shared" si="178"/>
        <v>0.13636328630281161</v>
      </c>
      <c r="DN164" s="90">
        <f t="shared" si="179"/>
        <v>32</v>
      </c>
      <c r="DO164" s="308">
        <f t="shared" si="175"/>
        <v>0.16800000000000312</v>
      </c>
      <c r="DP164" s="307">
        <f t="shared" si="187"/>
        <v>0.46999999999999842</v>
      </c>
      <c r="DQ164" s="90">
        <f t="shared" si="180"/>
        <v>6.5981540485962054E-2</v>
      </c>
      <c r="DR164" s="90">
        <f t="shared" si="181"/>
        <v>6.5981540485962054E-2</v>
      </c>
      <c r="DS164" s="90">
        <f t="shared" si="188"/>
        <v>33</v>
      </c>
      <c r="DT164" s="308">
        <f t="shared" si="189"/>
        <v>0.1679999999999994</v>
      </c>
      <c r="DU164" s="307">
        <f t="shared" si="182"/>
        <v>0.47000000000000886</v>
      </c>
      <c r="DV164" s="90">
        <f t="shared" si="183"/>
        <v>0.28467446653193923</v>
      </c>
      <c r="DW164" s="90">
        <f t="shared" si="184"/>
        <v>0.28467446653193923</v>
      </c>
      <c r="DX164" s="90">
        <f t="shared" si="185"/>
        <v>34</v>
      </c>
      <c r="DY164" s="308">
        <f t="shared" si="186"/>
        <v>0.16800000000000356</v>
      </c>
    </row>
    <row r="165" spans="113:129" ht="12" customHeight="1" x14ac:dyDescent="0.2">
      <c r="DI165" s="307">
        <v>154</v>
      </c>
      <c r="DJ165" s="90">
        <f t="shared" si="174"/>
        <v>0.46000000000000774</v>
      </c>
      <c r="DK165" s="90">
        <f t="shared" si="176"/>
        <v>0.13715662520390556</v>
      </c>
      <c r="DL165" s="90" t="e">
        <f t="shared" si="177"/>
        <v>#N/A</v>
      </c>
      <c r="DM165" s="90">
        <f t="shared" si="178"/>
        <v>0.13715662520390556</v>
      </c>
      <c r="DN165" s="90">
        <f t="shared" si="179"/>
        <v>32</v>
      </c>
      <c r="DO165" s="308">
        <f t="shared" si="175"/>
        <v>0.16400000000000312</v>
      </c>
      <c r="DP165" s="307">
        <f t="shared" si="187"/>
        <v>0.45999999999999841</v>
      </c>
      <c r="DQ165" s="90">
        <f t="shared" si="180"/>
        <v>6.661445669910257E-2</v>
      </c>
      <c r="DR165" s="90">
        <f t="shared" si="181"/>
        <v>6.661445669910257E-2</v>
      </c>
      <c r="DS165" s="90">
        <f t="shared" si="188"/>
        <v>33</v>
      </c>
      <c r="DT165" s="308">
        <f t="shared" si="189"/>
        <v>0.1639999999999994</v>
      </c>
      <c r="DU165" s="307">
        <f t="shared" si="182"/>
        <v>0.46000000000000896</v>
      </c>
      <c r="DV165" s="90">
        <f t="shared" si="183"/>
        <v>0.28595826598029722</v>
      </c>
      <c r="DW165" s="90">
        <f t="shared" si="184"/>
        <v>0.28595826598029722</v>
      </c>
      <c r="DX165" s="90">
        <f t="shared" si="185"/>
        <v>34</v>
      </c>
      <c r="DY165" s="308">
        <f t="shared" si="186"/>
        <v>0.16400000000000362</v>
      </c>
    </row>
    <row r="166" spans="113:129" ht="12" customHeight="1" x14ac:dyDescent="0.2">
      <c r="DI166" s="307">
        <v>155</v>
      </c>
      <c r="DJ166" s="90">
        <f t="shared" si="174"/>
        <v>0.45000000000000784</v>
      </c>
      <c r="DK166" s="90">
        <f t="shared" si="176"/>
        <v>0.13794996410499952</v>
      </c>
      <c r="DL166" s="90" t="e">
        <f t="shared" si="177"/>
        <v>#N/A</v>
      </c>
      <c r="DM166" s="90">
        <f t="shared" si="178"/>
        <v>0.13794996410499952</v>
      </c>
      <c r="DN166" s="90">
        <f t="shared" si="179"/>
        <v>32</v>
      </c>
      <c r="DO166" s="308">
        <f t="shared" si="175"/>
        <v>0.16000000000000317</v>
      </c>
      <c r="DP166" s="307">
        <f t="shared" si="187"/>
        <v>0.4499999999999984</v>
      </c>
      <c r="DQ166" s="90">
        <f t="shared" si="180"/>
        <v>6.7247372912243086E-2</v>
      </c>
      <c r="DR166" s="90">
        <f t="shared" si="181"/>
        <v>6.7247372912243086E-2</v>
      </c>
      <c r="DS166" s="90">
        <f t="shared" si="188"/>
        <v>33</v>
      </c>
      <c r="DT166" s="308">
        <f t="shared" si="189"/>
        <v>0.15999999999999939</v>
      </c>
      <c r="DU166" s="307">
        <f t="shared" si="182"/>
        <v>0.45000000000000906</v>
      </c>
      <c r="DV166" s="90">
        <f t="shared" si="183"/>
        <v>0.28724206542865521</v>
      </c>
      <c r="DW166" s="90">
        <f t="shared" si="184"/>
        <v>0.28724206542865521</v>
      </c>
      <c r="DX166" s="90">
        <f t="shared" si="185"/>
        <v>34</v>
      </c>
      <c r="DY166" s="308">
        <f t="shared" si="186"/>
        <v>0.16000000000000364</v>
      </c>
    </row>
    <row r="167" spans="113:129" ht="12" customHeight="1" x14ac:dyDescent="0.2">
      <c r="DI167" s="307">
        <v>156</v>
      </c>
      <c r="DJ167" s="90">
        <f t="shared" si="174"/>
        <v>0.44000000000000794</v>
      </c>
      <c r="DK167" s="90">
        <f t="shared" si="176"/>
        <v>0.13874330300609347</v>
      </c>
      <c r="DL167" s="90" t="e">
        <f t="shared" si="177"/>
        <v>#N/A</v>
      </c>
      <c r="DM167" s="90">
        <f t="shared" si="178"/>
        <v>0.13874330300609347</v>
      </c>
      <c r="DN167" s="90">
        <f t="shared" si="179"/>
        <v>32</v>
      </c>
      <c r="DO167" s="308">
        <f t="shared" si="175"/>
        <v>0.15600000000000319</v>
      </c>
      <c r="DP167" s="307">
        <f t="shared" si="187"/>
        <v>0.43999999999999828</v>
      </c>
      <c r="DQ167" s="90">
        <f t="shared" si="180"/>
        <v>6.7880289125383603E-2</v>
      </c>
      <c r="DR167" s="90">
        <f t="shared" si="181"/>
        <v>6.7880289125383603E-2</v>
      </c>
      <c r="DS167" s="90">
        <f t="shared" si="188"/>
        <v>33</v>
      </c>
      <c r="DT167" s="308">
        <f t="shared" si="189"/>
        <v>0.15599999999999933</v>
      </c>
      <c r="DU167" s="307">
        <f t="shared" si="182"/>
        <v>0.44000000000000916</v>
      </c>
      <c r="DV167" s="90">
        <f t="shared" si="183"/>
        <v>0.28852586487701321</v>
      </c>
      <c r="DW167" s="90">
        <f t="shared" si="184"/>
        <v>0.28852586487701321</v>
      </c>
      <c r="DX167" s="90">
        <f t="shared" si="185"/>
        <v>34</v>
      </c>
      <c r="DY167" s="308">
        <f t="shared" si="186"/>
        <v>0.15600000000000369</v>
      </c>
    </row>
    <row r="168" spans="113:129" ht="12" customHeight="1" x14ac:dyDescent="0.2">
      <c r="DI168" s="307">
        <v>157</v>
      </c>
      <c r="DJ168" s="90">
        <f t="shared" si="174"/>
        <v>0.43000000000000804</v>
      </c>
      <c r="DK168" s="90">
        <f t="shared" si="176"/>
        <v>0.13953664190718743</v>
      </c>
      <c r="DL168" s="90" t="e">
        <f t="shared" si="177"/>
        <v>#N/A</v>
      </c>
      <c r="DM168" s="90">
        <f t="shared" si="178"/>
        <v>0.13953664190718743</v>
      </c>
      <c r="DN168" s="90">
        <f t="shared" si="179"/>
        <v>32</v>
      </c>
      <c r="DO168" s="308">
        <f t="shared" si="175"/>
        <v>0.15200000000000324</v>
      </c>
      <c r="DP168" s="307">
        <f t="shared" si="187"/>
        <v>0.42999999999999827</v>
      </c>
      <c r="DQ168" s="90">
        <f t="shared" si="180"/>
        <v>6.8513205338524119E-2</v>
      </c>
      <c r="DR168" s="90">
        <f t="shared" si="181"/>
        <v>6.8513205338524119E-2</v>
      </c>
      <c r="DS168" s="90">
        <f t="shared" si="188"/>
        <v>33</v>
      </c>
      <c r="DT168" s="308">
        <f t="shared" si="189"/>
        <v>0.15199999999999933</v>
      </c>
      <c r="DU168" s="307">
        <f t="shared" si="182"/>
        <v>0.43000000000000915</v>
      </c>
      <c r="DV168" s="90">
        <f t="shared" si="183"/>
        <v>0.2898096643253712</v>
      </c>
      <c r="DW168" s="90">
        <f t="shared" si="184"/>
        <v>0.2898096643253712</v>
      </c>
      <c r="DX168" s="90">
        <f t="shared" si="185"/>
        <v>34</v>
      </c>
      <c r="DY168" s="308">
        <f t="shared" si="186"/>
        <v>0.15200000000000369</v>
      </c>
    </row>
    <row r="169" spans="113:129" ht="12" customHeight="1" x14ac:dyDescent="0.2">
      <c r="DI169" s="307">
        <v>158</v>
      </c>
      <c r="DJ169" s="90">
        <f t="shared" si="174"/>
        <v>0.42000000000000814</v>
      </c>
      <c r="DK169" s="90">
        <f t="shared" si="176"/>
        <v>0.14032998080828138</v>
      </c>
      <c r="DL169" s="90" t="e">
        <f t="shared" si="177"/>
        <v>#N/A</v>
      </c>
      <c r="DM169" s="90">
        <f t="shared" si="178"/>
        <v>0.14032998080828138</v>
      </c>
      <c r="DN169" s="90">
        <f t="shared" si="179"/>
        <v>32</v>
      </c>
      <c r="DO169" s="308">
        <f t="shared" si="175"/>
        <v>0.14800000000000327</v>
      </c>
      <c r="DP169" s="307">
        <f t="shared" si="187"/>
        <v>0.41999999999999826</v>
      </c>
      <c r="DQ169" s="90">
        <f t="shared" si="180"/>
        <v>6.9146121551664635E-2</v>
      </c>
      <c r="DR169" s="90">
        <f t="shared" si="181"/>
        <v>6.9146121551664635E-2</v>
      </c>
      <c r="DS169" s="90">
        <f t="shared" si="188"/>
        <v>33</v>
      </c>
      <c r="DT169" s="308">
        <f t="shared" si="189"/>
        <v>0.14799999999999933</v>
      </c>
      <c r="DU169" s="307">
        <f t="shared" si="182"/>
        <v>0.42000000000000925</v>
      </c>
      <c r="DV169" s="90">
        <f t="shared" si="183"/>
        <v>0.29109346377372919</v>
      </c>
      <c r="DW169" s="90">
        <f t="shared" si="184"/>
        <v>0.29109346377372919</v>
      </c>
      <c r="DX169" s="90">
        <f t="shared" si="185"/>
        <v>34</v>
      </c>
      <c r="DY169" s="308">
        <f t="shared" si="186"/>
        <v>0.14800000000000371</v>
      </c>
    </row>
    <row r="170" spans="113:129" ht="12" customHeight="1" x14ac:dyDescent="0.2">
      <c r="DI170" s="307">
        <v>159</v>
      </c>
      <c r="DJ170" s="90">
        <f t="shared" si="174"/>
        <v>0.41000000000000825</v>
      </c>
      <c r="DK170" s="90">
        <f t="shared" si="176"/>
        <v>0.14112331970937533</v>
      </c>
      <c r="DL170" s="90" t="e">
        <f t="shared" si="177"/>
        <v>#N/A</v>
      </c>
      <c r="DM170" s="90">
        <f t="shared" si="178"/>
        <v>0.14112331970937533</v>
      </c>
      <c r="DN170" s="90">
        <f t="shared" si="179"/>
        <v>32</v>
      </c>
      <c r="DO170" s="308">
        <f t="shared" si="175"/>
        <v>0.14400000000000332</v>
      </c>
      <c r="DP170" s="307">
        <f t="shared" si="187"/>
        <v>0.40999999999999814</v>
      </c>
      <c r="DQ170" s="90">
        <f t="shared" si="180"/>
        <v>6.9779037764805152E-2</v>
      </c>
      <c r="DR170" s="90">
        <f t="shared" si="181"/>
        <v>6.9779037764805152E-2</v>
      </c>
      <c r="DS170" s="90">
        <f t="shared" si="188"/>
        <v>33</v>
      </c>
      <c r="DT170" s="308">
        <f t="shared" si="189"/>
        <v>0.14399999999999927</v>
      </c>
      <c r="DU170" s="307">
        <f t="shared" si="182"/>
        <v>0.41000000000000936</v>
      </c>
      <c r="DV170" s="90">
        <f t="shared" si="183"/>
        <v>0.29237726322208718</v>
      </c>
      <c r="DW170" s="90">
        <f t="shared" si="184"/>
        <v>0.29237726322208718</v>
      </c>
      <c r="DX170" s="90">
        <f t="shared" si="185"/>
        <v>34</v>
      </c>
      <c r="DY170" s="308">
        <f t="shared" si="186"/>
        <v>0.14400000000000376</v>
      </c>
    </row>
    <row r="171" spans="113:129" ht="12" customHeight="1" x14ac:dyDescent="0.2">
      <c r="DI171" s="307">
        <v>160</v>
      </c>
      <c r="DJ171" s="90">
        <f t="shared" si="174"/>
        <v>0.40000000000000824</v>
      </c>
      <c r="DK171" s="90">
        <f t="shared" si="176"/>
        <v>0.14191665861046929</v>
      </c>
      <c r="DL171" s="90" t="e">
        <f t="shared" si="177"/>
        <v>#N/A</v>
      </c>
      <c r="DM171" s="90">
        <f t="shared" si="178"/>
        <v>0.14191665861046929</v>
      </c>
      <c r="DN171" s="90">
        <f t="shared" si="179"/>
        <v>32</v>
      </c>
      <c r="DO171" s="308">
        <f t="shared" si="175"/>
        <v>0.14000000000000332</v>
      </c>
      <c r="DP171" s="307">
        <f t="shared" si="187"/>
        <v>0.39999999999999813</v>
      </c>
      <c r="DQ171" s="90">
        <f t="shared" si="180"/>
        <v>7.0411953977945668E-2</v>
      </c>
      <c r="DR171" s="90">
        <f t="shared" si="181"/>
        <v>7.0411953977945668E-2</v>
      </c>
      <c r="DS171" s="90">
        <f t="shared" si="188"/>
        <v>33</v>
      </c>
      <c r="DT171" s="308">
        <f t="shared" si="189"/>
        <v>0.13999999999999926</v>
      </c>
      <c r="DU171" s="307">
        <f t="shared" si="182"/>
        <v>0.40000000000000946</v>
      </c>
      <c r="DV171" s="90">
        <f t="shared" si="183"/>
        <v>0.29366106267044517</v>
      </c>
      <c r="DW171" s="90">
        <f t="shared" si="184"/>
        <v>0.29366106267044517</v>
      </c>
      <c r="DX171" s="90">
        <f t="shared" si="185"/>
        <v>34</v>
      </c>
      <c r="DY171" s="308">
        <f t="shared" si="186"/>
        <v>0.14000000000000382</v>
      </c>
    </row>
    <row r="172" spans="113:129" ht="12" customHeight="1" x14ac:dyDescent="0.2">
      <c r="DI172" s="307">
        <v>161</v>
      </c>
      <c r="DJ172" s="90">
        <f t="shared" si="174"/>
        <v>0.39000000000000834</v>
      </c>
      <c r="DK172" s="90">
        <f t="shared" ref="DK172:DK203" si="190">IF(AND($BX$5,$CG$4,$CJ$2),DM171+$DL$8,NA())</f>
        <v>0.14270999751156324</v>
      </c>
      <c r="DL172" s="90" t="e">
        <f t="shared" ref="DL172:DL203" si="191">IF(AND(NOT($BX$5),$CG$4),DM171+$DL$8,NA())</f>
        <v>#N/A</v>
      </c>
      <c r="DM172" s="90">
        <f t="shared" ref="DM172:DM203" si="192">IF($CG$4,DM171+$DL$8,NA())</f>
        <v>0.14270999751156324</v>
      </c>
      <c r="DN172" s="90">
        <f t="shared" ref="DN172:DN203" si="193">DN171</f>
        <v>32</v>
      </c>
      <c r="DO172" s="308">
        <f t="shared" si="175"/>
        <v>0.13600000000000337</v>
      </c>
      <c r="DP172" s="307">
        <f t="shared" si="187"/>
        <v>0.38999999999999813</v>
      </c>
      <c r="DQ172" s="90">
        <f t="shared" ref="DQ172:DQ203" si="194">IF(AND($BX$5,$CG$4),DR171+$DQ$8,NA())</f>
        <v>7.1044870191086185E-2</v>
      </c>
      <c r="DR172" s="90">
        <f t="shared" ref="DR172:DR203" si="195">IF($CG$4,DR171+$DQ$8,NA())</f>
        <v>7.1044870191086185E-2</v>
      </c>
      <c r="DS172" s="90">
        <f t="shared" si="188"/>
        <v>33</v>
      </c>
      <c r="DT172" s="308">
        <f t="shared" si="189"/>
        <v>0.13599999999999926</v>
      </c>
      <c r="DU172" s="307">
        <f t="shared" si="182"/>
        <v>0.39000000000000945</v>
      </c>
      <c r="DV172" s="90">
        <f t="shared" ref="DV172:DV203" si="196">IF(AND($BX$5,$CG$4),DW171+$DV$8,NA())</f>
        <v>0.29494486211880316</v>
      </c>
      <c r="DW172" s="90">
        <f t="shared" ref="DW172:DW203" si="197">IF($CG$4,DW171+$DV$8,NA())</f>
        <v>0.29494486211880316</v>
      </c>
      <c r="DX172" s="90">
        <f t="shared" si="185"/>
        <v>34</v>
      </c>
      <c r="DY172" s="308">
        <f t="shared" si="186"/>
        <v>0.13600000000000381</v>
      </c>
    </row>
    <row r="173" spans="113:129" ht="12" customHeight="1" x14ac:dyDescent="0.2">
      <c r="DI173" s="307">
        <v>162</v>
      </c>
      <c r="DJ173" s="90">
        <f t="shared" si="174"/>
        <v>0.38000000000000844</v>
      </c>
      <c r="DK173" s="90">
        <f t="shared" si="190"/>
        <v>0.1435033364126572</v>
      </c>
      <c r="DL173" s="90" t="e">
        <f t="shared" si="191"/>
        <v>#N/A</v>
      </c>
      <c r="DM173" s="90">
        <f t="shared" si="192"/>
        <v>0.1435033364126572</v>
      </c>
      <c r="DN173" s="90">
        <f t="shared" si="193"/>
        <v>32</v>
      </c>
      <c r="DO173" s="308">
        <f t="shared" si="175"/>
        <v>0.13200000000000339</v>
      </c>
      <c r="DP173" s="307">
        <f t="shared" si="187"/>
        <v>0.37999999999999801</v>
      </c>
      <c r="DQ173" s="90">
        <f t="shared" si="194"/>
        <v>7.1677786404226701E-2</v>
      </c>
      <c r="DR173" s="90">
        <f t="shared" si="195"/>
        <v>7.1677786404226701E-2</v>
      </c>
      <c r="DS173" s="90">
        <f t="shared" si="188"/>
        <v>33</v>
      </c>
      <c r="DT173" s="308">
        <f t="shared" si="189"/>
        <v>0.13199999999999923</v>
      </c>
      <c r="DU173" s="307">
        <f t="shared" si="182"/>
        <v>0.38000000000000955</v>
      </c>
      <c r="DV173" s="90">
        <f t="shared" si="196"/>
        <v>0.29622866156716116</v>
      </c>
      <c r="DW173" s="90">
        <f t="shared" si="197"/>
        <v>0.29622866156716116</v>
      </c>
      <c r="DX173" s="90">
        <f t="shared" si="185"/>
        <v>34</v>
      </c>
      <c r="DY173" s="308">
        <f t="shared" si="186"/>
        <v>0.13200000000000384</v>
      </c>
    </row>
    <row r="174" spans="113:129" ht="12" customHeight="1" x14ac:dyDescent="0.2">
      <c r="DI174" s="307">
        <v>163</v>
      </c>
      <c r="DJ174" s="90">
        <f t="shared" si="174"/>
        <v>0.37000000000000854</v>
      </c>
      <c r="DK174" s="90">
        <f t="shared" si="190"/>
        <v>0.14429667531375115</v>
      </c>
      <c r="DL174" s="90" t="e">
        <f t="shared" si="191"/>
        <v>#N/A</v>
      </c>
      <c r="DM174" s="90">
        <f t="shared" si="192"/>
        <v>0.14429667531375115</v>
      </c>
      <c r="DN174" s="90">
        <f t="shared" si="193"/>
        <v>32</v>
      </c>
      <c r="DO174" s="308">
        <f t="shared" si="175"/>
        <v>0.12800000000000344</v>
      </c>
      <c r="DP174" s="307">
        <f t="shared" si="187"/>
        <v>0.369999999999998</v>
      </c>
      <c r="DQ174" s="90">
        <f t="shared" si="194"/>
        <v>7.2310702617367217E-2</v>
      </c>
      <c r="DR174" s="90">
        <f t="shared" si="195"/>
        <v>7.2310702617367217E-2</v>
      </c>
      <c r="DS174" s="90">
        <f t="shared" si="188"/>
        <v>33</v>
      </c>
      <c r="DT174" s="308">
        <f t="shared" si="189"/>
        <v>0.12799999999999923</v>
      </c>
      <c r="DU174" s="307">
        <f t="shared" si="182"/>
        <v>0.37000000000000965</v>
      </c>
      <c r="DV174" s="90">
        <f t="shared" si="196"/>
        <v>0.29751246101551915</v>
      </c>
      <c r="DW174" s="90">
        <f t="shared" si="197"/>
        <v>0.29751246101551915</v>
      </c>
      <c r="DX174" s="90">
        <f t="shared" si="185"/>
        <v>34</v>
      </c>
      <c r="DY174" s="308">
        <f t="shared" si="186"/>
        <v>0.12800000000000389</v>
      </c>
    </row>
    <row r="175" spans="113:129" ht="12" customHeight="1" x14ac:dyDescent="0.2">
      <c r="DI175" s="307">
        <v>164</v>
      </c>
      <c r="DJ175" s="90">
        <f t="shared" si="174"/>
        <v>0.36000000000000865</v>
      </c>
      <c r="DK175" s="90">
        <f t="shared" si="190"/>
        <v>0.1450900142148451</v>
      </c>
      <c r="DL175" s="90" t="e">
        <f t="shared" si="191"/>
        <v>#N/A</v>
      </c>
      <c r="DM175" s="90">
        <f t="shared" si="192"/>
        <v>0.1450900142148451</v>
      </c>
      <c r="DN175" s="90">
        <f t="shared" si="193"/>
        <v>32</v>
      </c>
      <c r="DO175" s="308">
        <f t="shared" si="175"/>
        <v>0.12400000000000345</v>
      </c>
      <c r="DP175" s="307">
        <f t="shared" si="187"/>
        <v>0.35999999999999799</v>
      </c>
      <c r="DQ175" s="90">
        <f t="shared" si="194"/>
        <v>7.2943618830507734E-2</v>
      </c>
      <c r="DR175" s="90">
        <f t="shared" si="195"/>
        <v>7.2943618830507734E-2</v>
      </c>
      <c r="DS175" s="90">
        <f t="shared" si="188"/>
        <v>33</v>
      </c>
      <c r="DT175" s="308">
        <f t="shared" si="189"/>
        <v>0.12399999999999921</v>
      </c>
      <c r="DU175" s="307">
        <f t="shared" si="182"/>
        <v>0.36000000000000976</v>
      </c>
      <c r="DV175" s="90">
        <f t="shared" si="196"/>
        <v>0.29879626046387714</v>
      </c>
      <c r="DW175" s="90">
        <f t="shared" si="197"/>
        <v>0.29879626046387714</v>
      </c>
      <c r="DX175" s="90">
        <f t="shared" si="185"/>
        <v>34</v>
      </c>
      <c r="DY175" s="308">
        <f t="shared" si="186"/>
        <v>0.1240000000000039</v>
      </c>
    </row>
    <row r="176" spans="113:129" ht="12" customHeight="1" x14ac:dyDescent="0.2">
      <c r="DI176" s="307">
        <v>165</v>
      </c>
      <c r="DJ176" s="90">
        <f t="shared" si="174"/>
        <v>0.35000000000000875</v>
      </c>
      <c r="DK176" s="90">
        <f t="shared" si="190"/>
        <v>0.14588335311593906</v>
      </c>
      <c r="DL176" s="90" t="e">
        <f t="shared" si="191"/>
        <v>#N/A</v>
      </c>
      <c r="DM176" s="90">
        <f t="shared" si="192"/>
        <v>0.14588335311593906</v>
      </c>
      <c r="DN176" s="90">
        <f t="shared" si="193"/>
        <v>32</v>
      </c>
      <c r="DO176" s="308">
        <f t="shared" si="175"/>
        <v>0.12000000000000351</v>
      </c>
      <c r="DP176" s="307">
        <f t="shared" si="187"/>
        <v>0.34999999999999787</v>
      </c>
      <c r="DQ176" s="90">
        <f t="shared" si="194"/>
        <v>7.357653504364825E-2</v>
      </c>
      <c r="DR176" s="90">
        <f t="shared" si="195"/>
        <v>7.357653504364825E-2</v>
      </c>
      <c r="DS176" s="90">
        <f t="shared" si="188"/>
        <v>33</v>
      </c>
      <c r="DT176" s="308">
        <f t="shared" si="189"/>
        <v>0.11999999999999915</v>
      </c>
      <c r="DU176" s="307">
        <f t="shared" si="182"/>
        <v>0.35000000000000986</v>
      </c>
      <c r="DV176" s="90">
        <f t="shared" si="196"/>
        <v>0.30008005991223513</v>
      </c>
      <c r="DW176" s="90">
        <f t="shared" si="197"/>
        <v>0.30008005991223513</v>
      </c>
      <c r="DX176" s="90">
        <f t="shared" si="185"/>
        <v>34</v>
      </c>
      <c r="DY176" s="308">
        <f t="shared" si="186"/>
        <v>0.12000000000000395</v>
      </c>
    </row>
    <row r="177" spans="113:129" ht="12" customHeight="1" x14ac:dyDescent="0.2">
      <c r="DI177" s="307">
        <v>166</v>
      </c>
      <c r="DJ177" s="90">
        <f t="shared" si="174"/>
        <v>0.34000000000000885</v>
      </c>
      <c r="DK177" s="90">
        <f t="shared" si="190"/>
        <v>0.14667669201703301</v>
      </c>
      <c r="DL177" s="90" t="e">
        <f t="shared" si="191"/>
        <v>#N/A</v>
      </c>
      <c r="DM177" s="90">
        <f t="shared" si="192"/>
        <v>0.14667669201703301</v>
      </c>
      <c r="DN177" s="90">
        <f t="shared" si="193"/>
        <v>32</v>
      </c>
      <c r="DO177" s="308">
        <f t="shared" si="175"/>
        <v>0.11600000000000353</v>
      </c>
      <c r="DP177" s="307">
        <f t="shared" si="187"/>
        <v>0.33999999999999786</v>
      </c>
      <c r="DQ177" s="90">
        <f t="shared" si="194"/>
        <v>7.4209451256788767E-2</v>
      </c>
      <c r="DR177" s="90">
        <f t="shared" si="195"/>
        <v>7.4209451256788767E-2</v>
      </c>
      <c r="DS177" s="90">
        <f t="shared" si="188"/>
        <v>33</v>
      </c>
      <c r="DT177" s="308">
        <f t="shared" si="189"/>
        <v>0.11599999999999915</v>
      </c>
      <c r="DU177" s="307">
        <f t="shared" si="182"/>
        <v>0.34000000000000985</v>
      </c>
      <c r="DV177" s="90">
        <f t="shared" si="196"/>
        <v>0.30136385936059312</v>
      </c>
      <c r="DW177" s="90">
        <f t="shared" si="197"/>
        <v>0.30136385936059312</v>
      </c>
      <c r="DX177" s="90">
        <f t="shared" si="185"/>
        <v>34</v>
      </c>
      <c r="DY177" s="308">
        <f t="shared" si="186"/>
        <v>0.11600000000000395</v>
      </c>
    </row>
    <row r="178" spans="113:129" ht="12" customHeight="1" x14ac:dyDescent="0.2">
      <c r="DI178" s="307">
        <v>167</v>
      </c>
      <c r="DJ178" s="90">
        <f t="shared" si="174"/>
        <v>0.33000000000000884</v>
      </c>
      <c r="DK178" s="90">
        <f t="shared" si="190"/>
        <v>0.14747003091812697</v>
      </c>
      <c r="DL178" s="90" t="e">
        <f t="shared" si="191"/>
        <v>#N/A</v>
      </c>
      <c r="DM178" s="90">
        <f t="shared" si="192"/>
        <v>0.14747003091812697</v>
      </c>
      <c r="DN178" s="90">
        <f t="shared" si="193"/>
        <v>32</v>
      </c>
      <c r="DO178" s="308">
        <f t="shared" si="175"/>
        <v>0.11200000000000353</v>
      </c>
      <c r="DP178" s="307">
        <f t="shared" si="187"/>
        <v>0.32999999999999785</v>
      </c>
      <c r="DQ178" s="90">
        <f t="shared" si="194"/>
        <v>7.4842367469929283E-2</v>
      </c>
      <c r="DR178" s="90">
        <f t="shared" si="195"/>
        <v>7.4842367469929283E-2</v>
      </c>
      <c r="DS178" s="90">
        <f t="shared" si="188"/>
        <v>33</v>
      </c>
      <c r="DT178" s="308">
        <f t="shared" si="189"/>
        <v>0.11199999999999914</v>
      </c>
      <c r="DU178" s="307">
        <f t="shared" si="182"/>
        <v>0.33000000000000995</v>
      </c>
      <c r="DV178" s="90">
        <f t="shared" si="196"/>
        <v>0.30264765880895111</v>
      </c>
      <c r="DW178" s="90">
        <f t="shared" si="197"/>
        <v>0.30264765880895111</v>
      </c>
      <c r="DX178" s="90">
        <f t="shared" si="185"/>
        <v>34</v>
      </c>
      <c r="DY178" s="308">
        <f t="shared" si="186"/>
        <v>0.11200000000000397</v>
      </c>
    </row>
    <row r="179" spans="113:129" ht="12" customHeight="1" x14ac:dyDescent="0.2">
      <c r="DI179" s="307">
        <v>168</v>
      </c>
      <c r="DJ179" s="90">
        <f t="shared" si="174"/>
        <v>0.32000000000000894</v>
      </c>
      <c r="DK179" s="90">
        <f t="shared" si="190"/>
        <v>0.14826336981922092</v>
      </c>
      <c r="DL179" s="90" t="e">
        <f t="shared" si="191"/>
        <v>#N/A</v>
      </c>
      <c r="DM179" s="90">
        <f t="shared" si="192"/>
        <v>0.14826336981922092</v>
      </c>
      <c r="DN179" s="90">
        <f t="shared" si="193"/>
        <v>32</v>
      </c>
      <c r="DO179" s="308">
        <f t="shared" si="175"/>
        <v>0.10800000000000358</v>
      </c>
      <c r="DP179" s="307">
        <f t="shared" si="187"/>
        <v>0.31999999999999773</v>
      </c>
      <c r="DQ179" s="90">
        <f t="shared" si="194"/>
        <v>7.5475283683069799E-2</v>
      </c>
      <c r="DR179" s="90">
        <f t="shared" si="195"/>
        <v>7.5475283683069799E-2</v>
      </c>
      <c r="DS179" s="90">
        <f t="shared" si="188"/>
        <v>33</v>
      </c>
      <c r="DT179" s="308">
        <f t="shared" si="189"/>
        <v>0.10799999999999908</v>
      </c>
      <c r="DU179" s="307">
        <f t="shared" si="182"/>
        <v>0.32000000000001005</v>
      </c>
      <c r="DV179" s="90">
        <f t="shared" si="196"/>
        <v>0.30393145825730911</v>
      </c>
      <c r="DW179" s="90">
        <f t="shared" si="197"/>
        <v>0.30393145825730911</v>
      </c>
      <c r="DX179" s="90">
        <f t="shared" si="185"/>
        <v>34</v>
      </c>
      <c r="DY179" s="308">
        <f t="shared" si="186"/>
        <v>0.10800000000000402</v>
      </c>
    </row>
    <row r="180" spans="113:129" ht="12" customHeight="1" x14ac:dyDescent="0.2">
      <c r="DI180" s="307">
        <v>169</v>
      </c>
      <c r="DJ180" s="90">
        <f t="shared" si="174"/>
        <v>0.31000000000000905</v>
      </c>
      <c r="DK180" s="90">
        <f t="shared" si="190"/>
        <v>0.14905670872031487</v>
      </c>
      <c r="DL180" s="90" t="e">
        <f t="shared" si="191"/>
        <v>#N/A</v>
      </c>
      <c r="DM180" s="90">
        <f t="shared" si="192"/>
        <v>0.14905670872031487</v>
      </c>
      <c r="DN180" s="90">
        <f t="shared" si="193"/>
        <v>32</v>
      </c>
      <c r="DO180" s="308">
        <f t="shared" si="175"/>
        <v>0.10400000000000362</v>
      </c>
      <c r="DP180" s="307">
        <f t="shared" si="187"/>
        <v>0.30999999999999772</v>
      </c>
      <c r="DQ180" s="90">
        <f t="shared" si="194"/>
        <v>7.6108199896210316E-2</v>
      </c>
      <c r="DR180" s="90">
        <f t="shared" si="195"/>
        <v>7.6108199896210316E-2</v>
      </c>
      <c r="DS180" s="90">
        <f t="shared" si="188"/>
        <v>33</v>
      </c>
      <c r="DT180" s="308">
        <f t="shared" si="189"/>
        <v>0.10399999999999909</v>
      </c>
      <c r="DU180" s="307">
        <f t="shared" si="182"/>
        <v>0.31000000000001016</v>
      </c>
      <c r="DV180" s="90">
        <f t="shared" si="196"/>
        <v>0.3052152577056671</v>
      </c>
      <c r="DW180" s="90">
        <f t="shared" si="197"/>
        <v>0.3052152577056671</v>
      </c>
      <c r="DX180" s="90">
        <f t="shared" si="185"/>
        <v>34</v>
      </c>
      <c r="DY180" s="308">
        <f t="shared" si="186"/>
        <v>0.10400000000000406</v>
      </c>
    </row>
    <row r="181" spans="113:129" ht="12" customHeight="1" x14ac:dyDescent="0.2">
      <c r="DI181" s="307">
        <v>170</v>
      </c>
      <c r="DJ181" s="90">
        <f t="shared" si="174"/>
        <v>0.30000000000000915</v>
      </c>
      <c r="DK181" s="90">
        <f t="shared" si="190"/>
        <v>0.14985004762140883</v>
      </c>
      <c r="DL181" s="90" t="e">
        <f t="shared" si="191"/>
        <v>#N/A</v>
      </c>
      <c r="DM181" s="90">
        <f t="shared" si="192"/>
        <v>0.14985004762140883</v>
      </c>
      <c r="DN181" s="90">
        <f t="shared" si="193"/>
        <v>32</v>
      </c>
      <c r="DO181" s="308">
        <f t="shared" si="175"/>
        <v>0.10000000000000366</v>
      </c>
      <c r="DP181" s="307">
        <f t="shared" si="187"/>
        <v>0.29999999999999771</v>
      </c>
      <c r="DQ181" s="90">
        <f t="shared" si="194"/>
        <v>7.6741116109350832E-2</v>
      </c>
      <c r="DR181" s="90">
        <f t="shared" si="195"/>
        <v>7.6741116109350832E-2</v>
      </c>
      <c r="DS181" s="90">
        <f t="shared" si="188"/>
        <v>33</v>
      </c>
      <c r="DT181" s="308">
        <f t="shared" si="189"/>
        <v>9.999999999999909E-2</v>
      </c>
      <c r="DU181" s="307">
        <f t="shared" si="182"/>
        <v>0.30000000000001026</v>
      </c>
      <c r="DV181" s="90">
        <f t="shared" si="196"/>
        <v>0.30649905715402509</v>
      </c>
      <c r="DW181" s="90">
        <f t="shared" si="197"/>
        <v>0.30649905715402509</v>
      </c>
      <c r="DX181" s="90">
        <f t="shared" si="185"/>
        <v>34</v>
      </c>
      <c r="DY181" s="308">
        <f t="shared" si="186"/>
        <v>0.1000000000000041</v>
      </c>
    </row>
    <row r="182" spans="113:129" ht="12" customHeight="1" x14ac:dyDescent="0.2">
      <c r="DI182" s="307">
        <v>171</v>
      </c>
      <c r="DJ182" s="90">
        <f t="shared" si="174"/>
        <v>0.29000000000000925</v>
      </c>
      <c r="DK182" s="90">
        <f t="shared" si="190"/>
        <v>0.15064338652250278</v>
      </c>
      <c r="DL182" s="90" t="e">
        <f t="shared" si="191"/>
        <v>#N/A</v>
      </c>
      <c r="DM182" s="90">
        <f t="shared" si="192"/>
        <v>0.15064338652250278</v>
      </c>
      <c r="DN182" s="90">
        <f t="shared" si="193"/>
        <v>32</v>
      </c>
      <c r="DO182" s="308">
        <f t="shared" si="175"/>
        <v>9.6000000000003707E-2</v>
      </c>
      <c r="DP182" s="307">
        <f t="shared" si="187"/>
        <v>0.2899999999999977</v>
      </c>
      <c r="DQ182" s="90">
        <f t="shared" si="194"/>
        <v>7.7374032322491348E-2</v>
      </c>
      <c r="DR182" s="90">
        <f t="shared" si="195"/>
        <v>7.7374032322491348E-2</v>
      </c>
      <c r="DS182" s="90">
        <f t="shared" si="188"/>
        <v>33</v>
      </c>
      <c r="DT182" s="308">
        <f t="shared" si="189"/>
        <v>9.5999999999999086E-2</v>
      </c>
      <c r="DU182" s="307">
        <f t="shared" si="182"/>
        <v>0.29000000000001025</v>
      </c>
      <c r="DV182" s="90">
        <f t="shared" si="196"/>
        <v>0.30778285660238308</v>
      </c>
      <c r="DW182" s="90">
        <f t="shared" si="197"/>
        <v>0.30778285660238308</v>
      </c>
      <c r="DX182" s="90">
        <f t="shared" si="185"/>
        <v>34</v>
      </c>
      <c r="DY182" s="308">
        <f t="shared" si="186"/>
        <v>9.6000000000004096E-2</v>
      </c>
    </row>
    <row r="183" spans="113:129" ht="12" customHeight="1" x14ac:dyDescent="0.2">
      <c r="DI183" s="307">
        <v>172</v>
      </c>
      <c r="DJ183" s="90">
        <f t="shared" si="174"/>
        <v>0.28000000000000935</v>
      </c>
      <c r="DK183" s="90">
        <f t="shared" si="190"/>
        <v>0.15143672542359674</v>
      </c>
      <c r="DL183" s="90" t="e">
        <f t="shared" si="191"/>
        <v>#N/A</v>
      </c>
      <c r="DM183" s="90">
        <f t="shared" si="192"/>
        <v>0.15143672542359674</v>
      </c>
      <c r="DN183" s="90">
        <f t="shared" si="193"/>
        <v>32</v>
      </c>
      <c r="DO183" s="308">
        <f t="shared" si="175"/>
        <v>9.2000000000003745E-2</v>
      </c>
      <c r="DP183" s="307">
        <f t="shared" si="187"/>
        <v>0.27999999999999758</v>
      </c>
      <c r="DQ183" s="90">
        <f t="shared" si="194"/>
        <v>7.8006948535631865E-2</v>
      </c>
      <c r="DR183" s="90">
        <f t="shared" si="195"/>
        <v>7.8006948535631865E-2</v>
      </c>
      <c r="DS183" s="90">
        <f t="shared" si="188"/>
        <v>33</v>
      </c>
      <c r="DT183" s="308">
        <f t="shared" si="189"/>
        <v>9.1999999999999041E-2</v>
      </c>
      <c r="DU183" s="307">
        <f t="shared" si="182"/>
        <v>0.28000000000001035</v>
      </c>
      <c r="DV183" s="90">
        <f t="shared" si="196"/>
        <v>0.30906665605074107</v>
      </c>
      <c r="DW183" s="90">
        <f t="shared" si="197"/>
        <v>0.30906665605074107</v>
      </c>
      <c r="DX183" s="90">
        <f t="shared" si="185"/>
        <v>34</v>
      </c>
      <c r="DY183" s="308">
        <f t="shared" si="186"/>
        <v>9.2000000000004148E-2</v>
      </c>
    </row>
    <row r="184" spans="113:129" ht="12" customHeight="1" x14ac:dyDescent="0.2">
      <c r="DI184" s="307">
        <v>173</v>
      </c>
      <c r="DJ184" s="90">
        <f t="shared" si="174"/>
        <v>0.27000000000000945</v>
      </c>
      <c r="DK184" s="90">
        <f t="shared" si="190"/>
        <v>0.15223006432469069</v>
      </c>
      <c r="DL184" s="90" t="e">
        <f t="shared" si="191"/>
        <v>#N/A</v>
      </c>
      <c r="DM184" s="90">
        <f t="shared" si="192"/>
        <v>0.15223006432469069</v>
      </c>
      <c r="DN184" s="90">
        <f t="shared" si="193"/>
        <v>32</v>
      </c>
      <c r="DO184" s="308">
        <f t="shared" si="175"/>
        <v>8.8000000000003784E-2</v>
      </c>
      <c r="DP184" s="307">
        <f t="shared" si="187"/>
        <v>0.26999999999999758</v>
      </c>
      <c r="DQ184" s="90">
        <f t="shared" si="194"/>
        <v>7.8639864748772381E-2</v>
      </c>
      <c r="DR184" s="90">
        <f t="shared" si="195"/>
        <v>7.8639864748772381E-2</v>
      </c>
      <c r="DS184" s="90">
        <f t="shared" si="188"/>
        <v>33</v>
      </c>
      <c r="DT184" s="308">
        <f t="shared" si="189"/>
        <v>8.7999999999999037E-2</v>
      </c>
      <c r="DU184" s="307">
        <f t="shared" si="182"/>
        <v>0.27000000000001045</v>
      </c>
      <c r="DV184" s="90">
        <f t="shared" si="196"/>
        <v>0.31035045549909906</v>
      </c>
      <c r="DW184" s="90">
        <f t="shared" si="197"/>
        <v>0.31035045549909906</v>
      </c>
      <c r="DX184" s="90">
        <f t="shared" si="185"/>
        <v>34</v>
      </c>
      <c r="DY184" s="308">
        <f t="shared" si="186"/>
        <v>8.8000000000004186E-2</v>
      </c>
    </row>
    <row r="185" spans="113:129" ht="12" customHeight="1" x14ac:dyDescent="0.2">
      <c r="DI185" s="307">
        <v>174</v>
      </c>
      <c r="DJ185" s="90">
        <f t="shared" si="174"/>
        <v>0.26000000000000945</v>
      </c>
      <c r="DK185" s="90">
        <f t="shared" si="190"/>
        <v>0.15302340322578464</v>
      </c>
      <c r="DL185" s="90" t="e">
        <f t="shared" si="191"/>
        <v>#N/A</v>
      </c>
      <c r="DM185" s="90">
        <f t="shared" si="192"/>
        <v>0.15302340322578464</v>
      </c>
      <c r="DN185" s="90">
        <f t="shared" si="193"/>
        <v>32</v>
      </c>
      <c r="DO185" s="308">
        <f t="shared" si="175"/>
        <v>8.400000000000378E-2</v>
      </c>
      <c r="DP185" s="307">
        <f t="shared" si="187"/>
        <v>0.25999999999999757</v>
      </c>
      <c r="DQ185" s="90">
        <f t="shared" si="194"/>
        <v>7.9272780961912898E-2</v>
      </c>
      <c r="DR185" s="90">
        <f t="shared" si="195"/>
        <v>7.9272780961912898E-2</v>
      </c>
      <c r="DS185" s="90">
        <f t="shared" si="188"/>
        <v>33</v>
      </c>
      <c r="DT185" s="308">
        <f t="shared" si="189"/>
        <v>8.3999999999999034E-2</v>
      </c>
      <c r="DU185" s="307">
        <f t="shared" si="182"/>
        <v>0.26000000000001056</v>
      </c>
      <c r="DV185" s="90">
        <f t="shared" si="196"/>
        <v>0.31163425494745706</v>
      </c>
      <c r="DW185" s="90">
        <f t="shared" si="197"/>
        <v>0.31163425494745706</v>
      </c>
      <c r="DX185" s="90">
        <f t="shared" si="185"/>
        <v>34</v>
      </c>
      <c r="DY185" s="308">
        <f t="shared" si="186"/>
        <v>8.4000000000004224E-2</v>
      </c>
    </row>
    <row r="186" spans="113:129" ht="12" customHeight="1" x14ac:dyDescent="0.2">
      <c r="DI186" s="307">
        <v>175</v>
      </c>
      <c r="DJ186" s="90">
        <f t="shared" si="174"/>
        <v>0.25000000000000955</v>
      </c>
      <c r="DK186" s="90">
        <f t="shared" si="190"/>
        <v>0.1538167421268786</v>
      </c>
      <c r="DL186" s="90" t="e">
        <f t="shared" si="191"/>
        <v>#N/A</v>
      </c>
      <c r="DM186" s="90">
        <f t="shared" si="192"/>
        <v>0.1538167421268786</v>
      </c>
      <c r="DN186" s="90">
        <f t="shared" si="193"/>
        <v>32</v>
      </c>
      <c r="DO186" s="308">
        <f t="shared" si="175"/>
        <v>8.0000000000003818E-2</v>
      </c>
      <c r="DP186" s="307">
        <f t="shared" si="187"/>
        <v>0.24999999999999745</v>
      </c>
      <c r="DQ186" s="90">
        <f t="shared" si="194"/>
        <v>7.9905697175053414E-2</v>
      </c>
      <c r="DR186" s="90">
        <f t="shared" si="195"/>
        <v>7.9905697175053414E-2</v>
      </c>
      <c r="DS186" s="90">
        <f t="shared" si="188"/>
        <v>33</v>
      </c>
      <c r="DT186" s="308">
        <f t="shared" si="189"/>
        <v>7.9999999999998975E-2</v>
      </c>
      <c r="DU186" s="307">
        <f t="shared" si="182"/>
        <v>0.25000000000001055</v>
      </c>
      <c r="DV186" s="90">
        <f t="shared" si="196"/>
        <v>0.31291805439581505</v>
      </c>
      <c r="DW186" s="90">
        <f t="shared" si="197"/>
        <v>0.31291805439581505</v>
      </c>
      <c r="DX186" s="90">
        <f t="shared" si="185"/>
        <v>34</v>
      </c>
      <c r="DY186" s="308">
        <f t="shared" si="186"/>
        <v>8.0000000000004221E-2</v>
      </c>
    </row>
    <row r="187" spans="113:129" ht="12" customHeight="1" x14ac:dyDescent="0.2">
      <c r="DI187" s="307">
        <v>176</v>
      </c>
      <c r="DJ187" s="90">
        <f t="shared" si="174"/>
        <v>0.24000000000000965</v>
      </c>
      <c r="DK187" s="90">
        <f t="shared" si="190"/>
        <v>0.15461008102797255</v>
      </c>
      <c r="DL187" s="90" t="e">
        <f t="shared" si="191"/>
        <v>#N/A</v>
      </c>
      <c r="DM187" s="90">
        <f t="shared" si="192"/>
        <v>0.15461008102797255</v>
      </c>
      <c r="DN187" s="90">
        <f t="shared" si="193"/>
        <v>32</v>
      </c>
      <c r="DO187" s="308">
        <f t="shared" si="175"/>
        <v>7.6000000000003856E-2</v>
      </c>
      <c r="DP187" s="307">
        <f t="shared" si="187"/>
        <v>0.23999999999999744</v>
      </c>
      <c r="DQ187" s="90">
        <f t="shared" si="194"/>
        <v>8.053861338819393E-2</v>
      </c>
      <c r="DR187" s="90">
        <f t="shared" si="195"/>
        <v>8.053861338819393E-2</v>
      </c>
      <c r="DS187" s="90">
        <f t="shared" si="188"/>
        <v>33</v>
      </c>
      <c r="DT187" s="308">
        <f t="shared" si="189"/>
        <v>7.5999999999998971E-2</v>
      </c>
      <c r="DU187" s="307">
        <f t="shared" si="182"/>
        <v>0.24000000000001065</v>
      </c>
      <c r="DV187" s="90">
        <f t="shared" si="196"/>
        <v>0.31420185384417304</v>
      </c>
      <c r="DW187" s="90">
        <f t="shared" si="197"/>
        <v>0.31420185384417304</v>
      </c>
      <c r="DX187" s="90">
        <f t="shared" si="185"/>
        <v>34</v>
      </c>
      <c r="DY187" s="308">
        <f t="shared" si="186"/>
        <v>7.6000000000004259E-2</v>
      </c>
    </row>
    <row r="188" spans="113:129" ht="12" customHeight="1" x14ac:dyDescent="0.2">
      <c r="DI188" s="307">
        <v>177</v>
      </c>
      <c r="DJ188" s="90">
        <f t="shared" si="174"/>
        <v>0.23000000000000975</v>
      </c>
      <c r="DK188" s="90">
        <f t="shared" si="190"/>
        <v>0.15540341992906651</v>
      </c>
      <c r="DL188" s="90" t="e">
        <f t="shared" si="191"/>
        <v>#N/A</v>
      </c>
      <c r="DM188" s="90">
        <f t="shared" si="192"/>
        <v>0.15540341992906651</v>
      </c>
      <c r="DN188" s="90">
        <f t="shared" si="193"/>
        <v>32</v>
      </c>
      <c r="DO188" s="308">
        <f t="shared" si="175"/>
        <v>7.2000000000003908E-2</v>
      </c>
      <c r="DP188" s="307">
        <f t="shared" si="187"/>
        <v>0.22999999999999743</v>
      </c>
      <c r="DQ188" s="90">
        <f t="shared" si="194"/>
        <v>8.1171529601334447E-2</v>
      </c>
      <c r="DR188" s="90">
        <f t="shared" si="195"/>
        <v>8.1171529601334447E-2</v>
      </c>
      <c r="DS188" s="90">
        <f t="shared" si="188"/>
        <v>33</v>
      </c>
      <c r="DT188" s="308">
        <f t="shared" si="189"/>
        <v>7.1999999999998968E-2</v>
      </c>
      <c r="DU188" s="307">
        <f t="shared" si="182"/>
        <v>0.23000000000001075</v>
      </c>
      <c r="DV188" s="90">
        <f t="shared" si="196"/>
        <v>0.31548565329253103</v>
      </c>
      <c r="DW188" s="90">
        <f t="shared" si="197"/>
        <v>0.31548565329253103</v>
      </c>
      <c r="DX188" s="90">
        <f t="shared" si="185"/>
        <v>34</v>
      </c>
      <c r="DY188" s="308">
        <f t="shared" si="186"/>
        <v>7.2000000000004297E-2</v>
      </c>
    </row>
    <row r="189" spans="113:129" ht="12" customHeight="1" x14ac:dyDescent="0.2">
      <c r="DI189" s="307">
        <v>178</v>
      </c>
      <c r="DJ189" s="90">
        <f t="shared" si="174"/>
        <v>0.22000000000000985</v>
      </c>
      <c r="DK189" s="90">
        <f t="shared" si="190"/>
        <v>0.15619675883016046</v>
      </c>
      <c r="DL189" s="90" t="e">
        <f t="shared" si="191"/>
        <v>#N/A</v>
      </c>
      <c r="DM189" s="90">
        <f t="shared" si="192"/>
        <v>0.15619675883016046</v>
      </c>
      <c r="DN189" s="90">
        <f t="shared" si="193"/>
        <v>32</v>
      </c>
      <c r="DO189" s="308">
        <f t="shared" si="175"/>
        <v>6.8000000000003946E-2</v>
      </c>
      <c r="DP189" s="307">
        <f t="shared" si="187"/>
        <v>0.21999999999999731</v>
      </c>
      <c r="DQ189" s="90">
        <f t="shared" si="194"/>
        <v>8.1804445814474963E-2</v>
      </c>
      <c r="DR189" s="90">
        <f t="shared" si="195"/>
        <v>8.1804445814474963E-2</v>
      </c>
      <c r="DS189" s="90">
        <f t="shared" si="188"/>
        <v>33</v>
      </c>
      <c r="DT189" s="308">
        <f t="shared" si="189"/>
        <v>6.7999999999998922E-2</v>
      </c>
      <c r="DU189" s="307">
        <f t="shared" si="182"/>
        <v>0.22000000000001085</v>
      </c>
      <c r="DV189" s="90">
        <f t="shared" si="196"/>
        <v>0.31676945274088902</v>
      </c>
      <c r="DW189" s="90">
        <f t="shared" si="197"/>
        <v>0.31676945274088902</v>
      </c>
      <c r="DX189" s="90">
        <f t="shared" si="185"/>
        <v>34</v>
      </c>
      <c r="DY189" s="308">
        <f t="shared" si="186"/>
        <v>6.8000000000004349E-2</v>
      </c>
    </row>
    <row r="190" spans="113:129" ht="12" customHeight="1" x14ac:dyDescent="0.2">
      <c r="DI190" s="307">
        <v>179</v>
      </c>
      <c r="DJ190" s="90">
        <f t="shared" si="174"/>
        <v>0.21000000000000996</v>
      </c>
      <c r="DK190" s="90">
        <f t="shared" si="190"/>
        <v>0.15699009773125441</v>
      </c>
      <c r="DL190" s="90" t="e">
        <f t="shared" si="191"/>
        <v>#N/A</v>
      </c>
      <c r="DM190" s="90">
        <f t="shared" si="192"/>
        <v>0.15699009773125441</v>
      </c>
      <c r="DN190" s="90">
        <f t="shared" si="193"/>
        <v>32</v>
      </c>
      <c r="DO190" s="308">
        <f t="shared" si="175"/>
        <v>6.4000000000003984E-2</v>
      </c>
      <c r="DP190" s="307">
        <f t="shared" si="187"/>
        <v>0.2099999999999973</v>
      </c>
      <c r="DQ190" s="90">
        <f t="shared" si="194"/>
        <v>8.2437362027615479E-2</v>
      </c>
      <c r="DR190" s="90">
        <f t="shared" si="195"/>
        <v>8.2437362027615479E-2</v>
      </c>
      <c r="DS190" s="90">
        <f t="shared" si="188"/>
        <v>33</v>
      </c>
      <c r="DT190" s="308">
        <f t="shared" si="189"/>
        <v>6.3999999999998919E-2</v>
      </c>
      <c r="DU190" s="307">
        <f t="shared" si="182"/>
        <v>0.21000000000001096</v>
      </c>
      <c r="DV190" s="90">
        <f t="shared" si="196"/>
        <v>0.31805325218924702</v>
      </c>
      <c r="DW190" s="90">
        <f t="shared" si="197"/>
        <v>0.31805325218924702</v>
      </c>
      <c r="DX190" s="90">
        <f t="shared" si="185"/>
        <v>34</v>
      </c>
      <c r="DY190" s="308">
        <f t="shared" si="186"/>
        <v>6.4000000000004387E-2</v>
      </c>
    </row>
    <row r="191" spans="113:129" ht="12" customHeight="1" x14ac:dyDescent="0.2">
      <c r="DI191" s="307">
        <v>180</v>
      </c>
      <c r="DJ191" s="90">
        <f t="shared" si="174"/>
        <v>0.20000000000001006</v>
      </c>
      <c r="DK191" s="90">
        <f t="shared" si="190"/>
        <v>0.15778343663234837</v>
      </c>
      <c r="DL191" s="90" t="e">
        <f t="shared" si="191"/>
        <v>#N/A</v>
      </c>
      <c r="DM191" s="90">
        <f t="shared" si="192"/>
        <v>0.15778343663234837</v>
      </c>
      <c r="DN191" s="90">
        <f t="shared" si="193"/>
        <v>32</v>
      </c>
      <c r="DO191" s="308">
        <f t="shared" si="175"/>
        <v>6.0000000000004022E-2</v>
      </c>
      <c r="DP191" s="307">
        <f t="shared" si="187"/>
        <v>0.19999999999999729</v>
      </c>
      <c r="DQ191" s="90">
        <f t="shared" si="194"/>
        <v>8.3070278240755996E-2</v>
      </c>
      <c r="DR191" s="90">
        <f t="shared" si="195"/>
        <v>8.3070278240755996E-2</v>
      </c>
      <c r="DS191" s="90">
        <f t="shared" si="188"/>
        <v>33</v>
      </c>
      <c r="DT191" s="308">
        <f t="shared" si="189"/>
        <v>5.9999999999998915E-2</v>
      </c>
      <c r="DU191" s="307">
        <f t="shared" si="182"/>
        <v>0.20000000000001095</v>
      </c>
      <c r="DV191" s="90">
        <f t="shared" si="196"/>
        <v>0.31933705163760501</v>
      </c>
      <c r="DW191" s="90">
        <f t="shared" si="197"/>
        <v>0.31933705163760501</v>
      </c>
      <c r="DX191" s="90">
        <f t="shared" si="185"/>
        <v>34</v>
      </c>
      <c r="DY191" s="308">
        <f t="shared" si="186"/>
        <v>6.0000000000004383E-2</v>
      </c>
    </row>
    <row r="192" spans="113:129" ht="12" customHeight="1" x14ac:dyDescent="0.2">
      <c r="DI192" s="307">
        <v>181</v>
      </c>
      <c r="DJ192" s="90">
        <f t="shared" si="174"/>
        <v>0.19000000000001005</v>
      </c>
      <c r="DK192" s="90">
        <f t="shared" si="190"/>
        <v>0.15857677553344232</v>
      </c>
      <c r="DL192" s="90" t="e">
        <f t="shared" si="191"/>
        <v>#N/A</v>
      </c>
      <c r="DM192" s="90">
        <f t="shared" si="192"/>
        <v>0.15857677553344232</v>
      </c>
      <c r="DN192" s="90">
        <f t="shared" si="193"/>
        <v>32</v>
      </c>
      <c r="DO192" s="308">
        <f t="shared" si="175"/>
        <v>5.6000000000004019E-2</v>
      </c>
      <c r="DP192" s="307">
        <f t="shared" si="187"/>
        <v>0.18999999999999717</v>
      </c>
      <c r="DQ192" s="90">
        <f t="shared" si="194"/>
        <v>8.3703194453896512E-2</v>
      </c>
      <c r="DR192" s="90">
        <f t="shared" si="195"/>
        <v>8.3703194453896512E-2</v>
      </c>
      <c r="DS192" s="90">
        <f t="shared" si="188"/>
        <v>33</v>
      </c>
      <c r="DT192" s="308">
        <f t="shared" si="189"/>
        <v>5.599999999999887E-2</v>
      </c>
      <c r="DU192" s="307">
        <f t="shared" si="182"/>
        <v>0.19000000000001105</v>
      </c>
      <c r="DV192" s="90">
        <f t="shared" si="196"/>
        <v>0.320620851085963</v>
      </c>
      <c r="DW192" s="90">
        <f t="shared" si="197"/>
        <v>0.320620851085963</v>
      </c>
      <c r="DX192" s="90">
        <f t="shared" si="185"/>
        <v>34</v>
      </c>
      <c r="DY192" s="308">
        <f t="shared" si="186"/>
        <v>5.6000000000004421E-2</v>
      </c>
    </row>
    <row r="193" spans="113:129" ht="12" customHeight="1" x14ac:dyDescent="0.2">
      <c r="DI193" s="307">
        <v>182</v>
      </c>
      <c r="DJ193" s="90">
        <f t="shared" si="174"/>
        <v>0.18000000000001015</v>
      </c>
      <c r="DK193" s="90">
        <f t="shared" si="190"/>
        <v>0.15937011443453628</v>
      </c>
      <c r="DL193" s="90" t="e">
        <f t="shared" si="191"/>
        <v>#N/A</v>
      </c>
      <c r="DM193" s="90">
        <f t="shared" si="192"/>
        <v>0.15937011443453628</v>
      </c>
      <c r="DN193" s="90">
        <f t="shared" si="193"/>
        <v>32</v>
      </c>
      <c r="DO193" s="308">
        <f t="shared" si="175"/>
        <v>5.2000000000004057E-2</v>
      </c>
      <c r="DP193" s="307">
        <f t="shared" si="187"/>
        <v>0.17999999999999716</v>
      </c>
      <c r="DQ193" s="90">
        <f t="shared" si="194"/>
        <v>8.4336110667037029E-2</v>
      </c>
      <c r="DR193" s="90">
        <f t="shared" si="195"/>
        <v>8.4336110667037029E-2</v>
      </c>
      <c r="DS193" s="90">
        <f t="shared" si="188"/>
        <v>33</v>
      </c>
      <c r="DT193" s="308">
        <f t="shared" si="189"/>
        <v>5.1999999999998867E-2</v>
      </c>
      <c r="DU193" s="307">
        <f t="shared" si="182"/>
        <v>0.18000000000001115</v>
      </c>
      <c r="DV193" s="90">
        <f t="shared" si="196"/>
        <v>0.32190465053432099</v>
      </c>
      <c r="DW193" s="90">
        <f t="shared" si="197"/>
        <v>0.32190465053432099</v>
      </c>
      <c r="DX193" s="90">
        <f t="shared" si="185"/>
        <v>34</v>
      </c>
      <c r="DY193" s="308">
        <f t="shared" si="186"/>
        <v>5.2000000000004459E-2</v>
      </c>
    </row>
    <row r="194" spans="113:129" ht="12" customHeight="1" x14ac:dyDescent="0.2">
      <c r="DI194" s="307">
        <v>183</v>
      </c>
      <c r="DJ194" s="90">
        <f t="shared" si="174"/>
        <v>0.17000000000001025</v>
      </c>
      <c r="DK194" s="90">
        <f t="shared" si="190"/>
        <v>0.16016345333563023</v>
      </c>
      <c r="DL194" s="90" t="e">
        <f t="shared" si="191"/>
        <v>#N/A</v>
      </c>
      <c r="DM194" s="90">
        <f t="shared" si="192"/>
        <v>0.16016345333563023</v>
      </c>
      <c r="DN194" s="90">
        <f t="shared" si="193"/>
        <v>32</v>
      </c>
      <c r="DO194" s="308">
        <f t="shared" si="175"/>
        <v>4.8000000000004095E-2</v>
      </c>
      <c r="DP194" s="307">
        <f t="shared" si="187"/>
        <v>0.16999999999999715</v>
      </c>
      <c r="DQ194" s="90">
        <f t="shared" si="194"/>
        <v>8.4969026880177545E-2</v>
      </c>
      <c r="DR194" s="90">
        <f t="shared" si="195"/>
        <v>8.4969026880177545E-2</v>
      </c>
      <c r="DS194" s="90">
        <f t="shared" si="188"/>
        <v>33</v>
      </c>
      <c r="DT194" s="308">
        <f t="shared" si="189"/>
        <v>4.7999999999998863E-2</v>
      </c>
      <c r="DU194" s="307">
        <f t="shared" si="182"/>
        <v>0.17000000000001125</v>
      </c>
      <c r="DV194" s="90">
        <f t="shared" si="196"/>
        <v>0.32318844998267898</v>
      </c>
      <c r="DW194" s="90">
        <f t="shared" si="197"/>
        <v>0.32318844998267898</v>
      </c>
      <c r="DX194" s="90">
        <f t="shared" si="185"/>
        <v>34</v>
      </c>
      <c r="DY194" s="308">
        <f t="shared" si="186"/>
        <v>4.8000000000004497E-2</v>
      </c>
    </row>
    <row r="195" spans="113:129" ht="12" customHeight="1" x14ac:dyDescent="0.2">
      <c r="DI195" s="307">
        <v>184</v>
      </c>
      <c r="DJ195" s="90">
        <f t="shared" si="174"/>
        <v>0.16000000000001036</v>
      </c>
      <c r="DK195" s="90">
        <f t="shared" si="190"/>
        <v>0.16095679223672418</v>
      </c>
      <c r="DL195" s="90" t="e">
        <f t="shared" si="191"/>
        <v>#N/A</v>
      </c>
      <c r="DM195" s="90">
        <f t="shared" si="192"/>
        <v>0.16095679223672418</v>
      </c>
      <c r="DN195" s="90">
        <f t="shared" si="193"/>
        <v>32</v>
      </c>
      <c r="DO195" s="308">
        <f t="shared" si="175"/>
        <v>4.4000000000004147E-2</v>
      </c>
      <c r="DP195" s="307">
        <f t="shared" si="187"/>
        <v>0.15999999999999703</v>
      </c>
      <c r="DQ195" s="90">
        <f t="shared" si="194"/>
        <v>8.5601943093318061E-2</v>
      </c>
      <c r="DR195" s="90">
        <f t="shared" si="195"/>
        <v>8.5601943093318061E-2</v>
      </c>
      <c r="DS195" s="90">
        <f t="shared" si="188"/>
        <v>33</v>
      </c>
      <c r="DT195" s="308">
        <f t="shared" si="189"/>
        <v>4.3999999999998818E-2</v>
      </c>
      <c r="DU195" s="307">
        <f t="shared" si="182"/>
        <v>0.16000000000001124</v>
      </c>
      <c r="DV195" s="90">
        <f t="shared" si="196"/>
        <v>0.32447224943103697</v>
      </c>
      <c r="DW195" s="90">
        <f t="shared" si="197"/>
        <v>0.32447224943103697</v>
      </c>
      <c r="DX195" s="90">
        <f t="shared" si="185"/>
        <v>34</v>
      </c>
      <c r="DY195" s="308">
        <f t="shared" si="186"/>
        <v>4.4000000000004494E-2</v>
      </c>
    </row>
    <row r="196" spans="113:129" ht="12" customHeight="1" x14ac:dyDescent="0.2">
      <c r="DI196" s="307">
        <v>185</v>
      </c>
      <c r="DJ196" s="90">
        <f t="shared" si="174"/>
        <v>0.15000000000001046</v>
      </c>
      <c r="DK196" s="90">
        <f t="shared" si="190"/>
        <v>0.16175013113781814</v>
      </c>
      <c r="DL196" s="90" t="e">
        <f t="shared" si="191"/>
        <v>#N/A</v>
      </c>
      <c r="DM196" s="90">
        <f t="shared" si="192"/>
        <v>0.16175013113781814</v>
      </c>
      <c r="DN196" s="90">
        <f t="shared" si="193"/>
        <v>32</v>
      </c>
      <c r="DO196" s="308">
        <f t="shared" si="175"/>
        <v>4.0000000000004185E-2</v>
      </c>
      <c r="DP196" s="307">
        <f t="shared" si="187"/>
        <v>0.14999999999999702</v>
      </c>
      <c r="DQ196" s="90">
        <f t="shared" si="194"/>
        <v>8.6234859306458578E-2</v>
      </c>
      <c r="DR196" s="90">
        <f t="shared" si="195"/>
        <v>8.6234859306458578E-2</v>
      </c>
      <c r="DS196" s="90">
        <f t="shared" si="188"/>
        <v>33</v>
      </c>
      <c r="DT196" s="308">
        <f t="shared" si="189"/>
        <v>3.9999999999998814E-2</v>
      </c>
      <c r="DU196" s="307">
        <f t="shared" si="182"/>
        <v>0.15000000000001135</v>
      </c>
      <c r="DV196" s="90">
        <f t="shared" si="196"/>
        <v>0.32575604887939497</v>
      </c>
      <c r="DW196" s="90">
        <f t="shared" si="197"/>
        <v>0.32575604887939497</v>
      </c>
      <c r="DX196" s="90">
        <f t="shared" si="185"/>
        <v>34</v>
      </c>
      <c r="DY196" s="308">
        <f t="shared" si="186"/>
        <v>4.0000000000004546E-2</v>
      </c>
    </row>
    <row r="197" spans="113:129" ht="12" customHeight="1" x14ac:dyDescent="0.2">
      <c r="DI197" s="307">
        <v>186</v>
      </c>
      <c r="DJ197" s="90">
        <f t="shared" si="174"/>
        <v>0.14000000000001056</v>
      </c>
      <c r="DK197" s="90">
        <f t="shared" si="190"/>
        <v>0.16254347003891209</v>
      </c>
      <c r="DL197" s="90" t="e">
        <f t="shared" si="191"/>
        <v>#N/A</v>
      </c>
      <c r="DM197" s="90">
        <f t="shared" si="192"/>
        <v>0.16254347003891209</v>
      </c>
      <c r="DN197" s="90">
        <f t="shared" si="193"/>
        <v>32</v>
      </c>
      <c r="DO197" s="308">
        <f t="shared" si="175"/>
        <v>3.6000000000004223E-2</v>
      </c>
      <c r="DP197" s="307">
        <f t="shared" si="187"/>
        <v>0.13999999999999702</v>
      </c>
      <c r="DQ197" s="90">
        <f t="shared" si="194"/>
        <v>8.6867775519599094E-2</v>
      </c>
      <c r="DR197" s="90">
        <f t="shared" si="195"/>
        <v>8.6867775519599094E-2</v>
      </c>
      <c r="DS197" s="90">
        <f t="shared" si="188"/>
        <v>33</v>
      </c>
      <c r="DT197" s="308">
        <f t="shared" si="189"/>
        <v>3.5999999999998811E-2</v>
      </c>
      <c r="DU197" s="307">
        <f t="shared" si="182"/>
        <v>0.14000000000001145</v>
      </c>
      <c r="DV197" s="90">
        <f t="shared" si="196"/>
        <v>0.32703984832775296</v>
      </c>
      <c r="DW197" s="90">
        <f t="shared" si="197"/>
        <v>0.32703984832775296</v>
      </c>
      <c r="DX197" s="90">
        <f t="shared" si="185"/>
        <v>34</v>
      </c>
      <c r="DY197" s="308">
        <f t="shared" si="186"/>
        <v>3.6000000000004584E-2</v>
      </c>
    </row>
    <row r="198" spans="113:129" ht="12" customHeight="1" x14ac:dyDescent="0.2">
      <c r="DI198" s="307">
        <v>187</v>
      </c>
      <c r="DJ198" s="90">
        <f t="shared" si="174"/>
        <v>0.13000000000001055</v>
      </c>
      <c r="DK198" s="90">
        <f t="shared" si="190"/>
        <v>0.16333680894000605</v>
      </c>
      <c r="DL198" s="90" t="e">
        <f t="shared" si="191"/>
        <v>#N/A</v>
      </c>
      <c r="DM198" s="90">
        <f t="shared" si="192"/>
        <v>0.16333680894000605</v>
      </c>
      <c r="DN198" s="90">
        <f t="shared" si="193"/>
        <v>32</v>
      </c>
      <c r="DO198" s="308">
        <f t="shared" si="175"/>
        <v>3.200000000000422E-2</v>
      </c>
      <c r="DP198" s="307">
        <f t="shared" si="187"/>
        <v>0.12999999999999701</v>
      </c>
      <c r="DQ198" s="90">
        <f t="shared" si="194"/>
        <v>8.7500691732739611E-2</v>
      </c>
      <c r="DR198" s="90">
        <f t="shared" si="195"/>
        <v>8.7500691732739611E-2</v>
      </c>
      <c r="DS198" s="90">
        <f t="shared" si="188"/>
        <v>33</v>
      </c>
      <c r="DT198" s="308">
        <f t="shared" si="189"/>
        <v>3.1999999999998807E-2</v>
      </c>
      <c r="DU198" s="307">
        <f t="shared" si="182"/>
        <v>0.13000000000001155</v>
      </c>
      <c r="DV198" s="90">
        <f t="shared" si="196"/>
        <v>0.32832364777611095</v>
      </c>
      <c r="DW198" s="90">
        <f t="shared" si="197"/>
        <v>0.32832364777611095</v>
      </c>
      <c r="DX198" s="90">
        <f t="shared" si="185"/>
        <v>34</v>
      </c>
      <c r="DY198" s="308">
        <f t="shared" si="186"/>
        <v>3.2000000000004622E-2</v>
      </c>
    </row>
    <row r="199" spans="113:129" ht="12" customHeight="1" x14ac:dyDescent="0.2">
      <c r="DI199" s="307">
        <v>188</v>
      </c>
      <c r="DJ199" s="90">
        <f t="shared" si="174"/>
        <v>0.12000000000001065</v>
      </c>
      <c r="DK199" s="90">
        <f t="shared" si="190"/>
        <v>0.1641301478411</v>
      </c>
      <c r="DL199" s="90" t="e">
        <f t="shared" si="191"/>
        <v>#N/A</v>
      </c>
      <c r="DM199" s="90">
        <f t="shared" si="192"/>
        <v>0.1641301478411</v>
      </c>
      <c r="DN199" s="90">
        <f t="shared" si="193"/>
        <v>32</v>
      </c>
      <c r="DO199" s="308">
        <f t="shared" si="175"/>
        <v>2.8000000000004261E-2</v>
      </c>
      <c r="DP199" s="307">
        <f t="shared" si="187"/>
        <v>0.11999999999999689</v>
      </c>
      <c r="DQ199" s="90">
        <f t="shared" si="194"/>
        <v>8.8133607945880127E-2</v>
      </c>
      <c r="DR199" s="90">
        <f t="shared" si="195"/>
        <v>8.8133607945880127E-2</v>
      </c>
      <c r="DS199" s="90">
        <f t="shared" si="188"/>
        <v>33</v>
      </c>
      <c r="DT199" s="308">
        <f t="shared" si="189"/>
        <v>2.7999999999998759E-2</v>
      </c>
      <c r="DU199" s="307">
        <f t="shared" si="182"/>
        <v>0.12000000000001165</v>
      </c>
      <c r="DV199" s="90">
        <f t="shared" si="196"/>
        <v>0.32960744722446894</v>
      </c>
      <c r="DW199" s="90">
        <f t="shared" si="197"/>
        <v>0.32960744722446894</v>
      </c>
      <c r="DX199" s="90">
        <f t="shared" si="185"/>
        <v>34</v>
      </c>
      <c r="DY199" s="308">
        <f t="shared" si="186"/>
        <v>2.8000000000004664E-2</v>
      </c>
    </row>
    <row r="200" spans="113:129" ht="12" customHeight="1" x14ac:dyDescent="0.2">
      <c r="DI200" s="307">
        <v>189</v>
      </c>
      <c r="DJ200" s="90">
        <f t="shared" si="174"/>
        <v>0.11000000000001076</v>
      </c>
      <c r="DK200" s="90">
        <f t="shared" si="190"/>
        <v>0.16492348674219395</v>
      </c>
      <c r="DL200" s="90" t="e">
        <f t="shared" si="191"/>
        <v>#N/A</v>
      </c>
      <c r="DM200" s="90">
        <f t="shared" si="192"/>
        <v>0.16492348674219395</v>
      </c>
      <c r="DN200" s="90">
        <f t="shared" si="193"/>
        <v>32</v>
      </c>
      <c r="DO200" s="308">
        <f t="shared" si="175"/>
        <v>2.4000000000004306E-2</v>
      </c>
      <c r="DP200" s="307">
        <f t="shared" si="187"/>
        <v>0.10999999999999688</v>
      </c>
      <c r="DQ200" s="90">
        <f t="shared" si="194"/>
        <v>8.8766524159020643E-2</v>
      </c>
      <c r="DR200" s="90">
        <f t="shared" si="195"/>
        <v>8.8766524159020643E-2</v>
      </c>
      <c r="DS200" s="90">
        <f t="shared" si="188"/>
        <v>33</v>
      </c>
      <c r="DT200" s="308">
        <f t="shared" si="189"/>
        <v>2.3999999999998755E-2</v>
      </c>
      <c r="DU200" s="307">
        <f t="shared" si="182"/>
        <v>0.11000000000001164</v>
      </c>
      <c r="DV200" s="90">
        <f t="shared" si="196"/>
        <v>0.33089124667282693</v>
      </c>
      <c r="DW200" s="90">
        <f t="shared" si="197"/>
        <v>0.33089124667282693</v>
      </c>
      <c r="DX200" s="90">
        <f t="shared" si="185"/>
        <v>34</v>
      </c>
      <c r="DY200" s="308">
        <f t="shared" si="186"/>
        <v>2.400000000000466E-2</v>
      </c>
    </row>
    <row r="201" spans="113:129" ht="12" customHeight="1" x14ac:dyDescent="0.2">
      <c r="DI201" s="307">
        <v>190</v>
      </c>
      <c r="DJ201" s="90">
        <f t="shared" si="174"/>
        <v>0.10000000000001086</v>
      </c>
      <c r="DK201" s="90">
        <f t="shared" si="190"/>
        <v>0.16571682564328791</v>
      </c>
      <c r="DL201" s="90" t="e">
        <f t="shared" si="191"/>
        <v>#N/A</v>
      </c>
      <c r="DM201" s="90">
        <f t="shared" si="192"/>
        <v>0.16571682564328791</v>
      </c>
      <c r="DN201" s="90">
        <f t="shared" si="193"/>
        <v>32</v>
      </c>
      <c r="DO201" s="308">
        <f t="shared" si="175"/>
        <v>2.0000000000004344E-2</v>
      </c>
      <c r="DP201" s="307">
        <f t="shared" si="187"/>
        <v>9.9999999999996869E-2</v>
      </c>
      <c r="DQ201" s="90">
        <f t="shared" si="194"/>
        <v>8.939944037216116E-2</v>
      </c>
      <c r="DR201" s="90">
        <f t="shared" si="195"/>
        <v>8.939944037216116E-2</v>
      </c>
      <c r="DS201" s="90">
        <f t="shared" si="188"/>
        <v>33</v>
      </c>
      <c r="DT201" s="308">
        <f t="shared" si="189"/>
        <v>1.9999999999998751E-2</v>
      </c>
      <c r="DU201" s="307">
        <f t="shared" si="182"/>
        <v>0.10000000000001175</v>
      </c>
      <c r="DV201" s="90">
        <f t="shared" si="196"/>
        <v>0.33217504612118492</v>
      </c>
      <c r="DW201" s="90">
        <f t="shared" si="197"/>
        <v>0.33217504612118492</v>
      </c>
      <c r="DX201" s="90">
        <f t="shared" si="185"/>
        <v>34</v>
      </c>
      <c r="DY201" s="308">
        <f t="shared" si="186"/>
        <v>2.0000000000004698E-2</v>
      </c>
    </row>
    <row r="202" spans="113:129" ht="12" customHeight="1" x14ac:dyDescent="0.2">
      <c r="DI202" s="307">
        <v>191</v>
      </c>
      <c r="DJ202" s="90">
        <f t="shared" si="174"/>
        <v>9.000000000001096E-2</v>
      </c>
      <c r="DK202" s="90">
        <f t="shared" si="190"/>
        <v>0.16651016454438186</v>
      </c>
      <c r="DL202" s="90" t="e">
        <f t="shared" si="191"/>
        <v>#N/A</v>
      </c>
      <c r="DM202" s="90">
        <f t="shared" si="192"/>
        <v>0.16651016454438186</v>
      </c>
      <c r="DN202" s="90">
        <f t="shared" si="193"/>
        <v>32</v>
      </c>
      <c r="DO202" s="308">
        <f t="shared" si="175"/>
        <v>1.6000000000004382E-2</v>
      </c>
      <c r="DP202" s="307">
        <f t="shared" si="187"/>
        <v>8.9999999999996749E-2</v>
      </c>
      <c r="DQ202" s="90">
        <f t="shared" si="194"/>
        <v>9.0032356585301676E-2</v>
      </c>
      <c r="DR202" s="90">
        <f t="shared" si="195"/>
        <v>9.0032356585301676E-2</v>
      </c>
      <c r="DS202" s="90">
        <f t="shared" si="188"/>
        <v>33</v>
      </c>
      <c r="DT202" s="308">
        <f t="shared" si="189"/>
        <v>1.5999999999998699E-2</v>
      </c>
      <c r="DU202" s="307">
        <f t="shared" si="182"/>
        <v>9.0000000000011848E-2</v>
      </c>
      <c r="DV202" s="90">
        <f t="shared" si="196"/>
        <v>0.33345884556954292</v>
      </c>
      <c r="DW202" s="90">
        <f t="shared" si="197"/>
        <v>0.33345884556954292</v>
      </c>
      <c r="DX202" s="90">
        <f t="shared" si="185"/>
        <v>34</v>
      </c>
      <c r="DY202" s="308">
        <f t="shared" si="186"/>
        <v>1.6000000000004743E-2</v>
      </c>
    </row>
    <row r="203" spans="113:129" ht="12" customHeight="1" x14ac:dyDescent="0.2">
      <c r="DI203" s="307">
        <v>192</v>
      </c>
      <c r="DJ203" s="90">
        <f t="shared" ref="DJ203:DJ211" si="198">1-ABS($BZ$38-DM203)/$CB$39</f>
        <v>8.0000000000011062E-2</v>
      </c>
      <c r="DK203" s="90">
        <f t="shared" si="190"/>
        <v>0.16730350344547582</v>
      </c>
      <c r="DL203" s="90" t="e">
        <f t="shared" si="191"/>
        <v>#N/A</v>
      </c>
      <c r="DM203" s="90">
        <f t="shared" si="192"/>
        <v>0.16730350344547582</v>
      </c>
      <c r="DN203" s="90">
        <f t="shared" si="193"/>
        <v>32</v>
      </c>
      <c r="DO203" s="308">
        <f t="shared" ref="DO203:DO211" si="199">MAX($DL$3*DJ203-$DL$9,0)</f>
        <v>1.2000000000004427E-2</v>
      </c>
      <c r="DP203" s="307">
        <f t="shared" si="187"/>
        <v>7.999999999999674E-2</v>
      </c>
      <c r="DQ203" s="90">
        <f t="shared" si="194"/>
        <v>9.0665272798442192E-2</v>
      </c>
      <c r="DR203" s="90">
        <f t="shared" si="195"/>
        <v>9.0665272798442192E-2</v>
      </c>
      <c r="DS203" s="90">
        <f t="shared" si="188"/>
        <v>33</v>
      </c>
      <c r="DT203" s="308">
        <f t="shared" si="189"/>
        <v>1.1999999999998696E-2</v>
      </c>
      <c r="DU203" s="307">
        <f t="shared" si="182"/>
        <v>8.000000000001195E-2</v>
      </c>
      <c r="DV203" s="90">
        <f t="shared" si="196"/>
        <v>0.33474264501790091</v>
      </c>
      <c r="DW203" s="90">
        <f t="shared" si="197"/>
        <v>0.33474264501790091</v>
      </c>
      <c r="DX203" s="90">
        <f t="shared" si="185"/>
        <v>34</v>
      </c>
      <c r="DY203" s="308">
        <f t="shared" si="186"/>
        <v>1.2000000000004781E-2</v>
      </c>
    </row>
    <row r="204" spans="113:129" ht="12" customHeight="1" x14ac:dyDescent="0.2">
      <c r="DI204" s="307">
        <v>193</v>
      </c>
      <c r="DJ204" s="90">
        <f t="shared" si="198"/>
        <v>7.0000000000011164E-2</v>
      </c>
      <c r="DK204" s="90">
        <f t="shared" ref="DK204:DK211" si="200">IF(AND($BX$5,$CG$4,$CJ$2),DM203+$DL$8,NA())</f>
        <v>0.16809684234656977</v>
      </c>
      <c r="DL204" s="90" t="e">
        <f t="shared" ref="DL204:DL211" si="201">IF(AND(NOT($BX$5),$CG$4),DM203+$DL$8,NA())</f>
        <v>#N/A</v>
      </c>
      <c r="DM204" s="90">
        <f t="shared" ref="DM204:DM211" si="202">IF($CG$4,DM203+$DL$8,NA())</f>
        <v>0.16809684234656977</v>
      </c>
      <c r="DN204" s="90">
        <f t="shared" ref="DN204:DN211" si="203">DN203</f>
        <v>32</v>
      </c>
      <c r="DO204" s="308">
        <f t="shared" si="199"/>
        <v>8.0000000000044653E-3</v>
      </c>
      <c r="DP204" s="307">
        <f t="shared" si="187"/>
        <v>6.9999999999996732E-2</v>
      </c>
      <c r="DQ204" s="90">
        <f t="shared" ref="DQ204:DQ211" si="204">IF(AND($BX$5,$CG$4),DR203+$DQ$8,NA())</f>
        <v>9.1298189011582709E-2</v>
      </c>
      <c r="DR204" s="90">
        <f t="shared" ref="DR204:DR211" si="205">IF($CG$4,DR203+$DQ$8,NA())</f>
        <v>9.1298189011582709E-2</v>
      </c>
      <c r="DS204" s="90">
        <f t="shared" si="188"/>
        <v>33</v>
      </c>
      <c r="DT204" s="308">
        <f t="shared" si="189"/>
        <v>7.9999999999986922E-3</v>
      </c>
      <c r="DU204" s="307">
        <f t="shared" ref="DU204:DU211" si="206">1-ABS($BZ$112-DW204)/$CB$113</f>
        <v>7.0000000000011942E-2</v>
      </c>
      <c r="DV204" s="90">
        <f t="shared" ref="DV204:DV211" si="207">IF(AND($BX$5,$CG$4),DW203+$DV$8,NA())</f>
        <v>0.3360264444662589</v>
      </c>
      <c r="DW204" s="90">
        <f t="shared" ref="DW204:DW211" si="208">IF($CG$4,DW203+$DV$8,NA())</f>
        <v>0.3360264444662589</v>
      </c>
      <c r="DX204" s="90">
        <f t="shared" ref="DX204:DX211" si="209">DX203</f>
        <v>34</v>
      </c>
      <c r="DY204" s="308">
        <f t="shared" ref="DY204:DY211" si="210">MAX($DX$3*DU204-$DV$9,0)</f>
        <v>8.0000000000047776E-3</v>
      </c>
    </row>
    <row r="205" spans="113:129" ht="12" customHeight="1" x14ac:dyDescent="0.2">
      <c r="DI205" s="307">
        <v>194</v>
      </c>
      <c r="DJ205" s="90">
        <f t="shared" si="198"/>
        <v>6.0000000000011156E-2</v>
      </c>
      <c r="DK205" s="90">
        <f t="shared" si="200"/>
        <v>0.16889018124766372</v>
      </c>
      <c r="DL205" s="90" t="e">
        <f t="shared" si="201"/>
        <v>#N/A</v>
      </c>
      <c r="DM205" s="90">
        <f t="shared" si="202"/>
        <v>0.16889018124766372</v>
      </c>
      <c r="DN205" s="90">
        <f t="shared" si="203"/>
        <v>32</v>
      </c>
      <c r="DO205" s="308">
        <f t="shared" si="199"/>
        <v>4.0000000000044618E-3</v>
      </c>
      <c r="DP205" s="307">
        <f t="shared" ref="DP205:DP211" si="211">1-ABS($BZ$75-DR205)/$CB$76</f>
        <v>5.9999999999996612E-2</v>
      </c>
      <c r="DQ205" s="90">
        <f t="shared" si="204"/>
        <v>9.1931105224723225E-2</v>
      </c>
      <c r="DR205" s="90">
        <f t="shared" si="205"/>
        <v>9.1931105224723225E-2</v>
      </c>
      <c r="DS205" s="90">
        <f t="shared" ref="DS205:DS211" si="212">DS204</f>
        <v>33</v>
      </c>
      <c r="DT205" s="308">
        <f t="shared" ref="DT205:DT211" si="213">MAX($DS$3*DP205-$DQ$9,0)</f>
        <v>3.999999999998647E-3</v>
      </c>
      <c r="DU205" s="307">
        <f t="shared" si="206"/>
        <v>6.0000000000012044E-2</v>
      </c>
      <c r="DV205" s="90">
        <f t="shared" si="207"/>
        <v>0.33731024391461689</v>
      </c>
      <c r="DW205" s="90">
        <f t="shared" si="208"/>
        <v>0.33731024391461689</v>
      </c>
      <c r="DX205" s="90">
        <f t="shared" si="209"/>
        <v>34</v>
      </c>
      <c r="DY205" s="308">
        <f t="shared" si="210"/>
        <v>4.0000000000048191E-3</v>
      </c>
    </row>
    <row r="206" spans="113:129" ht="12" customHeight="1" x14ac:dyDescent="0.2">
      <c r="DI206" s="307">
        <v>195</v>
      </c>
      <c r="DJ206" s="90">
        <f t="shared" si="198"/>
        <v>5.0000000000011258E-2</v>
      </c>
      <c r="DK206" s="90">
        <f t="shared" si="200"/>
        <v>0.16968352014875768</v>
      </c>
      <c r="DL206" s="90" t="e">
        <f t="shared" si="201"/>
        <v>#N/A</v>
      </c>
      <c r="DM206" s="90">
        <f t="shared" si="202"/>
        <v>0.16968352014875768</v>
      </c>
      <c r="DN206" s="90">
        <f t="shared" si="203"/>
        <v>32</v>
      </c>
      <c r="DO206" s="308">
        <f t="shared" si="199"/>
        <v>4.5033421436357912E-15</v>
      </c>
      <c r="DP206" s="307">
        <f t="shared" si="211"/>
        <v>4.9999999999996603E-2</v>
      </c>
      <c r="DQ206" s="90">
        <f t="shared" si="204"/>
        <v>9.2564021437863742E-2</v>
      </c>
      <c r="DR206" s="90">
        <f t="shared" si="205"/>
        <v>9.2564021437863742E-2</v>
      </c>
      <c r="DS206" s="90">
        <f t="shared" si="212"/>
        <v>33</v>
      </c>
      <c r="DT206" s="308">
        <f t="shared" si="213"/>
        <v>0</v>
      </c>
      <c r="DU206" s="307">
        <f t="shared" si="206"/>
        <v>5.0000000000012146E-2</v>
      </c>
      <c r="DV206" s="90">
        <f t="shared" si="207"/>
        <v>0.33859404336297488</v>
      </c>
      <c r="DW206" s="90">
        <f t="shared" si="208"/>
        <v>0.33859404336297488</v>
      </c>
      <c r="DX206" s="90">
        <f t="shared" si="209"/>
        <v>34</v>
      </c>
      <c r="DY206" s="308">
        <f t="shared" si="210"/>
        <v>4.8606951796870135E-15</v>
      </c>
    </row>
    <row r="207" spans="113:129" ht="12" customHeight="1" x14ac:dyDescent="0.2">
      <c r="DI207" s="307">
        <v>196</v>
      </c>
      <c r="DJ207" s="90">
        <f t="shared" si="198"/>
        <v>4.000000000001136E-2</v>
      </c>
      <c r="DK207" s="90">
        <f t="shared" si="200"/>
        <v>0.17047685904985163</v>
      </c>
      <c r="DL207" s="90" t="e">
        <f t="shared" si="201"/>
        <v>#N/A</v>
      </c>
      <c r="DM207" s="90">
        <f t="shared" si="202"/>
        <v>0.17047685904985163</v>
      </c>
      <c r="DN207" s="90">
        <f t="shared" si="203"/>
        <v>32</v>
      </c>
      <c r="DO207" s="308">
        <f t="shared" si="199"/>
        <v>0</v>
      </c>
      <c r="DP207" s="307">
        <f t="shared" si="211"/>
        <v>3.9999999999996594E-2</v>
      </c>
      <c r="DQ207" s="90">
        <f t="shared" si="204"/>
        <v>9.3196937651004258E-2</v>
      </c>
      <c r="DR207" s="90">
        <f t="shared" si="205"/>
        <v>9.3196937651004258E-2</v>
      </c>
      <c r="DS207" s="90">
        <f t="shared" si="212"/>
        <v>33</v>
      </c>
      <c r="DT207" s="308">
        <f t="shared" si="213"/>
        <v>0</v>
      </c>
      <c r="DU207" s="307">
        <f t="shared" si="206"/>
        <v>4.0000000000012248E-2</v>
      </c>
      <c r="DV207" s="90">
        <f t="shared" si="207"/>
        <v>0.33987784281133288</v>
      </c>
      <c r="DW207" s="90">
        <f t="shared" si="208"/>
        <v>0.33987784281133288</v>
      </c>
      <c r="DX207" s="90">
        <f t="shared" si="209"/>
        <v>34</v>
      </c>
      <c r="DY207" s="308">
        <f t="shared" si="210"/>
        <v>0</v>
      </c>
    </row>
    <row r="208" spans="113:129" ht="12" customHeight="1" x14ac:dyDescent="0.2">
      <c r="DI208" s="307">
        <v>197</v>
      </c>
      <c r="DJ208" s="90">
        <f t="shared" si="198"/>
        <v>3.0000000000011462E-2</v>
      </c>
      <c r="DK208" s="90">
        <f t="shared" si="200"/>
        <v>0.17127019795094559</v>
      </c>
      <c r="DL208" s="90" t="e">
        <f t="shared" si="201"/>
        <v>#N/A</v>
      </c>
      <c r="DM208" s="90">
        <f t="shared" si="202"/>
        <v>0.17127019795094559</v>
      </c>
      <c r="DN208" s="90">
        <f t="shared" si="203"/>
        <v>32</v>
      </c>
      <c r="DO208" s="308">
        <f t="shared" si="199"/>
        <v>0</v>
      </c>
      <c r="DP208" s="307">
        <f t="shared" si="211"/>
        <v>2.9999999999996474E-2</v>
      </c>
      <c r="DQ208" s="90">
        <f t="shared" si="204"/>
        <v>9.3829853864144774E-2</v>
      </c>
      <c r="DR208" s="90">
        <f t="shared" si="205"/>
        <v>9.3829853864144774E-2</v>
      </c>
      <c r="DS208" s="90">
        <f t="shared" si="212"/>
        <v>33</v>
      </c>
      <c r="DT208" s="308">
        <f t="shared" si="213"/>
        <v>0</v>
      </c>
      <c r="DU208" s="307">
        <f t="shared" si="206"/>
        <v>3.000000000001235E-2</v>
      </c>
      <c r="DV208" s="90">
        <f t="shared" si="207"/>
        <v>0.34116164225969087</v>
      </c>
      <c r="DW208" s="90">
        <f t="shared" si="208"/>
        <v>0.34116164225969087</v>
      </c>
      <c r="DX208" s="90">
        <f t="shared" si="209"/>
        <v>34</v>
      </c>
      <c r="DY208" s="308">
        <f t="shared" si="210"/>
        <v>0</v>
      </c>
    </row>
    <row r="209" spans="113:129" ht="12" customHeight="1" x14ac:dyDescent="0.2">
      <c r="DI209" s="307">
        <v>198</v>
      </c>
      <c r="DJ209" s="90">
        <f t="shared" si="198"/>
        <v>2.0000000000011564E-2</v>
      </c>
      <c r="DK209" s="90">
        <f t="shared" si="200"/>
        <v>0.17206353685203954</v>
      </c>
      <c r="DL209" s="90" t="e">
        <f t="shared" si="201"/>
        <v>#N/A</v>
      </c>
      <c r="DM209" s="90">
        <f t="shared" si="202"/>
        <v>0.17206353685203954</v>
      </c>
      <c r="DN209" s="90">
        <f t="shared" si="203"/>
        <v>32</v>
      </c>
      <c r="DO209" s="308">
        <f t="shared" si="199"/>
        <v>0</v>
      </c>
      <c r="DP209" s="307">
        <f t="shared" si="211"/>
        <v>1.9999999999996465E-2</v>
      </c>
      <c r="DQ209" s="90">
        <f t="shared" si="204"/>
        <v>9.4462770077285291E-2</v>
      </c>
      <c r="DR209" s="90">
        <f t="shared" si="205"/>
        <v>9.4462770077285291E-2</v>
      </c>
      <c r="DS209" s="90">
        <f t="shared" si="212"/>
        <v>33</v>
      </c>
      <c r="DT209" s="308">
        <f t="shared" si="213"/>
        <v>0</v>
      </c>
      <c r="DU209" s="307">
        <f t="shared" si="206"/>
        <v>2.0000000000012341E-2</v>
      </c>
      <c r="DV209" s="90">
        <f t="shared" si="207"/>
        <v>0.34244544170804886</v>
      </c>
      <c r="DW209" s="90">
        <f t="shared" si="208"/>
        <v>0.34244544170804886</v>
      </c>
      <c r="DX209" s="90">
        <f t="shared" si="209"/>
        <v>34</v>
      </c>
      <c r="DY209" s="308">
        <f t="shared" si="210"/>
        <v>0</v>
      </c>
    </row>
    <row r="210" spans="113:129" ht="12" customHeight="1" x14ac:dyDescent="0.2">
      <c r="DI210" s="307">
        <v>199</v>
      </c>
      <c r="DJ210" s="90">
        <f t="shared" si="198"/>
        <v>1.0000000000011666E-2</v>
      </c>
      <c r="DK210" s="90">
        <f t="shared" si="200"/>
        <v>0.17285687575313349</v>
      </c>
      <c r="DL210" s="90" t="e">
        <f t="shared" si="201"/>
        <v>#N/A</v>
      </c>
      <c r="DM210" s="90">
        <f t="shared" si="202"/>
        <v>0.17285687575313349</v>
      </c>
      <c r="DN210" s="90">
        <f t="shared" si="203"/>
        <v>32</v>
      </c>
      <c r="DO210" s="308">
        <f t="shared" si="199"/>
        <v>0</v>
      </c>
      <c r="DP210" s="307">
        <f t="shared" si="211"/>
        <v>9.9999999999965672E-3</v>
      </c>
      <c r="DQ210" s="90">
        <f t="shared" si="204"/>
        <v>9.5095686290425807E-2</v>
      </c>
      <c r="DR210" s="90">
        <f t="shared" si="205"/>
        <v>9.5095686290425807E-2</v>
      </c>
      <c r="DS210" s="90">
        <f t="shared" si="212"/>
        <v>33</v>
      </c>
      <c r="DT210" s="308">
        <f t="shared" si="213"/>
        <v>0</v>
      </c>
      <c r="DU210" s="307">
        <f t="shared" si="206"/>
        <v>1.0000000000012443E-2</v>
      </c>
      <c r="DV210" s="90">
        <f t="shared" si="207"/>
        <v>0.34372924115640685</v>
      </c>
      <c r="DW210" s="90">
        <f t="shared" si="208"/>
        <v>0.34372924115640685</v>
      </c>
      <c r="DX210" s="90">
        <f t="shared" si="209"/>
        <v>34</v>
      </c>
      <c r="DY210" s="308">
        <f t="shared" si="210"/>
        <v>0</v>
      </c>
    </row>
    <row r="211" spans="113:129" ht="12" customHeight="1" x14ac:dyDescent="0.2">
      <c r="DI211" s="307">
        <v>200</v>
      </c>
      <c r="DJ211" s="90">
        <f t="shared" si="198"/>
        <v>1.1768364061026659E-14</v>
      </c>
      <c r="DK211" s="90">
        <f t="shared" si="200"/>
        <v>0.17365021465422745</v>
      </c>
      <c r="DL211" s="90" t="e">
        <f t="shared" si="201"/>
        <v>#N/A</v>
      </c>
      <c r="DM211" s="90">
        <f t="shared" si="202"/>
        <v>0.17365021465422745</v>
      </c>
      <c r="DN211" s="90">
        <f t="shared" si="203"/>
        <v>32</v>
      </c>
      <c r="DO211" s="308">
        <f t="shared" si="199"/>
        <v>0</v>
      </c>
      <c r="DP211" s="307">
        <f t="shared" si="211"/>
        <v>-3.5527136788005009E-15</v>
      </c>
      <c r="DQ211" s="90">
        <f t="shared" si="204"/>
        <v>9.5728602503566324E-2</v>
      </c>
      <c r="DR211" s="90">
        <f t="shared" si="205"/>
        <v>9.5728602503566324E-2</v>
      </c>
      <c r="DS211" s="90">
        <f t="shared" si="212"/>
        <v>33</v>
      </c>
      <c r="DT211" s="308">
        <f t="shared" si="213"/>
        <v>0</v>
      </c>
      <c r="DU211" s="307">
        <f t="shared" si="206"/>
        <v>1.2545520178264269E-14</v>
      </c>
      <c r="DV211" s="90">
        <f t="shared" si="207"/>
        <v>0.34501304060476484</v>
      </c>
      <c r="DW211" s="90">
        <f t="shared" si="208"/>
        <v>0.34501304060476484</v>
      </c>
      <c r="DX211" s="90">
        <f t="shared" si="209"/>
        <v>34</v>
      </c>
      <c r="DY211" s="308">
        <f t="shared" si="210"/>
        <v>0</v>
      </c>
    </row>
  </sheetData>
  <sheetProtection sheet="1" objects="1" scenarios="1" selectLockedCells="1"/>
  <mergeCells count="3">
    <mergeCell ref="H5:I5"/>
    <mergeCell ref="G6:I6"/>
    <mergeCell ref="J6:L6"/>
  </mergeCells>
  <phoneticPr fontId="2" type="noConversion"/>
  <conditionalFormatting sqref="T8:T37">
    <cfRule type="cellIs" dxfId="44" priority="1" stopIfTrue="1" operator="between">
      <formula>BQ8</formula>
      <formula>BR8</formula>
    </cfRule>
    <cfRule type="cellIs" dxfId="43" priority="2" stopIfTrue="1" operator="greaterThan">
      <formula>BQ8</formula>
    </cfRule>
    <cfRule type="cellIs" dxfId="42" priority="3" stopIfTrue="1" operator="lessThan">
      <formula>BQ8</formula>
    </cfRule>
  </conditionalFormatting>
  <conditionalFormatting sqref="AB49:AB71 F9:L37">
    <cfRule type="cellIs" dxfId="41" priority="4" stopIfTrue="1" operator="lessThan">
      <formula>$BI9</formula>
    </cfRule>
  </conditionalFormatting>
  <conditionalFormatting sqref="M8:M37">
    <cfRule type="cellIs" dxfId="40" priority="5" stopIfTrue="1" operator="between">
      <formula>BG8</formula>
      <formula>BH8</formula>
    </cfRule>
    <cfRule type="cellIs" dxfId="39" priority="6" stopIfTrue="1" operator="greaterThan">
      <formula>BG8</formula>
    </cfRule>
    <cfRule type="cellIs" dxfId="38" priority="7" stopIfTrue="1" operator="lessThan">
      <formula>BG8</formula>
    </cfRule>
  </conditionalFormatting>
  <conditionalFormatting sqref="N8:O37">
    <cfRule type="cellIs" dxfId="37" priority="8" stopIfTrue="1" operator="between">
      <formula>BG8</formula>
      <formula>BH8</formula>
    </cfRule>
    <cfRule type="cellIs" dxfId="36" priority="9" stopIfTrue="1" operator="greaterThan">
      <formula>BG8</formula>
    </cfRule>
    <cfRule type="cellIs" dxfId="35" priority="10" stopIfTrue="1" operator="lessThan">
      <formula>BG8</formula>
    </cfRule>
  </conditionalFormatting>
  <conditionalFormatting sqref="D42 D40 D8">
    <cfRule type="cellIs" dxfId="34" priority="11" stopIfTrue="1" operator="equal">
      <formula>"ns"</formula>
    </cfRule>
    <cfRule type="cellIs" dxfId="33" priority="12" stopIfTrue="1" operator="equal">
      <formula>"?"</formula>
    </cfRule>
  </conditionalFormatting>
  <dataValidations count="6">
    <dataValidation type="decimal" allowBlank="1" showErrorMessage="1" errorTitle="Confidence level" error="Number, min 0, max 99.9" sqref="M2 S2">
      <formula1>0</formula1>
      <formula2>99.9</formula2>
    </dataValidation>
    <dataValidation type="whole" allowBlank="1" showErrorMessage="1" errorTitle="Sample size" error="Integer, min 2, max 500_x000a_(or press Delete for Blank)" sqref="L40 AB49:AB71 L8:L37 I8:I17">
      <formula1>2</formula1>
      <formula2>500</formula2>
    </dataValidation>
    <dataValidation type="decimal" allowBlank="1" showInputMessage="1" showErrorMessage="1" errorTitle="Enter mean" error="Must be a number_x000a_(or press Delete for Blank)" sqref="J40 J8:J37 G8:G17">
      <formula1>-999999999999</formula1>
      <formula2>999999999999</formula2>
    </dataValidation>
    <dataValidation type="decimal" showErrorMessage="1" errorTitle="Reference value for mean" error="Must be a number" sqref="Z2">
      <formula1>-999999999999</formula1>
      <formula2>999999999999</formula2>
    </dataValidation>
    <dataValidation type="decimal" operator="greaterThan" allowBlank="1" showInputMessage="1" showErrorMessage="1" errorTitle="Enter standard deviation" error="Must be a positive number_x000a_(or press Delete for Blank)" sqref="K8:K37">
      <formula1>0</formula1>
    </dataValidation>
    <dataValidation type="decimal" allowBlank="1" showInputMessage="1" showErrorMessage="1" errorTitle="Enter standard deviation" error="Must be a number_x000a_(or press Delete for Blank)" sqref="H8:H17">
      <formula1>-999999999999</formula1>
      <formula2>999999999999</formula2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513" r:id="rId4" name="Option Button 1">
              <controlPr defaultSize="0" autoFill="0" autoLine="0" autoPict="0">
                <anchor moveWithCells="1">
                  <from>
                    <xdr:col>6</xdr:col>
                    <xdr:colOff>266700</xdr:colOff>
                    <xdr:row>44</xdr:row>
                    <xdr:rowOff>114300</xdr:rowOff>
                  </from>
                  <to>
                    <xdr:col>7</xdr:col>
                    <xdr:colOff>123825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75" r:id="rId5" name="Check Box 63">
              <controlPr defaultSize="0" autoFill="0" autoLine="0" autoPict="0">
                <anchor moveWithCells="1">
                  <from>
                    <xdr:col>5</xdr:col>
                    <xdr:colOff>742950</xdr:colOff>
                    <xdr:row>1</xdr:row>
                    <xdr:rowOff>114300</xdr:rowOff>
                  </from>
                  <to>
                    <xdr:col>6</xdr:col>
                    <xdr:colOff>285750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43" r:id="rId6" name="Option Button 131">
              <controlPr defaultSize="0" autoFill="0" autoLine="0" autoPict="0">
                <anchor moveWithCells="1">
                  <from>
                    <xdr:col>6</xdr:col>
                    <xdr:colOff>266700</xdr:colOff>
                    <xdr:row>46</xdr:row>
                    <xdr:rowOff>114300</xdr:rowOff>
                  </from>
                  <to>
                    <xdr:col>7</xdr:col>
                    <xdr:colOff>123825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7" r:id="rId7" name="Check Box 1031">
              <controlPr defaultSize="0" autoFill="0" autoLine="0" autoPict="0">
                <anchor moveWithCells="1">
                  <from>
                    <xdr:col>11</xdr:col>
                    <xdr:colOff>400050</xdr:colOff>
                    <xdr:row>2</xdr:row>
                    <xdr:rowOff>104775</xdr:rowOff>
                  </from>
                  <to>
                    <xdr:col>12</xdr:col>
                    <xdr:colOff>295275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07" r:id="rId8" name="Spinner 2871">
              <controlPr defaultSize="0" autoPict="0">
                <anchor moveWithCells="1">
                  <from>
                    <xdr:col>13</xdr:col>
                    <xdr:colOff>9525</xdr:colOff>
                    <xdr:row>0</xdr:row>
                    <xdr:rowOff>104775</xdr:rowOff>
                  </from>
                  <to>
                    <xdr:col>13</xdr:col>
                    <xdr:colOff>152400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08" r:id="rId9" name="Check Box 2872">
              <controlPr defaultSize="0" autoFill="0" autoLine="0" autoPict="0">
                <anchor moveWithCells="1">
                  <from>
                    <xdr:col>13</xdr:col>
                    <xdr:colOff>533400</xdr:colOff>
                    <xdr:row>0</xdr:row>
                    <xdr:rowOff>114300</xdr:rowOff>
                  </from>
                  <to>
                    <xdr:col>17</xdr:col>
                    <xdr:colOff>76200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68" r:id="rId10" name="Check Box 3108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95250</xdr:rowOff>
                  </from>
                  <to>
                    <xdr:col>1</xdr:col>
                    <xdr:colOff>285750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DT248"/>
  <sheetViews>
    <sheetView showGridLines="0" showRowColHeaders="0" topLeftCell="Q1" zoomScale="110" zoomScaleNormal="110" workbookViewId="0">
      <selection activeCell="W7" sqref="W7"/>
    </sheetView>
  </sheetViews>
  <sheetFormatPr defaultRowHeight="12" customHeight="1" x14ac:dyDescent="0.2"/>
  <cols>
    <col min="1" max="16" width="5.7109375" style="50" hidden="1" customWidth="1"/>
    <col min="17" max="17" width="0.28515625" style="50" customWidth="1"/>
    <col min="18" max="18" width="5.42578125" style="50" customWidth="1"/>
    <col min="19" max="19" width="5.7109375" style="50" customWidth="1"/>
    <col min="20" max="20" width="3.42578125" style="50" customWidth="1"/>
    <col min="21" max="21" width="4.28515625" style="50" customWidth="1"/>
    <col min="22" max="22" width="11.7109375" style="50" customWidth="1"/>
    <col min="23" max="23" width="5.7109375" style="50" customWidth="1"/>
    <col min="24" max="24" width="7.42578125" style="50" customWidth="1"/>
    <col min="25" max="26" width="5" style="50" customWidth="1"/>
    <col min="27" max="28" width="5.7109375" style="50" customWidth="1"/>
    <col min="29" max="29" width="7.42578125" style="50" hidden="1" customWidth="1"/>
    <col min="30" max="30" width="2" style="50" customWidth="1"/>
    <col min="31" max="31" width="5.7109375" style="50" customWidth="1"/>
    <col min="32" max="32" width="1.7109375" style="50" customWidth="1"/>
    <col min="33" max="33" width="5.7109375" style="52" customWidth="1"/>
    <col min="34" max="34" width="1.7109375" style="52" customWidth="1"/>
    <col min="35" max="35" width="6.42578125" style="52" customWidth="1"/>
    <col min="36" max="36" width="2.85546875" style="52" customWidth="1"/>
    <col min="37" max="38" width="5.7109375" style="50" customWidth="1"/>
    <col min="39" max="40" width="6.42578125" style="50" customWidth="1"/>
    <col min="41" max="41" width="5.7109375" style="50" customWidth="1"/>
    <col min="42" max="42" width="5.7109375" style="85" customWidth="1"/>
    <col min="43" max="44" width="5.7109375" style="50" customWidth="1"/>
    <col min="45" max="45" width="3.42578125" style="50" customWidth="1"/>
    <col min="46" max="46" width="7.140625" style="50" customWidth="1"/>
    <col min="47" max="47" width="5.7109375" style="50" customWidth="1"/>
    <col min="48" max="48" width="7.5703125" style="52" customWidth="1"/>
    <col min="49" max="50" width="6.42578125" style="52" customWidth="1"/>
    <col min="51" max="51" width="6.5703125" style="50" customWidth="1"/>
    <col min="52" max="55" width="4.5703125" style="50" customWidth="1"/>
    <col min="56" max="56" width="2.5703125" style="50" customWidth="1"/>
    <col min="57" max="57" width="6.28515625" style="50" customWidth="1"/>
    <col min="58" max="58" width="6.5703125" style="50" customWidth="1"/>
    <col min="59" max="84" width="7.28515625" style="50" customWidth="1"/>
    <col min="85" max="90" width="5.7109375" style="50" customWidth="1"/>
    <col min="91" max="91" width="7.7109375" style="50" customWidth="1"/>
    <col min="92" max="93" width="5.7109375" style="50" customWidth="1"/>
    <col min="94" max="94" width="6.85546875" style="50" customWidth="1"/>
    <col min="95" max="142" width="5.7109375" style="50" customWidth="1"/>
    <col min="143" max="16384" width="9.140625" style="50"/>
  </cols>
  <sheetData>
    <row r="1" spans="1:124" ht="12.75" customHeight="1" x14ac:dyDescent="0.2">
      <c r="O1" s="63"/>
      <c r="P1" s="63"/>
      <c r="T1" s="11" t="s">
        <v>418</v>
      </c>
      <c r="AG1" s="10" t="s">
        <v>759</v>
      </c>
      <c r="AI1" s="31" t="s">
        <v>366</v>
      </c>
      <c r="AK1" s="627" t="s">
        <v>756</v>
      </c>
      <c r="AV1" s="28" t="s">
        <v>764</v>
      </c>
      <c r="AW1" s="899" t="s">
        <v>916</v>
      </c>
      <c r="BD1" s="54" t="s">
        <v>766</v>
      </c>
      <c r="CF1" s="59" t="s">
        <v>411</v>
      </c>
      <c r="CG1" s="66">
        <v>2</v>
      </c>
      <c r="CI1" s="55"/>
      <c r="CJ1" s="56"/>
      <c r="CK1" s="57" t="s">
        <v>76</v>
      </c>
      <c r="CL1" s="58" t="b">
        <v>1</v>
      </c>
      <c r="CN1" s="59" t="s">
        <v>311</v>
      </c>
      <c r="CO1" s="60">
        <v>2</v>
      </c>
      <c r="CP1" s="50" t="s">
        <v>312</v>
      </c>
    </row>
    <row r="2" spans="1:124" ht="12.75" customHeight="1" x14ac:dyDescent="0.2">
      <c r="N2" s="59"/>
      <c r="S2" s="4"/>
      <c r="T2" s="50" t="s">
        <v>419</v>
      </c>
      <c r="Z2" s="15" t="s">
        <v>758</v>
      </c>
      <c r="AA2" s="64">
        <v>95</v>
      </c>
      <c r="AF2" s="52"/>
      <c r="AH2" s="17"/>
      <c r="AN2" s="14"/>
      <c r="AP2" s="65"/>
      <c r="AT2" s="66"/>
      <c r="AX2" s="900" t="s">
        <v>917</v>
      </c>
      <c r="CF2" s="298" t="s">
        <v>412</v>
      </c>
      <c r="CG2" s="249" t="b">
        <f>(CG1=2)</f>
        <v>1</v>
      </c>
      <c r="CI2" s="55"/>
      <c r="CJ2" s="56"/>
      <c r="CK2" s="67"/>
      <c r="CL2" s="68"/>
      <c r="CM2" s="55" t="str">
        <f>IF(Y3="","",Y3)&amp;""</f>
        <v/>
      </c>
      <c r="CN2" s="56"/>
      <c r="CO2" s="69"/>
      <c r="CP2" s="70" t="s">
        <v>313</v>
      </c>
      <c r="CQ2" s="55"/>
      <c r="CR2" s="56"/>
      <c r="CS2" s="67" t="s">
        <v>271</v>
      </c>
      <c r="CT2" s="71" t="b">
        <v>1</v>
      </c>
      <c r="CU2" s="72" t="s">
        <v>353</v>
      </c>
      <c r="CV2" s="69" t="b">
        <f>IF(COUNT(CK7:CK36)&gt;1,TRUE,FALSE)</f>
        <v>1</v>
      </c>
    </row>
    <row r="3" spans="1:124" ht="12.75" customHeight="1" thickBot="1" x14ac:dyDescent="0.3">
      <c r="I3" s="50" t="s">
        <v>385</v>
      </c>
      <c r="J3" s="50" t="s">
        <v>386</v>
      </c>
      <c r="N3" s="59"/>
      <c r="S3" s="4"/>
      <c r="T3" s="9"/>
      <c r="U3" s="628"/>
      <c r="V3" s="27" t="s">
        <v>511</v>
      </c>
      <c r="W3" s="82" t="s">
        <v>519</v>
      </c>
      <c r="X3" s="82"/>
      <c r="Y3" s="629"/>
      <c r="Z3" s="629"/>
      <c r="AA3" s="628"/>
      <c r="AB3" s="83"/>
      <c r="AC3" s="82"/>
      <c r="AD3" s="82"/>
      <c r="AE3" s="82"/>
      <c r="AF3" s="630"/>
      <c r="AG3" s="86"/>
      <c r="AH3" s="86"/>
      <c r="AI3" s="86"/>
      <c r="AJ3" s="86"/>
      <c r="AK3" s="105">
        <f>AA2/1000000</f>
        <v>9.5000000000000005E-5</v>
      </c>
      <c r="AL3" s="105">
        <f t="shared" ref="AL3:AV3" si="0">$AK$3</f>
        <v>9.5000000000000005E-5</v>
      </c>
      <c r="AM3" s="105">
        <f t="shared" si="0"/>
        <v>9.5000000000000005E-5</v>
      </c>
      <c r="AN3" s="105">
        <f t="shared" si="0"/>
        <v>9.5000000000000005E-5</v>
      </c>
      <c r="AO3" s="105">
        <f t="shared" si="0"/>
        <v>9.5000000000000005E-5</v>
      </c>
      <c r="AP3" s="85">
        <f t="shared" si="0"/>
        <v>9.5000000000000005E-5</v>
      </c>
      <c r="AQ3" s="85">
        <f t="shared" si="0"/>
        <v>9.5000000000000005E-5</v>
      </c>
      <c r="AR3" s="85">
        <f t="shared" si="0"/>
        <v>9.5000000000000005E-5</v>
      </c>
      <c r="AS3" s="85">
        <f t="shared" si="0"/>
        <v>9.5000000000000005E-5</v>
      </c>
      <c r="AT3" s="85">
        <f t="shared" si="0"/>
        <v>9.5000000000000005E-5</v>
      </c>
      <c r="AU3" s="85">
        <f t="shared" si="0"/>
        <v>9.5000000000000005E-5</v>
      </c>
      <c r="AV3" s="86">
        <f t="shared" si="0"/>
        <v>9.5000000000000005E-5</v>
      </c>
      <c r="AW3" s="86"/>
      <c r="AX3" s="86"/>
      <c r="BD3" s="88"/>
      <c r="BE3" s="89"/>
      <c r="BF3" s="82"/>
      <c r="BG3" s="82"/>
      <c r="BH3" s="90"/>
      <c r="BI3" s="90"/>
      <c r="BN3" s="91"/>
      <c r="CF3" s="318" t="s">
        <v>413</v>
      </c>
      <c r="CG3" s="336">
        <f>IF(CG2,-999,999)</f>
        <v>-999</v>
      </c>
      <c r="CH3" s="319" t="str">
        <f>IF(CG2,"A","Z")</f>
        <v>A</v>
      </c>
      <c r="CI3" s="25" t="s">
        <v>354</v>
      </c>
      <c r="CJ3" s="92">
        <v>0</v>
      </c>
      <c r="CK3" s="67"/>
      <c r="CL3" s="68"/>
      <c r="CM3" s="93">
        <f>IF(AND(CJ3&lt;&gt;"",CL1),CJ3,NA())</f>
        <v>0</v>
      </c>
      <c r="CN3" s="94">
        <v>0</v>
      </c>
      <c r="CO3" s="95">
        <v>33</v>
      </c>
      <c r="CP3" s="96">
        <f>CY37+0.5</f>
        <v>10.5</v>
      </c>
      <c r="CQ3" s="55"/>
      <c r="CR3" s="56"/>
      <c r="CS3" s="67" t="s">
        <v>298</v>
      </c>
      <c r="CT3" s="68" t="b">
        <v>1</v>
      </c>
      <c r="CW3" s="90"/>
      <c r="CX3" s="90"/>
      <c r="CY3" s="90"/>
      <c r="CZ3" s="90"/>
      <c r="DA3" s="90"/>
    </row>
    <row r="4" spans="1:124" ht="12.75" customHeight="1" thickTop="1" x14ac:dyDescent="0.2">
      <c r="I4" s="50">
        <f>(100-AA2)/200</f>
        <v>2.5000000000000001E-2</v>
      </c>
      <c r="J4" s="50">
        <f>I4</f>
        <v>2.5000000000000001E-2</v>
      </c>
      <c r="N4" s="59"/>
      <c r="S4" s="10" t="s">
        <v>512</v>
      </c>
      <c r="U4" s="631"/>
      <c r="V4" s="22" t="s">
        <v>409</v>
      </c>
      <c r="W4" s="632"/>
      <c r="X4" s="633" t="s">
        <v>416</v>
      </c>
      <c r="Y4" s="632"/>
      <c r="Z4" s="632"/>
      <c r="AA4" s="632"/>
      <c r="AB4" s="30" t="s">
        <v>274</v>
      </c>
      <c r="AC4" s="101" t="s">
        <v>317</v>
      </c>
      <c r="AD4" s="87"/>
      <c r="AE4" s="33">
        <v>9</v>
      </c>
      <c r="AF4" s="52"/>
      <c r="AG4" s="87"/>
      <c r="AH4" s="87"/>
      <c r="AI4" s="747" t="s">
        <v>760</v>
      </c>
      <c r="AJ4" s="102"/>
      <c r="AK4" s="85">
        <f>$AK$3</f>
        <v>9.5000000000000005E-5</v>
      </c>
      <c r="AN4" s="90"/>
      <c r="AO4" s="105"/>
      <c r="AP4" s="105"/>
      <c r="AQ4" s="87"/>
      <c r="AR4" s="87"/>
      <c r="AS4" s="105"/>
      <c r="AT4" s="87"/>
      <c r="AV4" s="52">
        <f>$AK$3</f>
        <v>9.5000000000000005E-5</v>
      </c>
      <c r="AW4" s="913" t="s">
        <v>765</v>
      </c>
      <c r="AX4" s="914"/>
      <c r="AY4" s="41">
        <v>17</v>
      </c>
      <c r="BG4" s="90"/>
      <c r="BH4" s="90"/>
      <c r="BI4" s="90"/>
      <c r="BJ4" s="90"/>
      <c r="BK4" s="91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634" t="s">
        <v>755</v>
      </c>
      <c r="CG4" s="50" t="b">
        <f>(M37=P37)</f>
        <v>1</v>
      </c>
      <c r="CK4" s="744" t="s">
        <v>757</v>
      </c>
      <c r="CM4" s="72" t="s">
        <v>278</v>
      </c>
      <c r="CN4" s="71" t="b">
        <v>0</v>
      </c>
      <c r="CO4" s="109"/>
      <c r="CP4" s="111"/>
      <c r="CQ4" s="112" t="s">
        <v>337</v>
      </c>
      <c r="CT4" s="111"/>
      <c r="CW4" s="111"/>
      <c r="CX4" s="111"/>
      <c r="CY4" s="111"/>
      <c r="CZ4" s="111"/>
    </row>
    <row r="5" spans="1:124" ht="15" customHeight="1" thickBot="1" x14ac:dyDescent="0.3">
      <c r="A5" s="632"/>
      <c r="B5" s="632" t="s">
        <v>394</v>
      </c>
      <c r="C5" s="632"/>
      <c r="D5" s="632"/>
      <c r="E5" s="632"/>
      <c r="F5" s="632"/>
      <c r="G5" s="632"/>
      <c r="H5" s="632"/>
      <c r="I5" s="632"/>
      <c r="J5" s="635"/>
      <c r="K5" s="151"/>
      <c r="L5" s="151" t="s">
        <v>369</v>
      </c>
      <c r="M5" s="151"/>
      <c r="N5" s="636"/>
      <c r="O5" s="147" t="s">
        <v>368</v>
      </c>
      <c r="P5" s="147"/>
      <c r="Q5" s="82"/>
      <c r="R5" s="83" t="s">
        <v>750</v>
      </c>
      <c r="S5" s="82"/>
      <c r="T5" s="82"/>
      <c r="U5" s="637" t="s">
        <v>276</v>
      </c>
      <c r="V5" s="632"/>
      <c r="W5" s="632"/>
      <c r="X5" s="638"/>
      <c r="Y5" s="632"/>
      <c r="Z5" s="632"/>
      <c r="AA5" s="632"/>
      <c r="AB5" s="116" t="s">
        <v>276</v>
      </c>
      <c r="AC5" s="639" t="s">
        <v>414</v>
      </c>
      <c r="AD5" s="87"/>
      <c r="AE5" s="919" t="s">
        <v>597</v>
      </c>
      <c r="AF5" s="919"/>
      <c r="AG5" s="919"/>
      <c r="AH5" s="87"/>
      <c r="AI5" s="104" t="s">
        <v>518</v>
      </c>
      <c r="AJ5" s="118"/>
      <c r="AK5" s="85">
        <f t="shared" ref="AK5:AK37" si="1">$AK$3</f>
        <v>9.5000000000000005E-5</v>
      </c>
      <c r="AN5" s="119"/>
      <c r="AO5" s="90"/>
      <c r="AP5" s="90"/>
      <c r="AQ5" s="90"/>
      <c r="AR5" s="90"/>
      <c r="AS5" s="90"/>
      <c r="AT5" s="87"/>
      <c r="AV5" s="52">
        <f t="shared" ref="AV5:AV37" si="2">$AK$3</f>
        <v>9.5000000000000005E-5</v>
      </c>
      <c r="AW5" s="915" t="s">
        <v>516</v>
      </c>
      <c r="AX5" s="916"/>
      <c r="AY5" s="640" t="s">
        <v>598</v>
      </c>
      <c r="BK5" s="91"/>
      <c r="CE5" s="63" t="s">
        <v>402</v>
      </c>
      <c r="CF5" s="63" t="s">
        <v>397</v>
      </c>
      <c r="CG5" s="63" t="s">
        <v>399</v>
      </c>
      <c r="CI5" s="641" t="s">
        <v>399</v>
      </c>
      <c r="CJ5" s="122" t="s">
        <v>280</v>
      </c>
      <c r="CK5" s="124" t="b">
        <f>IF(COUNT(CK7:CK36)&lt;2,FALSE,TRUE)</f>
        <v>1</v>
      </c>
      <c r="CL5" s="125" t="s">
        <v>281</v>
      </c>
      <c r="CM5" s="149" t="s">
        <v>287</v>
      </c>
      <c r="CN5" s="125" t="s">
        <v>282</v>
      </c>
      <c r="CO5" s="147" t="s">
        <v>288</v>
      </c>
      <c r="CP5" s="90"/>
      <c r="CQ5" s="128" t="s">
        <v>338</v>
      </c>
      <c r="CR5" s="129" t="s">
        <v>324</v>
      </c>
      <c r="CS5" s="129"/>
      <c r="CT5" s="129"/>
      <c r="CU5" s="130" t="s">
        <v>336</v>
      </c>
      <c r="CV5" s="130"/>
      <c r="CW5" s="130"/>
      <c r="CX5" s="63" t="s">
        <v>313</v>
      </c>
      <c r="CY5" s="63" t="s">
        <v>313</v>
      </c>
      <c r="CZ5" s="61" t="s">
        <v>270</v>
      </c>
      <c r="DA5" s="61"/>
      <c r="DB5" s="61"/>
      <c r="DC5" s="61"/>
      <c r="DD5" s="61"/>
      <c r="DE5" s="61"/>
      <c r="DF5" s="61"/>
      <c r="DG5" s="61"/>
      <c r="DH5" s="61"/>
      <c r="DI5" s="61"/>
      <c r="DJ5" s="62" t="s">
        <v>314</v>
      </c>
      <c r="DK5" s="62"/>
      <c r="DL5" s="62"/>
      <c r="DM5" s="62"/>
      <c r="DN5" s="62"/>
      <c r="DO5" s="62"/>
      <c r="DP5" s="62"/>
      <c r="DQ5" s="62"/>
      <c r="DR5" s="62"/>
      <c r="DS5" s="62"/>
      <c r="DT5" s="642" t="s">
        <v>313</v>
      </c>
    </row>
    <row r="6" spans="1:124" ht="15" customHeight="1" thickTop="1" thickBot="1" x14ac:dyDescent="0.35">
      <c r="A6" s="63" t="s">
        <v>370</v>
      </c>
      <c r="B6" s="63" t="s">
        <v>391</v>
      </c>
      <c r="C6" s="63" t="s">
        <v>387</v>
      </c>
      <c r="D6" s="63" t="s">
        <v>388</v>
      </c>
      <c r="E6" s="50" t="s">
        <v>389</v>
      </c>
      <c r="F6" s="50" t="s">
        <v>390</v>
      </c>
      <c r="G6" s="50" t="s">
        <v>371</v>
      </c>
      <c r="H6" s="50" t="s">
        <v>382</v>
      </c>
      <c r="I6" s="50" t="s">
        <v>383</v>
      </c>
      <c r="J6" s="50" t="s">
        <v>384</v>
      </c>
      <c r="K6" s="29" t="s">
        <v>355</v>
      </c>
      <c r="L6" s="63" t="s">
        <v>395</v>
      </c>
      <c r="M6" s="63" t="s">
        <v>396</v>
      </c>
      <c r="N6" s="29" t="s">
        <v>355</v>
      </c>
      <c r="O6" s="63" t="s">
        <v>395</v>
      </c>
      <c r="P6" s="63" t="s">
        <v>396</v>
      </c>
      <c r="Q6" s="131"/>
      <c r="R6" s="761" t="str">
        <f>IF(CN4,"t","")</f>
        <v/>
      </c>
      <c r="S6" s="760" t="str">
        <f>IF(CN4,"p","")</f>
        <v/>
      </c>
      <c r="T6" s="83"/>
      <c r="U6" s="133" t="s">
        <v>283</v>
      </c>
      <c r="V6" s="133" t="s">
        <v>310</v>
      </c>
      <c r="W6" s="39" t="s">
        <v>355</v>
      </c>
      <c r="X6" s="40" t="s">
        <v>594</v>
      </c>
      <c r="Y6" s="38" t="s">
        <v>595</v>
      </c>
      <c r="Z6" s="38" t="s">
        <v>596</v>
      </c>
      <c r="AA6" s="38" t="s">
        <v>267</v>
      </c>
      <c r="AB6" s="134" t="s">
        <v>284</v>
      </c>
      <c r="AC6" s="137" t="s">
        <v>415</v>
      </c>
      <c r="AD6" s="87"/>
      <c r="AE6" s="643" t="s">
        <v>332</v>
      </c>
      <c r="AF6" s="142" t="str">
        <f>IF($Y$3&lt;&gt;"",$Y$3,"")</f>
        <v/>
      </c>
      <c r="AG6" s="643" t="s">
        <v>333</v>
      </c>
      <c r="AH6" s="87"/>
      <c r="AI6" s="140" t="s">
        <v>285</v>
      </c>
      <c r="AJ6" s="90"/>
      <c r="AK6" s="85">
        <f t="shared" si="1"/>
        <v>9.5000000000000005E-5</v>
      </c>
      <c r="AN6" s="90"/>
      <c r="AO6" s="90"/>
      <c r="AP6" s="90"/>
      <c r="AQ6" s="90"/>
      <c r="AR6" s="90"/>
      <c r="AS6" s="90"/>
      <c r="AT6" s="87"/>
      <c r="AV6" s="52">
        <f t="shared" si="2"/>
        <v>9.5000000000000005E-5</v>
      </c>
      <c r="AW6" s="644" t="s">
        <v>392</v>
      </c>
      <c r="AX6" s="645" t="s">
        <v>393</v>
      </c>
      <c r="AY6" s="646"/>
      <c r="BK6" s="91"/>
      <c r="CD6" s="80" t="s">
        <v>410</v>
      </c>
      <c r="CE6" s="80" t="s">
        <v>403</v>
      </c>
      <c r="CF6" s="80" t="s">
        <v>398</v>
      </c>
      <c r="CG6" s="80" t="s">
        <v>401</v>
      </c>
      <c r="CH6" s="79"/>
      <c r="CI6" s="143" t="s">
        <v>400</v>
      </c>
      <c r="CJ6" s="647" t="s">
        <v>415</v>
      </c>
      <c r="CK6" s="146" t="s">
        <v>265</v>
      </c>
      <c r="CL6" s="648" t="s">
        <v>415</v>
      </c>
      <c r="CM6" s="63" t="s">
        <v>268</v>
      </c>
      <c r="CN6" s="80" t="s">
        <v>404</v>
      </c>
      <c r="CO6" s="80" t="s">
        <v>405</v>
      </c>
      <c r="CP6" s="149" t="s">
        <v>291</v>
      </c>
      <c r="CQ6" s="150" t="s">
        <v>291</v>
      </c>
      <c r="CR6" s="151" t="s">
        <v>318</v>
      </c>
      <c r="CS6" s="151" t="s">
        <v>319</v>
      </c>
      <c r="CT6" s="151" t="s">
        <v>320</v>
      </c>
      <c r="CU6" s="153" t="s">
        <v>321</v>
      </c>
      <c r="CV6" s="153" t="s">
        <v>322</v>
      </c>
      <c r="CW6" s="153" t="s">
        <v>323</v>
      </c>
      <c r="CX6" s="79" t="s">
        <v>292</v>
      </c>
      <c r="CY6" s="154" t="s">
        <v>268</v>
      </c>
      <c r="CZ6" s="73">
        <v>3</v>
      </c>
      <c r="DA6" s="74">
        <v>4</v>
      </c>
      <c r="DB6" s="75">
        <v>6</v>
      </c>
      <c r="DC6" s="73">
        <v>7</v>
      </c>
      <c r="DD6" s="74">
        <v>9</v>
      </c>
      <c r="DE6" s="75">
        <v>10</v>
      </c>
      <c r="DF6" s="73">
        <v>12</v>
      </c>
      <c r="DG6" s="74">
        <v>13</v>
      </c>
      <c r="DH6" s="75">
        <v>15</v>
      </c>
      <c r="DJ6" s="76">
        <v>3</v>
      </c>
      <c r="DK6" s="77">
        <v>4</v>
      </c>
      <c r="DL6" s="78">
        <v>6</v>
      </c>
      <c r="DM6" s="76">
        <v>7</v>
      </c>
      <c r="DN6" s="77">
        <v>9</v>
      </c>
      <c r="DO6" s="78">
        <v>10</v>
      </c>
      <c r="DP6" s="76">
        <v>12</v>
      </c>
      <c r="DQ6" s="77">
        <v>13</v>
      </c>
      <c r="DR6" s="78">
        <v>15</v>
      </c>
      <c r="DS6" s="80" t="s">
        <v>408</v>
      </c>
      <c r="DT6" s="352" t="s">
        <v>268</v>
      </c>
    </row>
    <row r="7" spans="1:124" ht="12" customHeight="1" thickTop="1" x14ac:dyDescent="0.2">
      <c r="A7" s="50">
        <f t="shared" ref="A7:A36" si="3">IF(CI7,W7/B7,"")</f>
        <v>2.1959735881836102</v>
      </c>
      <c r="B7" s="50">
        <f t="shared" ref="B7:B36" si="4">IF(CI7,SQRT(1/Y7+1/Z7),"")</f>
        <v>0.3779644730092272</v>
      </c>
      <c r="C7" s="50">
        <f t="shared" ref="C7:C36" si="5">IF(CI7,W7/B7-TINV((100-$AA$2)/100,Y7+Z7-2),"")</f>
        <v>0.14044414954073714</v>
      </c>
      <c r="D7" s="50">
        <f t="shared" ref="D7:D36" si="6">IF(CI7,W7/B7+TINV((100-$AA$2)/100,Y7+Z7-2),"")</f>
        <v>4.2515030268264837</v>
      </c>
      <c r="E7" s="50">
        <f t="shared" ref="E7:E36" si="7">IF(CI7,1-nct(A7,G7,Y7+Z7-2),"")</f>
        <v>2.5000000217008433E-2</v>
      </c>
      <c r="F7" s="50">
        <f t="shared" ref="F7:F36" si="8">IF(CI7,nct(A7,H7,Y7+Z7-2),"")</f>
        <v>2.5000000113885309E-2</v>
      </c>
      <c r="G7" s="66">
        <v>0.12870302206476306</v>
      </c>
      <c r="H7" s="66">
        <v>4.2246560266184279</v>
      </c>
      <c r="I7" s="50">
        <f t="shared" ref="I7:I36" si="9">1000000*(E7-$I$4)</f>
        <v>2.1700843205740838E-4</v>
      </c>
      <c r="J7" s="50">
        <f t="shared" ref="J7:J36" si="10">1000000*(F7-$J$4)</f>
        <v>1.1388530743450254E-4</v>
      </c>
      <c r="K7" s="66">
        <v>0.83</v>
      </c>
      <c r="L7" s="66">
        <v>14</v>
      </c>
      <c r="M7" s="66">
        <v>14</v>
      </c>
      <c r="N7" s="649">
        <f t="shared" ref="N7:N36" si="11">W7</f>
        <v>0.83</v>
      </c>
      <c r="O7" s="650">
        <f t="shared" ref="O7:O36" si="12">Y7</f>
        <v>14</v>
      </c>
      <c r="P7" s="650">
        <f t="shared" ref="P7:P36" si="13">Z7</f>
        <v>14</v>
      </c>
      <c r="R7" s="651" t="str">
        <f>IF(AND($CL$1,$CK$5,$CN$4,CK7&lt;&gt;"",$CJ$3&lt;&gt;""), CK7,"")</f>
        <v/>
      </c>
      <c r="S7" s="837" t="str">
        <f t="shared" ref="S7:S36" si="14">IF(R7&lt;&gt;"",TDIST(ABS(CK7),Y7+Z7-2,2),"")</f>
        <v/>
      </c>
      <c r="T7" s="156" t="str">
        <f t="shared" ref="T7:T36" si="15">IF(R7&lt;&gt;"",IF(S7&lt;0.001,"***",(IF(S7&lt;0.01,"**",(IF(S7&lt;0.05,"*",(IF(S7&lt;0.1,"?","ns"))))))),"")</f>
        <v/>
      </c>
      <c r="U7" s="157">
        <v>1</v>
      </c>
      <c r="V7" s="161" t="s">
        <v>372</v>
      </c>
      <c r="W7" s="652">
        <v>0.83</v>
      </c>
      <c r="X7" s="653">
        <f t="shared" ref="X7:X36" si="16">IF(CI7,W7*CD7,"")</f>
        <v>0.80578584465834813</v>
      </c>
      <c r="Y7" s="160">
        <v>14</v>
      </c>
      <c r="Z7" s="161">
        <v>14</v>
      </c>
      <c r="AA7" s="654">
        <f t="shared" ref="AA7:AA36" si="17">IF(CI7,Y7+Z7-2,"")</f>
        <v>26</v>
      </c>
      <c r="AB7" s="738"/>
      <c r="AC7" s="164">
        <f t="shared" ref="AC7:AC36" si="18">IF(CI7,IF($CG$2,CD7*CD7*((Y7+Z7)/(Y7*Z7)+W7^2/(2*(Y7+Z7))),((Y7+Z7)/(Y7*Z7)+W7^2/(2*(Y7+Z7)))),"")</f>
        <v>0.1462378706904813</v>
      </c>
      <c r="AD7" s="655" t="s">
        <v>339</v>
      </c>
      <c r="AE7" s="656">
        <f t="shared" ref="AE7:AE36" si="19">IF(CG7,G7*B7,"")</f>
        <v>4.864516990940311E-2</v>
      </c>
      <c r="AF7" s="174" t="s">
        <v>261</v>
      </c>
      <c r="AG7" s="656">
        <f t="shared" ref="AG7:AG36" si="20">IF(CG7,H7*B7,"")</f>
        <v>1.5967698887460897</v>
      </c>
      <c r="AH7" s="657" t="s">
        <v>259</v>
      </c>
      <c r="AI7" s="167">
        <f t="shared" ref="AI7:AI36" si="21">IF(AND(CP7&lt;&gt;"",$CV$2),IF(fixedrandom=1,100*CP7/$CP$37,100*CV7/$CV$37),"")</f>
        <v>10.039453364029175</v>
      </c>
      <c r="AJ7" s="168"/>
      <c r="AK7" s="85">
        <f t="shared" si="1"/>
        <v>9.5000000000000005E-5</v>
      </c>
      <c r="AL7" s="249"/>
      <c r="AM7" s="249"/>
      <c r="AN7" s="165"/>
      <c r="AO7" s="170"/>
      <c r="AP7" s="170"/>
      <c r="AQ7" s="170"/>
      <c r="AR7" s="170"/>
      <c r="AS7" s="170"/>
      <c r="AT7" s="171"/>
      <c r="AU7" s="249"/>
      <c r="AV7" s="658">
        <f t="shared" si="2"/>
        <v>9.5000000000000005E-5</v>
      </c>
      <c r="AW7" s="659">
        <f t="shared" ref="AW7:AW36" si="22">IF(CG7,IF($CG$2,X7-AE7,W7-AE7),"")</f>
        <v>0.75714067474894498</v>
      </c>
      <c r="AX7" s="660">
        <f t="shared" ref="AX7:AX36" si="23">IF(CG7,IF($CG$2,AG7-X7,AG7-W7),"")</f>
        <v>0.79098404408774159</v>
      </c>
      <c r="AY7" s="661">
        <f>IF(AW7&lt;&gt;"",(AW7+AX7)/2,"")</f>
        <v>0.77406235941834334</v>
      </c>
      <c r="BK7" s="91"/>
      <c r="CD7" s="50">
        <f t="shared" ref="CD7:CD36" si="24">IF(CI7,EXP(GAMMALN(AA7/2))/(SQRT(AA7/2)*EXP(GAMMALN(AA7/2-0.5))),"")</f>
        <v>0.97082631886547976</v>
      </c>
      <c r="CE7" s="50" t="b">
        <f t="shared" ref="CE7:CE36" si="25">AND(K7=N7,L7=O7,M7=P7)</f>
        <v>1</v>
      </c>
      <c r="CF7" s="743" t="b">
        <v>1</v>
      </c>
      <c r="CG7" s="50" t="b">
        <f t="shared" ref="CG7:CG36" si="26">AND(CE7,CI7,ISNUMBER(I7),$CG$4)</f>
        <v>1</v>
      </c>
      <c r="CH7" s="50">
        <v>1</v>
      </c>
      <c r="CI7" s="200" t="b">
        <f t="shared" ref="CI7:CI36" si="27">AND(CF7,ABS(W7&lt;=8),W7&lt;&gt;"",Y7&gt;5,Z7&gt;5,Y7+Z7&lt;203)</f>
        <v>1</v>
      </c>
      <c r="CJ7" s="90">
        <f t="shared" ref="CJ7:CJ36" si="28">IF(CI7,IF($CG$2,X7,W7),"")</f>
        <v>0.80578584465834813</v>
      </c>
      <c r="CK7" s="179">
        <f t="shared" ref="CK7:CK36" si="29">IF(CI7,(X7-$CJ$3)/SQRT((Y7+Z7)/(Y7*Z7)+W7^2/(2*(Y7+Z7))),"")</f>
        <v>2.045649611889147</v>
      </c>
      <c r="CL7" s="94" t="e">
        <f t="shared" ref="CL7:CL36" si="30">IF(AND(NOT($CT$2),CI7),IF($CG$2,X7,W7),NA())</f>
        <v>#N/A</v>
      </c>
      <c r="CM7" s="179">
        <f t="shared" ref="CM7:CM36" si="31">IF(CI7,CH7,NA())</f>
        <v>1</v>
      </c>
      <c r="CN7" s="50">
        <f t="shared" ref="CN7:CN36" si="32">IF(AW7&lt;&gt;"",AW7,NA())</f>
        <v>0.75714067474894498</v>
      </c>
      <c r="CO7" s="50">
        <f t="shared" ref="CO7:CO36" si="33">IF(AX7&lt;&gt;"",AX7,NA())</f>
        <v>0.79098404408774159</v>
      </c>
      <c r="CP7" s="94">
        <f t="shared" ref="CP7:CP36" si="34">IF(CI7,1/AC7,"")</f>
        <v>6.8381739646397248</v>
      </c>
      <c r="CQ7" s="94">
        <f t="shared" ref="CQ7:CQ36" si="35">IF(fixedrandom=1,CP7,CV7)</f>
        <v>4.0000278137534862</v>
      </c>
      <c r="CR7" s="94">
        <f t="shared" ref="CR7:CR36" si="36">IF(CI7,CJ7*CP7,"")</f>
        <v>5.5101037840179456</v>
      </c>
      <c r="CS7" s="94">
        <f t="shared" ref="CS7:CS36" si="37">IF(CI7,CP7*CP7,"")</f>
        <v>46.760623170676574</v>
      </c>
      <c r="CT7" s="94">
        <f t="shared" ref="CT7:CT36" si="38">IF(CI7,CJ7^2*CP7,"")</f>
        <v>4.4399636317600608</v>
      </c>
      <c r="CU7" s="94">
        <f t="shared" ref="CU7:CU36" si="39">IF(CP7&lt;&gt;"",1/CP7+$CM$47,"")</f>
        <v>0.24999826165249461</v>
      </c>
      <c r="CV7" s="94">
        <f t="shared" ref="CV7:CV36" si="40">IF(CP7&lt;&gt;"",1/CU7,"")</f>
        <v>4.0000278137534862</v>
      </c>
      <c r="CW7" s="94">
        <f t="shared" ref="CW7:CW36" si="41">IF(CP7&lt;&gt;"",CV7*CJ7,"")</f>
        <v>3.2231657905622386</v>
      </c>
      <c r="CX7" s="94" t="e">
        <f t="shared" ref="CX7:CX36" si="42">IF(AND(NOT($CT$2),CI7),IF($CG$2,X7,W7),NA())</f>
        <v>#N/A</v>
      </c>
      <c r="CY7" s="95">
        <f t="shared" ref="CY7:CY37" si="43">DT7</f>
        <v>1</v>
      </c>
      <c r="CZ7" s="97" t="e">
        <f t="shared" ref="CZ7:CZ36" si="44">IF(AND(CQ7&lt;=$DA$40,$CT$2),IF($CG$2,X7,W7),NA())</f>
        <v>#N/A</v>
      </c>
      <c r="DA7" s="94" t="e">
        <f t="shared" ref="DA7:DA36" si="45">IF(AND(CQ7&gt;$DA$40,CQ7&lt;=$DA$41,$CT$2),IF($CG$2,X7,W7),NA())</f>
        <v>#N/A</v>
      </c>
      <c r="DB7" s="94" t="e">
        <f t="shared" ref="DB7:DB36" si="46">IF(AND(CQ7&gt;$DA$41,CQ7&lt;=$DA$42,$CT$2),IF($CG$2,X7,W7),NA())</f>
        <v>#N/A</v>
      </c>
      <c r="DC7" s="94" t="e">
        <f t="shared" ref="DC7:DC36" si="47">IF(AND(CQ7&gt;$DA$42,CQ7&lt;=$DA$43,$CT$2),IF($CG$2,X7,W7),NA())</f>
        <v>#N/A</v>
      </c>
      <c r="DD7" s="94" t="e">
        <f t="shared" ref="DD7:DD36" si="48">IF(AND(CQ7&gt;$DA$43,CQ7&lt;=$DA$44,$CT$2),IF($CG$2,X7,W7),NA())</f>
        <v>#N/A</v>
      </c>
      <c r="DE7" s="94">
        <f t="shared" ref="DE7:DE36" si="49">IF(AND(CQ7&gt;$DA$44,CQ7&lt;=$DA$45,$CT$2),IF($CG$2,X7,W7),NA())</f>
        <v>0.80578584465834813</v>
      </c>
      <c r="DF7" s="94" t="e">
        <f t="shared" ref="DF7:DF36" si="50">IF(AND(CQ7&gt;$DA$45,CQ7&lt;=$DA$46,$CT$2),IF($CG$2,X7,W7),NA())</f>
        <v>#N/A</v>
      </c>
      <c r="DG7" s="94" t="e">
        <f t="shared" ref="DG7:DG36" si="51">IF(AND(CQ7&gt;$DA$46,CQ7&lt;=$DA$47,$CT$2),IF($CG$2,X7,W7),NA())</f>
        <v>#N/A</v>
      </c>
      <c r="DH7" s="94" t="e">
        <f t="shared" ref="DH7:DH36" si="52">IF(AND(CQ7&lt;&gt;"",CQ7&gt;$DA$47,$CT$2),IF($CG$2,X7,W7),NA())</f>
        <v>#N/A</v>
      </c>
      <c r="DI7" s="95">
        <v>1</v>
      </c>
      <c r="DJ7" s="50" t="e">
        <f t="shared" ref="DJ7:DJ36" si="53">IF(AND(CQ7&lt;=$DA$40,$CT$2),IF($CG$2,X7,W7),NA())</f>
        <v>#N/A</v>
      </c>
      <c r="DK7" s="50" t="e">
        <f t="shared" ref="DK7:DK36" si="54">IF(AND(CQ7&gt;$DA$40,CQ7&lt;=$DA$41,$CT$2),IF($CG$2,X7,W7),NA())</f>
        <v>#N/A</v>
      </c>
      <c r="DL7" s="50" t="e">
        <f t="shared" ref="DL7:DL36" si="55">IF(AND(CQ7&gt;$DA$41,CQ7&lt;=$DA$42,$CT$2),IF($CG$2,X7,W7),NA())</f>
        <v>#N/A</v>
      </c>
      <c r="DM7" s="50" t="e">
        <f t="shared" ref="DM7:DM36" si="56">IF(AND(CQ7&gt;$DA$42,CQ7&lt;=$DA$43,$CT$2),IF($CG$2,X7,W7),NA())</f>
        <v>#N/A</v>
      </c>
      <c r="DN7" s="50" t="e">
        <f t="shared" ref="DN7:DN36" si="57">IF(AND(CQ7&gt;$DA$43,CQ7&lt;=$DA$44,$CT$2),IF($CG$2,X7,W7),NA())</f>
        <v>#N/A</v>
      </c>
      <c r="DO7" s="50">
        <f t="shared" ref="DO7:DO36" si="58">IF(AND(CQ7&gt;$DA$44,CQ7&lt;=$DA$45,$CT$2),IF($CG$2,X7,W7),NA())</f>
        <v>0.80578584465834813</v>
      </c>
      <c r="DP7" s="50" t="e">
        <f t="shared" ref="DP7:DP36" si="59">IF(AND(CQ7&gt;$DA$45,CQ7&lt;=$DA$46,$CT$2),IF($CG$2,X7,W7),NA())</f>
        <v>#N/A</v>
      </c>
      <c r="DQ7" s="50" t="e">
        <f t="shared" ref="DQ7:DQ36" si="60">IF(AND(CQ7&gt;$DA$46,CQ7&lt;=$DA$47,$CT$2),IF($CG$2,X7,W7),NA())</f>
        <v>#N/A</v>
      </c>
      <c r="DR7" s="50" t="e">
        <f t="shared" ref="DR7:DR36" si="61">IF(AND(CQ7&lt;&gt;"",CQ7&gt;$DA$47,$CT$2),IF($CG$2,X7,W7),NA())</f>
        <v>#N/A</v>
      </c>
      <c r="DS7" s="50">
        <f t="shared" ref="DS7:DS36" si="62">IF(CK7="",0,1)</f>
        <v>1</v>
      </c>
      <c r="DT7" s="113">
        <f>IF(DS7=0,NA(),SUM($DS$7:DS7))</f>
        <v>1</v>
      </c>
    </row>
    <row r="8" spans="1:124" ht="12" customHeight="1" x14ac:dyDescent="0.2">
      <c r="A8" s="50">
        <f t="shared" si="3"/>
        <v>2.8746592841587328</v>
      </c>
      <c r="B8" s="50">
        <f t="shared" si="4"/>
        <v>0.34299717028501769</v>
      </c>
      <c r="C8" s="50">
        <f t="shared" si="5"/>
        <v>0.83772594069863171</v>
      </c>
      <c r="D8" s="50">
        <f t="shared" si="6"/>
        <v>4.911592627618834</v>
      </c>
      <c r="E8" s="50">
        <f t="shared" si="7"/>
        <v>2.5000000215337215E-2</v>
      </c>
      <c r="F8" s="50">
        <f t="shared" si="8"/>
        <v>2.4999999643544376E-2</v>
      </c>
      <c r="G8" s="66">
        <v>0.77303515004555656</v>
      </c>
      <c r="H8" s="66">
        <v>4.9364570071054326</v>
      </c>
      <c r="I8" s="50">
        <f t="shared" si="9"/>
        <v>2.1533721333844014E-4</v>
      </c>
      <c r="J8" s="50">
        <f t="shared" si="10"/>
        <v>-3.5645562543318299E-4</v>
      </c>
      <c r="K8" s="66">
        <v>0.98599999999999999</v>
      </c>
      <c r="L8" s="66">
        <v>17</v>
      </c>
      <c r="M8" s="66">
        <v>17</v>
      </c>
      <c r="N8" s="649">
        <f t="shared" si="11"/>
        <v>0.98599999999999999</v>
      </c>
      <c r="O8" s="650">
        <f t="shared" si="12"/>
        <v>17</v>
      </c>
      <c r="P8" s="650">
        <f t="shared" si="13"/>
        <v>17</v>
      </c>
      <c r="Q8" s="180"/>
      <c r="R8" s="662" t="str">
        <f t="shared" ref="R8:R36" si="63">IF(AND($CL$1,$CK$5,$CN$4,CK8&lt;&gt;"",$CJ$3&lt;&gt;""), CK8,"")</f>
        <v/>
      </c>
      <c r="S8" s="838" t="str">
        <f t="shared" si="14"/>
        <v/>
      </c>
      <c r="T8" s="182" t="str">
        <f t="shared" si="15"/>
        <v/>
      </c>
      <c r="U8" s="183">
        <v>2</v>
      </c>
      <c r="V8" s="186" t="s">
        <v>373</v>
      </c>
      <c r="W8" s="663">
        <v>0.98599999999999999</v>
      </c>
      <c r="X8" s="653">
        <f t="shared" si="16"/>
        <v>0.96267790573412426</v>
      </c>
      <c r="Y8" s="186">
        <v>17</v>
      </c>
      <c r="Z8" s="186">
        <v>17</v>
      </c>
      <c r="AA8" s="664">
        <f t="shared" si="17"/>
        <v>32</v>
      </c>
      <c r="AB8" s="739"/>
      <c r="AC8" s="202">
        <f t="shared" si="18"/>
        <v>0.12577606944435299</v>
      </c>
      <c r="AD8" s="665" t="s">
        <v>339</v>
      </c>
      <c r="AE8" s="666">
        <f t="shared" si="19"/>
        <v>0.26514886899647999</v>
      </c>
      <c r="AF8" s="197" t="s">
        <v>261</v>
      </c>
      <c r="AG8" s="666">
        <f t="shared" si="20"/>
        <v>1.6931907846708107</v>
      </c>
      <c r="AH8" s="667" t="s">
        <v>259</v>
      </c>
      <c r="AI8" s="193">
        <f t="shared" si="21"/>
        <v>10.934410526786058</v>
      </c>
      <c r="AJ8" s="194"/>
      <c r="AK8" s="85">
        <f t="shared" si="1"/>
        <v>9.5000000000000005E-5</v>
      </c>
      <c r="AL8" s="249"/>
      <c r="AM8" s="249"/>
      <c r="AN8" s="194"/>
      <c r="AO8" s="170"/>
      <c r="AP8" s="170"/>
      <c r="AQ8" s="170"/>
      <c r="AR8" s="170"/>
      <c r="AS8" s="170"/>
      <c r="AT8" s="171"/>
      <c r="AU8" s="249"/>
      <c r="AV8" s="668">
        <f t="shared" si="2"/>
        <v>9.5000000000000005E-5</v>
      </c>
      <c r="AW8" s="669">
        <f t="shared" si="22"/>
        <v>0.69752903673764433</v>
      </c>
      <c r="AX8" s="670">
        <f t="shared" si="23"/>
        <v>0.73051287893668648</v>
      </c>
      <c r="AY8" s="671">
        <f t="shared" ref="AY8:AY36" si="64">IF(AW8&lt;&gt;"",(AW8+AX8)/2,"")</f>
        <v>0.71402095783716546</v>
      </c>
      <c r="BK8" s="91"/>
      <c r="CD8" s="672">
        <f t="shared" si="24"/>
        <v>0.97634676037943635</v>
      </c>
      <c r="CE8" s="672" t="b">
        <f t="shared" si="25"/>
        <v>1</v>
      </c>
      <c r="CF8" s="673" t="b">
        <v>1</v>
      </c>
      <c r="CG8" s="672" t="b">
        <f t="shared" si="26"/>
        <v>1</v>
      </c>
      <c r="CH8" s="672">
        <v>2</v>
      </c>
      <c r="CI8" s="674" t="b">
        <f t="shared" si="27"/>
        <v>1</v>
      </c>
      <c r="CJ8" s="675">
        <f t="shared" si="28"/>
        <v>0.96267790573412426</v>
      </c>
      <c r="CK8" s="676">
        <f t="shared" si="29"/>
        <v>2.6502453715068466</v>
      </c>
      <c r="CL8" s="675" t="e">
        <f t="shared" si="30"/>
        <v>#N/A</v>
      </c>
      <c r="CM8" s="676">
        <f t="shared" si="31"/>
        <v>2</v>
      </c>
      <c r="CN8" s="672">
        <f t="shared" si="32"/>
        <v>0.69752903673764433</v>
      </c>
      <c r="CO8" s="672">
        <f t="shared" si="33"/>
        <v>0.73051287893668648</v>
      </c>
      <c r="CP8" s="675">
        <f t="shared" si="34"/>
        <v>7.9506380221432282</v>
      </c>
      <c r="CQ8" s="675">
        <f t="shared" si="35"/>
        <v>4.3566063458050284</v>
      </c>
      <c r="CR8" s="675">
        <f t="shared" si="36"/>
        <v>7.6539035604069428</v>
      </c>
      <c r="CS8" s="675">
        <f t="shared" si="37"/>
        <v>63.212644959149586</v>
      </c>
      <c r="CT8" s="675">
        <f t="shared" si="38"/>
        <v>7.3682438502235135</v>
      </c>
      <c r="CU8" s="675">
        <f t="shared" si="39"/>
        <v>0.22953646040636627</v>
      </c>
      <c r="CV8" s="675">
        <f t="shared" si="40"/>
        <v>4.3566063458050284</v>
      </c>
      <c r="CW8" s="675">
        <f t="shared" si="41"/>
        <v>4.1940086730875805</v>
      </c>
      <c r="CX8" s="675" t="e">
        <f t="shared" si="42"/>
        <v>#N/A</v>
      </c>
      <c r="CY8" s="677">
        <f t="shared" si="43"/>
        <v>2</v>
      </c>
      <c r="CZ8" s="678" t="e">
        <f t="shared" si="44"/>
        <v>#N/A</v>
      </c>
      <c r="DA8" s="675" t="e">
        <f t="shared" si="45"/>
        <v>#N/A</v>
      </c>
      <c r="DB8" s="675" t="e">
        <f t="shared" si="46"/>
        <v>#N/A</v>
      </c>
      <c r="DC8" s="675" t="e">
        <f t="shared" si="47"/>
        <v>#N/A</v>
      </c>
      <c r="DD8" s="675" t="e">
        <f t="shared" si="48"/>
        <v>#N/A</v>
      </c>
      <c r="DE8" s="675" t="e">
        <f t="shared" si="49"/>
        <v>#N/A</v>
      </c>
      <c r="DF8" s="675">
        <f t="shared" si="50"/>
        <v>0.96267790573412426</v>
      </c>
      <c r="DG8" s="675" t="e">
        <f t="shared" si="51"/>
        <v>#N/A</v>
      </c>
      <c r="DH8" s="675" t="e">
        <f t="shared" si="52"/>
        <v>#N/A</v>
      </c>
      <c r="DI8" s="677">
        <v>2</v>
      </c>
      <c r="DJ8" s="672" t="e">
        <f t="shared" si="53"/>
        <v>#N/A</v>
      </c>
      <c r="DK8" s="672" t="e">
        <f t="shared" si="54"/>
        <v>#N/A</v>
      </c>
      <c r="DL8" s="672" t="e">
        <f t="shared" si="55"/>
        <v>#N/A</v>
      </c>
      <c r="DM8" s="672" t="e">
        <f t="shared" si="56"/>
        <v>#N/A</v>
      </c>
      <c r="DN8" s="672" t="e">
        <f t="shared" si="57"/>
        <v>#N/A</v>
      </c>
      <c r="DO8" s="672" t="e">
        <f t="shared" si="58"/>
        <v>#N/A</v>
      </c>
      <c r="DP8" s="672">
        <f t="shared" si="59"/>
        <v>0.96267790573412426</v>
      </c>
      <c r="DQ8" s="672" t="e">
        <f t="shared" si="60"/>
        <v>#N/A</v>
      </c>
      <c r="DR8" s="672" t="e">
        <f t="shared" si="61"/>
        <v>#N/A</v>
      </c>
      <c r="DS8" s="672">
        <f t="shared" si="62"/>
        <v>1</v>
      </c>
      <c r="DT8" s="677">
        <f>IF(DS8=0,NA(),SUM($DS$7:DS8))</f>
        <v>2</v>
      </c>
    </row>
    <row r="9" spans="1:124" ht="12" customHeight="1" x14ac:dyDescent="0.2">
      <c r="A9" s="50">
        <f t="shared" si="3"/>
        <v>2.1124024006895619</v>
      </c>
      <c r="B9" s="50">
        <f t="shared" si="4"/>
        <v>0.31244047052046192</v>
      </c>
      <c r="C9" s="50">
        <f t="shared" si="5"/>
        <v>8.9711480652802322E-2</v>
      </c>
      <c r="D9" s="50">
        <f t="shared" si="6"/>
        <v>4.1350933207263214</v>
      </c>
      <c r="E9" s="50">
        <f t="shared" si="7"/>
        <v>2.5000000208468154E-2</v>
      </c>
      <c r="F9" s="50">
        <f t="shared" si="8"/>
        <v>2.5000000170262368E-2</v>
      </c>
      <c r="G9" s="66">
        <v>8.4711588246839581E-2</v>
      </c>
      <c r="H9" s="66">
        <v>4.1144980072770894</v>
      </c>
      <c r="I9" s="50">
        <f t="shared" si="9"/>
        <v>2.0846815246278183E-4</v>
      </c>
      <c r="J9" s="50">
        <f t="shared" si="10"/>
        <v>1.702623667054759E-4</v>
      </c>
      <c r="K9" s="66">
        <v>0.66</v>
      </c>
      <c r="L9" s="66">
        <v>20</v>
      </c>
      <c r="M9" s="66">
        <v>21</v>
      </c>
      <c r="N9" s="649">
        <f t="shared" si="11"/>
        <v>0.66</v>
      </c>
      <c r="O9" s="650">
        <f t="shared" si="12"/>
        <v>20</v>
      </c>
      <c r="P9" s="650">
        <f t="shared" si="13"/>
        <v>21</v>
      </c>
      <c r="Q9" s="180"/>
      <c r="R9" s="662" t="str">
        <f t="shared" si="63"/>
        <v/>
      </c>
      <c r="S9" s="838" t="str">
        <f t="shared" si="14"/>
        <v/>
      </c>
      <c r="T9" s="182" t="str">
        <f t="shared" si="15"/>
        <v/>
      </c>
      <c r="U9" s="183">
        <v>3</v>
      </c>
      <c r="V9" s="186" t="s">
        <v>374</v>
      </c>
      <c r="W9" s="663">
        <v>0.66</v>
      </c>
      <c r="X9" s="653">
        <f t="shared" si="16"/>
        <v>0.64721199752902403</v>
      </c>
      <c r="Y9" s="186">
        <v>20</v>
      </c>
      <c r="Z9" s="186">
        <v>21</v>
      </c>
      <c r="AA9" s="664">
        <f t="shared" si="17"/>
        <v>39</v>
      </c>
      <c r="AB9" s="739"/>
      <c r="AC9" s="202">
        <f t="shared" si="18"/>
        <v>9.8981142817820472E-2</v>
      </c>
      <c r="AD9" s="665" t="s">
        <v>339</v>
      </c>
      <c r="AE9" s="666">
        <f t="shared" si="19"/>
        <v>2.6467328490378191E-2</v>
      </c>
      <c r="AF9" s="197" t="s">
        <v>261</v>
      </c>
      <c r="AG9" s="666">
        <f t="shared" si="20"/>
        <v>1.2855356933491568</v>
      </c>
      <c r="AH9" s="667" t="s">
        <v>259</v>
      </c>
      <c r="AI9" s="193">
        <f t="shared" si="21"/>
        <v>12.379534879489164</v>
      </c>
      <c r="AJ9" s="194"/>
      <c r="AK9" s="85">
        <f t="shared" si="1"/>
        <v>9.5000000000000005E-5</v>
      </c>
      <c r="AL9" s="249"/>
      <c r="AM9" s="249"/>
      <c r="AN9" s="194"/>
      <c r="AO9" s="170"/>
      <c r="AP9" s="170"/>
      <c r="AQ9" s="170"/>
      <c r="AR9" s="170"/>
      <c r="AS9" s="170"/>
      <c r="AT9" s="171"/>
      <c r="AU9" s="249"/>
      <c r="AV9" s="668">
        <f t="shared" si="2"/>
        <v>9.5000000000000005E-5</v>
      </c>
      <c r="AW9" s="669">
        <f t="shared" si="22"/>
        <v>0.62074466903864589</v>
      </c>
      <c r="AX9" s="670">
        <f t="shared" si="23"/>
        <v>0.63832369582013282</v>
      </c>
      <c r="AY9" s="671">
        <f t="shared" si="64"/>
        <v>0.62953418242938941</v>
      </c>
      <c r="BK9" s="91"/>
      <c r="CD9" s="50">
        <f t="shared" si="24"/>
        <v>0.98062423868033943</v>
      </c>
      <c r="CE9" s="50" t="b">
        <f t="shared" si="25"/>
        <v>1</v>
      </c>
      <c r="CF9" s="66" t="b">
        <v>1</v>
      </c>
      <c r="CG9" s="50" t="b">
        <f t="shared" si="26"/>
        <v>1</v>
      </c>
      <c r="CH9" s="50">
        <v>3</v>
      </c>
      <c r="CI9" s="200" t="b">
        <f t="shared" si="27"/>
        <v>1</v>
      </c>
      <c r="CJ9" s="90">
        <f t="shared" si="28"/>
        <v>0.64721199752902403</v>
      </c>
      <c r="CK9" s="201">
        <f t="shared" si="29"/>
        <v>2.0173114390425986</v>
      </c>
      <c r="CL9" s="90" t="e">
        <f t="shared" si="30"/>
        <v>#N/A</v>
      </c>
      <c r="CM9" s="201">
        <f t="shared" si="31"/>
        <v>3</v>
      </c>
      <c r="CN9" s="50">
        <f t="shared" si="32"/>
        <v>0.62074466903864589</v>
      </c>
      <c r="CO9" s="50">
        <f t="shared" si="33"/>
        <v>0.63832369582013282</v>
      </c>
      <c r="CP9" s="90">
        <f t="shared" si="34"/>
        <v>10.102934473494086</v>
      </c>
      <c r="CQ9" s="90">
        <f t="shared" si="35"/>
        <v>4.932388452214953</v>
      </c>
      <c r="CR9" s="90">
        <f t="shared" si="36"/>
        <v>6.5387404014949464</v>
      </c>
      <c r="CS9" s="90">
        <f t="shared" si="37"/>
        <v>102.06928497571522</v>
      </c>
      <c r="CT9" s="90">
        <f t="shared" si="38"/>
        <v>4.2319512365752763</v>
      </c>
      <c r="CU9" s="90">
        <f t="shared" si="39"/>
        <v>0.20274153377983378</v>
      </c>
      <c r="CV9" s="90">
        <f t="shared" si="40"/>
        <v>4.932388452214953</v>
      </c>
      <c r="CW9" s="90">
        <f t="shared" si="41"/>
        <v>3.1923009827471307</v>
      </c>
      <c r="CX9" s="90" t="e">
        <f t="shared" si="42"/>
        <v>#N/A</v>
      </c>
      <c r="CY9" s="113">
        <f t="shared" si="43"/>
        <v>3</v>
      </c>
      <c r="CZ9" s="106" t="e">
        <f t="shared" si="44"/>
        <v>#N/A</v>
      </c>
      <c r="DA9" s="90" t="e">
        <f t="shared" si="45"/>
        <v>#N/A</v>
      </c>
      <c r="DB9" s="90" t="e">
        <f t="shared" si="46"/>
        <v>#N/A</v>
      </c>
      <c r="DC9" s="90" t="e">
        <f t="shared" si="47"/>
        <v>#N/A</v>
      </c>
      <c r="DD9" s="90" t="e">
        <f t="shared" si="48"/>
        <v>#N/A</v>
      </c>
      <c r="DE9" s="90" t="e">
        <f t="shared" si="49"/>
        <v>#N/A</v>
      </c>
      <c r="DF9" s="90">
        <f t="shared" si="50"/>
        <v>0.64721199752902403</v>
      </c>
      <c r="DG9" s="90" t="e">
        <f t="shared" si="51"/>
        <v>#N/A</v>
      </c>
      <c r="DH9" s="90" t="e">
        <f t="shared" si="52"/>
        <v>#N/A</v>
      </c>
      <c r="DI9" s="113">
        <v>3</v>
      </c>
      <c r="DJ9" s="50" t="e">
        <f t="shared" si="53"/>
        <v>#N/A</v>
      </c>
      <c r="DK9" s="50" t="e">
        <f t="shared" si="54"/>
        <v>#N/A</v>
      </c>
      <c r="DL9" s="50" t="e">
        <f t="shared" si="55"/>
        <v>#N/A</v>
      </c>
      <c r="DM9" s="50" t="e">
        <f t="shared" si="56"/>
        <v>#N/A</v>
      </c>
      <c r="DN9" s="50" t="e">
        <f t="shared" si="57"/>
        <v>#N/A</v>
      </c>
      <c r="DO9" s="50" t="e">
        <f t="shared" si="58"/>
        <v>#N/A</v>
      </c>
      <c r="DP9" s="50">
        <f t="shared" si="59"/>
        <v>0.64721199752902403</v>
      </c>
      <c r="DQ9" s="50" t="e">
        <f t="shared" si="60"/>
        <v>#N/A</v>
      </c>
      <c r="DR9" s="50" t="e">
        <f t="shared" si="61"/>
        <v>#N/A</v>
      </c>
      <c r="DS9" s="50">
        <f t="shared" si="62"/>
        <v>1</v>
      </c>
      <c r="DT9" s="113">
        <f>IF(DS9=0,NA(),SUM($DS$7:DS9))</f>
        <v>3</v>
      </c>
    </row>
    <row r="10" spans="1:124" ht="12" customHeight="1" x14ac:dyDescent="0.2">
      <c r="A10" s="50">
        <f t="shared" si="3"/>
        <v>2.0989652623170763</v>
      </c>
      <c r="B10" s="50">
        <f t="shared" si="4"/>
        <v>0.37161167647860327</v>
      </c>
      <c r="C10" s="50">
        <f t="shared" si="5"/>
        <v>4.7134745836790337E-2</v>
      </c>
      <c r="D10" s="50">
        <f t="shared" si="6"/>
        <v>4.1507957787973622</v>
      </c>
      <c r="E10" s="50">
        <f t="shared" si="7"/>
        <v>2.5000000211027995E-2</v>
      </c>
      <c r="F10" s="50">
        <f t="shared" si="8"/>
        <v>2.5000000032606894E-2</v>
      </c>
      <c r="G10" s="66">
        <v>4.3402698429905989E-2</v>
      </c>
      <c r="H10" s="66">
        <v>4.1186505545543088</v>
      </c>
      <c r="I10" s="50">
        <f t="shared" si="9"/>
        <v>2.1102799369066005E-4</v>
      </c>
      <c r="J10" s="50">
        <f t="shared" si="10"/>
        <v>3.2606892880204796E-5</v>
      </c>
      <c r="K10" s="66">
        <v>0.78</v>
      </c>
      <c r="L10" s="66">
        <v>15</v>
      </c>
      <c r="M10" s="66">
        <v>14</v>
      </c>
      <c r="N10" s="649">
        <f t="shared" si="11"/>
        <v>0.78</v>
      </c>
      <c r="O10" s="650">
        <f t="shared" si="12"/>
        <v>15</v>
      </c>
      <c r="P10" s="650">
        <f t="shared" si="13"/>
        <v>14</v>
      </c>
      <c r="Q10" s="180"/>
      <c r="R10" s="662" t="str">
        <f t="shared" si="63"/>
        <v/>
      </c>
      <c r="S10" s="838" t="str">
        <f t="shared" si="14"/>
        <v/>
      </c>
      <c r="T10" s="182" t="str">
        <f t="shared" si="15"/>
        <v/>
      </c>
      <c r="U10" s="183">
        <v>4</v>
      </c>
      <c r="V10" s="186" t="s">
        <v>375</v>
      </c>
      <c r="W10" s="663">
        <v>0.78</v>
      </c>
      <c r="X10" s="653">
        <f t="shared" si="16"/>
        <v>0.75809653888870754</v>
      </c>
      <c r="Y10" s="186">
        <v>15</v>
      </c>
      <c r="Z10" s="186">
        <v>14</v>
      </c>
      <c r="AA10" s="664">
        <f t="shared" si="17"/>
        <v>27</v>
      </c>
      <c r="AB10" s="739"/>
      <c r="AC10" s="202">
        <f t="shared" si="18"/>
        <v>0.14035712991198229</v>
      </c>
      <c r="AD10" s="665" t="s">
        <v>339</v>
      </c>
      <c r="AE10" s="666">
        <f t="shared" si="19"/>
        <v>1.6128949527232605E-2</v>
      </c>
      <c r="AF10" s="197" t="s">
        <v>261</v>
      </c>
      <c r="AG10" s="666">
        <f t="shared" si="20"/>
        <v>1.5305386374074557</v>
      </c>
      <c r="AH10" s="667" t="s">
        <v>259</v>
      </c>
      <c r="AI10" s="193">
        <f t="shared" si="21"/>
        <v>10.28130172698285</v>
      </c>
      <c r="AJ10" s="194"/>
      <c r="AK10" s="85">
        <f t="shared" si="1"/>
        <v>9.5000000000000005E-5</v>
      </c>
      <c r="AL10" s="249"/>
      <c r="AM10" s="249"/>
      <c r="AN10" s="194"/>
      <c r="AO10" s="170"/>
      <c r="AP10" s="170"/>
      <c r="AQ10" s="170"/>
      <c r="AR10" s="170"/>
      <c r="AS10" s="170"/>
      <c r="AT10" s="171"/>
      <c r="AU10" s="249"/>
      <c r="AV10" s="668">
        <f t="shared" si="2"/>
        <v>9.5000000000000005E-5</v>
      </c>
      <c r="AW10" s="669">
        <f t="shared" si="22"/>
        <v>0.74196758936147489</v>
      </c>
      <c r="AX10" s="670">
        <f t="shared" si="23"/>
        <v>0.77244209851874812</v>
      </c>
      <c r="AY10" s="671">
        <f t="shared" si="64"/>
        <v>0.75720484394011156</v>
      </c>
      <c r="BK10" s="91"/>
      <c r="CD10" s="50">
        <f t="shared" si="24"/>
        <v>0.97191863960090707</v>
      </c>
      <c r="CE10" s="50" t="b">
        <f t="shared" si="25"/>
        <v>1</v>
      </c>
      <c r="CF10" s="66" t="b">
        <v>1</v>
      </c>
      <c r="CG10" s="50" t="b">
        <f t="shared" si="26"/>
        <v>1</v>
      </c>
      <c r="CH10" s="50">
        <v>4</v>
      </c>
      <c r="CI10" s="200" t="b">
        <f t="shared" si="27"/>
        <v>1</v>
      </c>
      <c r="CJ10" s="90">
        <f t="shared" si="28"/>
        <v>0.75809653888870754</v>
      </c>
      <c r="CK10" s="201">
        <f t="shared" si="29"/>
        <v>1.9666957783499774</v>
      </c>
      <c r="CL10" s="90" t="e">
        <f t="shared" si="30"/>
        <v>#N/A</v>
      </c>
      <c r="CM10" s="201">
        <f t="shared" si="31"/>
        <v>4</v>
      </c>
      <c r="CN10" s="50">
        <f t="shared" si="32"/>
        <v>0.74196758936147489</v>
      </c>
      <c r="CO10" s="50">
        <f t="shared" si="33"/>
        <v>0.77244209851874812</v>
      </c>
      <c r="CP10" s="90">
        <f t="shared" si="34"/>
        <v>7.1246825909527951</v>
      </c>
      <c r="CQ10" s="90">
        <f t="shared" si="35"/>
        <v>4.0963876595984399</v>
      </c>
      <c r="CR10" s="90">
        <f t="shared" si="36"/>
        <v>5.401197212881943</v>
      </c>
      <c r="CS10" s="90">
        <f t="shared" si="37"/>
        <v>50.761102021825835</v>
      </c>
      <c r="CT10" s="90">
        <f t="shared" si="38"/>
        <v>4.0946289129411353</v>
      </c>
      <c r="CU10" s="90">
        <f t="shared" si="39"/>
        <v>0.24411752087399557</v>
      </c>
      <c r="CV10" s="90">
        <f t="shared" si="40"/>
        <v>4.0963876595984399</v>
      </c>
      <c r="CW10" s="90">
        <f t="shared" si="41"/>
        <v>3.1054573066879905</v>
      </c>
      <c r="CX10" s="90" t="e">
        <f t="shared" si="42"/>
        <v>#N/A</v>
      </c>
      <c r="CY10" s="113">
        <f t="shared" si="43"/>
        <v>4</v>
      </c>
      <c r="CZ10" s="106" t="e">
        <f t="shared" si="44"/>
        <v>#N/A</v>
      </c>
      <c r="DA10" s="90" t="e">
        <f t="shared" si="45"/>
        <v>#N/A</v>
      </c>
      <c r="DB10" s="90" t="e">
        <f t="shared" si="46"/>
        <v>#N/A</v>
      </c>
      <c r="DC10" s="90" t="e">
        <f t="shared" si="47"/>
        <v>#N/A</v>
      </c>
      <c r="DD10" s="90" t="e">
        <f t="shared" si="48"/>
        <v>#N/A</v>
      </c>
      <c r="DE10" s="90" t="e">
        <f t="shared" si="49"/>
        <v>#N/A</v>
      </c>
      <c r="DF10" s="90">
        <f t="shared" si="50"/>
        <v>0.75809653888870754</v>
      </c>
      <c r="DG10" s="90" t="e">
        <f t="shared" si="51"/>
        <v>#N/A</v>
      </c>
      <c r="DH10" s="90" t="e">
        <f t="shared" si="52"/>
        <v>#N/A</v>
      </c>
      <c r="DI10" s="113">
        <v>4</v>
      </c>
      <c r="DJ10" s="50" t="e">
        <f t="shared" si="53"/>
        <v>#N/A</v>
      </c>
      <c r="DK10" s="50" t="e">
        <f t="shared" si="54"/>
        <v>#N/A</v>
      </c>
      <c r="DL10" s="50" t="e">
        <f t="shared" si="55"/>
        <v>#N/A</v>
      </c>
      <c r="DM10" s="50" t="e">
        <f t="shared" si="56"/>
        <v>#N/A</v>
      </c>
      <c r="DN10" s="50" t="e">
        <f t="shared" si="57"/>
        <v>#N/A</v>
      </c>
      <c r="DO10" s="50" t="e">
        <f t="shared" si="58"/>
        <v>#N/A</v>
      </c>
      <c r="DP10" s="50">
        <f t="shared" si="59"/>
        <v>0.75809653888870754</v>
      </c>
      <c r="DQ10" s="50" t="e">
        <f t="shared" si="60"/>
        <v>#N/A</v>
      </c>
      <c r="DR10" s="50" t="e">
        <f t="shared" si="61"/>
        <v>#N/A</v>
      </c>
      <c r="DS10" s="50">
        <f t="shared" si="62"/>
        <v>1</v>
      </c>
      <c r="DT10" s="113">
        <f>IF(DS10=0,NA(),SUM($DS$7:DS10))</f>
        <v>4</v>
      </c>
    </row>
    <row r="11" spans="1:124" ht="12" customHeight="1" x14ac:dyDescent="0.2">
      <c r="A11" s="50">
        <f t="shared" si="3"/>
        <v>2.5901905335322342</v>
      </c>
      <c r="B11" s="50">
        <f t="shared" si="4"/>
        <v>0.3779644730092272</v>
      </c>
      <c r="C11" s="50">
        <f t="shared" si="5"/>
        <v>0.53466109488936109</v>
      </c>
      <c r="D11" s="50">
        <f t="shared" si="6"/>
        <v>4.6457199721751072</v>
      </c>
      <c r="E11" s="50">
        <f t="shared" si="7"/>
        <v>2.5000000210949058E-2</v>
      </c>
      <c r="F11" s="50">
        <f t="shared" si="8"/>
        <v>2.4999999947676543E-2</v>
      </c>
      <c r="G11" s="66">
        <v>0.48673689991629382</v>
      </c>
      <c r="H11" s="66">
        <v>4.649533055855926</v>
      </c>
      <c r="I11" s="50">
        <f t="shared" si="9"/>
        <v>2.1094905683360921E-4</v>
      </c>
      <c r="J11" s="50">
        <f t="shared" si="10"/>
        <v>-5.2323458066272366E-5</v>
      </c>
      <c r="K11" s="66">
        <v>0.97899999999999998</v>
      </c>
      <c r="L11" s="66">
        <v>14</v>
      </c>
      <c r="M11" s="66">
        <v>14</v>
      </c>
      <c r="N11" s="649">
        <f t="shared" si="11"/>
        <v>0.97899999999999998</v>
      </c>
      <c r="O11" s="650">
        <f t="shared" si="12"/>
        <v>14</v>
      </c>
      <c r="P11" s="650">
        <f t="shared" si="13"/>
        <v>14</v>
      </c>
      <c r="Q11" s="180"/>
      <c r="R11" s="662" t="str">
        <f t="shared" si="63"/>
        <v/>
      </c>
      <c r="S11" s="838" t="str">
        <f t="shared" si="14"/>
        <v/>
      </c>
      <c r="T11" s="182" t="str">
        <f t="shared" si="15"/>
        <v/>
      </c>
      <c r="U11" s="183">
        <v>5</v>
      </c>
      <c r="V11" s="186" t="s">
        <v>376</v>
      </c>
      <c r="W11" s="663">
        <v>0.97899999999999998</v>
      </c>
      <c r="X11" s="653">
        <f t="shared" si="16"/>
        <v>0.95043896616930468</v>
      </c>
      <c r="Y11" s="186">
        <v>14</v>
      </c>
      <c r="Z11" s="186">
        <v>14</v>
      </c>
      <c r="AA11" s="664">
        <f t="shared" si="17"/>
        <v>26</v>
      </c>
      <c r="AB11" s="739"/>
      <c r="AC11" s="202">
        <f t="shared" si="18"/>
        <v>0.15077435999336003</v>
      </c>
      <c r="AD11" s="665" t="s">
        <v>339</v>
      </c>
      <c r="AE11" s="666">
        <f t="shared" si="19"/>
        <v>0.18396925587100696</v>
      </c>
      <c r="AF11" s="197" t="s">
        <v>261</v>
      </c>
      <c r="AG11" s="666">
        <f t="shared" si="20"/>
        <v>1.7573583111955668</v>
      </c>
      <c r="AH11" s="667" t="s">
        <v>259</v>
      </c>
      <c r="AI11" s="193">
        <f t="shared" si="21"/>
        <v>9.8605234826604296</v>
      </c>
      <c r="AJ11" s="194"/>
      <c r="AK11" s="85">
        <f t="shared" si="1"/>
        <v>9.5000000000000005E-5</v>
      </c>
      <c r="AL11" s="249"/>
      <c r="AM11" s="249"/>
      <c r="AN11" s="194"/>
      <c r="AO11" s="170"/>
      <c r="AP11" s="170"/>
      <c r="AQ11" s="170"/>
      <c r="AR11" s="170"/>
      <c r="AS11" s="170"/>
      <c r="AT11" s="171"/>
      <c r="AU11" s="249"/>
      <c r="AV11" s="668">
        <f t="shared" si="2"/>
        <v>9.5000000000000005E-5</v>
      </c>
      <c r="AW11" s="669">
        <f t="shared" si="22"/>
        <v>0.76646971029829769</v>
      </c>
      <c r="AX11" s="670">
        <f t="shared" si="23"/>
        <v>0.80691934502626217</v>
      </c>
      <c r="AY11" s="671">
        <f t="shared" si="64"/>
        <v>0.78669452766227987</v>
      </c>
      <c r="BK11" s="91"/>
      <c r="CD11" s="50">
        <f t="shared" si="24"/>
        <v>0.97082631886547976</v>
      </c>
      <c r="CE11" s="50" t="b">
        <f t="shared" si="25"/>
        <v>1</v>
      </c>
      <c r="CF11" s="66" t="b">
        <v>1</v>
      </c>
      <c r="CG11" s="50" t="b">
        <f t="shared" si="26"/>
        <v>1</v>
      </c>
      <c r="CH11" s="50">
        <v>5</v>
      </c>
      <c r="CI11" s="200" t="b">
        <f t="shared" si="27"/>
        <v>1</v>
      </c>
      <c r="CJ11" s="90">
        <f t="shared" si="28"/>
        <v>0.95043896616930468</v>
      </c>
      <c r="CK11" s="201">
        <f t="shared" si="29"/>
        <v>2.3763041575741646</v>
      </c>
      <c r="CL11" s="90" t="e">
        <f t="shared" si="30"/>
        <v>#N/A</v>
      </c>
      <c r="CM11" s="201">
        <f t="shared" si="31"/>
        <v>5</v>
      </c>
      <c r="CN11" s="50">
        <f t="shared" si="32"/>
        <v>0.76646971029829769</v>
      </c>
      <c r="CO11" s="50">
        <f t="shared" si="33"/>
        <v>0.80691934502626217</v>
      </c>
      <c r="CP11" s="90">
        <f t="shared" si="34"/>
        <v>6.6324274236285206</v>
      </c>
      <c r="CQ11" s="90">
        <f t="shared" si="35"/>
        <v>3.9287366312324346</v>
      </c>
      <c r="CR11" s="90">
        <f t="shared" si="36"/>
        <v>6.3037174637064357</v>
      </c>
      <c r="CS11" s="90">
        <f t="shared" si="37"/>
        <v>43.989093529699652</v>
      </c>
      <c r="CT11" s="90">
        <f t="shared" si="38"/>
        <v>5.9912987092285368</v>
      </c>
      <c r="CU11" s="90">
        <f t="shared" si="39"/>
        <v>0.25453475095537331</v>
      </c>
      <c r="CV11" s="90">
        <f t="shared" si="40"/>
        <v>3.9287366312324346</v>
      </c>
      <c r="CW11" s="90">
        <f t="shared" si="41"/>
        <v>3.7340243821400319</v>
      </c>
      <c r="CX11" s="90" t="e">
        <f t="shared" si="42"/>
        <v>#N/A</v>
      </c>
      <c r="CY11" s="113">
        <f t="shared" si="43"/>
        <v>5</v>
      </c>
      <c r="CZ11" s="106" t="e">
        <f t="shared" si="44"/>
        <v>#N/A</v>
      </c>
      <c r="DA11" s="90" t="e">
        <f t="shared" si="45"/>
        <v>#N/A</v>
      </c>
      <c r="DB11" s="90" t="e">
        <f t="shared" si="46"/>
        <v>#N/A</v>
      </c>
      <c r="DC11" s="90" t="e">
        <f t="shared" si="47"/>
        <v>#N/A</v>
      </c>
      <c r="DD11" s="90" t="e">
        <f t="shared" si="48"/>
        <v>#N/A</v>
      </c>
      <c r="DE11" s="90">
        <f t="shared" si="49"/>
        <v>0.95043896616930468</v>
      </c>
      <c r="DF11" s="90" t="e">
        <f t="shared" si="50"/>
        <v>#N/A</v>
      </c>
      <c r="DG11" s="90" t="e">
        <f t="shared" si="51"/>
        <v>#N/A</v>
      </c>
      <c r="DH11" s="90" t="e">
        <f t="shared" si="52"/>
        <v>#N/A</v>
      </c>
      <c r="DI11" s="113">
        <v>5</v>
      </c>
      <c r="DJ11" s="50" t="e">
        <f t="shared" si="53"/>
        <v>#N/A</v>
      </c>
      <c r="DK11" s="50" t="e">
        <f t="shared" si="54"/>
        <v>#N/A</v>
      </c>
      <c r="DL11" s="50" t="e">
        <f t="shared" si="55"/>
        <v>#N/A</v>
      </c>
      <c r="DM11" s="50" t="e">
        <f t="shared" si="56"/>
        <v>#N/A</v>
      </c>
      <c r="DN11" s="50" t="e">
        <f t="shared" si="57"/>
        <v>#N/A</v>
      </c>
      <c r="DO11" s="50">
        <f t="shared" si="58"/>
        <v>0.95043896616930468</v>
      </c>
      <c r="DP11" s="50" t="e">
        <f t="shared" si="59"/>
        <v>#N/A</v>
      </c>
      <c r="DQ11" s="50" t="e">
        <f t="shared" si="60"/>
        <v>#N/A</v>
      </c>
      <c r="DR11" s="50" t="e">
        <f t="shared" si="61"/>
        <v>#N/A</v>
      </c>
      <c r="DS11" s="50">
        <f t="shared" si="62"/>
        <v>1</v>
      </c>
      <c r="DT11" s="113">
        <f>IF(DS11=0,NA(),SUM($DS$7:DS11))</f>
        <v>5</v>
      </c>
    </row>
    <row r="12" spans="1:124" ht="12" customHeight="1" x14ac:dyDescent="0.2">
      <c r="A12" s="50">
        <f t="shared" si="3"/>
        <v>2.2753461275155482</v>
      </c>
      <c r="B12" s="50">
        <f t="shared" si="4"/>
        <v>0.3779644730092272</v>
      </c>
      <c r="C12" s="50">
        <f t="shared" si="5"/>
        <v>0.21981668887267514</v>
      </c>
      <c r="D12" s="50">
        <f t="shared" si="6"/>
        <v>4.3308755661584213</v>
      </c>
      <c r="E12" s="50">
        <f t="shared" si="7"/>
        <v>2.5000000274442491E-2</v>
      </c>
      <c r="F12" s="50">
        <f t="shared" si="8"/>
        <v>2.5000000198047444E-2</v>
      </c>
      <c r="G12" s="66">
        <v>0.20116912631807318</v>
      </c>
      <c r="H12" s="66">
        <v>4.309778413845109</v>
      </c>
      <c r="I12" s="50">
        <f t="shared" si="9"/>
        <v>2.7444248956731698E-4</v>
      </c>
      <c r="J12" s="50">
        <f t="shared" si="10"/>
        <v>1.9804744302853727E-4</v>
      </c>
      <c r="K12" s="66">
        <v>0.86</v>
      </c>
      <c r="L12" s="66">
        <v>14</v>
      </c>
      <c r="M12" s="66">
        <v>14</v>
      </c>
      <c r="N12" s="649">
        <f t="shared" si="11"/>
        <v>0.86</v>
      </c>
      <c r="O12" s="650">
        <f t="shared" si="12"/>
        <v>14</v>
      </c>
      <c r="P12" s="650">
        <f t="shared" si="13"/>
        <v>14</v>
      </c>
      <c r="Q12" s="180"/>
      <c r="R12" s="662" t="str">
        <f t="shared" si="63"/>
        <v/>
      </c>
      <c r="S12" s="838" t="str">
        <f t="shared" si="14"/>
        <v/>
      </c>
      <c r="T12" s="182" t="str">
        <f t="shared" si="15"/>
        <v/>
      </c>
      <c r="U12" s="183">
        <v>6</v>
      </c>
      <c r="V12" s="186" t="s">
        <v>377</v>
      </c>
      <c r="W12" s="663">
        <v>0.86</v>
      </c>
      <c r="X12" s="653">
        <f t="shared" si="16"/>
        <v>0.83491063422431255</v>
      </c>
      <c r="Y12" s="186">
        <v>14</v>
      </c>
      <c r="Z12" s="186">
        <v>14</v>
      </c>
      <c r="AA12" s="664">
        <f t="shared" si="17"/>
        <v>26</v>
      </c>
      <c r="AB12" s="739"/>
      <c r="AC12" s="202">
        <f t="shared" si="18"/>
        <v>0.14709117318492909</v>
      </c>
      <c r="AD12" s="665" t="s">
        <v>339</v>
      </c>
      <c r="AE12" s="666">
        <f t="shared" si="19"/>
        <v>7.6034782814537183E-2</v>
      </c>
      <c r="AF12" s="197" t="s">
        <v>261</v>
      </c>
      <c r="AG12" s="666">
        <f t="shared" si="20"/>
        <v>1.6289431269755097</v>
      </c>
      <c r="AH12" s="667" t="s">
        <v>259</v>
      </c>
      <c r="AI12" s="193">
        <f t="shared" si="21"/>
        <v>10.005302926787332</v>
      </c>
      <c r="AJ12" s="194"/>
      <c r="AK12" s="85">
        <f t="shared" si="1"/>
        <v>9.5000000000000005E-5</v>
      </c>
      <c r="AL12" s="249"/>
      <c r="AM12" s="249"/>
      <c r="AN12" s="194"/>
      <c r="AO12" s="170"/>
      <c r="AP12" s="170"/>
      <c r="AQ12" s="170"/>
      <c r="AR12" s="170"/>
      <c r="AS12" s="170"/>
      <c r="AT12" s="171"/>
      <c r="AU12" s="249"/>
      <c r="AV12" s="668">
        <f t="shared" si="2"/>
        <v>9.5000000000000005E-5</v>
      </c>
      <c r="AW12" s="669">
        <f t="shared" si="22"/>
        <v>0.75887585140977531</v>
      </c>
      <c r="AX12" s="670">
        <f t="shared" si="23"/>
        <v>0.79403249275119714</v>
      </c>
      <c r="AY12" s="671">
        <f t="shared" si="64"/>
        <v>0.77645417208048628</v>
      </c>
      <c r="BK12" s="91"/>
      <c r="CD12" s="50">
        <f t="shared" si="24"/>
        <v>0.97082631886547976</v>
      </c>
      <c r="CE12" s="50" t="b">
        <f t="shared" si="25"/>
        <v>1</v>
      </c>
      <c r="CF12" s="66" t="b">
        <v>1</v>
      </c>
      <c r="CG12" s="50" t="b">
        <f t="shared" si="26"/>
        <v>1</v>
      </c>
      <c r="CH12" s="50">
        <v>6</v>
      </c>
      <c r="CI12" s="200" t="b">
        <f t="shared" si="27"/>
        <v>1</v>
      </c>
      <c r="CJ12" s="90">
        <f t="shared" si="28"/>
        <v>0.83491063422431255</v>
      </c>
      <c r="CK12" s="201">
        <f t="shared" si="29"/>
        <v>2.1134317532028164</v>
      </c>
      <c r="CL12" s="90" t="e">
        <f t="shared" si="30"/>
        <v>#N/A</v>
      </c>
      <c r="CM12" s="201">
        <f t="shared" si="31"/>
        <v>6</v>
      </c>
      <c r="CN12" s="50">
        <f t="shared" si="32"/>
        <v>0.75887585140977531</v>
      </c>
      <c r="CO12" s="50">
        <f t="shared" si="33"/>
        <v>0.79403249275119714</v>
      </c>
      <c r="CP12" s="90">
        <f t="shared" si="34"/>
        <v>6.7985044809096653</v>
      </c>
      <c r="CQ12" s="90">
        <f t="shared" si="35"/>
        <v>3.9864212264358287</v>
      </c>
      <c r="CR12" s="90">
        <f t="shared" si="36"/>
        <v>5.6761436879331191</v>
      </c>
      <c r="CS12" s="90">
        <f t="shared" si="37"/>
        <v>46.219663176948799</v>
      </c>
      <c r="CT12" s="90">
        <f t="shared" si="38"/>
        <v>4.7390727264405692</v>
      </c>
      <c r="CU12" s="90">
        <f t="shared" si="39"/>
        <v>0.25085156414694237</v>
      </c>
      <c r="CV12" s="90">
        <f t="shared" si="40"/>
        <v>3.9864212264358287</v>
      </c>
      <c r="CW12" s="90">
        <f t="shared" si="41"/>
        <v>3.3283054744487997</v>
      </c>
      <c r="CX12" s="90" t="e">
        <f t="shared" si="42"/>
        <v>#N/A</v>
      </c>
      <c r="CY12" s="113">
        <f t="shared" si="43"/>
        <v>6</v>
      </c>
      <c r="CZ12" s="106" t="e">
        <f t="shared" si="44"/>
        <v>#N/A</v>
      </c>
      <c r="DA12" s="90" t="e">
        <f t="shared" si="45"/>
        <v>#N/A</v>
      </c>
      <c r="DB12" s="90" t="e">
        <f t="shared" si="46"/>
        <v>#N/A</v>
      </c>
      <c r="DC12" s="90" t="e">
        <f t="shared" si="47"/>
        <v>#N/A</v>
      </c>
      <c r="DD12" s="90" t="e">
        <f t="shared" si="48"/>
        <v>#N/A</v>
      </c>
      <c r="DE12" s="90">
        <f t="shared" si="49"/>
        <v>0.83491063422431255</v>
      </c>
      <c r="DF12" s="90" t="e">
        <f t="shared" si="50"/>
        <v>#N/A</v>
      </c>
      <c r="DG12" s="90" t="e">
        <f t="shared" si="51"/>
        <v>#N/A</v>
      </c>
      <c r="DH12" s="90" t="e">
        <f t="shared" si="52"/>
        <v>#N/A</v>
      </c>
      <c r="DI12" s="113">
        <v>6</v>
      </c>
      <c r="DJ12" s="50" t="e">
        <f t="shared" si="53"/>
        <v>#N/A</v>
      </c>
      <c r="DK12" s="50" t="e">
        <f t="shared" si="54"/>
        <v>#N/A</v>
      </c>
      <c r="DL12" s="50" t="e">
        <f t="shared" si="55"/>
        <v>#N/A</v>
      </c>
      <c r="DM12" s="50" t="e">
        <f t="shared" si="56"/>
        <v>#N/A</v>
      </c>
      <c r="DN12" s="50" t="e">
        <f t="shared" si="57"/>
        <v>#N/A</v>
      </c>
      <c r="DO12" s="50">
        <f t="shared" si="58"/>
        <v>0.83491063422431255</v>
      </c>
      <c r="DP12" s="50" t="e">
        <f t="shared" si="59"/>
        <v>#N/A</v>
      </c>
      <c r="DQ12" s="50" t="e">
        <f t="shared" si="60"/>
        <v>#N/A</v>
      </c>
      <c r="DR12" s="50" t="e">
        <f t="shared" si="61"/>
        <v>#N/A</v>
      </c>
      <c r="DS12" s="50">
        <f t="shared" si="62"/>
        <v>1</v>
      </c>
      <c r="DT12" s="113">
        <f>IF(DS12=0,NA(),SUM($DS$7:DS12))</f>
        <v>6</v>
      </c>
    </row>
    <row r="13" spans="1:124" ht="12" customHeight="1" x14ac:dyDescent="0.2">
      <c r="A13" s="50">
        <f t="shared" si="3"/>
        <v>0.27780824205706844</v>
      </c>
      <c r="B13" s="50">
        <f t="shared" si="4"/>
        <v>0.17998026131178935</v>
      </c>
      <c r="C13" s="50">
        <f t="shared" si="5"/>
        <v>-1.7017916364295718</v>
      </c>
      <c r="D13" s="50">
        <f t="shared" si="6"/>
        <v>2.2574081205437087</v>
      </c>
      <c r="E13" s="50">
        <f t="shared" si="7"/>
        <v>2.5000000135794176E-2</v>
      </c>
      <c r="F13" s="50">
        <f t="shared" si="8"/>
        <v>2.49999999969319E-2</v>
      </c>
      <c r="G13" s="66">
        <v>-1.6830335662717855</v>
      </c>
      <c r="H13" s="66">
        <v>2.2375130145512077</v>
      </c>
      <c r="I13" s="50">
        <f t="shared" si="9"/>
        <v>1.3579417451614617E-4</v>
      </c>
      <c r="J13" s="50">
        <f t="shared" si="10"/>
        <v>-3.0681013285516201E-6</v>
      </c>
      <c r="K13" s="66">
        <v>0.05</v>
      </c>
      <c r="L13" s="66">
        <v>58</v>
      </c>
      <c r="M13" s="66">
        <v>66</v>
      </c>
      <c r="N13" s="649">
        <f t="shared" si="11"/>
        <v>0.05</v>
      </c>
      <c r="O13" s="650">
        <f t="shared" si="12"/>
        <v>58</v>
      </c>
      <c r="P13" s="650">
        <f t="shared" si="13"/>
        <v>66</v>
      </c>
      <c r="Q13" s="180"/>
      <c r="R13" s="662" t="str">
        <f t="shared" si="63"/>
        <v/>
      </c>
      <c r="S13" s="838" t="str">
        <f t="shared" si="14"/>
        <v/>
      </c>
      <c r="T13" s="182" t="str">
        <f t="shared" si="15"/>
        <v/>
      </c>
      <c r="U13" s="183">
        <v>7</v>
      </c>
      <c r="V13" s="186" t="s">
        <v>378</v>
      </c>
      <c r="W13" s="663">
        <v>0.05</v>
      </c>
      <c r="X13" s="653">
        <f t="shared" si="16"/>
        <v>4.9691886171849511E-2</v>
      </c>
      <c r="Y13" s="186">
        <v>58</v>
      </c>
      <c r="Z13" s="186">
        <v>66</v>
      </c>
      <c r="AA13" s="664">
        <f t="shared" si="17"/>
        <v>122</v>
      </c>
      <c r="AB13" s="739"/>
      <c r="AC13" s="202">
        <f t="shared" si="18"/>
        <v>3.2004853378188397E-2</v>
      </c>
      <c r="AD13" s="665" t="s">
        <v>339</v>
      </c>
      <c r="AE13" s="666">
        <f t="shared" si="19"/>
        <v>-0.30291282105410866</v>
      </c>
      <c r="AF13" s="197" t="s">
        <v>261</v>
      </c>
      <c r="AG13" s="666">
        <f t="shared" si="20"/>
        <v>0.40270817704745587</v>
      </c>
      <c r="AH13" s="667" t="s">
        <v>259</v>
      </c>
      <c r="AI13" s="193">
        <f t="shared" si="21"/>
        <v>18.486659830695622</v>
      </c>
      <c r="AJ13" s="194"/>
      <c r="AK13" s="85">
        <f t="shared" si="1"/>
        <v>9.5000000000000005E-5</v>
      </c>
      <c r="AL13" s="249"/>
      <c r="AM13" s="249"/>
      <c r="AN13" s="194"/>
      <c r="AO13" s="170"/>
      <c r="AP13" s="170"/>
      <c r="AQ13" s="170"/>
      <c r="AR13" s="170"/>
      <c r="AS13" s="170"/>
      <c r="AT13" s="171"/>
      <c r="AU13" s="249"/>
      <c r="AV13" s="668">
        <f t="shared" si="2"/>
        <v>9.5000000000000005E-5</v>
      </c>
      <c r="AW13" s="669">
        <f t="shared" si="22"/>
        <v>0.35260470722595816</v>
      </c>
      <c r="AX13" s="670">
        <f t="shared" si="23"/>
        <v>0.35301629087560638</v>
      </c>
      <c r="AY13" s="671">
        <f t="shared" si="64"/>
        <v>0.35281049905078227</v>
      </c>
      <c r="BK13" s="91"/>
      <c r="CD13" s="50">
        <f t="shared" si="24"/>
        <v>0.99383772343699017</v>
      </c>
      <c r="CE13" s="50" t="b">
        <f t="shared" si="25"/>
        <v>1</v>
      </c>
      <c r="CF13" s="66" t="b">
        <v>1</v>
      </c>
      <c r="CG13" s="50" t="b">
        <f t="shared" si="26"/>
        <v>1</v>
      </c>
      <c r="CH13" s="50">
        <v>7</v>
      </c>
      <c r="CI13" s="200" t="b">
        <f t="shared" si="27"/>
        <v>1</v>
      </c>
      <c r="CJ13" s="90">
        <f t="shared" si="28"/>
        <v>4.9691886171849511E-2</v>
      </c>
      <c r="CK13" s="201">
        <f t="shared" si="29"/>
        <v>0.27605336037697237</v>
      </c>
      <c r="CL13" s="90" t="e">
        <f t="shared" si="30"/>
        <v>#N/A</v>
      </c>
      <c r="CM13" s="201">
        <f t="shared" si="31"/>
        <v>7</v>
      </c>
      <c r="CN13" s="50">
        <f t="shared" si="32"/>
        <v>0.35260470722595816</v>
      </c>
      <c r="CO13" s="50">
        <f t="shared" si="33"/>
        <v>0.35301629087560638</v>
      </c>
      <c r="CP13" s="90">
        <f t="shared" si="34"/>
        <v>31.245261091603975</v>
      </c>
      <c r="CQ13" s="90">
        <f t="shared" si="35"/>
        <v>7.3656553623856151</v>
      </c>
      <c r="CR13" s="90">
        <f t="shared" si="36"/>
        <v>1.5526359575737032</v>
      </c>
      <c r="CS13" s="90">
        <f t="shared" si="37"/>
        <v>976.26634068250121</v>
      </c>
      <c r="CT13" s="90">
        <f t="shared" si="38"/>
        <v>7.7153409270073026E-2</v>
      </c>
      <c r="CU13" s="90">
        <f t="shared" si="39"/>
        <v>0.13576524434020171</v>
      </c>
      <c r="CV13" s="90">
        <f t="shared" si="40"/>
        <v>7.3656553623856151</v>
      </c>
      <c r="CW13" s="90">
        <f t="shared" si="41"/>
        <v>0.36601330784873898</v>
      </c>
      <c r="CX13" s="90" t="e">
        <f t="shared" si="42"/>
        <v>#N/A</v>
      </c>
      <c r="CY13" s="113">
        <f t="shared" si="43"/>
        <v>7</v>
      </c>
      <c r="CZ13" s="106" t="e">
        <f t="shared" si="44"/>
        <v>#N/A</v>
      </c>
      <c r="DA13" s="90" t="e">
        <f t="shared" si="45"/>
        <v>#N/A</v>
      </c>
      <c r="DB13" s="90" t="e">
        <f t="shared" si="46"/>
        <v>#N/A</v>
      </c>
      <c r="DC13" s="90" t="e">
        <f t="shared" si="47"/>
        <v>#N/A</v>
      </c>
      <c r="DD13" s="90" t="e">
        <f t="shared" si="48"/>
        <v>#N/A</v>
      </c>
      <c r="DE13" s="90" t="e">
        <f t="shared" si="49"/>
        <v>#N/A</v>
      </c>
      <c r="DF13" s="90" t="e">
        <f t="shared" si="50"/>
        <v>#N/A</v>
      </c>
      <c r="DG13" s="90" t="e">
        <f t="shared" si="51"/>
        <v>#N/A</v>
      </c>
      <c r="DH13" s="90">
        <f t="shared" si="52"/>
        <v>4.9691886171849511E-2</v>
      </c>
      <c r="DI13" s="113">
        <v>7</v>
      </c>
      <c r="DJ13" s="50" t="e">
        <f t="shared" si="53"/>
        <v>#N/A</v>
      </c>
      <c r="DK13" s="50" t="e">
        <f t="shared" si="54"/>
        <v>#N/A</v>
      </c>
      <c r="DL13" s="50" t="e">
        <f t="shared" si="55"/>
        <v>#N/A</v>
      </c>
      <c r="DM13" s="50" t="e">
        <f t="shared" si="56"/>
        <v>#N/A</v>
      </c>
      <c r="DN13" s="50" t="e">
        <f t="shared" si="57"/>
        <v>#N/A</v>
      </c>
      <c r="DO13" s="50" t="e">
        <f t="shared" si="58"/>
        <v>#N/A</v>
      </c>
      <c r="DP13" s="50" t="e">
        <f t="shared" si="59"/>
        <v>#N/A</v>
      </c>
      <c r="DQ13" s="50" t="e">
        <f t="shared" si="60"/>
        <v>#N/A</v>
      </c>
      <c r="DR13" s="50">
        <f t="shared" si="61"/>
        <v>4.9691886171849511E-2</v>
      </c>
      <c r="DS13" s="50">
        <f t="shared" si="62"/>
        <v>1</v>
      </c>
      <c r="DT13" s="113">
        <f>IF(DS13=0,NA(),SUM($DS$7:DS13))</f>
        <v>7</v>
      </c>
    </row>
    <row r="14" spans="1:124" ht="12" customHeight="1" x14ac:dyDescent="0.2">
      <c r="A14" s="50">
        <f t="shared" si="3"/>
        <v>0.2474974201339743</v>
      </c>
      <c r="B14" s="50">
        <f t="shared" si="4"/>
        <v>0.18990096936993586</v>
      </c>
      <c r="C14" s="50">
        <f t="shared" si="5"/>
        <v>-1.7344700696025115</v>
      </c>
      <c r="D14" s="50">
        <f t="shared" si="6"/>
        <v>2.22946490987046</v>
      </c>
      <c r="E14" s="50">
        <f t="shared" si="7"/>
        <v>2.5000000143745371E-2</v>
      </c>
      <c r="F14" s="50">
        <f t="shared" si="8"/>
        <v>2.4999999996277777E-2</v>
      </c>
      <c r="G14" s="66">
        <v>-1.7133081144184816</v>
      </c>
      <c r="H14" s="66">
        <v>2.2071692675421923</v>
      </c>
      <c r="I14" s="50">
        <f t="shared" si="9"/>
        <v>1.4374536977390662E-4</v>
      </c>
      <c r="J14" s="50">
        <f t="shared" si="10"/>
        <v>-3.7222239179790506E-6</v>
      </c>
      <c r="K14" s="66">
        <v>4.7E-2</v>
      </c>
      <c r="L14" s="66">
        <v>54</v>
      </c>
      <c r="M14" s="66">
        <v>57</v>
      </c>
      <c r="N14" s="649">
        <f t="shared" si="11"/>
        <v>4.7E-2</v>
      </c>
      <c r="O14" s="650">
        <f t="shared" si="12"/>
        <v>54</v>
      </c>
      <c r="P14" s="650">
        <f t="shared" si="13"/>
        <v>57</v>
      </c>
      <c r="Q14" s="180"/>
      <c r="R14" s="662" t="str">
        <f t="shared" si="63"/>
        <v/>
      </c>
      <c r="S14" s="838" t="str">
        <f t="shared" si="14"/>
        <v/>
      </c>
      <c r="T14" s="182" t="str">
        <f t="shared" si="15"/>
        <v/>
      </c>
      <c r="U14" s="183">
        <v>8</v>
      </c>
      <c r="V14" s="186" t="s">
        <v>379</v>
      </c>
      <c r="W14" s="663">
        <v>4.7E-2</v>
      </c>
      <c r="X14" s="653">
        <f t="shared" si="16"/>
        <v>4.6675737610289383E-2</v>
      </c>
      <c r="Y14" s="186">
        <v>54</v>
      </c>
      <c r="Z14" s="186">
        <v>57</v>
      </c>
      <c r="AA14" s="664">
        <f t="shared" si="17"/>
        <v>109</v>
      </c>
      <c r="AB14" s="739"/>
      <c r="AC14" s="202">
        <f t="shared" si="18"/>
        <v>3.5576305219923138E-2</v>
      </c>
      <c r="AD14" s="665" t="s">
        <v>339</v>
      </c>
      <c r="AE14" s="666">
        <f t="shared" si="19"/>
        <v>-0.32535887175744665</v>
      </c>
      <c r="AF14" s="197" t="s">
        <v>261</v>
      </c>
      <c r="AG14" s="666">
        <f t="shared" si="20"/>
        <v>0.41914358346979363</v>
      </c>
      <c r="AH14" s="667" t="s">
        <v>259</v>
      </c>
      <c r="AI14" s="193">
        <f t="shared" si="21"/>
        <v>18.012813262569367</v>
      </c>
      <c r="AJ14" s="194"/>
      <c r="AK14" s="85">
        <f t="shared" si="1"/>
        <v>9.5000000000000005E-5</v>
      </c>
      <c r="AL14" s="249"/>
      <c r="AM14" s="249"/>
      <c r="AN14" s="194"/>
      <c r="AO14" s="170"/>
      <c r="AP14" s="170"/>
      <c r="AQ14" s="170"/>
      <c r="AR14" s="170"/>
      <c r="AS14" s="170"/>
      <c r="AT14" s="171"/>
      <c r="AU14" s="249"/>
      <c r="AV14" s="668">
        <f t="shared" si="2"/>
        <v>9.5000000000000005E-5</v>
      </c>
      <c r="AW14" s="669">
        <f t="shared" si="22"/>
        <v>0.37203460936773602</v>
      </c>
      <c r="AX14" s="670">
        <f t="shared" si="23"/>
        <v>0.37246784585950427</v>
      </c>
      <c r="AY14" s="671">
        <f t="shared" si="64"/>
        <v>0.37225122761362017</v>
      </c>
      <c r="BK14" s="91"/>
      <c r="CD14" s="50">
        <f t="shared" si="24"/>
        <v>0.993100800218923</v>
      </c>
      <c r="CE14" s="50" t="b">
        <f t="shared" si="25"/>
        <v>1</v>
      </c>
      <c r="CF14" s="66" t="b">
        <v>1</v>
      </c>
      <c r="CG14" s="50" t="b">
        <f t="shared" si="26"/>
        <v>1</v>
      </c>
      <c r="CH14" s="50">
        <v>8</v>
      </c>
      <c r="CI14" s="200" t="b">
        <f t="shared" si="27"/>
        <v>1</v>
      </c>
      <c r="CJ14" s="90">
        <f t="shared" si="28"/>
        <v>4.6675737610289383E-2</v>
      </c>
      <c r="CK14" s="201">
        <f t="shared" si="29"/>
        <v>0.24575598342445726</v>
      </c>
      <c r="CL14" s="90" t="e">
        <f t="shared" si="30"/>
        <v>#N/A</v>
      </c>
      <c r="CM14" s="201">
        <f t="shared" si="31"/>
        <v>8</v>
      </c>
      <c r="CN14" s="50">
        <f t="shared" si="32"/>
        <v>0.37203460936773602</v>
      </c>
      <c r="CO14" s="50">
        <f t="shared" si="33"/>
        <v>0.37246784585950427</v>
      </c>
      <c r="CP14" s="90">
        <f t="shared" si="34"/>
        <v>28.10859626423456</v>
      </c>
      <c r="CQ14" s="90">
        <f t="shared" si="35"/>
        <v>7.1768602773117829</v>
      </c>
      <c r="CR14" s="90">
        <f t="shared" si="36"/>
        <v>1.3119894638229728</v>
      </c>
      <c r="CS14" s="90">
        <f t="shared" si="37"/>
        <v>790.09318394574109</v>
      </c>
      <c r="CT14" s="90">
        <f t="shared" si="38"/>
        <v>6.1238075960865328E-2</v>
      </c>
      <c r="CU14" s="90">
        <f t="shared" si="39"/>
        <v>0.13933669618193645</v>
      </c>
      <c r="CV14" s="90">
        <f t="shared" si="40"/>
        <v>7.1768602773117829</v>
      </c>
      <c r="CW14" s="90">
        <f t="shared" si="41"/>
        <v>0.3349852471695135</v>
      </c>
      <c r="CX14" s="90" t="e">
        <f t="shared" si="42"/>
        <v>#N/A</v>
      </c>
      <c r="CY14" s="113">
        <f t="shared" si="43"/>
        <v>8</v>
      </c>
      <c r="CZ14" s="106" t="e">
        <f t="shared" si="44"/>
        <v>#N/A</v>
      </c>
      <c r="DA14" s="90" t="e">
        <f t="shared" si="45"/>
        <v>#N/A</v>
      </c>
      <c r="DB14" s="90" t="e">
        <f t="shared" si="46"/>
        <v>#N/A</v>
      </c>
      <c r="DC14" s="90" t="e">
        <f t="shared" si="47"/>
        <v>#N/A</v>
      </c>
      <c r="DD14" s="90" t="e">
        <f t="shared" si="48"/>
        <v>#N/A</v>
      </c>
      <c r="DE14" s="90" t="e">
        <f t="shared" si="49"/>
        <v>#N/A</v>
      </c>
      <c r="DF14" s="90" t="e">
        <f t="shared" si="50"/>
        <v>#N/A</v>
      </c>
      <c r="DG14" s="90" t="e">
        <f t="shared" si="51"/>
        <v>#N/A</v>
      </c>
      <c r="DH14" s="90">
        <f t="shared" si="52"/>
        <v>4.6675737610289383E-2</v>
      </c>
      <c r="DI14" s="113">
        <v>8</v>
      </c>
      <c r="DJ14" s="50" t="e">
        <f t="shared" si="53"/>
        <v>#N/A</v>
      </c>
      <c r="DK14" s="50" t="e">
        <f t="shared" si="54"/>
        <v>#N/A</v>
      </c>
      <c r="DL14" s="50" t="e">
        <f t="shared" si="55"/>
        <v>#N/A</v>
      </c>
      <c r="DM14" s="50" t="e">
        <f t="shared" si="56"/>
        <v>#N/A</v>
      </c>
      <c r="DN14" s="50" t="e">
        <f t="shared" si="57"/>
        <v>#N/A</v>
      </c>
      <c r="DO14" s="50" t="e">
        <f t="shared" si="58"/>
        <v>#N/A</v>
      </c>
      <c r="DP14" s="50" t="e">
        <f t="shared" si="59"/>
        <v>#N/A</v>
      </c>
      <c r="DQ14" s="50" t="e">
        <f t="shared" si="60"/>
        <v>#N/A</v>
      </c>
      <c r="DR14" s="50">
        <f t="shared" si="61"/>
        <v>4.6675737610289383E-2</v>
      </c>
      <c r="DS14" s="50">
        <f t="shared" si="62"/>
        <v>1</v>
      </c>
      <c r="DT14" s="113">
        <f>IF(DS14=0,NA(),SUM($DS$7:DS14))</f>
        <v>8</v>
      </c>
    </row>
    <row r="15" spans="1:124" ht="12" customHeight="1" x14ac:dyDescent="0.2">
      <c r="A15" s="50" t="str">
        <f t="shared" si="3"/>
        <v/>
      </c>
      <c r="B15" s="50" t="str">
        <f t="shared" si="4"/>
        <v/>
      </c>
      <c r="C15" s="50" t="str">
        <f t="shared" si="5"/>
        <v/>
      </c>
      <c r="D15" s="50" t="str">
        <f t="shared" si="6"/>
        <v/>
      </c>
      <c r="E15" s="50" t="str">
        <f t="shared" si="7"/>
        <v/>
      </c>
      <c r="F15" s="50" t="str">
        <f t="shared" si="8"/>
        <v/>
      </c>
      <c r="G15" s="66" t="s">
        <v>420</v>
      </c>
      <c r="H15" s="66" t="s">
        <v>420</v>
      </c>
      <c r="I15" s="50" t="e">
        <f t="shared" si="9"/>
        <v>#VALUE!</v>
      </c>
      <c r="J15" s="50" t="e">
        <f t="shared" si="10"/>
        <v>#VALUE!</v>
      </c>
      <c r="K15" s="66">
        <v>0</v>
      </c>
      <c r="L15" s="66">
        <v>0</v>
      </c>
      <c r="M15" s="66">
        <v>0</v>
      </c>
      <c r="N15" s="649">
        <f t="shared" si="11"/>
        <v>0</v>
      </c>
      <c r="O15" s="650">
        <f t="shared" si="12"/>
        <v>0</v>
      </c>
      <c r="P15" s="650">
        <f t="shared" si="13"/>
        <v>0</v>
      </c>
      <c r="Q15" s="180"/>
      <c r="R15" s="662" t="str">
        <f t="shared" si="63"/>
        <v/>
      </c>
      <c r="S15" s="838" t="str">
        <f t="shared" si="14"/>
        <v/>
      </c>
      <c r="T15" s="182" t="str">
        <f t="shared" si="15"/>
        <v/>
      </c>
      <c r="U15" s="183">
        <v>9</v>
      </c>
      <c r="V15" s="186"/>
      <c r="W15" s="663"/>
      <c r="X15" s="653" t="str">
        <f t="shared" si="16"/>
        <v/>
      </c>
      <c r="Y15" s="186"/>
      <c r="Z15" s="186"/>
      <c r="AA15" s="664" t="str">
        <f t="shared" si="17"/>
        <v/>
      </c>
      <c r="AB15" s="739"/>
      <c r="AC15" s="202" t="str">
        <f t="shared" si="18"/>
        <v/>
      </c>
      <c r="AD15" s="665" t="s">
        <v>339</v>
      </c>
      <c r="AE15" s="666" t="str">
        <f t="shared" si="19"/>
        <v/>
      </c>
      <c r="AF15" s="197" t="s">
        <v>261</v>
      </c>
      <c r="AG15" s="666" t="str">
        <f t="shared" si="20"/>
        <v/>
      </c>
      <c r="AH15" s="667" t="s">
        <v>259</v>
      </c>
      <c r="AI15" s="193" t="str">
        <f t="shared" si="21"/>
        <v/>
      </c>
      <c r="AJ15" s="194"/>
      <c r="AK15" s="85">
        <f t="shared" si="1"/>
        <v>9.5000000000000005E-5</v>
      </c>
      <c r="AL15" s="249"/>
      <c r="AM15" s="249"/>
      <c r="AN15" s="194"/>
      <c r="AO15" s="170"/>
      <c r="AP15" s="170"/>
      <c r="AQ15" s="170"/>
      <c r="AR15" s="170"/>
      <c r="AS15" s="170"/>
      <c r="AT15" s="171"/>
      <c r="AU15" s="249"/>
      <c r="AV15" s="668">
        <f t="shared" si="2"/>
        <v>9.5000000000000005E-5</v>
      </c>
      <c r="AW15" s="669" t="str">
        <f t="shared" si="22"/>
        <v/>
      </c>
      <c r="AX15" s="670" t="str">
        <f t="shared" si="23"/>
        <v/>
      </c>
      <c r="AY15" s="671" t="str">
        <f t="shared" si="64"/>
        <v/>
      </c>
      <c r="BK15" s="91"/>
      <c r="CD15" s="50" t="str">
        <f t="shared" si="24"/>
        <v/>
      </c>
      <c r="CE15" s="50" t="b">
        <f t="shared" si="25"/>
        <v>1</v>
      </c>
      <c r="CF15" s="66" t="b">
        <v>1</v>
      </c>
      <c r="CG15" s="50" t="b">
        <f t="shared" si="26"/>
        <v>0</v>
      </c>
      <c r="CH15" s="50">
        <v>9</v>
      </c>
      <c r="CI15" s="200" t="b">
        <f t="shared" si="27"/>
        <v>0</v>
      </c>
      <c r="CJ15" s="90" t="str">
        <f t="shared" si="28"/>
        <v/>
      </c>
      <c r="CK15" s="201" t="str">
        <f t="shared" si="29"/>
        <v/>
      </c>
      <c r="CL15" s="90" t="e">
        <f t="shared" si="30"/>
        <v>#N/A</v>
      </c>
      <c r="CM15" s="201" t="e">
        <f t="shared" si="31"/>
        <v>#N/A</v>
      </c>
      <c r="CN15" s="50" t="e">
        <f t="shared" si="32"/>
        <v>#N/A</v>
      </c>
      <c r="CO15" s="50" t="e">
        <f t="shared" si="33"/>
        <v>#N/A</v>
      </c>
      <c r="CP15" s="90" t="str">
        <f t="shared" si="34"/>
        <v/>
      </c>
      <c r="CQ15" s="90" t="str">
        <f t="shared" si="35"/>
        <v/>
      </c>
      <c r="CR15" s="90" t="str">
        <f t="shared" si="36"/>
        <v/>
      </c>
      <c r="CS15" s="90" t="str">
        <f t="shared" si="37"/>
        <v/>
      </c>
      <c r="CT15" s="90" t="str">
        <f t="shared" si="38"/>
        <v/>
      </c>
      <c r="CU15" s="90" t="str">
        <f t="shared" si="39"/>
        <v/>
      </c>
      <c r="CV15" s="90" t="str">
        <f t="shared" si="40"/>
        <v/>
      </c>
      <c r="CW15" s="90" t="str">
        <f t="shared" si="41"/>
        <v/>
      </c>
      <c r="CX15" s="90" t="e">
        <f t="shared" si="42"/>
        <v>#N/A</v>
      </c>
      <c r="CY15" s="113" t="e">
        <f t="shared" si="43"/>
        <v>#N/A</v>
      </c>
      <c r="CZ15" s="106" t="e">
        <f t="shared" si="44"/>
        <v>#N/A</v>
      </c>
      <c r="DA15" s="90" t="e">
        <f t="shared" si="45"/>
        <v>#N/A</v>
      </c>
      <c r="DB15" s="90" t="e">
        <f t="shared" si="46"/>
        <v>#N/A</v>
      </c>
      <c r="DC15" s="90" t="e">
        <f t="shared" si="47"/>
        <v>#N/A</v>
      </c>
      <c r="DD15" s="90" t="e">
        <f t="shared" si="48"/>
        <v>#N/A</v>
      </c>
      <c r="DE15" s="90" t="e">
        <f t="shared" si="49"/>
        <v>#N/A</v>
      </c>
      <c r="DF15" s="90" t="e">
        <f t="shared" si="50"/>
        <v>#N/A</v>
      </c>
      <c r="DG15" s="90" t="e">
        <f t="shared" si="51"/>
        <v>#N/A</v>
      </c>
      <c r="DH15" s="90" t="e">
        <f t="shared" si="52"/>
        <v>#N/A</v>
      </c>
      <c r="DI15" s="113">
        <v>9</v>
      </c>
      <c r="DJ15" s="50" t="e">
        <f t="shared" si="53"/>
        <v>#N/A</v>
      </c>
      <c r="DK15" s="50" t="e">
        <f t="shared" si="54"/>
        <v>#N/A</v>
      </c>
      <c r="DL15" s="50" t="e">
        <f t="shared" si="55"/>
        <v>#N/A</v>
      </c>
      <c r="DM15" s="50" t="e">
        <f t="shared" si="56"/>
        <v>#N/A</v>
      </c>
      <c r="DN15" s="50" t="e">
        <f t="shared" si="57"/>
        <v>#N/A</v>
      </c>
      <c r="DO15" s="50" t="e">
        <f t="shared" si="58"/>
        <v>#N/A</v>
      </c>
      <c r="DP15" s="50" t="e">
        <f t="shared" si="59"/>
        <v>#N/A</v>
      </c>
      <c r="DQ15" s="50" t="e">
        <f t="shared" si="60"/>
        <v>#N/A</v>
      </c>
      <c r="DR15" s="50" t="e">
        <f t="shared" si="61"/>
        <v>#N/A</v>
      </c>
      <c r="DS15" s="50">
        <f t="shared" si="62"/>
        <v>0</v>
      </c>
      <c r="DT15" s="113" t="e">
        <f>IF(DS15=0,NA(),SUM($DS$7:DS15))</f>
        <v>#N/A</v>
      </c>
    </row>
    <row r="16" spans="1:124" ht="12" customHeight="1" x14ac:dyDescent="0.2">
      <c r="A16" s="50" t="str">
        <f t="shared" si="3"/>
        <v/>
      </c>
      <c r="B16" s="50" t="str">
        <f t="shared" si="4"/>
        <v/>
      </c>
      <c r="C16" s="50" t="str">
        <f t="shared" si="5"/>
        <v/>
      </c>
      <c r="D16" s="50" t="str">
        <f t="shared" si="6"/>
        <v/>
      </c>
      <c r="E16" s="50" t="str">
        <f t="shared" si="7"/>
        <v/>
      </c>
      <c r="F16" s="50" t="str">
        <f t="shared" si="8"/>
        <v/>
      </c>
      <c r="G16" s="66" t="s">
        <v>420</v>
      </c>
      <c r="H16" s="66" t="s">
        <v>420</v>
      </c>
      <c r="I16" s="50" t="e">
        <f t="shared" si="9"/>
        <v>#VALUE!</v>
      </c>
      <c r="J16" s="50" t="e">
        <f t="shared" si="10"/>
        <v>#VALUE!</v>
      </c>
      <c r="K16" s="66">
        <v>0</v>
      </c>
      <c r="L16" s="66">
        <v>0</v>
      </c>
      <c r="M16" s="66">
        <v>0</v>
      </c>
      <c r="N16" s="649">
        <f t="shared" si="11"/>
        <v>0</v>
      </c>
      <c r="O16" s="650">
        <f t="shared" si="12"/>
        <v>0</v>
      </c>
      <c r="P16" s="650">
        <f t="shared" si="13"/>
        <v>0</v>
      </c>
      <c r="Q16" s="180"/>
      <c r="R16" s="662" t="str">
        <f t="shared" si="63"/>
        <v/>
      </c>
      <c r="S16" s="838" t="str">
        <f t="shared" si="14"/>
        <v/>
      </c>
      <c r="T16" s="182" t="str">
        <f t="shared" si="15"/>
        <v/>
      </c>
      <c r="U16" s="183">
        <v>10</v>
      </c>
      <c r="V16" s="186"/>
      <c r="W16" s="663"/>
      <c r="X16" s="653" t="str">
        <f t="shared" si="16"/>
        <v/>
      </c>
      <c r="Y16" s="186"/>
      <c r="Z16" s="186"/>
      <c r="AA16" s="664" t="str">
        <f t="shared" si="17"/>
        <v/>
      </c>
      <c r="AB16" s="739"/>
      <c r="AC16" s="202" t="str">
        <f t="shared" si="18"/>
        <v/>
      </c>
      <c r="AD16" s="665" t="s">
        <v>339</v>
      </c>
      <c r="AE16" s="666" t="str">
        <f t="shared" si="19"/>
        <v/>
      </c>
      <c r="AF16" s="197" t="s">
        <v>261</v>
      </c>
      <c r="AG16" s="666" t="str">
        <f t="shared" si="20"/>
        <v/>
      </c>
      <c r="AH16" s="667" t="s">
        <v>259</v>
      </c>
      <c r="AI16" s="193" t="str">
        <f t="shared" si="21"/>
        <v/>
      </c>
      <c r="AJ16" s="194"/>
      <c r="AK16" s="85">
        <f t="shared" si="1"/>
        <v>9.5000000000000005E-5</v>
      </c>
      <c r="AL16" s="249"/>
      <c r="AM16" s="249"/>
      <c r="AN16" s="194"/>
      <c r="AO16" s="170"/>
      <c r="AP16" s="170"/>
      <c r="AQ16" s="170"/>
      <c r="AR16" s="170"/>
      <c r="AS16" s="170"/>
      <c r="AT16" s="171"/>
      <c r="AU16" s="249"/>
      <c r="AV16" s="668">
        <f t="shared" si="2"/>
        <v>9.5000000000000005E-5</v>
      </c>
      <c r="AW16" s="669" t="str">
        <f t="shared" si="22"/>
        <v/>
      </c>
      <c r="AX16" s="670" t="str">
        <f t="shared" si="23"/>
        <v/>
      </c>
      <c r="AY16" s="671" t="str">
        <f t="shared" si="64"/>
        <v/>
      </c>
      <c r="BK16" s="91"/>
      <c r="CD16" s="50" t="str">
        <f t="shared" si="24"/>
        <v/>
      </c>
      <c r="CE16" s="50" t="b">
        <f t="shared" si="25"/>
        <v>1</v>
      </c>
      <c r="CF16" s="66" t="b">
        <v>1</v>
      </c>
      <c r="CG16" s="50" t="b">
        <f t="shared" si="26"/>
        <v>0</v>
      </c>
      <c r="CH16" s="50">
        <v>10</v>
      </c>
      <c r="CI16" s="200" t="b">
        <f t="shared" si="27"/>
        <v>0</v>
      </c>
      <c r="CJ16" s="90" t="str">
        <f t="shared" si="28"/>
        <v/>
      </c>
      <c r="CK16" s="201" t="str">
        <f t="shared" si="29"/>
        <v/>
      </c>
      <c r="CL16" s="90" t="e">
        <f t="shared" si="30"/>
        <v>#N/A</v>
      </c>
      <c r="CM16" s="201" t="e">
        <f t="shared" si="31"/>
        <v>#N/A</v>
      </c>
      <c r="CN16" s="50" t="e">
        <f t="shared" si="32"/>
        <v>#N/A</v>
      </c>
      <c r="CO16" s="50" t="e">
        <f t="shared" si="33"/>
        <v>#N/A</v>
      </c>
      <c r="CP16" s="90" t="str">
        <f t="shared" si="34"/>
        <v/>
      </c>
      <c r="CQ16" s="90" t="str">
        <f t="shared" si="35"/>
        <v/>
      </c>
      <c r="CR16" s="90" t="str">
        <f t="shared" si="36"/>
        <v/>
      </c>
      <c r="CS16" s="90" t="str">
        <f t="shared" si="37"/>
        <v/>
      </c>
      <c r="CT16" s="90" t="str">
        <f t="shared" si="38"/>
        <v/>
      </c>
      <c r="CU16" s="90" t="str">
        <f t="shared" si="39"/>
        <v/>
      </c>
      <c r="CV16" s="90" t="str">
        <f t="shared" si="40"/>
        <v/>
      </c>
      <c r="CW16" s="90" t="str">
        <f t="shared" si="41"/>
        <v/>
      </c>
      <c r="CX16" s="90" t="e">
        <f t="shared" si="42"/>
        <v>#N/A</v>
      </c>
      <c r="CY16" s="113" t="e">
        <f t="shared" si="43"/>
        <v>#N/A</v>
      </c>
      <c r="CZ16" s="106" t="e">
        <f t="shared" si="44"/>
        <v>#N/A</v>
      </c>
      <c r="DA16" s="90" t="e">
        <f t="shared" si="45"/>
        <v>#N/A</v>
      </c>
      <c r="DB16" s="90" t="e">
        <f t="shared" si="46"/>
        <v>#N/A</v>
      </c>
      <c r="DC16" s="90" t="e">
        <f t="shared" si="47"/>
        <v>#N/A</v>
      </c>
      <c r="DD16" s="90" t="e">
        <f t="shared" si="48"/>
        <v>#N/A</v>
      </c>
      <c r="DE16" s="90" t="e">
        <f t="shared" si="49"/>
        <v>#N/A</v>
      </c>
      <c r="DF16" s="90" t="e">
        <f t="shared" si="50"/>
        <v>#N/A</v>
      </c>
      <c r="DG16" s="90" t="e">
        <f t="shared" si="51"/>
        <v>#N/A</v>
      </c>
      <c r="DH16" s="90" t="e">
        <f t="shared" si="52"/>
        <v>#N/A</v>
      </c>
      <c r="DI16" s="113">
        <v>10</v>
      </c>
      <c r="DJ16" s="50" t="e">
        <f t="shared" si="53"/>
        <v>#N/A</v>
      </c>
      <c r="DK16" s="50" t="e">
        <f t="shared" si="54"/>
        <v>#N/A</v>
      </c>
      <c r="DL16" s="50" t="e">
        <f t="shared" si="55"/>
        <v>#N/A</v>
      </c>
      <c r="DM16" s="50" t="e">
        <f t="shared" si="56"/>
        <v>#N/A</v>
      </c>
      <c r="DN16" s="50" t="e">
        <f t="shared" si="57"/>
        <v>#N/A</v>
      </c>
      <c r="DO16" s="50" t="e">
        <f t="shared" si="58"/>
        <v>#N/A</v>
      </c>
      <c r="DP16" s="50" t="e">
        <f t="shared" si="59"/>
        <v>#N/A</v>
      </c>
      <c r="DQ16" s="50" t="e">
        <f t="shared" si="60"/>
        <v>#N/A</v>
      </c>
      <c r="DR16" s="50" t="e">
        <f t="shared" si="61"/>
        <v>#N/A</v>
      </c>
      <c r="DS16" s="50">
        <f t="shared" si="62"/>
        <v>0</v>
      </c>
      <c r="DT16" s="113" t="e">
        <f>IF(DS16=0,NA(),SUM($DS$7:DS16))</f>
        <v>#N/A</v>
      </c>
    </row>
    <row r="17" spans="1:124" ht="12" customHeight="1" x14ac:dyDescent="0.2">
      <c r="A17" s="50" t="str">
        <f t="shared" si="3"/>
        <v/>
      </c>
      <c r="B17" s="50" t="str">
        <f t="shared" si="4"/>
        <v/>
      </c>
      <c r="C17" s="50" t="str">
        <f t="shared" si="5"/>
        <v/>
      </c>
      <c r="D17" s="50" t="str">
        <f t="shared" si="6"/>
        <v/>
      </c>
      <c r="E17" s="50" t="str">
        <f t="shared" si="7"/>
        <v/>
      </c>
      <c r="F17" s="50" t="str">
        <f t="shared" si="8"/>
        <v/>
      </c>
      <c r="G17" s="66" t="s">
        <v>420</v>
      </c>
      <c r="H17" s="66" t="s">
        <v>420</v>
      </c>
      <c r="I17" s="50" t="e">
        <f t="shared" si="9"/>
        <v>#VALUE!</v>
      </c>
      <c r="J17" s="50" t="e">
        <f t="shared" si="10"/>
        <v>#VALUE!</v>
      </c>
      <c r="K17" s="66">
        <v>0</v>
      </c>
      <c r="L17" s="66">
        <v>0</v>
      </c>
      <c r="M17" s="66">
        <v>0</v>
      </c>
      <c r="N17" s="649">
        <f t="shared" si="11"/>
        <v>0</v>
      </c>
      <c r="O17" s="650">
        <f t="shared" si="12"/>
        <v>0</v>
      </c>
      <c r="P17" s="650">
        <f t="shared" si="13"/>
        <v>0</v>
      </c>
      <c r="Q17" s="180"/>
      <c r="R17" s="662" t="str">
        <f t="shared" si="63"/>
        <v/>
      </c>
      <c r="S17" s="838" t="str">
        <f t="shared" si="14"/>
        <v/>
      </c>
      <c r="T17" s="182" t="str">
        <f t="shared" si="15"/>
        <v/>
      </c>
      <c r="U17" s="183">
        <v>11</v>
      </c>
      <c r="V17" s="186"/>
      <c r="W17" s="663"/>
      <c r="X17" s="653" t="str">
        <f t="shared" si="16"/>
        <v/>
      </c>
      <c r="Y17" s="186"/>
      <c r="Z17" s="186"/>
      <c r="AA17" s="679" t="str">
        <f t="shared" si="17"/>
        <v/>
      </c>
      <c r="AB17" s="739"/>
      <c r="AC17" s="202" t="str">
        <f t="shared" si="18"/>
        <v/>
      </c>
      <c r="AD17" s="665" t="s">
        <v>339</v>
      </c>
      <c r="AE17" s="666" t="str">
        <f t="shared" si="19"/>
        <v/>
      </c>
      <c r="AF17" s="197" t="s">
        <v>261</v>
      </c>
      <c r="AG17" s="666" t="str">
        <f t="shared" si="20"/>
        <v/>
      </c>
      <c r="AH17" s="667" t="s">
        <v>259</v>
      </c>
      <c r="AI17" s="193" t="str">
        <f t="shared" si="21"/>
        <v/>
      </c>
      <c r="AJ17" s="194"/>
      <c r="AK17" s="85">
        <f t="shared" si="1"/>
        <v>9.5000000000000005E-5</v>
      </c>
      <c r="AL17" s="249"/>
      <c r="AM17" s="249"/>
      <c r="AN17" s="194"/>
      <c r="AO17" s="170"/>
      <c r="AP17" s="170"/>
      <c r="AQ17" s="170"/>
      <c r="AR17" s="170"/>
      <c r="AS17" s="170"/>
      <c r="AT17" s="171"/>
      <c r="AU17" s="249"/>
      <c r="AV17" s="668">
        <f t="shared" si="2"/>
        <v>9.5000000000000005E-5</v>
      </c>
      <c r="AW17" s="669" t="str">
        <f t="shared" si="22"/>
        <v/>
      </c>
      <c r="AX17" s="670" t="str">
        <f t="shared" si="23"/>
        <v/>
      </c>
      <c r="AY17" s="671" t="str">
        <f t="shared" si="64"/>
        <v/>
      </c>
      <c r="BK17" s="91"/>
      <c r="CD17" s="50" t="str">
        <f t="shared" si="24"/>
        <v/>
      </c>
      <c r="CE17" s="50" t="b">
        <f t="shared" si="25"/>
        <v>1</v>
      </c>
      <c r="CF17" s="66" t="b">
        <v>1</v>
      </c>
      <c r="CG17" s="50" t="b">
        <f t="shared" si="26"/>
        <v>0</v>
      </c>
      <c r="CH17" s="50">
        <v>11</v>
      </c>
      <c r="CI17" s="200" t="b">
        <f t="shared" si="27"/>
        <v>0</v>
      </c>
      <c r="CJ17" s="90" t="str">
        <f t="shared" si="28"/>
        <v/>
      </c>
      <c r="CK17" s="201" t="str">
        <f t="shared" si="29"/>
        <v/>
      </c>
      <c r="CL17" s="90" t="e">
        <f t="shared" si="30"/>
        <v>#N/A</v>
      </c>
      <c r="CM17" s="201" t="e">
        <f t="shared" si="31"/>
        <v>#N/A</v>
      </c>
      <c r="CN17" s="50" t="e">
        <f t="shared" si="32"/>
        <v>#N/A</v>
      </c>
      <c r="CO17" s="50" t="e">
        <f t="shared" si="33"/>
        <v>#N/A</v>
      </c>
      <c r="CP17" s="90" t="str">
        <f t="shared" si="34"/>
        <v/>
      </c>
      <c r="CQ17" s="90" t="str">
        <f t="shared" si="35"/>
        <v/>
      </c>
      <c r="CR17" s="90" t="str">
        <f t="shared" si="36"/>
        <v/>
      </c>
      <c r="CS17" s="90" t="str">
        <f t="shared" si="37"/>
        <v/>
      </c>
      <c r="CT17" s="90" t="str">
        <f t="shared" si="38"/>
        <v/>
      </c>
      <c r="CU17" s="90" t="str">
        <f t="shared" si="39"/>
        <v/>
      </c>
      <c r="CV17" s="90" t="str">
        <f t="shared" si="40"/>
        <v/>
      </c>
      <c r="CW17" s="90" t="str">
        <f t="shared" si="41"/>
        <v/>
      </c>
      <c r="CX17" s="90" t="e">
        <f t="shared" si="42"/>
        <v>#N/A</v>
      </c>
      <c r="CY17" s="113" t="e">
        <f t="shared" si="43"/>
        <v>#N/A</v>
      </c>
      <c r="CZ17" s="106" t="e">
        <f t="shared" si="44"/>
        <v>#N/A</v>
      </c>
      <c r="DA17" s="90" t="e">
        <f t="shared" si="45"/>
        <v>#N/A</v>
      </c>
      <c r="DB17" s="90" t="e">
        <f t="shared" si="46"/>
        <v>#N/A</v>
      </c>
      <c r="DC17" s="90" t="e">
        <f t="shared" si="47"/>
        <v>#N/A</v>
      </c>
      <c r="DD17" s="90" t="e">
        <f t="shared" si="48"/>
        <v>#N/A</v>
      </c>
      <c r="DE17" s="90" t="e">
        <f t="shared" si="49"/>
        <v>#N/A</v>
      </c>
      <c r="DF17" s="90" t="e">
        <f t="shared" si="50"/>
        <v>#N/A</v>
      </c>
      <c r="DG17" s="90" t="e">
        <f t="shared" si="51"/>
        <v>#N/A</v>
      </c>
      <c r="DH17" s="90" t="e">
        <f t="shared" si="52"/>
        <v>#N/A</v>
      </c>
      <c r="DI17" s="113">
        <v>11</v>
      </c>
      <c r="DJ17" s="50" t="e">
        <f t="shared" si="53"/>
        <v>#N/A</v>
      </c>
      <c r="DK17" s="50" t="e">
        <f t="shared" si="54"/>
        <v>#N/A</v>
      </c>
      <c r="DL17" s="50" t="e">
        <f t="shared" si="55"/>
        <v>#N/A</v>
      </c>
      <c r="DM17" s="50" t="e">
        <f t="shared" si="56"/>
        <v>#N/A</v>
      </c>
      <c r="DN17" s="50" t="e">
        <f t="shared" si="57"/>
        <v>#N/A</v>
      </c>
      <c r="DO17" s="50" t="e">
        <f t="shared" si="58"/>
        <v>#N/A</v>
      </c>
      <c r="DP17" s="50" t="e">
        <f t="shared" si="59"/>
        <v>#N/A</v>
      </c>
      <c r="DQ17" s="50" t="e">
        <f t="shared" si="60"/>
        <v>#N/A</v>
      </c>
      <c r="DR17" s="50" t="e">
        <f t="shared" si="61"/>
        <v>#N/A</v>
      </c>
      <c r="DS17" s="50">
        <f t="shared" si="62"/>
        <v>0</v>
      </c>
      <c r="DT17" s="113" t="e">
        <f>IF(DS17=0,NA(),SUM($DS$7:DS17))</f>
        <v>#N/A</v>
      </c>
    </row>
    <row r="18" spans="1:124" ht="12" customHeight="1" x14ac:dyDescent="0.2">
      <c r="A18" s="50" t="str">
        <f t="shared" si="3"/>
        <v/>
      </c>
      <c r="B18" s="50" t="str">
        <f t="shared" si="4"/>
        <v/>
      </c>
      <c r="C18" s="50" t="str">
        <f t="shared" si="5"/>
        <v/>
      </c>
      <c r="D18" s="50" t="str">
        <f t="shared" si="6"/>
        <v/>
      </c>
      <c r="E18" s="50" t="str">
        <f t="shared" si="7"/>
        <v/>
      </c>
      <c r="F18" s="50" t="str">
        <f t="shared" si="8"/>
        <v/>
      </c>
      <c r="G18" s="66" t="s">
        <v>420</v>
      </c>
      <c r="H18" s="66" t="s">
        <v>420</v>
      </c>
      <c r="I18" s="50" t="e">
        <f t="shared" si="9"/>
        <v>#VALUE!</v>
      </c>
      <c r="J18" s="50" t="e">
        <f t="shared" si="10"/>
        <v>#VALUE!</v>
      </c>
      <c r="K18" s="66">
        <v>0</v>
      </c>
      <c r="L18" s="66">
        <v>0</v>
      </c>
      <c r="M18" s="66">
        <v>0</v>
      </c>
      <c r="N18" s="649">
        <f t="shared" si="11"/>
        <v>0</v>
      </c>
      <c r="O18" s="650">
        <f t="shared" si="12"/>
        <v>0</v>
      </c>
      <c r="P18" s="650">
        <f t="shared" si="13"/>
        <v>0</v>
      </c>
      <c r="Q18" s="180"/>
      <c r="R18" s="662" t="str">
        <f t="shared" si="63"/>
        <v/>
      </c>
      <c r="S18" s="838" t="str">
        <f t="shared" si="14"/>
        <v/>
      </c>
      <c r="T18" s="182" t="str">
        <f t="shared" si="15"/>
        <v/>
      </c>
      <c r="U18" s="183">
        <v>12</v>
      </c>
      <c r="V18" s="186"/>
      <c r="W18" s="663"/>
      <c r="X18" s="653" t="str">
        <f t="shared" si="16"/>
        <v/>
      </c>
      <c r="Y18" s="186"/>
      <c r="Z18" s="186"/>
      <c r="AA18" s="679" t="str">
        <f t="shared" si="17"/>
        <v/>
      </c>
      <c r="AB18" s="739"/>
      <c r="AC18" s="202" t="str">
        <f t="shared" si="18"/>
        <v/>
      </c>
      <c r="AD18" s="665" t="s">
        <v>339</v>
      </c>
      <c r="AE18" s="666" t="str">
        <f t="shared" si="19"/>
        <v/>
      </c>
      <c r="AF18" s="197" t="s">
        <v>261</v>
      </c>
      <c r="AG18" s="666" t="str">
        <f t="shared" si="20"/>
        <v/>
      </c>
      <c r="AH18" s="667" t="s">
        <v>259</v>
      </c>
      <c r="AI18" s="193" t="str">
        <f t="shared" si="21"/>
        <v/>
      </c>
      <c r="AJ18" s="194"/>
      <c r="AK18" s="85">
        <f t="shared" si="1"/>
        <v>9.5000000000000005E-5</v>
      </c>
      <c r="AL18" s="249"/>
      <c r="AM18" s="249"/>
      <c r="AN18" s="194"/>
      <c r="AO18" s="170"/>
      <c r="AP18" s="170"/>
      <c r="AQ18" s="170"/>
      <c r="AR18" s="170"/>
      <c r="AS18" s="170"/>
      <c r="AT18" s="171"/>
      <c r="AU18" s="249"/>
      <c r="AV18" s="668">
        <f t="shared" si="2"/>
        <v>9.5000000000000005E-5</v>
      </c>
      <c r="AW18" s="669" t="str">
        <f t="shared" si="22"/>
        <v/>
      </c>
      <c r="AX18" s="670" t="str">
        <f t="shared" si="23"/>
        <v/>
      </c>
      <c r="AY18" s="671" t="str">
        <f t="shared" si="64"/>
        <v/>
      </c>
      <c r="BK18" s="91"/>
      <c r="CD18" s="50" t="str">
        <f t="shared" si="24"/>
        <v/>
      </c>
      <c r="CE18" s="50" t="b">
        <f t="shared" si="25"/>
        <v>1</v>
      </c>
      <c r="CF18" s="66" t="b">
        <v>1</v>
      </c>
      <c r="CG18" s="50" t="b">
        <f t="shared" si="26"/>
        <v>0</v>
      </c>
      <c r="CH18" s="50">
        <v>12</v>
      </c>
      <c r="CI18" s="200" t="b">
        <f t="shared" si="27"/>
        <v>0</v>
      </c>
      <c r="CJ18" s="90" t="str">
        <f t="shared" si="28"/>
        <v/>
      </c>
      <c r="CK18" s="201" t="str">
        <f t="shared" si="29"/>
        <v/>
      </c>
      <c r="CL18" s="90" t="e">
        <f t="shared" si="30"/>
        <v>#N/A</v>
      </c>
      <c r="CM18" s="201" t="e">
        <f t="shared" si="31"/>
        <v>#N/A</v>
      </c>
      <c r="CN18" s="50" t="e">
        <f t="shared" si="32"/>
        <v>#N/A</v>
      </c>
      <c r="CO18" s="50" t="e">
        <f t="shared" si="33"/>
        <v>#N/A</v>
      </c>
      <c r="CP18" s="90" t="str">
        <f t="shared" si="34"/>
        <v/>
      </c>
      <c r="CQ18" s="90" t="str">
        <f t="shared" si="35"/>
        <v/>
      </c>
      <c r="CR18" s="90" t="str">
        <f t="shared" si="36"/>
        <v/>
      </c>
      <c r="CS18" s="90" t="str">
        <f t="shared" si="37"/>
        <v/>
      </c>
      <c r="CT18" s="90" t="str">
        <f t="shared" si="38"/>
        <v/>
      </c>
      <c r="CU18" s="90" t="str">
        <f t="shared" si="39"/>
        <v/>
      </c>
      <c r="CV18" s="90" t="str">
        <f t="shared" si="40"/>
        <v/>
      </c>
      <c r="CW18" s="90" t="str">
        <f t="shared" si="41"/>
        <v/>
      </c>
      <c r="CX18" s="90" t="e">
        <f t="shared" si="42"/>
        <v>#N/A</v>
      </c>
      <c r="CY18" s="113" t="e">
        <f t="shared" si="43"/>
        <v>#N/A</v>
      </c>
      <c r="CZ18" s="106" t="e">
        <f t="shared" si="44"/>
        <v>#N/A</v>
      </c>
      <c r="DA18" s="90" t="e">
        <f t="shared" si="45"/>
        <v>#N/A</v>
      </c>
      <c r="DB18" s="90" t="e">
        <f t="shared" si="46"/>
        <v>#N/A</v>
      </c>
      <c r="DC18" s="90" t="e">
        <f t="shared" si="47"/>
        <v>#N/A</v>
      </c>
      <c r="DD18" s="90" t="e">
        <f t="shared" si="48"/>
        <v>#N/A</v>
      </c>
      <c r="DE18" s="90" t="e">
        <f t="shared" si="49"/>
        <v>#N/A</v>
      </c>
      <c r="DF18" s="90" t="e">
        <f t="shared" si="50"/>
        <v>#N/A</v>
      </c>
      <c r="DG18" s="90" t="e">
        <f t="shared" si="51"/>
        <v>#N/A</v>
      </c>
      <c r="DH18" s="90" t="e">
        <f t="shared" si="52"/>
        <v>#N/A</v>
      </c>
      <c r="DI18" s="113">
        <v>12</v>
      </c>
      <c r="DJ18" s="50" t="e">
        <f t="shared" si="53"/>
        <v>#N/A</v>
      </c>
      <c r="DK18" s="50" t="e">
        <f t="shared" si="54"/>
        <v>#N/A</v>
      </c>
      <c r="DL18" s="50" t="e">
        <f t="shared" si="55"/>
        <v>#N/A</v>
      </c>
      <c r="DM18" s="50" t="e">
        <f t="shared" si="56"/>
        <v>#N/A</v>
      </c>
      <c r="DN18" s="50" t="e">
        <f t="shared" si="57"/>
        <v>#N/A</v>
      </c>
      <c r="DO18" s="50" t="e">
        <f t="shared" si="58"/>
        <v>#N/A</v>
      </c>
      <c r="DP18" s="50" t="e">
        <f t="shared" si="59"/>
        <v>#N/A</v>
      </c>
      <c r="DQ18" s="50" t="e">
        <f t="shared" si="60"/>
        <v>#N/A</v>
      </c>
      <c r="DR18" s="50" t="e">
        <f t="shared" si="61"/>
        <v>#N/A</v>
      </c>
      <c r="DS18" s="50">
        <f t="shared" si="62"/>
        <v>0</v>
      </c>
      <c r="DT18" s="113" t="e">
        <f>IF(DS18=0,NA(),SUM($DS$7:DS18))</f>
        <v>#N/A</v>
      </c>
    </row>
    <row r="19" spans="1:124" ht="12" customHeight="1" x14ac:dyDescent="0.2">
      <c r="A19" s="50" t="str">
        <f t="shared" si="3"/>
        <v/>
      </c>
      <c r="B19" s="50" t="str">
        <f t="shared" si="4"/>
        <v/>
      </c>
      <c r="C19" s="50" t="str">
        <f t="shared" si="5"/>
        <v/>
      </c>
      <c r="D19" s="50" t="str">
        <f t="shared" si="6"/>
        <v/>
      </c>
      <c r="E19" s="50" t="str">
        <f t="shared" si="7"/>
        <v/>
      </c>
      <c r="F19" s="50" t="str">
        <f t="shared" si="8"/>
        <v/>
      </c>
      <c r="G19" s="66" t="s">
        <v>420</v>
      </c>
      <c r="H19" s="66" t="s">
        <v>420</v>
      </c>
      <c r="I19" s="50" t="e">
        <f t="shared" si="9"/>
        <v>#VALUE!</v>
      </c>
      <c r="J19" s="50" t="e">
        <f t="shared" si="10"/>
        <v>#VALUE!</v>
      </c>
      <c r="K19" s="66">
        <v>0</v>
      </c>
      <c r="L19" s="66">
        <v>0</v>
      </c>
      <c r="M19" s="66">
        <v>0</v>
      </c>
      <c r="N19" s="649">
        <f t="shared" si="11"/>
        <v>0</v>
      </c>
      <c r="O19" s="650">
        <f t="shared" si="12"/>
        <v>0</v>
      </c>
      <c r="P19" s="650">
        <f t="shared" si="13"/>
        <v>0</v>
      </c>
      <c r="Q19" s="180"/>
      <c r="R19" s="662" t="str">
        <f t="shared" si="63"/>
        <v/>
      </c>
      <c r="S19" s="838" t="str">
        <f t="shared" si="14"/>
        <v/>
      </c>
      <c r="T19" s="182" t="str">
        <f t="shared" si="15"/>
        <v/>
      </c>
      <c r="U19" s="183">
        <v>13</v>
      </c>
      <c r="V19" s="186"/>
      <c r="W19" s="663"/>
      <c r="X19" s="653" t="str">
        <f t="shared" si="16"/>
        <v/>
      </c>
      <c r="Y19" s="186"/>
      <c r="Z19" s="186"/>
      <c r="AA19" s="679" t="str">
        <f t="shared" si="17"/>
        <v/>
      </c>
      <c r="AB19" s="739"/>
      <c r="AC19" s="202" t="str">
        <f t="shared" si="18"/>
        <v/>
      </c>
      <c r="AD19" s="665" t="s">
        <v>339</v>
      </c>
      <c r="AE19" s="666" t="str">
        <f t="shared" si="19"/>
        <v/>
      </c>
      <c r="AF19" s="197" t="s">
        <v>261</v>
      </c>
      <c r="AG19" s="666" t="str">
        <f t="shared" si="20"/>
        <v/>
      </c>
      <c r="AH19" s="667" t="s">
        <v>259</v>
      </c>
      <c r="AI19" s="193" t="str">
        <f t="shared" si="21"/>
        <v/>
      </c>
      <c r="AJ19" s="194"/>
      <c r="AK19" s="85">
        <f t="shared" si="1"/>
        <v>9.5000000000000005E-5</v>
      </c>
      <c r="AL19" s="249"/>
      <c r="AM19" s="249"/>
      <c r="AN19" s="194"/>
      <c r="AO19" s="170"/>
      <c r="AP19" s="170"/>
      <c r="AQ19" s="170"/>
      <c r="AR19" s="170"/>
      <c r="AS19" s="170"/>
      <c r="AT19" s="171"/>
      <c r="AU19" s="249"/>
      <c r="AV19" s="668">
        <f t="shared" si="2"/>
        <v>9.5000000000000005E-5</v>
      </c>
      <c r="AW19" s="669" t="str">
        <f t="shared" si="22"/>
        <v/>
      </c>
      <c r="AX19" s="670" t="str">
        <f t="shared" si="23"/>
        <v/>
      </c>
      <c r="AY19" s="671" t="str">
        <f t="shared" si="64"/>
        <v/>
      </c>
      <c r="BK19" s="91"/>
      <c r="CD19" s="50" t="str">
        <f t="shared" si="24"/>
        <v/>
      </c>
      <c r="CE19" s="50" t="b">
        <f t="shared" si="25"/>
        <v>1</v>
      </c>
      <c r="CF19" s="66" t="b">
        <v>1</v>
      </c>
      <c r="CG19" s="50" t="b">
        <f t="shared" si="26"/>
        <v>0</v>
      </c>
      <c r="CH19" s="50">
        <v>13</v>
      </c>
      <c r="CI19" s="200" t="b">
        <f t="shared" si="27"/>
        <v>0</v>
      </c>
      <c r="CJ19" s="90" t="str">
        <f t="shared" si="28"/>
        <v/>
      </c>
      <c r="CK19" s="201" t="str">
        <f t="shared" si="29"/>
        <v/>
      </c>
      <c r="CL19" s="90" t="e">
        <f t="shared" si="30"/>
        <v>#N/A</v>
      </c>
      <c r="CM19" s="201" t="e">
        <f t="shared" si="31"/>
        <v>#N/A</v>
      </c>
      <c r="CN19" s="50" t="e">
        <f t="shared" si="32"/>
        <v>#N/A</v>
      </c>
      <c r="CO19" s="50" t="e">
        <f t="shared" si="33"/>
        <v>#N/A</v>
      </c>
      <c r="CP19" s="90" t="str">
        <f t="shared" si="34"/>
        <v/>
      </c>
      <c r="CQ19" s="90" t="str">
        <f t="shared" si="35"/>
        <v/>
      </c>
      <c r="CR19" s="90" t="str">
        <f t="shared" si="36"/>
        <v/>
      </c>
      <c r="CS19" s="90" t="str">
        <f t="shared" si="37"/>
        <v/>
      </c>
      <c r="CT19" s="90" t="str">
        <f t="shared" si="38"/>
        <v/>
      </c>
      <c r="CU19" s="90" t="str">
        <f t="shared" si="39"/>
        <v/>
      </c>
      <c r="CV19" s="90" t="str">
        <f t="shared" si="40"/>
        <v/>
      </c>
      <c r="CW19" s="90" t="str">
        <f t="shared" si="41"/>
        <v/>
      </c>
      <c r="CX19" s="90" t="e">
        <f t="shared" si="42"/>
        <v>#N/A</v>
      </c>
      <c r="CY19" s="113" t="e">
        <f t="shared" si="43"/>
        <v>#N/A</v>
      </c>
      <c r="CZ19" s="106" t="e">
        <f t="shared" si="44"/>
        <v>#N/A</v>
      </c>
      <c r="DA19" s="90" t="e">
        <f t="shared" si="45"/>
        <v>#N/A</v>
      </c>
      <c r="DB19" s="90" t="e">
        <f t="shared" si="46"/>
        <v>#N/A</v>
      </c>
      <c r="DC19" s="90" t="e">
        <f t="shared" si="47"/>
        <v>#N/A</v>
      </c>
      <c r="DD19" s="90" t="e">
        <f t="shared" si="48"/>
        <v>#N/A</v>
      </c>
      <c r="DE19" s="90" t="e">
        <f t="shared" si="49"/>
        <v>#N/A</v>
      </c>
      <c r="DF19" s="90" t="e">
        <f t="shared" si="50"/>
        <v>#N/A</v>
      </c>
      <c r="DG19" s="90" t="e">
        <f t="shared" si="51"/>
        <v>#N/A</v>
      </c>
      <c r="DH19" s="90" t="e">
        <f t="shared" si="52"/>
        <v>#N/A</v>
      </c>
      <c r="DI19" s="113">
        <v>13</v>
      </c>
      <c r="DJ19" s="50" t="e">
        <f t="shared" si="53"/>
        <v>#N/A</v>
      </c>
      <c r="DK19" s="50" t="e">
        <f t="shared" si="54"/>
        <v>#N/A</v>
      </c>
      <c r="DL19" s="50" t="e">
        <f t="shared" si="55"/>
        <v>#N/A</v>
      </c>
      <c r="DM19" s="50" t="e">
        <f t="shared" si="56"/>
        <v>#N/A</v>
      </c>
      <c r="DN19" s="50" t="e">
        <f t="shared" si="57"/>
        <v>#N/A</v>
      </c>
      <c r="DO19" s="50" t="e">
        <f t="shared" si="58"/>
        <v>#N/A</v>
      </c>
      <c r="DP19" s="50" t="e">
        <f t="shared" si="59"/>
        <v>#N/A</v>
      </c>
      <c r="DQ19" s="50" t="e">
        <f t="shared" si="60"/>
        <v>#N/A</v>
      </c>
      <c r="DR19" s="50" t="e">
        <f t="shared" si="61"/>
        <v>#N/A</v>
      </c>
      <c r="DS19" s="50">
        <f t="shared" si="62"/>
        <v>0</v>
      </c>
      <c r="DT19" s="113" t="e">
        <f>IF(DS19=0,NA(),SUM($DS$7:DS19))</f>
        <v>#N/A</v>
      </c>
    </row>
    <row r="20" spans="1:124" ht="12" customHeight="1" x14ac:dyDescent="0.2">
      <c r="A20" s="50" t="str">
        <f t="shared" si="3"/>
        <v/>
      </c>
      <c r="B20" s="50" t="str">
        <f t="shared" si="4"/>
        <v/>
      </c>
      <c r="C20" s="50" t="str">
        <f t="shared" si="5"/>
        <v/>
      </c>
      <c r="D20" s="50" t="str">
        <f t="shared" si="6"/>
        <v/>
      </c>
      <c r="E20" s="50" t="str">
        <f t="shared" si="7"/>
        <v/>
      </c>
      <c r="F20" s="50" t="str">
        <f t="shared" si="8"/>
        <v/>
      </c>
      <c r="G20" s="66" t="s">
        <v>420</v>
      </c>
      <c r="H20" s="66" t="s">
        <v>420</v>
      </c>
      <c r="I20" s="50" t="e">
        <f t="shared" si="9"/>
        <v>#VALUE!</v>
      </c>
      <c r="J20" s="50" t="e">
        <f t="shared" si="10"/>
        <v>#VALUE!</v>
      </c>
      <c r="K20" s="66">
        <v>0</v>
      </c>
      <c r="L20" s="66">
        <v>0</v>
      </c>
      <c r="M20" s="66">
        <v>0</v>
      </c>
      <c r="N20" s="649">
        <f t="shared" si="11"/>
        <v>0</v>
      </c>
      <c r="O20" s="650">
        <f t="shared" si="12"/>
        <v>0</v>
      </c>
      <c r="P20" s="650">
        <f t="shared" si="13"/>
        <v>0</v>
      </c>
      <c r="Q20" s="180"/>
      <c r="R20" s="662" t="str">
        <f t="shared" si="63"/>
        <v/>
      </c>
      <c r="S20" s="838" t="str">
        <f t="shared" si="14"/>
        <v/>
      </c>
      <c r="T20" s="182" t="str">
        <f t="shared" si="15"/>
        <v/>
      </c>
      <c r="U20" s="183">
        <v>14</v>
      </c>
      <c r="V20" s="186"/>
      <c r="W20" s="663"/>
      <c r="X20" s="653" t="str">
        <f t="shared" si="16"/>
        <v/>
      </c>
      <c r="Y20" s="186"/>
      <c r="Z20" s="186"/>
      <c r="AA20" s="679" t="str">
        <f t="shared" si="17"/>
        <v/>
      </c>
      <c r="AB20" s="739"/>
      <c r="AC20" s="202" t="str">
        <f t="shared" si="18"/>
        <v/>
      </c>
      <c r="AD20" s="665" t="s">
        <v>339</v>
      </c>
      <c r="AE20" s="666" t="str">
        <f t="shared" si="19"/>
        <v/>
      </c>
      <c r="AF20" s="197" t="s">
        <v>261</v>
      </c>
      <c r="AG20" s="666" t="str">
        <f t="shared" si="20"/>
        <v/>
      </c>
      <c r="AH20" s="667" t="s">
        <v>259</v>
      </c>
      <c r="AI20" s="193" t="str">
        <f t="shared" si="21"/>
        <v/>
      </c>
      <c r="AJ20" s="194"/>
      <c r="AK20" s="85">
        <f t="shared" si="1"/>
        <v>9.5000000000000005E-5</v>
      </c>
      <c r="AL20" s="249"/>
      <c r="AM20" s="249"/>
      <c r="AN20" s="194"/>
      <c r="AO20" s="170"/>
      <c r="AP20" s="170"/>
      <c r="AQ20" s="170"/>
      <c r="AR20" s="170"/>
      <c r="AS20" s="170"/>
      <c r="AT20" s="171"/>
      <c r="AU20" s="249"/>
      <c r="AV20" s="668">
        <f t="shared" si="2"/>
        <v>9.5000000000000005E-5</v>
      </c>
      <c r="AW20" s="669" t="str">
        <f t="shared" si="22"/>
        <v/>
      </c>
      <c r="AX20" s="670" t="str">
        <f t="shared" si="23"/>
        <v/>
      </c>
      <c r="AY20" s="671" t="str">
        <f t="shared" si="64"/>
        <v/>
      </c>
      <c r="BK20" s="91"/>
      <c r="CD20" s="50" t="str">
        <f t="shared" si="24"/>
        <v/>
      </c>
      <c r="CE20" s="50" t="b">
        <f t="shared" si="25"/>
        <v>1</v>
      </c>
      <c r="CF20" s="66" t="b">
        <v>1</v>
      </c>
      <c r="CG20" s="50" t="b">
        <f t="shared" si="26"/>
        <v>0</v>
      </c>
      <c r="CH20" s="50">
        <v>14</v>
      </c>
      <c r="CI20" s="200" t="b">
        <f t="shared" si="27"/>
        <v>0</v>
      </c>
      <c r="CJ20" s="90" t="str">
        <f t="shared" si="28"/>
        <v/>
      </c>
      <c r="CK20" s="201" t="str">
        <f t="shared" si="29"/>
        <v/>
      </c>
      <c r="CL20" s="90" t="e">
        <f t="shared" si="30"/>
        <v>#N/A</v>
      </c>
      <c r="CM20" s="201" t="e">
        <f t="shared" si="31"/>
        <v>#N/A</v>
      </c>
      <c r="CN20" s="50" t="e">
        <f t="shared" si="32"/>
        <v>#N/A</v>
      </c>
      <c r="CO20" s="50" t="e">
        <f t="shared" si="33"/>
        <v>#N/A</v>
      </c>
      <c r="CP20" s="90" t="str">
        <f t="shared" si="34"/>
        <v/>
      </c>
      <c r="CQ20" s="90" t="str">
        <f t="shared" si="35"/>
        <v/>
      </c>
      <c r="CR20" s="90" t="str">
        <f t="shared" si="36"/>
        <v/>
      </c>
      <c r="CS20" s="90" t="str">
        <f t="shared" si="37"/>
        <v/>
      </c>
      <c r="CT20" s="90" t="str">
        <f t="shared" si="38"/>
        <v/>
      </c>
      <c r="CU20" s="90" t="str">
        <f t="shared" si="39"/>
        <v/>
      </c>
      <c r="CV20" s="90" t="str">
        <f t="shared" si="40"/>
        <v/>
      </c>
      <c r="CW20" s="90" t="str">
        <f t="shared" si="41"/>
        <v/>
      </c>
      <c r="CX20" s="90" t="e">
        <f t="shared" si="42"/>
        <v>#N/A</v>
      </c>
      <c r="CY20" s="113" t="e">
        <f t="shared" si="43"/>
        <v>#N/A</v>
      </c>
      <c r="CZ20" s="106" t="e">
        <f t="shared" si="44"/>
        <v>#N/A</v>
      </c>
      <c r="DA20" s="90" t="e">
        <f t="shared" si="45"/>
        <v>#N/A</v>
      </c>
      <c r="DB20" s="90" t="e">
        <f t="shared" si="46"/>
        <v>#N/A</v>
      </c>
      <c r="DC20" s="90" t="e">
        <f t="shared" si="47"/>
        <v>#N/A</v>
      </c>
      <c r="DD20" s="90" t="e">
        <f t="shared" si="48"/>
        <v>#N/A</v>
      </c>
      <c r="DE20" s="90" t="e">
        <f t="shared" si="49"/>
        <v>#N/A</v>
      </c>
      <c r="DF20" s="90" t="e">
        <f t="shared" si="50"/>
        <v>#N/A</v>
      </c>
      <c r="DG20" s="90" t="e">
        <f t="shared" si="51"/>
        <v>#N/A</v>
      </c>
      <c r="DH20" s="90" t="e">
        <f t="shared" si="52"/>
        <v>#N/A</v>
      </c>
      <c r="DI20" s="113">
        <v>14</v>
      </c>
      <c r="DJ20" s="50" t="e">
        <f t="shared" si="53"/>
        <v>#N/A</v>
      </c>
      <c r="DK20" s="50" t="e">
        <f t="shared" si="54"/>
        <v>#N/A</v>
      </c>
      <c r="DL20" s="50" t="e">
        <f t="shared" si="55"/>
        <v>#N/A</v>
      </c>
      <c r="DM20" s="50" t="e">
        <f t="shared" si="56"/>
        <v>#N/A</v>
      </c>
      <c r="DN20" s="50" t="e">
        <f t="shared" si="57"/>
        <v>#N/A</v>
      </c>
      <c r="DO20" s="50" t="e">
        <f t="shared" si="58"/>
        <v>#N/A</v>
      </c>
      <c r="DP20" s="50" t="e">
        <f t="shared" si="59"/>
        <v>#N/A</v>
      </c>
      <c r="DQ20" s="50" t="e">
        <f t="shared" si="60"/>
        <v>#N/A</v>
      </c>
      <c r="DR20" s="50" t="e">
        <f t="shared" si="61"/>
        <v>#N/A</v>
      </c>
      <c r="DS20" s="50">
        <f t="shared" si="62"/>
        <v>0</v>
      </c>
      <c r="DT20" s="113" t="e">
        <f>IF(DS20=0,NA(),SUM($DS$7:DS20))</f>
        <v>#N/A</v>
      </c>
    </row>
    <row r="21" spans="1:124" ht="12" customHeight="1" x14ac:dyDescent="0.2">
      <c r="A21" s="50" t="str">
        <f t="shared" si="3"/>
        <v/>
      </c>
      <c r="B21" s="50" t="str">
        <f t="shared" si="4"/>
        <v/>
      </c>
      <c r="C21" s="50" t="str">
        <f t="shared" si="5"/>
        <v/>
      </c>
      <c r="D21" s="50" t="str">
        <f t="shared" si="6"/>
        <v/>
      </c>
      <c r="E21" s="50" t="str">
        <f t="shared" si="7"/>
        <v/>
      </c>
      <c r="F21" s="50" t="str">
        <f t="shared" si="8"/>
        <v/>
      </c>
      <c r="G21" s="66" t="s">
        <v>420</v>
      </c>
      <c r="H21" s="66" t="s">
        <v>420</v>
      </c>
      <c r="I21" s="50" t="e">
        <f t="shared" si="9"/>
        <v>#VALUE!</v>
      </c>
      <c r="J21" s="50" t="e">
        <f t="shared" si="10"/>
        <v>#VALUE!</v>
      </c>
      <c r="K21" s="66">
        <v>0</v>
      </c>
      <c r="L21" s="66">
        <v>0</v>
      </c>
      <c r="M21" s="66">
        <v>0</v>
      </c>
      <c r="N21" s="649">
        <f t="shared" si="11"/>
        <v>0</v>
      </c>
      <c r="O21" s="650">
        <f t="shared" si="12"/>
        <v>0</v>
      </c>
      <c r="P21" s="650">
        <f t="shared" si="13"/>
        <v>0</v>
      </c>
      <c r="Q21" s="180"/>
      <c r="R21" s="662" t="str">
        <f t="shared" si="63"/>
        <v/>
      </c>
      <c r="S21" s="838" t="str">
        <f t="shared" si="14"/>
        <v/>
      </c>
      <c r="T21" s="182" t="str">
        <f t="shared" si="15"/>
        <v/>
      </c>
      <c r="U21" s="183">
        <v>15</v>
      </c>
      <c r="V21" s="186"/>
      <c r="W21" s="663"/>
      <c r="X21" s="653" t="str">
        <f t="shared" si="16"/>
        <v/>
      </c>
      <c r="Y21" s="186"/>
      <c r="Z21" s="186"/>
      <c r="AA21" s="679" t="str">
        <f t="shared" si="17"/>
        <v/>
      </c>
      <c r="AB21" s="739"/>
      <c r="AC21" s="202" t="str">
        <f t="shared" si="18"/>
        <v/>
      </c>
      <c r="AD21" s="665" t="s">
        <v>339</v>
      </c>
      <c r="AE21" s="666" t="str">
        <f t="shared" si="19"/>
        <v/>
      </c>
      <c r="AF21" s="197" t="s">
        <v>261</v>
      </c>
      <c r="AG21" s="666" t="str">
        <f t="shared" si="20"/>
        <v/>
      </c>
      <c r="AH21" s="667" t="s">
        <v>259</v>
      </c>
      <c r="AI21" s="193" t="str">
        <f t="shared" si="21"/>
        <v/>
      </c>
      <c r="AJ21" s="194"/>
      <c r="AK21" s="85">
        <f t="shared" si="1"/>
        <v>9.5000000000000005E-5</v>
      </c>
      <c r="AL21" s="249"/>
      <c r="AM21" s="249"/>
      <c r="AN21" s="194"/>
      <c r="AO21" s="170"/>
      <c r="AP21" s="170"/>
      <c r="AQ21" s="170"/>
      <c r="AR21" s="170"/>
      <c r="AS21" s="170"/>
      <c r="AT21" s="171"/>
      <c r="AU21" s="249"/>
      <c r="AV21" s="668">
        <f t="shared" si="2"/>
        <v>9.5000000000000005E-5</v>
      </c>
      <c r="AW21" s="669" t="str">
        <f t="shared" si="22"/>
        <v/>
      </c>
      <c r="AX21" s="670" t="str">
        <f t="shared" si="23"/>
        <v/>
      </c>
      <c r="AY21" s="671" t="str">
        <f t="shared" si="64"/>
        <v/>
      </c>
      <c r="BK21" s="91"/>
      <c r="CD21" s="50" t="str">
        <f t="shared" si="24"/>
        <v/>
      </c>
      <c r="CE21" s="50" t="b">
        <f t="shared" si="25"/>
        <v>1</v>
      </c>
      <c r="CF21" s="66" t="b">
        <v>1</v>
      </c>
      <c r="CG21" s="50" t="b">
        <f t="shared" si="26"/>
        <v>0</v>
      </c>
      <c r="CH21" s="50">
        <v>15</v>
      </c>
      <c r="CI21" s="200" t="b">
        <f t="shared" si="27"/>
        <v>0</v>
      </c>
      <c r="CJ21" s="90" t="str">
        <f t="shared" si="28"/>
        <v/>
      </c>
      <c r="CK21" s="201" t="str">
        <f t="shared" si="29"/>
        <v/>
      </c>
      <c r="CL21" s="90" t="e">
        <f t="shared" si="30"/>
        <v>#N/A</v>
      </c>
      <c r="CM21" s="201" t="e">
        <f t="shared" si="31"/>
        <v>#N/A</v>
      </c>
      <c r="CN21" s="50" t="e">
        <f t="shared" si="32"/>
        <v>#N/A</v>
      </c>
      <c r="CO21" s="50" t="e">
        <f t="shared" si="33"/>
        <v>#N/A</v>
      </c>
      <c r="CP21" s="90" t="str">
        <f t="shared" si="34"/>
        <v/>
      </c>
      <c r="CQ21" s="90" t="str">
        <f t="shared" si="35"/>
        <v/>
      </c>
      <c r="CR21" s="90" t="str">
        <f t="shared" si="36"/>
        <v/>
      </c>
      <c r="CS21" s="90" t="str">
        <f t="shared" si="37"/>
        <v/>
      </c>
      <c r="CT21" s="90" t="str">
        <f t="shared" si="38"/>
        <v/>
      </c>
      <c r="CU21" s="90" t="str">
        <f t="shared" si="39"/>
        <v/>
      </c>
      <c r="CV21" s="90" t="str">
        <f t="shared" si="40"/>
        <v/>
      </c>
      <c r="CW21" s="90" t="str">
        <f t="shared" si="41"/>
        <v/>
      </c>
      <c r="CX21" s="90" t="e">
        <f t="shared" si="42"/>
        <v>#N/A</v>
      </c>
      <c r="CY21" s="113" t="e">
        <f t="shared" si="43"/>
        <v>#N/A</v>
      </c>
      <c r="CZ21" s="106" t="e">
        <f t="shared" si="44"/>
        <v>#N/A</v>
      </c>
      <c r="DA21" s="90" t="e">
        <f t="shared" si="45"/>
        <v>#N/A</v>
      </c>
      <c r="DB21" s="90" t="e">
        <f t="shared" si="46"/>
        <v>#N/A</v>
      </c>
      <c r="DC21" s="90" t="e">
        <f t="shared" si="47"/>
        <v>#N/A</v>
      </c>
      <c r="DD21" s="90" t="e">
        <f t="shared" si="48"/>
        <v>#N/A</v>
      </c>
      <c r="DE21" s="90" t="e">
        <f t="shared" si="49"/>
        <v>#N/A</v>
      </c>
      <c r="DF21" s="90" t="e">
        <f t="shared" si="50"/>
        <v>#N/A</v>
      </c>
      <c r="DG21" s="90" t="e">
        <f t="shared" si="51"/>
        <v>#N/A</v>
      </c>
      <c r="DH21" s="90" t="e">
        <f t="shared" si="52"/>
        <v>#N/A</v>
      </c>
      <c r="DI21" s="113">
        <v>15</v>
      </c>
      <c r="DJ21" s="50" t="e">
        <f t="shared" si="53"/>
        <v>#N/A</v>
      </c>
      <c r="DK21" s="50" t="e">
        <f t="shared" si="54"/>
        <v>#N/A</v>
      </c>
      <c r="DL21" s="50" t="e">
        <f t="shared" si="55"/>
        <v>#N/A</v>
      </c>
      <c r="DM21" s="50" t="e">
        <f t="shared" si="56"/>
        <v>#N/A</v>
      </c>
      <c r="DN21" s="50" t="e">
        <f t="shared" si="57"/>
        <v>#N/A</v>
      </c>
      <c r="DO21" s="50" t="e">
        <f t="shared" si="58"/>
        <v>#N/A</v>
      </c>
      <c r="DP21" s="50" t="e">
        <f t="shared" si="59"/>
        <v>#N/A</v>
      </c>
      <c r="DQ21" s="50" t="e">
        <f t="shared" si="60"/>
        <v>#N/A</v>
      </c>
      <c r="DR21" s="50" t="e">
        <f t="shared" si="61"/>
        <v>#N/A</v>
      </c>
      <c r="DS21" s="50">
        <f t="shared" si="62"/>
        <v>0</v>
      </c>
      <c r="DT21" s="113" t="e">
        <f>IF(DS21=0,NA(),SUM($DS$7:DS21))</f>
        <v>#N/A</v>
      </c>
    </row>
    <row r="22" spans="1:124" ht="12" customHeight="1" x14ac:dyDescent="0.2">
      <c r="A22" s="50" t="str">
        <f t="shared" si="3"/>
        <v/>
      </c>
      <c r="B22" s="50" t="str">
        <f t="shared" si="4"/>
        <v/>
      </c>
      <c r="C22" s="50" t="str">
        <f t="shared" si="5"/>
        <v/>
      </c>
      <c r="D22" s="50" t="str">
        <f t="shared" si="6"/>
        <v/>
      </c>
      <c r="E22" s="50" t="str">
        <f t="shared" si="7"/>
        <v/>
      </c>
      <c r="F22" s="50" t="str">
        <f t="shared" si="8"/>
        <v/>
      </c>
      <c r="G22" s="66" t="s">
        <v>420</v>
      </c>
      <c r="H22" s="66" t="s">
        <v>420</v>
      </c>
      <c r="I22" s="50" t="e">
        <f t="shared" si="9"/>
        <v>#VALUE!</v>
      </c>
      <c r="J22" s="50" t="e">
        <f t="shared" si="10"/>
        <v>#VALUE!</v>
      </c>
      <c r="K22" s="66">
        <v>0</v>
      </c>
      <c r="L22" s="66">
        <v>0</v>
      </c>
      <c r="M22" s="66">
        <v>0</v>
      </c>
      <c r="N22" s="649">
        <f t="shared" si="11"/>
        <v>0</v>
      </c>
      <c r="O22" s="650">
        <f t="shared" si="12"/>
        <v>0</v>
      </c>
      <c r="P22" s="650">
        <f t="shared" si="13"/>
        <v>0</v>
      </c>
      <c r="Q22" s="180"/>
      <c r="R22" s="662" t="str">
        <f t="shared" si="63"/>
        <v/>
      </c>
      <c r="S22" s="838" t="str">
        <f t="shared" si="14"/>
        <v/>
      </c>
      <c r="T22" s="182" t="str">
        <f t="shared" si="15"/>
        <v/>
      </c>
      <c r="U22" s="183">
        <v>16</v>
      </c>
      <c r="V22" s="186"/>
      <c r="W22" s="663"/>
      <c r="X22" s="653" t="str">
        <f t="shared" si="16"/>
        <v/>
      </c>
      <c r="Y22" s="186"/>
      <c r="Z22" s="186"/>
      <c r="AA22" s="679" t="str">
        <f t="shared" si="17"/>
        <v/>
      </c>
      <c r="AB22" s="739"/>
      <c r="AC22" s="202" t="str">
        <f t="shared" si="18"/>
        <v/>
      </c>
      <c r="AD22" s="665" t="s">
        <v>339</v>
      </c>
      <c r="AE22" s="666" t="str">
        <f t="shared" si="19"/>
        <v/>
      </c>
      <c r="AF22" s="197" t="s">
        <v>261</v>
      </c>
      <c r="AG22" s="666" t="str">
        <f t="shared" si="20"/>
        <v/>
      </c>
      <c r="AH22" s="667" t="s">
        <v>259</v>
      </c>
      <c r="AI22" s="193" t="str">
        <f t="shared" si="21"/>
        <v/>
      </c>
      <c r="AJ22" s="194"/>
      <c r="AK22" s="85">
        <f t="shared" si="1"/>
        <v>9.5000000000000005E-5</v>
      </c>
      <c r="AL22" s="249"/>
      <c r="AM22" s="249"/>
      <c r="AN22" s="194"/>
      <c r="AO22" s="170"/>
      <c r="AP22" s="170"/>
      <c r="AQ22" s="170"/>
      <c r="AR22" s="170"/>
      <c r="AS22" s="170"/>
      <c r="AT22" s="171"/>
      <c r="AU22" s="249"/>
      <c r="AV22" s="668">
        <f t="shared" si="2"/>
        <v>9.5000000000000005E-5</v>
      </c>
      <c r="AW22" s="669" t="str">
        <f t="shared" si="22"/>
        <v/>
      </c>
      <c r="AX22" s="670" t="str">
        <f t="shared" si="23"/>
        <v/>
      </c>
      <c r="AY22" s="671" t="str">
        <f t="shared" si="64"/>
        <v/>
      </c>
      <c r="BK22" s="91"/>
      <c r="CD22" s="50" t="str">
        <f t="shared" si="24"/>
        <v/>
      </c>
      <c r="CE22" s="50" t="b">
        <f t="shared" si="25"/>
        <v>1</v>
      </c>
      <c r="CF22" s="66" t="b">
        <v>1</v>
      </c>
      <c r="CG22" s="50" t="b">
        <f t="shared" si="26"/>
        <v>0</v>
      </c>
      <c r="CH22" s="50">
        <v>16</v>
      </c>
      <c r="CI22" s="200" t="b">
        <f t="shared" si="27"/>
        <v>0</v>
      </c>
      <c r="CJ22" s="90" t="str">
        <f t="shared" si="28"/>
        <v/>
      </c>
      <c r="CK22" s="201" t="str">
        <f t="shared" si="29"/>
        <v/>
      </c>
      <c r="CL22" s="90" t="e">
        <f t="shared" si="30"/>
        <v>#N/A</v>
      </c>
      <c r="CM22" s="201" t="e">
        <f t="shared" si="31"/>
        <v>#N/A</v>
      </c>
      <c r="CN22" s="50" t="e">
        <f t="shared" si="32"/>
        <v>#N/A</v>
      </c>
      <c r="CO22" s="50" t="e">
        <f t="shared" si="33"/>
        <v>#N/A</v>
      </c>
      <c r="CP22" s="90" t="str">
        <f t="shared" si="34"/>
        <v/>
      </c>
      <c r="CQ22" s="90" t="str">
        <f t="shared" si="35"/>
        <v/>
      </c>
      <c r="CR22" s="90" t="str">
        <f t="shared" si="36"/>
        <v/>
      </c>
      <c r="CS22" s="90" t="str">
        <f t="shared" si="37"/>
        <v/>
      </c>
      <c r="CT22" s="90" t="str">
        <f t="shared" si="38"/>
        <v/>
      </c>
      <c r="CU22" s="90" t="str">
        <f t="shared" si="39"/>
        <v/>
      </c>
      <c r="CV22" s="90" t="str">
        <f t="shared" si="40"/>
        <v/>
      </c>
      <c r="CW22" s="90" t="str">
        <f t="shared" si="41"/>
        <v/>
      </c>
      <c r="CX22" s="90" t="e">
        <f t="shared" si="42"/>
        <v>#N/A</v>
      </c>
      <c r="CY22" s="113" t="e">
        <f t="shared" si="43"/>
        <v>#N/A</v>
      </c>
      <c r="CZ22" s="106" t="e">
        <f t="shared" si="44"/>
        <v>#N/A</v>
      </c>
      <c r="DA22" s="90" t="e">
        <f t="shared" si="45"/>
        <v>#N/A</v>
      </c>
      <c r="DB22" s="90" t="e">
        <f t="shared" si="46"/>
        <v>#N/A</v>
      </c>
      <c r="DC22" s="90" t="e">
        <f t="shared" si="47"/>
        <v>#N/A</v>
      </c>
      <c r="DD22" s="90" t="e">
        <f t="shared" si="48"/>
        <v>#N/A</v>
      </c>
      <c r="DE22" s="90" t="e">
        <f t="shared" si="49"/>
        <v>#N/A</v>
      </c>
      <c r="DF22" s="90" t="e">
        <f t="shared" si="50"/>
        <v>#N/A</v>
      </c>
      <c r="DG22" s="90" t="e">
        <f t="shared" si="51"/>
        <v>#N/A</v>
      </c>
      <c r="DH22" s="90" t="e">
        <f t="shared" si="52"/>
        <v>#N/A</v>
      </c>
      <c r="DI22" s="113">
        <v>16</v>
      </c>
      <c r="DJ22" s="50" t="e">
        <f t="shared" si="53"/>
        <v>#N/A</v>
      </c>
      <c r="DK22" s="50" t="e">
        <f t="shared" si="54"/>
        <v>#N/A</v>
      </c>
      <c r="DL22" s="50" t="e">
        <f t="shared" si="55"/>
        <v>#N/A</v>
      </c>
      <c r="DM22" s="50" t="e">
        <f t="shared" si="56"/>
        <v>#N/A</v>
      </c>
      <c r="DN22" s="50" t="e">
        <f t="shared" si="57"/>
        <v>#N/A</v>
      </c>
      <c r="DO22" s="50" t="e">
        <f t="shared" si="58"/>
        <v>#N/A</v>
      </c>
      <c r="DP22" s="50" t="e">
        <f t="shared" si="59"/>
        <v>#N/A</v>
      </c>
      <c r="DQ22" s="50" t="e">
        <f t="shared" si="60"/>
        <v>#N/A</v>
      </c>
      <c r="DR22" s="50" t="e">
        <f t="shared" si="61"/>
        <v>#N/A</v>
      </c>
      <c r="DS22" s="50">
        <f t="shared" si="62"/>
        <v>0</v>
      </c>
      <c r="DT22" s="113" t="e">
        <f>IF(DS22=0,NA(),SUM($DS$7:DS22))</f>
        <v>#N/A</v>
      </c>
    </row>
    <row r="23" spans="1:124" ht="12" customHeight="1" x14ac:dyDescent="0.2">
      <c r="A23" s="50" t="str">
        <f t="shared" si="3"/>
        <v/>
      </c>
      <c r="B23" s="50" t="str">
        <f t="shared" si="4"/>
        <v/>
      </c>
      <c r="C23" s="50" t="str">
        <f t="shared" si="5"/>
        <v/>
      </c>
      <c r="D23" s="50" t="str">
        <f t="shared" si="6"/>
        <v/>
      </c>
      <c r="E23" s="50" t="str">
        <f t="shared" si="7"/>
        <v/>
      </c>
      <c r="F23" s="50" t="str">
        <f t="shared" si="8"/>
        <v/>
      </c>
      <c r="G23" s="66" t="s">
        <v>420</v>
      </c>
      <c r="H23" s="66" t="s">
        <v>420</v>
      </c>
      <c r="I23" s="50" t="e">
        <f t="shared" si="9"/>
        <v>#VALUE!</v>
      </c>
      <c r="J23" s="50" t="e">
        <f t="shared" si="10"/>
        <v>#VALUE!</v>
      </c>
      <c r="K23" s="66">
        <v>0</v>
      </c>
      <c r="L23" s="66">
        <v>0</v>
      </c>
      <c r="M23" s="66">
        <v>0</v>
      </c>
      <c r="N23" s="649">
        <f t="shared" si="11"/>
        <v>0</v>
      </c>
      <c r="O23" s="650">
        <f t="shared" si="12"/>
        <v>0</v>
      </c>
      <c r="P23" s="650">
        <f t="shared" si="13"/>
        <v>0</v>
      </c>
      <c r="Q23" s="180"/>
      <c r="R23" s="662" t="str">
        <f t="shared" si="63"/>
        <v/>
      </c>
      <c r="S23" s="838" t="str">
        <f t="shared" si="14"/>
        <v/>
      </c>
      <c r="T23" s="182" t="str">
        <f t="shared" si="15"/>
        <v/>
      </c>
      <c r="U23" s="183">
        <v>17</v>
      </c>
      <c r="V23" s="186"/>
      <c r="W23" s="663"/>
      <c r="X23" s="653" t="str">
        <f t="shared" si="16"/>
        <v/>
      </c>
      <c r="Y23" s="186"/>
      <c r="Z23" s="186"/>
      <c r="AA23" s="679" t="str">
        <f t="shared" si="17"/>
        <v/>
      </c>
      <c r="AB23" s="739"/>
      <c r="AC23" s="202" t="str">
        <f t="shared" si="18"/>
        <v/>
      </c>
      <c r="AD23" s="665" t="s">
        <v>339</v>
      </c>
      <c r="AE23" s="666" t="str">
        <f t="shared" si="19"/>
        <v/>
      </c>
      <c r="AF23" s="197" t="s">
        <v>261</v>
      </c>
      <c r="AG23" s="666" t="str">
        <f t="shared" si="20"/>
        <v/>
      </c>
      <c r="AH23" s="667" t="s">
        <v>259</v>
      </c>
      <c r="AI23" s="193" t="str">
        <f t="shared" si="21"/>
        <v/>
      </c>
      <c r="AJ23" s="194"/>
      <c r="AK23" s="85">
        <f t="shared" si="1"/>
        <v>9.5000000000000005E-5</v>
      </c>
      <c r="AL23" s="249"/>
      <c r="AM23" s="249"/>
      <c r="AN23" s="194"/>
      <c r="AO23" s="170"/>
      <c r="AP23" s="170"/>
      <c r="AQ23" s="170"/>
      <c r="AR23" s="170"/>
      <c r="AS23" s="170"/>
      <c r="AT23" s="171"/>
      <c r="AU23" s="249"/>
      <c r="AV23" s="668">
        <f t="shared" si="2"/>
        <v>9.5000000000000005E-5</v>
      </c>
      <c r="AW23" s="669" t="str">
        <f t="shared" si="22"/>
        <v/>
      </c>
      <c r="AX23" s="670" t="str">
        <f t="shared" si="23"/>
        <v/>
      </c>
      <c r="AY23" s="671" t="str">
        <f t="shared" si="64"/>
        <v/>
      </c>
      <c r="BK23" s="91"/>
      <c r="CD23" s="50" t="str">
        <f t="shared" si="24"/>
        <v/>
      </c>
      <c r="CE23" s="50" t="b">
        <f t="shared" si="25"/>
        <v>1</v>
      </c>
      <c r="CF23" s="66" t="b">
        <v>1</v>
      </c>
      <c r="CG23" s="50" t="b">
        <f t="shared" si="26"/>
        <v>0</v>
      </c>
      <c r="CH23" s="50">
        <v>17</v>
      </c>
      <c r="CI23" s="200" t="b">
        <f t="shared" si="27"/>
        <v>0</v>
      </c>
      <c r="CJ23" s="90" t="str">
        <f t="shared" si="28"/>
        <v/>
      </c>
      <c r="CK23" s="201" t="str">
        <f t="shared" si="29"/>
        <v/>
      </c>
      <c r="CL23" s="90" t="e">
        <f t="shared" si="30"/>
        <v>#N/A</v>
      </c>
      <c r="CM23" s="201" t="e">
        <f t="shared" si="31"/>
        <v>#N/A</v>
      </c>
      <c r="CN23" s="50" t="e">
        <f t="shared" si="32"/>
        <v>#N/A</v>
      </c>
      <c r="CO23" s="50" t="e">
        <f t="shared" si="33"/>
        <v>#N/A</v>
      </c>
      <c r="CP23" s="90" t="str">
        <f t="shared" si="34"/>
        <v/>
      </c>
      <c r="CQ23" s="90" t="str">
        <f t="shared" si="35"/>
        <v/>
      </c>
      <c r="CR23" s="90" t="str">
        <f t="shared" si="36"/>
        <v/>
      </c>
      <c r="CS23" s="90" t="str">
        <f t="shared" si="37"/>
        <v/>
      </c>
      <c r="CT23" s="90" t="str">
        <f t="shared" si="38"/>
        <v/>
      </c>
      <c r="CU23" s="90" t="str">
        <f t="shared" si="39"/>
        <v/>
      </c>
      <c r="CV23" s="90" t="str">
        <f t="shared" si="40"/>
        <v/>
      </c>
      <c r="CW23" s="90" t="str">
        <f t="shared" si="41"/>
        <v/>
      </c>
      <c r="CX23" s="90" t="e">
        <f t="shared" si="42"/>
        <v>#N/A</v>
      </c>
      <c r="CY23" s="113" t="e">
        <f t="shared" si="43"/>
        <v>#N/A</v>
      </c>
      <c r="CZ23" s="106" t="e">
        <f t="shared" si="44"/>
        <v>#N/A</v>
      </c>
      <c r="DA23" s="90" t="e">
        <f t="shared" si="45"/>
        <v>#N/A</v>
      </c>
      <c r="DB23" s="90" t="e">
        <f t="shared" si="46"/>
        <v>#N/A</v>
      </c>
      <c r="DC23" s="90" t="e">
        <f t="shared" si="47"/>
        <v>#N/A</v>
      </c>
      <c r="DD23" s="90" t="e">
        <f t="shared" si="48"/>
        <v>#N/A</v>
      </c>
      <c r="DE23" s="90" t="e">
        <f t="shared" si="49"/>
        <v>#N/A</v>
      </c>
      <c r="DF23" s="90" t="e">
        <f t="shared" si="50"/>
        <v>#N/A</v>
      </c>
      <c r="DG23" s="90" t="e">
        <f t="shared" si="51"/>
        <v>#N/A</v>
      </c>
      <c r="DH23" s="90" t="e">
        <f t="shared" si="52"/>
        <v>#N/A</v>
      </c>
      <c r="DI23" s="113">
        <v>17</v>
      </c>
      <c r="DJ23" s="50" t="e">
        <f t="shared" si="53"/>
        <v>#N/A</v>
      </c>
      <c r="DK23" s="50" t="e">
        <f t="shared" si="54"/>
        <v>#N/A</v>
      </c>
      <c r="DL23" s="50" t="e">
        <f t="shared" si="55"/>
        <v>#N/A</v>
      </c>
      <c r="DM23" s="50" t="e">
        <f t="shared" si="56"/>
        <v>#N/A</v>
      </c>
      <c r="DN23" s="50" t="e">
        <f t="shared" si="57"/>
        <v>#N/A</v>
      </c>
      <c r="DO23" s="50" t="e">
        <f t="shared" si="58"/>
        <v>#N/A</v>
      </c>
      <c r="DP23" s="50" t="e">
        <f t="shared" si="59"/>
        <v>#N/A</v>
      </c>
      <c r="DQ23" s="50" t="e">
        <f t="shared" si="60"/>
        <v>#N/A</v>
      </c>
      <c r="DR23" s="50" t="e">
        <f t="shared" si="61"/>
        <v>#N/A</v>
      </c>
      <c r="DS23" s="50">
        <f t="shared" si="62"/>
        <v>0</v>
      </c>
      <c r="DT23" s="113" t="e">
        <f>IF(DS23=0,NA(),SUM($DS$7:DS23))</f>
        <v>#N/A</v>
      </c>
    </row>
    <row r="24" spans="1:124" ht="12" customHeight="1" x14ac:dyDescent="0.2">
      <c r="A24" s="50" t="str">
        <f t="shared" si="3"/>
        <v/>
      </c>
      <c r="B24" s="50" t="str">
        <f t="shared" si="4"/>
        <v/>
      </c>
      <c r="C24" s="50" t="str">
        <f t="shared" si="5"/>
        <v/>
      </c>
      <c r="D24" s="50" t="str">
        <f t="shared" si="6"/>
        <v/>
      </c>
      <c r="E24" s="50" t="str">
        <f t="shared" si="7"/>
        <v/>
      </c>
      <c r="F24" s="50" t="str">
        <f t="shared" si="8"/>
        <v/>
      </c>
      <c r="G24" s="66" t="s">
        <v>420</v>
      </c>
      <c r="H24" s="66" t="s">
        <v>420</v>
      </c>
      <c r="I24" s="50" t="e">
        <f t="shared" si="9"/>
        <v>#VALUE!</v>
      </c>
      <c r="J24" s="50" t="e">
        <f t="shared" si="10"/>
        <v>#VALUE!</v>
      </c>
      <c r="K24" s="66">
        <v>0</v>
      </c>
      <c r="L24" s="66">
        <v>0</v>
      </c>
      <c r="M24" s="66">
        <v>0</v>
      </c>
      <c r="N24" s="649">
        <f t="shared" si="11"/>
        <v>0</v>
      </c>
      <c r="O24" s="650">
        <f t="shared" si="12"/>
        <v>0</v>
      </c>
      <c r="P24" s="650">
        <f t="shared" si="13"/>
        <v>0</v>
      </c>
      <c r="Q24" s="180"/>
      <c r="R24" s="662" t="str">
        <f t="shared" si="63"/>
        <v/>
      </c>
      <c r="S24" s="838" t="str">
        <f t="shared" si="14"/>
        <v/>
      </c>
      <c r="T24" s="182" t="str">
        <f t="shared" si="15"/>
        <v/>
      </c>
      <c r="U24" s="183">
        <v>18</v>
      </c>
      <c r="V24" s="186"/>
      <c r="W24" s="663"/>
      <c r="X24" s="653" t="str">
        <f t="shared" si="16"/>
        <v/>
      </c>
      <c r="Y24" s="186"/>
      <c r="Z24" s="186"/>
      <c r="AA24" s="679" t="str">
        <f t="shared" si="17"/>
        <v/>
      </c>
      <c r="AB24" s="739"/>
      <c r="AC24" s="202" t="str">
        <f t="shared" si="18"/>
        <v/>
      </c>
      <c r="AD24" s="665" t="s">
        <v>339</v>
      </c>
      <c r="AE24" s="666" t="str">
        <f t="shared" si="19"/>
        <v/>
      </c>
      <c r="AF24" s="197" t="s">
        <v>261</v>
      </c>
      <c r="AG24" s="666" t="str">
        <f t="shared" si="20"/>
        <v/>
      </c>
      <c r="AH24" s="667" t="s">
        <v>259</v>
      </c>
      <c r="AI24" s="193" t="str">
        <f t="shared" si="21"/>
        <v/>
      </c>
      <c r="AJ24" s="194"/>
      <c r="AK24" s="85">
        <f t="shared" si="1"/>
        <v>9.5000000000000005E-5</v>
      </c>
      <c r="AL24" s="249"/>
      <c r="AM24" s="249"/>
      <c r="AN24" s="194"/>
      <c r="AO24" s="170"/>
      <c r="AP24" s="170"/>
      <c r="AQ24" s="170"/>
      <c r="AR24" s="170"/>
      <c r="AS24" s="170"/>
      <c r="AT24" s="171"/>
      <c r="AU24" s="249"/>
      <c r="AV24" s="668">
        <f t="shared" si="2"/>
        <v>9.5000000000000005E-5</v>
      </c>
      <c r="AW24" s="669" t="str">
        <f t="shared" si="22"/>
        <v/>
      </c>
      <c r="AX24" s="670" t="str">
        <f t="shared" si="23"/>
        <v/>
      </c>
      <c r="AY24" s="671" t="str">
        <f t="shared" si="64"/>
        <v/>
      </c>
      <c r="BK24" s="91"/>
      <c r="CD24" s="50" t="str">
        <f t="shared" si="24"/>
        <v/>
      </c>
      <c r="CE24" s="50" t="b">
        <f t="shared" si="25"/>
        <v>1</v>
      </c>
      <c r="CF24" s="66" t="b">
        <v>1</v>
      </c>
      <c r="CG24" s="50" t="b">
        <f t="shared" si="26"/>
        <v>0</v>
      </c>
      <c r="CH24" s="50">
        <v>18</v>
      </c>
      <c r="CI24" s="200" t="b">
        <f t="shared" si="27"/>
        <v>0</v>
      </c>
      <c r="CJ24" s="90" t="str">
        <f t="shared" si="28"/>
        <v/>
      </c>
      <c r="CK24" s="201" t="str">
        <f t="shared" si="29"/>
        <v/>
      </c>
      <c r="CL24" s="90" t="e">
        <f t="shared" si="30"/>
        <v>#N/A</v>
      </c>
      <c r="CM24" s="201" t="e">
        <f t="shared" si="31"/>
        <v>#N/A</v>
      </c>
      <c r="CN24" s="50" t="e">
        <f t="shared" si="32"/>
        <v>#N/A</v>
      </c>
      <c r="CO24" s="50" t="e">
        <f t="shared" si="33"/>
        <v>#N/A</v>
      </c>
      <c r="CP24" s="90" t="str">
        <f t="shared" si="34"/>
        <v/>
      </c>
      <c r="CQ24" s="90" t="str">
        <f t="shared" si="35"/>
        <v/>
      </c>
      <c r="CR24" s="90" t="str">
        <f t="shared" si="36"/>
        <v/>
      </c>
      <c r="CS24" s="90" t="str">
        <f t="shared" si="37"/>
        <v/>
      </c>
      <c r="CT24" s="90" t="str">
        <f t="shared" si="38"/>
        <v/>
      </c>
      <c r="CU24" s="90" t="str">
        <f t="shared" si="39"/>
        <v/>
      </c>
      <c r="CV24" s="90" t="str">
        <f t="shared" si="40"/>
        <v/>
      </c>
      <c r="CW24" s="90" t="str">
        <f t="shared" si="41"/>
        <v/>
      </c>
      <c r="CX24" s="90" t="e">
        <f t="shared" si="42"/>
        <v>#N/A</v>
      </c>
      <c r="CY24" s="113" t="e">
        <f t="shared" si="43"/>
        <v>#N/A</v>
      </c>
      <c r="CZ24" s="106" t="e">
        <f t="shared" si="44"/>
        <v>#N/A</v>
      </c>
      <c r="DA24" s="90" t="e">
        <f t="shared" si="45"/>
        <v>#N/A</v>
      </c>
      <c r="DB24" s="90" t="e">
        <f t="shared" si="46"/>
        <v>#N/A</v>
      </c>
      <c r="DC24" s="90" t="e">
        <f t="shared" si="47"/>
        <v>#N/A</v>
      </c>
      <c r="DD24" s="90" t="e">
        <f t="shared" si="48"/>
        <v>#N/A</v>
      </c>
      <c r="DE24" s="90" t="e">
        <f t="shared" si="49"/>
        <v>#N/A</v>
      </c>
      <c r="DF24" s="90" t="e">
        <f t="shared" si="50"/>
        <v>#N/A</v>
      </c>
      <c r="DG24" s="90" t="e">
        <f t="shared" si="51"/>
        <v>#N/A</v>
      </c>
      <c r="DH24" s="90" t="e">
        <f t="shared" si="52"/>
        <v>#N/A</v>
      </c>
      <c r="DI24" s="113">
        <v>18</v>
      </c>
      <c r="DJ24" s="50" t="e">
        <f t="shared" si="53"/>
        <v>#N/A</v>
      </c>
      <c r="DK24" s="50" t="e">
        <f t="shared" si="54"/>
        <v>#N/A</v>
      </c>
      <c r="DL24" s="50" t="e">
        <f t="shared" si="55"/>
        <v>#N/A</v>
      </c>
      <c r="DM24" s="50" t="e">
        <f t="shared" si="56"/>
        <v>#N/A</v>
      </c>
      <c r="DN24" s="50" t="e">
        <f t="shared" si="57"/>
        <v>#N/A</v>
      </c>
      <c r="DO24" s="50" t="e">
        <f t="shared" si="58"/>
        <v>#N/A</v>
      </c>
      <c r="DP24" s="50" t="e">
        <f t="shared" si="59"/>
        <v>#N/A</v>
      </c>
      <c r="DQ24" s="50" t="e">
        <f t="shared" si="60"/>
        <v>#N/A</v>
      </c>
      <c r="DR24" s="50" t="e">
        <f t="shared" si="61"/>
        <v>#N/A</v>
      </c>
      <c r="DS24" s="50">
        <f t="shared" si="62"/>
        <v>0</v>
      </c>
      <c r="DT24" s="113" t="e">
        <f>IF(DS24=0,NA(),SUM($DS$7:DS24))</f>
        <v>#N/A</v>
      </c>
    </row>
    <row r="25" spans="1:124" ht="12" customHeight="1" x14ac:dyDescent="0.2">
      <c r="A25" s="50" t="str">
        <f t="shared" si="3"/>
        <v/>
      </c>
      <c r="B25" s="50" t="str">
        <f t="shared" si="4"/>
        <v/>
      </c>
      <c r="C25" s="50" t="str">
        <f t="shared" si="5"/>
        <v/>
      </c>
      <c r="D25" s="50" t="str">
        <f t="shared" si="6"/>
        <v/>
      </c>
      <c r="E25" s="50" t="str">
        <f t="shared" si="7"/>
        <v/>
      </c>
      <c r="F25" s="50" t="str">
        <f t="shared" si="8"/>
        <v/>
      </c>
      <c r="G25" s="66" t="s">
        <v>420</v>
      </c>
      <c r="H25" s="66" t="s">
        <v>420</v>
      </c>
      <c r="I25" s="50" t="e">
        <f t="shared" si="9"/>
        <v>#VALUE!</v>
      </c>
      <c r="J25" s="50" t="e">
        <f t="shared" si="10"/>
        <v>#VALUE!</v>
      </c>
      <c r="K25" s="66">
        <v>0</v>
      </c>
      <c r="L25" s="66">
        <v>0</v>
      </c>
      <c r="M25" s="66">
        <v>0</v>
      </c>
      <c r="N25" s="649">
        <f t="shared" si="11"/>
        <v>0</v>
      </c>
      <c r="O25" s="650">
        <f t="shared" si="12"/>
        <v>0</v>
      </c>
      <c r="P25" s="650">
        <f t="shared" si="13"/>
        <v>0</v>
      </c>
      <c r="Q25" s="180"/>
      <c r="R25" s="662" t="str">
        <f t="shared" si="63"/>
        <v/>
      </c>
      <c r="S25" s="838" t="str">
        <f t="shared" si="14"/>
        <v/>
      </c>
      <c r="T25" s="182" t="str">
        <f t="shared" si="15"/>
        <v/>
      </c>
      <c r="U25" s="183">
        <v>19</v>
      </c>
      <c r="V25" s="186"/>
      <c r="W25" s="663"/>
      <c r="X25" s="653" t="str">
        <f t="shared" si="16"/>
        <v/>
      </c>
      <c r="Y25" s="186"/>
      <c r="Z25" s="186"/>
      <c r="AA25" s="679" t="str">
        <f t="shared" si="17"/>
        <v/>
      </c>
      <c r="AB25" s="739"/>
      <c r="AC25" s="202" t="str">
        <f t="shared" si="18"/>
        <v/>
      </c>
      <c r="AD25" s="665" t="s">
        <v>339</v>
      </c>
      <c r="AE25" s="666" t="str">
        <f t="shared" si="19"/>
        <v/>
      </c>
      <c r="AF25" s="197" t="s">
        <v>261</v>
      </c>
      <c r="AG25" s="666" t="str">
        <f t="shared" si="20"/>
        <v/>
      </c>
      <c r="AH25" s="667" t="s">
        <v>259</v>
      </c>
      <c r="AI25" s="193" t="str">
        <f t="shared" si="21"/>
        <v/>
      </c>
      <c r="AJ25" s="194"/>
      <c r="AK25" s="85">
        <f t="shared" si="1"/>
        <v>9.5000000000000005E-5</v>
      </c>
      <c r="AL25" s="249"/>
      <c r="AM25" s="249"/>
      <c r="AN25" s="680"/>
      <c r="AO25" s="170"/>
      <c r="AP25" s="170"/>
      <c r="AQ25" s="170"/>
      <c r="AR25" s="170"/>
      <c r="AS25" s="170"/>
      <c r="AT25" s="171"/>
      <c r="AU25" s="249"/>
      <c r="AV25" s="668">
        <f t="shared" si="2"/>
        <v>9.5000000000000005E-5</v>
      </c>
      <c r="AW25" s="669" t="str">
        <f t="shared" si="22"/>
        <v/>
      </c>
      <c r="AX25" s="670" t="str">
        <f t="shared" si="23"/>
        <v/>
      </c>
      <c r="AY25" s="671" t="str">
        <f t="shared" si="64"/>
        <v/>
      </c>
      <c r="BK25" s="91"/>
      <c r="CD25" s="50" t="str">
        <f t="shared" si="24"/>
        <v/>
      </c>
      <c r="CE25" s="50" t="b">
        <f t="shared" si="25"/>
        <v>1</v>
      </c>
      <c r="CF25" s="66" t="b">
        <v>1</v>
      </c>
      <c r="CG25" s="50" t="b">
        <f t="shared" si="26"/>
        <v>0</v>
      </c>
      <c r="CH25" s="50">
        <v>19</v>
      </c>
      <c r="CI25" s="200" t="b">
        <f t="shared" si="27"/>
        <v>0</v>
      </c>
      <c r="CJ25" s="90" t="str">
        <f t="shared" si="28"/>
        <v/>
      </c>
      <c r="CK25" s="201" t="str">
        <f t="shared" si="29"/>
        <v/>
      </c>
      <c r="CL25" s="90" t="e">
        <f t="shared" si="30"/>
        <v>#N/A</v>
      </c>
      <c r="CM25" s="201" t="e">
        <f t="shared" si="31"/>
        <v>#N/A</v>
      </c>
      <c r="CN25" s="50" t="e">
        <f t="shared" si="32"/>
        <v>#N/A</v>
      </c>
      <c r="CO25" s="50" t="e">
        <f t="shared" si="33"/>
        <v>#N/A</v>
      </c>
      <c r="CP25" s="90" t="str">
        <f t="shared" si="34"/>
        <v/>
      </c>
      <c r="CQ25" s="90" t="str">
        <f t="shared" si="35"/>
        <v/>
      </c>
      <c r="CR25" s="90" t="str">
        <f t="shared" si="36"/>
        <v/>
      </c>
      <c r="CS25" s="90" t="str">
        <f t="shared" si="37"/>
        <v/>
      </c>
      <c r="CT25" s="90" t="str">
        <f t="shared" si="38"/>
        <v/>
      </c>
      <c r="CU25" s="90" t="str">
        <f t="shared" si="39"/>
        <v/>
      </c>
      <c r="CV25" s="90" t="str">
        <f t="shared" si="40"/>
        <v/>
      </c>
      <c r="CW25" s="90" t="str">
        <f t="shared" si="41"/>
        <v/>
      </c>
      <c r="CX25" s="90" t="e">
        <f t="shared" si="42"/>
        <v>#N/A</v>
      </c>
      <c r="CY25" s="113" t="e">
        <f t="shared" si="43"/>
        <v>#N/A</v>
      </c>
      <c r="CZ25" s="106" t="e">
        <f t="shared" si="44"/>
        <v>#N/A</v>
      </c>
      <c r="DA25" s="90" t="e">
        <f t="shared" si="45"/>
        <v>#N/A</v>
      </c>
      <c r="DB25" s="90" t="e">
        <f t="shared" si="46"/>
        <v>#N/A</v>
      </c>
      <c r="DC25" s="90" t="e">
        <f t="shared" si="47"/>
        <v>#N/A</v>
      </c>
      <c r="DD25" s="90" t="e">
        <f t="shared" si="48"/>
        <v>#N/A</v>
      </c>
      <c r="DE25" s="90" t="e">
        <f t="shared" si="49"/>
        <v>#N/A</v>
      </c>
      <c r="DF25" s="90" t="e">
        <f t="shared" si="50"/>
        <v>#N/A</v>
      </c>
      <c r="DG25" s="90" t="e">
        <f t="shared" si="51"/>
        <v>#N/A</v>
      </c>
      <c r="DH25" s="90" t="e">
        <f t="shared" si="52"/>
        <v>#N/A</v>
      </c>
      <c r="DI25" s="113">
        <v>19</v>
      </c>
      <c r="DJ25" s="50" t="e">
        <f t="shared" si="53"/>
        <v>#N/A</v>
      </c>
      <c r="DK25" s="50" t="e">
        <f t="shared" si="54"/>
        <v>#N/A</v>
      </c>
      <c r="DL25" s="50" t="e">
        <f t="shared" si="55"/>
        <v>#N/A</v>
      </c>
      <c r="DM25" s="50" t="e">
        <f t="shared" si="56"/>
        <v>#N/A</v>
      </c>
      <c r="DN25" s="50" t="e">
        <f t="shared" si="57"/>
        <v>#N/A</v>
      </c>
      <c r="DO25" s="50" t="e">
        <f t="shared" si="58"/>
        <v>#N/A</v>
      </c>
      <c r="DP25" s="50" t="e">
        <f t="shared" si="59"/>
        <v>#N/A</v>
      </c>
      <c r="DQ25" s="50" t="e">
        <f t="shared" si="60"/>
        <v>#N/A</v>
      </c>
      <c r="DR25" s="50" t="e">
        <f t="shared" si="61"/>
        <v>#N/A</v>
      </c>
      <c r="DS25" s="50">
        <f t="shared" si="62"/>
        <v>0</v>
      </c>
      <c r="DT25" s="113" t="e">
        <f>IF(DS25=0,NA(),SUM($DS$7:DS25))</f>
        <v>#N/A</v>
      </c>
    </row>
    <row r="26" spans="1:124" ht="12" customHeight="1" x14ac:dyDescent="0.2">
      <c r="A26" s="50" t="str">
        <f t="shared" si="3"/>
        <v/>
      </c>
      <c r="B26" s="50" t="str">
        <f t="shared" si="4"/>
        <v/>
      </c>
      <c r="C26" s="50" t="str">
        <f t="shared" si="5"/>
        <v/>
      </c>
      <c r="D26" s="50" t="str">
        <f t="shared" si="6"/>
        <v/>
      </c>
      <c r="E26" s="50" t="str">
        <f t="shared" si="7"/>
        <v/>
      </c>
      <c r="F26" s="50" t="str">
        <f t="shared" si="8"/>
        <v/>
      </c>
      <c r="G26" s="66" t="s">
        <v>420</v>
      </c>
      <c r="H26" s="66" t="s">
        <v>420</v>
      </c>
      <c r="I26" s="50" t="e">
        <f t="shared" si="9"/>
        <v>#VALUE!</v>
      </c>
      <c r="J26" s="50" t="e">
        <f t="shared" si="10"/>
        <v>#VALUE!</v>
      </c>
      <c r="K26" s="66">
        <v>0</v>
      </c>
      <c r="L26" s="66">
        <v>0</v>
      </c>
      <c r="M26" s="66">
        <v>0</v>
      </c>
      <c r="N26" s="649">
        <f t="shared" si="11"/>
        <v>0</v>
      </c>
      <c r="O26" s="650">
        <f t="shared" si="12"/>
        <v>0</v>
      </c>
      <c r="P26" s="650">
        <f t="shared" si="13"/>
        <v>0</v>
      </c>
      <c r="Q26" s="79"/>
      <c r="R26" s="662" t="str">
        <f t="shared" si="63"/>
        <v/>
      </c>
      <c r="S26" s="838" t="str">
        <f t="shared" si="14"/>
        <v/>
      </c>
      <c r="T26" s="182" t="str">
        <f t="shared" si="15"/>
        <v/>
      </c>
      <c r="U26" s="204">
        <v>20</v>
      </c>
      <c r="V26" s="186"/>
      <c r="W26" s="663"/>
      <c r="X26" s="653" t="str">
        <f t="shared" si="16"/>
        <v/>
      </c>
      <c r="Y26" s="186"/>
      <c r="Z26" s="186"/>
      <c r="AA26" s="679" t="str">
        <f t="shared" si="17"/>
        <v/>
      </c>
      <c r="AB26" s="739"/>
      <c r="AC26" s="202" t="str">
        <f t="shared" si="18"/>
        <v/>
      </c>
      <c r="AD26" s="665" t="s">
        <v>339</v>
      </c>
      <c r="AE26" s="666" t="str">
        <f t="shared" si="19"/>
        <v/>
      </c>
      <c r="AF26" s="197" t="s">
        <v>261</v>
      </c>
      <c r="AG26" s="666" t="str">
        <f t="shared" si="20"/>
        <v/>
      </c>
      <c r="AH26" s="667" t="s">
        <v>259</v>
      </c>
      <c r="AI26" s="193" t="str">
        <f t="shared" si="21"/>
        <v/>
      </c>
      <c r="AJ26" s="194"/>
      <c r="AK26" s="85">
        <f t="shared" si="1"/>
        <v>9.5000000000000005E-5</v>
      </c>
      <c r="AL26" s="249"/>
      <c r="AM26" s="249"/>
      <c r="AN26" s="165"/>
      <c r="AO26" s="170"/>
      <c r="AP26" s="170"/>
      <c r="AQ26" s="170"/>
      <c r="AR26" s="170"/>
      <c r="AS26" s="170"/>
      <c r="AT26" s="171"/>
      <c r="AU26" s="249"/>
      <c r="AV26" s="668">
        <f t="shared" si="2"/>
        <v>9.5000000000000005E-5</v>
      </c>
      <c r="AW26" s="669" t="str">
        <f t="shared" si="22"/>
        <v/>
      </c>
      <c r="AX26" s="670" t="str">
        <f t="shared" si="23"/>
        <v/>
      </c>
      <c r="AY26" s="671" t="str">
        <f t="shared" si="64"/>
        <v/>
      </c>
      <c r="BK26" s="91"/>
      <c r="CD26" s="50" t="str">
        <f t="shared" si="24"/>
        <v/>
      </c>
      <c r="CE26" s="50" t="b">
        <f t="shared" si="25"/>
        <v>1</v>
      </c>
      <c r="CF26" s="66" t="b">
        <v>1</v>
      </c>
      <c r="CG26" s="50" t="b">
        <f t="shared" si="26"/>
        <v>0</v>
      </c>
      <c r="CH26" s="50">
        <v>20</v>
      </c>
      <c r="CI26" s="200" t="b">
        <f t="shared" si="27"/>
        <v>0</v>
      </c>
      <c r="CJ26" s="90" t="str">
        <f t="shared" si="28"/>
        <v/>
      </c>
      <c r="CK26" s="201" t="str">
        <f t="shared" si="29"/>
        <v/>
      </c>
      <c r="CL26" s="90" t="e">
        <f t="shared" si="30"/>
        <v>#N/A</v>
      </c>
      <c r="CM26" s="201" t="e">
        <f t="shared" si="31"/>
        <v>#N/A</v>
      </c>
      <c r="CN26" s="50" t="e">
        <f t="shared" si="32"/>
        <v>#N/A</v>
      </c>
      <c r="CO26" s="50" t="e">
        <f t="shared" si="33"/>
        <v>#N/A</v>
      </c>
      <c r="CP26" s="90" t="str">
        <f t="shared" si="34"/>
        <v/>
      </c>
      <c r="CQ26" s="90" t="str">
        <f t="shared" si="35"/>
        <v/>
      </c>
      <c r="CR26" s="90" t="str">
        <f t="shared" si="36"/>
        <v/>
      </c>
      <c r="CS26" s="90" t="str">
        <f t="shared" si="37"/>
        <v/>
      </c>
      <c r="CT26" s="90" t="str">
        <f t="shared" si="38"/>
        <v/>
      </c>
      <c r="CU26" s="90" t="str">
        <f t="shared" si="39"/>
        <v/>
      </c>
      <c r="CV26" s="90" t="str">
        <f t="shared" si="40"/>
        <v/>
      </c>
      <c r="CW26" s="90" t="str">
        <f t="shared" si="41"/>
        <v/>
      </c>
      <c r="CX26" s="90" t="e">
        <f t="shared" si="42"/>
        <v>#N/A</v>
      </c>
      <c r="CY26" s="113" t="e">
        <f t="shared" si="43"/>
        <v>#N/A</v>
      </c>
      <c r="CZ26" s="106" t="e">
        <f t="shared" si="44"/>
        <v>#N/A</v>
      </c>
      <c r="DA26" s="90" t="e">
        <f t="shared" si="45"/>
        <v>#N/A</v>
      </c>
      <c r="DB26" s="90" t="e">
        <f t="shared" si="46"/>
        <v>#N/A</v>
      </c>
      <c r="DC26" s="90" t="e">
        <f t="shared" si="47"/>
        <v>#N/A</v>
      </c>
      <c r="DD26" s="90" t="e">
        <f t="shared" si="48"/>
        <v>#N/A</v>
      </c>
      <c r="DE26" s="90" t="e">
        <f t="shared" si="49"/>
        <v>#N/A</v>
      </c>
      <c r="DF26" s="90" t="e">
        <f t="shared" si="50"/>
        <v>#N/A</v>
      </c>
      <c r="DG26" s="90" t="e">
        <f t="shared" si="51"/>
        <v>#N/A</v>
      </c>
      <c r="DH26" s="90" t="e">
        <f t="shared" si="52"/>
        <v>#N/A</v>
      </c>
      <c r="DI26" s="113">
        <v>20</v>
      </c>
      <c r="DJ26" s="50" t="e">
        <f t="shared" si="53"/>
        <v>#N/A</v>
      </c>
      <c r="DK26" s="50" t="e">
        <f t="shared" si="54"/>
        <v>#N/A</v>
      </c>
      <c r="DL26" s="50" t="e">
        <f t="shared" si="55"/>
        <v>#N/A</v>
      </c>
      <c r="DM26" s="50" t="e">
        <f t="shared" si="56"/>
        <v>#N/A</v>
      </c>
      <c r="DN26" s="50" t="e">
        <f t="shared" si="57"/>
        <v>#N/A</v>
      </c>
      <c r="DO26" s="50" t="e">
        <f t="shared" si="58"/>
        <v>#N/A</v>
      </c>
      <c r="DP26" s="50" t="e">
        <f t="shared" si="59"/>
        <v>#N/A</v>
      </c>
      <c r="DQ26" s="50" t="e">
        <f t="shared" si="60"/>
        <v>#N/A</v>
      </c>
      <c r="DR26" s="50" t="e">
        <f t="shared" si="61"/>
        <v>#N/A</v>
      </c>
      <c r="DS26" s="50">
        <f t="shared" si="62"/>
        <v>0</v>
      </c>
      <c r="DT26" s="113" t="e">
        <f>IF(DS26=0,NA(),SUM($DS$7:DS26))</f>
        <v>#N/A</v>
      </c>
    </row>
    <row r="27" spans="1:124" ht="12" customHeight="1" x14ac:dyDescent="0.2">
      <c r="A27" s="50" t="str">
        <f t="shared" si="3"/>
        <v/>
      </c>
      <c r="B27" s="50" t="str">
        <f t="shared" si="4"/>
        <v/>
      </c>
      <c r="C27" s="50" t="str">
        <f t="shared" si="5"/>
        <v/>
      </c>
      <c r="D27" s="50" t="str">
        <f t="shared" si="6"/>
        <v/>
      </c>
      <c r="E27" s="50" t="str">
        <f t="shared" si="7"/>
        <v/>
      </c>
      <c r="F27" s="50" t="str">
        <f t="shared" si="8"/>
        <v/>
      </c>
      <c r="G27" s="66" t="s">
        <v>420</v>
      </c>
      <c r="H27" s="66" t="s">
        <v>420</v>
      </c>
      <c r="I27" s="50" t="e">
        <f t="shared" si="9"/>
        <v>#VALUE!</v>
      </c>
      <c r="J27" s="50" t="e">
        <f t="shared" si="10"/>
        <v>#VALUE!</v>
      </c>
      <c r="K27" s="66">
        <v>0</v>
      </c>
      <c r="L27" s="66">
        <v>0</v>
      </c>
      <c r="M27" s="66">
        <v>0</v>
      </c>
      <c r="N27" s="649">
        <f t="shared" si="11"/>
        <v>0</v>
      </c>
      <c r="O27" s="650">
        <f t="shared" si="12"/>
        <v>0</v>
      </c>
      <c r="P27" s="650">
        <f t="shared" si="13"/>
        <v>0</v>
      </c>
      <c r="Q27" s="90"/>
      <c r="R27" s="662" t="str">
        <f t="shared" si="63"/>
        <v/>
      </c>
      <c r="S27" s="838" t="str">
        <f t="shared" si="14"/>
        <v/>
      </c>
      <c r="T27" s="182" t="str">
        <f t="shared" si="15"/>
        <v/>
      </c>
      <c r="U27" s="183">
        <v>21</v>
      </c>
      <c r="V27" s="186"/>
      <c r="W27" s="663"/>
      <c r="X27" s="653" t="str">
        <f t="shared" si="16"/>
        <v/>
      </c>
      <c r="Y27" s="186"/>
      <c r="Z27" s="186"/>
      <c r="AA27" s="679" t="str">
        <f t="shared" si="17"/>
        <v/>
      </c>
      <c r="AB27" s="739"/>
      <c r="AC27" s="202" t="str">
        <f t="shared" si="18"/>
        <v/>
      </c>
      <c r="AD27" s="665" t="s">
        <v>339</v>
      </c>
      <c r="AE27" s="666" t="str">
        <f t="shared" si="19"/>
        <v/>
      </c>
      <c r="AF27" s="197" t="s">
        <v>261</v>
      </c>
      <c r="AG27" s="666" t="str">
        <f t="shared" si="20"/>
        <v/>
      </c>
      <c r="AH27" s="667" t="s">
        <v>259</v>
      </c>
      <c r="AI27" s="193" t="str">
        <f t="shared" si="21"/>
        <v/>
      </c>
      <c r="AJ27" s="194"/>
      <c r="AK27" s="85">
        <f t="shared" si="1"/>
        <v>9.5000000000000005E-5</v>
      </c>
      <c r="AL27" s="249"/>
      <c r="AM27" s="249"/>
      <c r="AN27" s="165"/>
      <c r="AO27" s="170"/>
      <c r="AP27" s="170"/>
      <c r="AQ27" s="170"/>
      <c r="AR27" s="170"/>
      <c r="AS27" s="170"/>
      <c r="AT27" s="171"/>
      <c r="AU27" s="249"/>
      <c r="AV27" s="668">
        <f t="shared" si="2"/>
        <v>9.5000000000000005E-5</v>
      </c>
      <c r="AW27" s="669" t="str">
        <f t="shared" si="22"/>
        <v/>
      </c>
      <c r="AX27" s="670" t="str">
        <f t="shared" si="23"/>
        <v/>
      </c>
      <c r="AY27" s="671" t="str">
        <f t="shared" si="64"/>
        <v/>
      </c>
      <c r="BK27" s="91"/>
      <c r="CD27" s="50" t="str">
        <f t="shared" si="24"/>
        <v/>
      </c>
      <c r="CE27" s="50" t="b">
        <f t="shared" si="25"/>
        <v>1</v>
      </c>
      <c r="CF27" s="66" t="b">
        <v>1</v>
      </c>
      <c r="CG27" s="50" t="b">
        <f t="shared" si="26"/>
        <v>0</v>
      </c>
      <c r="CH27" s="50">
        <v>21</v>
      </c>
      <c r="CI27" s="200" t="b">
        <f t="shared" si="27"/>
        <v>0</v>
      </c>
      <c r="CJ27" s="90" t="str">
        <f t="shared" si="28"/>
        <v/>
      </c>
      <c r="CK27" s="201" t="str">
        <f t="shared" si="29"/>
        <v/>
      </c>
      <c r="CL27" s="90" t="e">
        <f t="shared" si="30"/>
        <v>#N/A</v>
      </c>
      <c r="CM27" s="201" t="e">
        <f t="shared" si="31"/>
        <v>#N/A</v>
      </c>
      <c r="CN27" s="50" t="e">
        <f t="shared" si="32"/>
        <v>#N/A</v>
      </c>
      <c r="CO27" s="50" t="e">
        <f t="shared" si="33"/>
        <v>#N/A</v>
      </c>
      <c r="CP27" s="90" t="str">
        <f t="shared" si="34"/>
        <v/>
      </c>
      <c r="CQ27" s="90" t="str">
        <f t="shared" si="35"/>
        <v/>
      </c>
      <c r="CR27" s="90" t="str">
        <f t="shared" si="36"/>
        <v/>
      </c>
      <c r="CS27" s="90" t="str">
        <f t="shared" si="37"/>
        <v/>
      </c>
      <c r="CT27" s="90" t="str">
        <f t="shared" si="38"/>
        <v/>
      </c>
      <c r="CU27" s="90" t="str">
        <f t="shared" si="39"/>
        <v/>
      </c>
      <c r="CV27" s="90" t="str">
        <f t="shared" si="40"/>
        <v/>
      </c>
      <c r="CW27" s="90" t="str">
        <f t="shared" si="41"/>
        <v/>
      </c>
      <c r="CX27" s="90" t="e">
        <f t="shared" si="42"/>
        <v>#N/A</v>
      </c>
      <c r="CY27" s="113" t="e">
        <f t="shared" si="43"/>
        <v>#N/A</v>
      </c>
      <c r="CZ27" s="106" t="e">
        <f t="shared" si="44"/>
        <v>#N/A</v>
      </c>
      <c r="DA27" s="90" t="e">
        <f t="shared" si="45"/>
        <v>#N/A</v>
      </c>
      <c r="DB27" s="90" t="e">
        <f t="shared" si="46"/>
        <v>#N/A</v>
      </c>
      <c r="DC27" s="90" t="e">
        <f t="shared" si="47"/>
        <v>#N/A</v>
      </c>
      <c r="DD27" s="90" t="e">
        <f t="shared" si="48"/>
        <v>#N/A</v>
      </c>
      <c r="DE27" s="90" t="e">
        <f t="shared" si="49"/>
        <v>#N/A</v>
      </c>
      <c r="DF27" s="90" t="e">
        <f t="shared" si="50"/>
        <v>#N/A</v>
      </c>
      <c r="DG27" s="90" t="e">
        <f t="shared" si="51"/>
        <v>#N/A</v>
      </c>
      <c r="DH27" s="90" t="e">
        <f t="shared" si="52"/>
        <v>#N/A</v>
      </c>
      <c r="DI27" s="113">
        <v>21</v>
      </c>
      <c r="DJ27" s="50" t="e">
        <f t="shared" si="53"/>
        <v>#N/A</v>
      </c>
      <c r="DK27" s="50" t="e">
        <f t="shared" si="54"/>
        <v>#N/A</v>
      </c>
      <c r="DL27" s="50" t="e">
        <f t="shared" si="55"/>
        <v>#N/A</v>
      </c>
      <c r="DM27" s="50" t="e">
        <f t="shared" si="56"/>
        <v>#N/A</v>
      </c>
      <c r="DN27" s="50" t="e">
        <f t="shared" si="57"/>
        <v>#N/A</v>
      </c>
      <c r="DO27" s="50" t="e">
        <f t="shared" si="58"/>
        <v>#N/A</v>
      </c>
      <c r="DP27" s="50" t="e">
        <f t="shared" si="59"/>
        <v>#N/A</v>
      </c>
      <c r="DQ27" s="50" t="e">
        <f t="shared" si="60"/>
        <v>#N/A</v>
      </c>
      <c r="DR27" s="50" t="e">
        <f t="shared" si="61"/>
        <v>#N/A</v>
      </c>
      <c r="DS27" s="50">
        <f t="shared" si="62"/>
        <v>0</v>
      </c>
      <c r="DT27" s="113" t="e">
        <f>IF(DS27=0,NA(),SUM($DS$7:DS27))</f>
        <v>#N/A</v>
      </c>
    </row>
    <row r="28" spans="1:124" ht="12" customHeight="1" x14ac:dyDescent="0.2">
      <c r="A28" s="50" t="str">
        <f t="shared" si="3"/>
        <v/>
      </c>
      <c r="B28" s="50" t="str">
        <f t="shared" si="4"/>
        <v/>
      </c>
      <c r="C28" s="50" t="str">
        <f t="shared" si="5"/>
        <v/>
      </c>
      <c r="D28" s="50" t="str">
        <f t="shared" si="6"/>
        <v/>
      </c>
      <c r="E28" s="50" t="str">
        <f t="shared" si="7"/>
        <v/>
      </c>
      <c r="F28" s="50" t="str">
        <f t="shared" si="8"/>
        <v/>
      </c>
      <c r="G28" s="66" t="s">
        <v>420</v>
      </c>
      <c r="H28" s="66" t="s">
        <v>420</v>
      </c>
      <c r="I28" s="50" t="e">
        <f t="shared" si="9"/>
        <v>#VALUE!</v>
      </c>
      <c r="J28" s="50" t="e">
        <f t="shared" si="10"/>
        <v>#VALUE!</v>
      </c>
      <c r="K28" s="66">
        <v>0</v>
      </c>
      <c r="L28" s="66">
        <v>0</v>
      </c>
      <c r="M28" s="66">
        <v>0</v>
      </c>
      <c r="N28" s="649">
        <f t="shared" si="11"/>
        <v>0</v>
      </c>
      <c r="O28" s="650">
        <f t="shared" si="12"/>
        <v>0</v>
      </c>
      <c r="P28" s="650">
        <f t="shared" si="13"/>
        <v>0</v>
      </c>
      <c r="Q28" s="90"/>
      <c r="R28" s="662" t="str">
        <f t="shared" si="63"/>
        <v/>
      </c>
      <c r="S28" s="838" t="str">
        <f t="shared" si="14"/>
        <v/>
      </c>
      <c r="T28" s="182" t="str">
        <f t="shared" si="15"/>
        <v/>
      </c>
      <c r="U28" s="204">
        <v>22</v>
      </c>
      <c r="V28" s="186"/>
      <c r="W28" s="663"/>
      <c r="X28" s="653" t="str">
        <f t="shared" si="16"/>
        <v/>
      </c>
      <c r="Y28" s="186"/>
      <c r="Z28" s="186"/>
      <c r="AA28" s="679" t="str">
        <f t="shared" si="17"/>
        <v/>
      </c>
      <c r="AB28" s="739"/>
      <c r="AC28" s="202" t="str">
        <f t="shared" si="18"/>
        <v/>
      </c>
      <c r="AD28" s="665" t="s">
        <v>339</v>
      </c>
      <c r="AE28" s="666" t="str">
        <f t="shared" si="19"/>
        <v/>
      </c>
      <c r="AF28" s="197" t="s">
        <v>261</v>
      </c>
      <c r="AG28" s="666" t="str">
        <f t="shared" si="20"/>
        <v/>
      </c>
      <c r="AH28" s="667" t="s">
        <v>259</v>
      </c>
      <c r="AI28" s="193" t="str">
        <f t="shared" si="21"/>
        <v/>
      </c>
      <c r="AJ28" s="194"/>
      <c r="AK28" s="85">
        <f t="shared" si="1"/>
        <v>9.5000000000000005E-5</v>
      </c>
      <c r="AL28" s="249"/>
      <c r="AM28" s="249"/>
      <c r="AN28" s="165"/>
      <c r="AO28" s="170"/>
      <c r="AP28" s="170"/>
      <c r="AQ28" s="170"/>
      <c r="AR28" s="170"/>
      <c r="AS28" s="170"/>
      <c r="AT28" s="171"/>
      <c r="AU28" s="249"/>
      <c r="AV28" s="668">
        <f t="shared" si="2"/>
        <v>9.5000000000000005E-5</v>
      </c>
      <c r="AW28" s="669" t="str">
        <f t="shared" si="22"/>
        <v/>
      </c>
      <c r="AX28" s="670" t="str">
        <f t="shared" si="23"/>
        <v/>
      </c>
      <c r="AY28" s="671" t="str">
        <f t="shared" si="64"/>
        <v/>
      </c>
      <c r="BK28" s="91"/>
      <c r="CD28" s="50" t="str">
        <f t="shared" si="24"/>
        <v/>
      </c>
      <c r="CE28" s="50" t="b">
        <f t="shared" si="25"/>
        <v>1</v>
      </c>
      <c r="CF28" s="66" t="b">
        <v>1</v>
      </c>
      <c r="CG28" s="50" t="b">
        <f t="shared" si="26"/>
        <v>0</v>
      </c>
      <c r="CH28" s="50">
        <v>22</v>
      </c>
      <c r="CI28" s="200" t="b">
        <f t="shared" si="27"/>
        <v>0</v>
      </c>
      <c r="CJ28" s="90" t="str">
        <f t="shared" si="28"/>
        <v/>
      </c>
      <c r="CK28" s="201" t="str">
        <f t="shared" si="29"/>
        <v/>
      </c>
      <c r="CL28" s="90" t="e">
        <f t="shared" si="30"/>
        <v>#N/A</v>
      </c>
      <c r="CM28" s="201" t="e">
        <f t="shared" si="31"/>
        <v>#N/A</v>
      </c>
      <c r="CN28" s="50" t="e">
        <f t="shared" si="32"/>
        <v>#N/A</v>
      </c>
      <c r="CO28" s="50" t="e">
        <f t="shared" si="33"/>
        <v>#N/A</v>
      </c>
      <c r="CP28" s="90" t="str">
        <f t="shared" si="34"/>
        <v/>
      </c>
      <c r="CQ28" s="90" t="str">
        <f t="shared" si="35"/>
        <v/>
      </c>
      <c r="CR28" s="90" t="str">
        <f t="shared" si="36"/>
        <v/>
      </c>
      <c r="CS28" s="90" t="str">
        <f t="shared" si="37"/>
        <v/>
      </c>
      <c r="CT28" s="90" t="str">
        <f t="shared" si="38"/>
        <v/>
      </c>
      <c r="CU28" s="90" t="str">
        <f t="shared" si="39"/>
        <v/>
      </c>
      <c r="CV28" s="90" t="str">
        <f t="shared" si="40"/>
        <v/>
      </c>
      <c r="CW28" s="90" t="str">
        <f t="shared" si="41"/>
        <v/>
      </c>
      <c r="CX28" s="90" t="e">
        <f t="shared" si="42"/>
        <v>#N/A</v>
      </c>
      <c r="CY28" s="113" t="e">
        <f t="shared" si="43"/>
        <v>#N/A</v>
      </c>
      <c r="CZ28" s="106" t="e">
        <f t="shared" si="44"/>
        <v>#N/A</v>
      </c>
      <c r="DA28" s="90" t="e">
        <f t="shared" si="45"/>
        <v>#N/A</v>
      </c>
      <c r="DB28" s="90" t="e">
        <f t="shared" si="46"/>
        <v>#N/A</v>
      </c>
      <c r="DC28" s="90" t="e">
        <f t="shared" si="47"/>
        <v>#N/A</v>
      </c>
      <c r="DD28" s="90" t="e">
        <f t="shared" si="48"/>
        <v>#N/A</v>
      </c>
      <c r="DE28" s="90" t="e">
        <f t="shared" si="49"/>
        <v>#N/A</v>
      </c>
      <c r="DF28" s="90" t="e">
        <f t="shared" si="50"/>
        <v>#N/A</v>
      </c>
      <c r="DG28" s="90" t="e">
        <f t="shared" si="51"/>
        <v>#N/A</v>
      </c>
      <c r="DH28" s="90" t="e">
        <f t="shared" si="52"/>
        <v>#N/A</v>
      </c>
      <c r="DI28" s="113">
        <v>22</v>
      </c>
      <c r="DJ28" s="50" t="e">
        <f t="shared" si="53"/>
        <v>#N/A</v>
      </c>
      <c r="DK28" s="50" t="e">
        <f t="shared" si="54"/>
        <v>#N/A</v>
      </c>
      <c r="DL28" s="50" t="e">
        <f t="shared" si="55"/>
        <v>#N/A</v>
      </c>
      <c r="DM28" s="50" t="e">
        <f t="shared" si="56"/>
        <v>#N/A</v>
      </c>
      <c r="DN28" s="50" t="e">
        <f t="shared" si="57"/>
        <v>#N/A</v>
      </c>
      <c r="DO28" s="50" t="e">
        <f t="shared" si="58"/>
        <v>#N/A</v>
      </c>
      <c r="DP28" s="50" t="e">
        <f t="shared" si="59"/>
        <v>#N/A</v>
      </c>
      <c r="DQ28" s="50" t="e">
        <f t="shared" si="60"/>
        <v>#N/A</v>
      </c>
      <c r="DR28" s="50" t="e">
        <f t="shared" si="61"/>
        <v>#N/A</v>
      </c>
      <c r="DS28" s="50">
        <f t="shared" si="62"/>
        <v>0</v>
      </c>
      <c r="DT28" s="113" t="e">
        <f>IF(DS28=0,NA(),SUM($DS$7:DS28))</f>
        <v>#N/A</v>
      </c>
    </row>
    <row r="29" spans="1:124" ht="12" customHeight="1" x14ac:dyDescent="0.2">
      <c r="A29" s="50" t="str">
        <f t="shared" si="3"/>
        <v/>
      </c>
      <c r="B29" s="50" t="str">
        <f t="shared" si="4"/>
        <v/>
      </c>
      <c r="C29" s="50" t="str">
        <f t="shared" si="5"/>
        <v/>
      </c>
      <c r="D29" s="50" t="str">
        <f t="shared" si="6"/>
        <v/>
      </c>
      <c r="E29" s="50" t="str">
        <f t="shared" si="7"/>
        <v/>
      </c>
      <c r="F29" s="50" t="str">
        <f t="shared" si="8"/>
        <v/>
      </c>
      <c r="G29" s="66" t="s">
        <v>420</v>
      </c>
      <c r="H29" s="66" t="s">
        <v>420</v>
      </c>
      <c r="I29" s="50" t="e">
        <f t="shared" si="9"/>
        <v>#VALUE!</v>
      </c>
      <c r="J29" s="50" t="e">
        <f t="shared" si="10"/>
        <v>#VALUE!</v>
      </c>
      <c r="K29" s="66">
        <v>0</v>
      </c>
      <c r="L29" s="66">
        <v>0</v>
      </c>
      <c r="M29" s="66">
        <v>0</v>
      </c>
      <c r="N29" s="649">
        <f t="shared" si="11"/>
        <v>0</v>
      </c>
      <c r="O29" s="650">
        <f t="shared" si="12"/>
        <v>0</v>
      </c>
      <c r="P29" s="650">
        <f t="shared" si="13"/>
        <v>0</v>
      </c>
      <c r="Q29" s="90"/>
      <c r="R29" s="662" t="str">
        <f t="shared" si="63"/>
        <v/>
      </c>
      <c r="S29" s="838" t="str">
        <f t="shared" si="14"/>
        <v/>
      </c>
      <c r="T29" s="182" t="str">
        <f t="shared" si="15"/>
        <v/>
      </c>
      <c r="U29" s="183">
        <v>23</v>
      </c>
      <c r="V29" s="186"/>
      <c r="W29" s="663"/>
      <c r="X29" s="653" t="str">
        <f t="shared" si="16"/>
        <v/>
      </c>
      <c r="Y29" s="186"/>
      <c r="Z29" s="186"/>
      <c r="AA29" s="679" t="str">
        <f t="shared" si="17"/>
        <v/>
      </c>
      <c r="AB29" s="739"/>
      <c r="AC29" s="202" t="str">
        <f t="shared" si="18"/>
        <v/>
      </c>
      <c r="AD29" s="665" t="s">
        <v>339</v>
      </c>
      <c r="AE29" s="666" t="str">
        <f t="shared" si="19"/>
        <v/>
      </c>
      <c r="AF29" s="197" t="s">
        <v>261</v>
      </c>
      <c r="AG29" s="666" t="str">
        <f t="shared" si="20"/>
        <v/>
      </c>
      <c r="AH29" s="667" t="s">
        <v>259</v>
      </c>
      <c r="AI29" s="193" t="str">
        <f t="shared" si="21"/>
        <v/>
      </c>
      <c r="AJ29" s="194"/>
      <c r="AK29" s="85">
        <f t="shared" si="1"/>
        <v>9.5000000000000005E-5</v>
      </c>
      <c r="AL29" s="249"/>
      <c r="AM29" s="249"/>
      <c r="AN29" s="165"/>
      <c r="AO29" s="170"/>
      <c r="AP29" s="170"/>
      <c r="AQ29" s="170"/>
      <c r="AR29" s="170"/>
      <c r="AS29" s="170"/>
      <c r="AT29" s="171"/>
      <c r="AU29" s="249"/>
      <c r="AV29" s="668">
        <f t="shared" si="2"/>
        <v>9.5000000000000005E-5</v>
      </c>
      <c r="AW29" s="669" t="str">
        <f t="shared" si="22"/>
        <v/>
      </c>
      <c r="AX29" s="670" t="str">
        <f t="shared" si="23"/>
        <v/>
      </c>
      <c r="AY29" s="671" t="str">
        <f t="shared" si="64"/>
        <v/>
      </c>
      <c r="BK29" s="91"/>
      <c r="CD29" s="50" t="str">
        <f t="shared" si="24"/>
        <v/>
      </c>
      <c r="CE29" s="50" t="b">
        <f t="shared" si="25"/>
        <v>1</v>
      </c>
      <c r="CF29" s="66" t="b">
        <v>1</v>
      </c>
      <c r="CG29" s="50" t="b">
        <f t="shared" si="26"/>
        <v>0</v>
      </c>
      <c r="CH29" s="50">
        <v>23</v>
      </c>
      <c r="CI29" s="200" t="b">
        <f t="shared" si="27"/>
        <v>0</v>
      </c>
      <c r="CJ29" s="90" t="str">
        <f t="shared" si="28"/>
        <v/>
      </c>
      <c r="CK29" s="201" t="str">
        <f t="shared" si="29"/>
        <v/>
      </c>
      <c r="CL29" s="90" t="e">
        <f t="shared" si="30"/>
        <v>#N/A</v>
      </c>
      <c r="CM29" s="201" t="e">
        <f t="shared" si="31"/>
        <v>#N/A</v>
      </c>
      <c r="CN29" s="50" t="e">
        <f t="shared" si="32"/>
        <v>#N/A</v>
      </c>
      <c r="CO29" s="50" t="e">
        <f t="shared" si="33"/>
        <v>#N/A</v>
      </c>
      <c r="CP29" s="90" t="str">
        <f t="shared" si="34"/>
        <v/>
      </c>
      <c r="CQ29" s="90" t="str">
        <f t="shared" si="35"/>
        <v/>
      </c>
      <c r="CR29" s="90" t="str">
        <f t="shared" si="36"/>
        <v/>
      </c>
      <c r="CS29" s="90" t="str">
        <f t="shared" si="37"/>
        <v/>
      </c>
      <c r="CT29" s="90" t="str">
        <f t="shared" si="38"/>
        <v/>
      </c>
      <c r="CU29" s="90" t="str">
        <f t="shared" si="39"/>
        <v/>
      </c>
      <c r="CV29" s="90" t="str">
        <f t="shared" si="40"/>
        <v/>
      </c>
      <c r="CW29" s="90" t="str">
        <f t="shared" si="41"/>
        <v/>
      </c>
      <c r="CX29" s="90" t="e">
        <f t="shared" si="42"/>
        <v>#N/A</v>
      </c>
      <c r="CY29" s="113" t="e">
        <f t="shared" si="43"/>
        <v>#N/A</v>
      </c>
      <c r="CZ29" s="106" t="e">
        <f t="shared" si="44"/>
        <v>#N/A</v>
      </c>
      <c r="DA29" s="90" t="e">
        <f t="shared" si="45"/>
        <v>#N/A</v>
      </c>
      <c r="DB29" s="90" t="e">
        <f t="shared" si="46"/>
        <v>#N/A</v>
      </c>
      <c r="DC29" s="90" t="e">
        <f t="shared" si="47"/>
        <v>#N/A</v>
      </c>
      <c r="DD29" s="90" t="e">
        <f t="shared" si="48"/>
        <v>#N/A</v>
      </c>
      <c r="DE29" s="90" t="e">
        <f t="shared" si="49"/>
        <v>#N/A</v>
      </c>
      <c r="DF29" s="90" t="e">
        <f t="shared" si="50"/>
        <v>#N/A</v>
      </c>
      <c r="DG29" s="90" t="e">
        <f t="shared" si="51"/>
        <v>#N/A</v>
      </c>
      <c r="DH29" s="90" t="e">
        <f t="shared" si="52"/>
        <v>#N/A</v>
      </c>
      <c r="DI29" s="113">
        <v>23</v>
      </c>
      <c r="DJ29" s="50" t="e">
        <f t="shared" si="53"/>
        <v>#N/A</v>
      </c>
      <c r="DK29" s="50" t="e">
        <f t="shared" si="54"/>
        <v>#N/A</v>
      </c>
      <c r="DL29" s="50" t="e">
        <f t="shared" si="55"/>
        <v>#N/A</v>
      </c>
      <c r="DM29" s="50" t="e">
        <f t="shared" si="56"/>
        <v>#N/A</v>
      </c>
      <c r="DN29" s="50" t="e">
        <f t="shared" si="57"/>
        <v>#N/A</v>
      </c>
      <c r="DO29" s="50" t="e">
        <f t="shared" si="58"/>
        <v>#N/A</v>
      </c>
      <c r="DP29" s="50" t="e">
        <f t="shared" si="59"/>
        <v>#N/A</v>
      </c>
      <c r="DQ29" s="50" t="e">
        <f t="shared" si="60"/>
        <v>#N/A</v>
      </c>
      <c r="DR29" s="50" t="e">
        <f t="shared" si="61"/>
        <v>#N/A</v>
      </c>
      <c r="DS29" s="50">
        <f t="shared" si="62"/>
        <v>0</v>
      </c>
      <c r="DT29" s="113" t="e">
        <f>IF(DS29=0,NA(),SUM($DS$7:DS29))</f>
        <v>#N/A</v>
      </c>
    </row>
    <row r="30" spans="1:124" ht="12" customHeight="1" x14ac:dyDescent="0.2">
      <c r="A30" s="50" t="str">
        <f t="shared" si="3"/>
        <v/>
      </c>
      <c r="B30" s="50" t="str">
        <f t="shared" si="4"/>
        <v/>
      </c>
      <c r="C30" s="50" t="str">
        <f t="shared" si="5"/>
        <v/>
      </c>
      <c r="D30" s="50" t="str">
        <f t="shared" si="6"/>
        <v/>
      </c>
      <c r="E30" s="50" t="str">
        <f t="shared" si="7"/>
        <v/>
      </c>
      <c r="F30" s="50" t="str">
        <f t="shared" si="8"/>
        <v/>
      </c>
      <c r="G30" s="66" t="s">
        <v>420</v>
      </c>
      <c r="H30" s="66" t="s">
        <v>420</v>
      </c>
      <c r="I30" s="50" t="e">
        <f t="shared" si="9"/>
        <v>#VALUE!</v>
      </c>
      <c r="J30" s="50" t="e">
        <f t="shared" si="10"/>
        <v>#VALUE!</v>
      </c>
      <c r="K30" s="66">
        <v>0</v>
      </c>
      <c r="L30" s="66">
        <v>0</v>
      </c>
      <c r="M30" s="66">
        <v>0</v>
      </c>
      <c r="N30" s="649">
        <f t="shared" si="11"/>
        <v>0</v>
      </c>
      <c r="O30" s="650">
        <f t="shared" si="12"/>
        <v>0</v>
      </c>
      <c r="P30" s="650">
        <f t="shared" si="13"/>
        <v>0</v>
      </c>
      <c r="Q30" s="90"/>
      <c r="R30" s="662" t="str">
        <f t="shared" si="63"/>
        <v/>
      </c>
      <c r="S30" s="838" t="str">
        <f t="shared" si="14"/>
        <v/>
      </c>
      <c r="T30" s="182" t="str">
        <f t="shared" si="15"/>
        <v/>
      </c>
      <c r="U30" s="204">
        <v>24</v>
      </c>
      <c r="V30" s="186"/>
      <c r="W30" s="663"/>
      <c r="X30" s="653" t="str">
        <f t="shared" si="16"/>
        <v/>
      </c>
      <c r="Y30" s="186"/>
      <c r="Z30" s="186"/>
      <c r="AA30" s="679" t="str">
        <f t="shared" si="17"/>
        <v/>
      </c>
      <c r="AB30" s="739"/>
      <c r="AC30" s="202" t="str">
        <f t="shared" si="18"/>
        <v/>
      </c>
      <c r="AD30" s="665" t="s">
        <v>339</v>
      </c>
      <c r="AE30" s="666" t="str">
        <f t="shared" si="19"/>
        <v/>
      </c>
      <c r="AF30" s="197" t="s">
        <v>261</v>
      </c>
      <c r="AG30" s="666" t="str">
        <f t="shared" si="20"/>
        <v/>
      </c>
      <c r="AH30" s="667" t="s">
        <v>259</v>
      </c>
      <c r="AI30" s="193" t="str">
        <f t="shared" si="21"/>
        <v/>
      </c>
      <c r="AJ30" s="194"/>
      <c r="AK30" s="85">
        <f t="shared" si="1"/>
        <v>9.5000000000000005E-5</v>
      </c>
      <c r="AL30" s="249"/>
      <c r="AM30" s="249"/>
      <c r="AN30" s="165"/>
      <c r="AO30" s="170"/>
      <c r="AP30" s="170"/>
      <c r="AQ30" s="170"/>
      <c r="AR30" s="170"/>
      <c r="AS30" s="170"/>
      <c r="AT30" s="171"/>
      <c r="AU30" s="249"/>
      <c r="AV30" s="668">
        <f t="shared" si="2"/>
        <v>9.5000000000000005E-5</v>
      </c>
      <c r="AW30" s="669" t="str">
        <f t="shared" si="22"/>
        <v/>
      </c>
      <c r="AX30" s="670" t="str">
        <f t="shared" si="23"/>
        <v/>
      </c>
      <c r="AY30" s="671" t="str">
        <f t="shared" si="64"/>
        <v/>
      </c>
      <c r="BJ30" s="102"/>
      <c r="BK30" s="102"/>
      <c r="BL30" s="102"/>
      <c r="BM30" s="102"/>
      <c r="BN30" s="102"/>
      <c r="BO30" s="102"/>
      <c r="BP30" s="102"/>
      <c r="BQ30" s="102"/>
      <c r="BR30" s="102"/>
      <c r="BS30" s="102"/>
      <c r="BT30" s="102"/>
      <c r="BU30" s="102"/>
      <c r="BV30" s="102"/>
      <c r="BW30" s="102"/>
      <c r="BX30" s="102"/>
      <c r="BY30" s="102"/>
      <c r="BZ30" s="102"/>
      <c r="CA30" s="102"/>
      <c r="CB30" s="102"/>
      <c r="CC30" s="102"/>
      <c r="CD30" s="50" t="str">
        <f t="shared" si="24"/>
        <v/>
      </c>
      <c r="CE30" s="50" t="b">
        <f t="shared" si="25"/>
        <v>1</v>
      </c>
      <c r="CF30" s="681" t="b">
        <v>1</v>
      </c>
      <c r="CG30" s="50" t="b">
        <f t="shared" si="26"/>
        <v>0</v>
      </c>
      <c r="CH30" s="50">
        <v>24</v>
      </c>
      <c r="CI30" s="200" t="b">
        <f t="shared" si="27"/>
        <v>0</v>
      </c>
      <c r="CJ30" s="90" t="str">
        <f t="shared" si="28"/>
        <v/>
      </c>
      <c r="CK30" s="201" t="str">
        <f t="shared" si="29"/>
        <v/>
      </c>
      <c r="CL30" s="90" t="e">
        <f t="shared" si="30"/>
        <v>#N/A</v>
      </c>
      <c r="CM30" s="201" t="e">
        <f t="shared" si="31"/>
        <v>#N/A</v>
      </c>
      <c r="CN30" s="50" t="e">
        <f t="shared" si="32"/>
        <v>#N/A</v>
      </c>
      <c r="CO30" s="50" t="e">
        <f t="shared" si="33"/>
        <v>#N/A</v>
      </c>
      <c r="CP30" s="90" t="str">
        <f t="shared" si="34"/>
        <v/>
      </c>
      <c r="CQ30" s="90" t="str">
        <f t="shared" si="35"/>
        <v/>
      </c>
      <c r="CR30" s="90" t="str">
        <f t="shared" si="36"/>
        <v/>
      </c>
      <c r="CS30" s="90" t="str">
        <f t="shared" si="37"/>
        <v/>
      </c>
      <c r="CT30" s="90" t="str">
        <f t="shared" si="38"/>
        <v/>
      </c>
      <c r="CU30" s="90" t="str">
        <f t="shared" si="39"/>
        <v/>
      </c>
      <c r="CV30" s="90" t="str">
        <f t="shared" si="40"/>
        <v/>
      </c>
      <c r="CW30" s="90" t="str">
        <f t="shared" si="41"/>
        <v/>
      </c>
      <c r="CX30" s="90" t="e">
        <f t="shared" si="42"/>
        <v>#N/A</v>
      </c>
      <c r="CY30" s="113" t="e">
        <f t="shared" si="43"/>
        <v>#N/A</v>
      </c>
      <c r="CZ30" s="106" t="e">
        <f t="shared" si="44"/>
        <v>#N/A</v>
      </c>
      <c r="DA30" s="90" t="e">
        <f t="shared" si="45"/>
        <v>#N/A</v>
      </c>
      <c r="DB30" s="90" t="e">
        <f t="shared" si="46"/>
        <v>#N/A</v>
      </c>
      <c r="DC30" s="90" t="e">
        <f t="shared" si="47"/>
        <v>#N/A</v>
      </c>
      <c r="DD30" s="90" t="e">
        <f t="shared" si="48"/>
        <v>#N/A</v>
      </c>
      <c r="DE30" s="90" t="e">
        <f t="shared" si="49"/>
        <v>#N/A</v>
      </c>
      <c r="DF30" s="90" t="e">
        <f t="shared" si="50"/>
        <v>#N/A</v>
      </c>
      <c r="DG30" s="90" t="e">
        <f t="shared" si="51"/>
        <v>#N/A</v>
      </c>
      <c r="DH30" s="90" t="e">
        <f t="shared" si="52"/>
        <v>#N/A</v>
      </c>
      <c r="DI30" s="113">
        <v>24</v>
      </c>
      <c r="DJ30" s="50" t="e">
        <f t="shared" si="53"/>
        <v>#N/A</v>
      </c>
      <c r="DK30" s="50" t="e">
        <f t="shared" si="54"/>
        <v>#N/A</v>
      </c>
      <c r="DL30" s="50" t="e">
        <f t="shared" si="55"/>
        <v>#N/A</v>
      </c>
      <c r="DM30" s="50" t="e">
        <f t="shared" si="56"/>
        <v>#N/A</v>
      </c>
      <c r="DN30" s="50" t="e">
        <f t="shared" si="57"/>
        <v>#N/A</v>
      </c>
      <c r="DO30" s="50" t="e">
        <f t="shared" si="58"/>
        <v>#N/A</v>
      </c>
      <c r="DP30" s="50" t="e">
        <f t="shared" si="59"/>
        <v>#N/A</v>
      </c>
      <c r="DQ30" s="50" t="e">
        <f t="shared" si="60"/>
        <v>#N/A</v>
      </c>
      <c r="DR30" s="50" t="e">
        <f t="shared" si="61"/>
        <v>#N/A</v>
      </c>
      <c r="DS30" s="50">
        <f t="shared" si="62"/>
        <v>0</v>
      </c>
      <c r="DT30" s="113" t="e">
        <f>IF(DS30=0,NA(),SUM($DS$7:DS30))</f>
        <v>#N/A</v>
      </c>
    </row>
    <row r="31" spans="1:124" ht="12" customHeight="1" x14ac:dyDescent="0.2">
      <c r="A31" s="50" t="str">
        <f t="shared" si="3"/>
        <v/>
      </c>
      <c r="B31" s="50" t="str">
        <f t="shared" si="4"/>
        <v/>
      </c>
      <c r="C31" s="50" t="str">
        <f t="shared" si="5"/>
        <v/>
      </c>
      <c r="D31" s="50" t="str">
        <f t="shared" si="6"/>
        <v/>
      </c>
      <c r="E31" s="50" t="str">
        <f t="shared" si="7"/>
        <v/>
      </c>
      <c r="F31" s="50" t="str">
        <f t="shared" si="8"/>
        <v/>
      </c>
      <c r="G31" s="66" t="s">
        <v>420</v>
      </c>
      <c r="H31" s="66" t="s">
        <v>420</v>
      </c>
      <c r="I31" s="50" t="e">
        <f t="shared" si="9"/>
        <v>#VALUE!</v>
      </c>
      <c r="J31" s="50" t="e">
        <f t="shared" si="10"/>
        <v>#VALUE!</v>
      </c>
      <c r="K31" s="66">
        <v>0</v>
      </c>
      <c r="L31" s="66">
        <v>0</v>
      </c>
      <c r="M31" s="66">
        <v>0</v>
      </c>
      <c r="N31" s="649">
        <f t="shared" si="11"/>
        <v>0</v>
      </c>
      <c r="O31" s="650">
        <f t="shared" si="12"/>
        <v>0</v>
      </c>
      <c r="P31" s="650">
        <f t="shared" si="13"/>
        <v>0</v>
      </c>
      <c r="Q31" s="90"/>
      <c r="R31" s="662" t="str">
        <f t="shared" si="63"/>
        <v/>
      </c>
      <c r="S31" s="838" t="str">
        <f t="shared" si="14"/>
        <v/>
      </c>
      <c r="T31" s="182" t="str">
        <f t="shared" si="15"/>
        <v/>
      </c>
      <c r="U31" s="183">
        <v>25</v>
      </c>
      <c r="V31" s="186"/>
      <c r="W31" s="663"/>
      <c r="X31" s="653" t="str">
        <f t="shared" si="16"/>
        <v/>
      </c>
      <c r="Y31" s="186"/>
      <c r="Z31" s="186"/>
      <c r="AA31" s="679" t="str">
        <f t="shared" si="17"/>
        <v/>
      </c>
      <c r="AB31" s="739"/>
      <c r="AC31" s="202" t="str">
        <f t="shared" si="18"/>
        <v/>
      </c>
      <c r="AD31" s="665" t="s">
        <v>339</v>
      </c>
      <c r="AE31" s="666" t="str">
        <f t="shared" si="19"/>
        <v/>
      </c>
      <c r="AF31" s="197" t="s">
        <v>261</v>
      </c>
      <c r="AG31" s="666" t="str">
        <f t="shared" si="20"/>
        <v/>
      </c>
      <c r="AH31" s="667" t="s">
        <v>259</v>
      </c>
      <c r="AI31" s="193" t="str">
        <f t="shared" si="21"/>
        <v/>
      </c>
      <c r="AJ31" s="194"/>
      <c r="AK31" s="85">
        <f t="shared" si="1"/>
        <v>9.5000000000000005E-5</v>
      </c>
      <c r="AL31" s="249"/>
      <c r="AM31" s="249"/>
      <c r="AN31" s="165"/>
      <c r="AO31" s="170"/>
      <c r="AP31" s="170"/>
      <c r="AQ31" s="170"/>
      <c r="AR31" s="170"/>
      <c r="AS31" s="170"/>
      <c r="AT31" s="171"/>
      <c r="AU31" s="249"/>
      <c r="AV31" s="668">
        <f t="shared" si="2"/>
        <v>9.5000000000000005E-5</v>
      </c>
      <c r="AW31" s="669" t="str">
        <f t="shared" si="22"/>
        <v/>
      </c>
      <c r="AX31" s="670" t="str">
        <f t="shared" si="23"/>
        <v/>
      </c>
      <c r="AY31" s="671" t="str">
        <f t="shared" si="64"/>
        <v/>
      </c>
      <c r="BJ31" s="206"/>
      <c r="BK31" s="206"/>
      <c r="BL31" s="206"/>
      <c r="BM31" s="206"/>
      <c r="BN31" s="206"/>
      <c r="BO31" s="206"/>
      <c r="BP31" s="206"/>
      <c r="BQ31" s="206"/>
      <c r="BR31" s="206"/>
      <c r="BS31" s="206"/>
      <c r="BT31" s="206"/>
      <c r="BU31" s="206"/>
      <c r="BV31" s="206"/>
      <c r="BW31" s="206"/>
      <c r="BX31" s="206"/>
      <c r="BY31" s="206"/>
      <c r="BZ31" s="206"/>
      <c r="CA31" s="206"/>
      <c r="CB31" s="206"/>
      <c r="CC31" s="206"/>
      <c r="CD31" s="50" t="str">
        <f t="shared" si="24"/>
        <v/>
      </c>
      <c r="CE31" s="50" t="b">
        <f t="shared" si="25"/>
        <v>1</v>
      </c>
      <c r="CF31" s="682" t="b">
        <v>1</v>
      </c>
      <c r="CG31" s="50" t="b">
        <f t="shared" si="26"/>
        <v>0</v>
      </c>
      <c r="CH31" s="50">
        <v>25</v>
      </c>
      <c r="CI31" s="200" t="b">
        <f t="shared" si="27"/>
        <v>0</v>
      </c>
      <c r="CJ31" s="90" t="str">
        <f t="shared" si="28"/>
        <v/>
      </c>
      <c r="CK31" s="201" t="str">
        <f t="shared" si="29"/>
        <v/>
      </c>
      <c r="CL31" s="90" t="e">
        <f t="shared" si="30"/>
        <v>#N/A</v>
      </c>
      <c r="CM31" s="201" t="e">
        <f t="shared" si="31"/>
        <v>#N/A</v>
      </c>
      <c r="CN31" s="50" t="e">
        <f t="shared" si="32"/>
        <v>#N/A</v>
      </c>
      <c r="CO31" s="50" t="e">
        <f t="shared" si="33"/>
        <v>#N/A</v>
      </c>
      <c r="CP31" s="90" t="str">
        <f t="shared" si="34"/>
        <v/>
      </c>
      <c r="CQ31" s="90" t="str">
        <f t="shared" si="35"/>
        <v/>
      </c>
      <c r="CR31" s="90" t="str">
        <f t="shared" si="36"/>
        <v/>
      </c>
      <c r="CS31" s="90" t="str">
        <f t="shared" si="37"/>
        <v/>
      </c>
      <c r="CT31" s="90" t="str">
        <f t="shared" si="38"/>
        <v/>
      </c>
      <c r="CU31" s="90" t="str">
        <f t="shared" si="39"/>
        <v/>
      </c>
      <c r="CV31" s="90" t="str">
        <f t="shared" si="40"/>
        <v/>
      </c>
      <c r="CW31" s="90" t="str">
        <f t="shared" si="41"/>
        <v/>
      </c>
      <c r="CX31" s="90" t="e">
        <f t="shared" si="42"/>
        <v>#N/A</v>
      </c>
      <c r="CY31" s="113" t="e">
        <f t="shared" si="43"/>
        <v>#N/A</v>
      </c>
      <c r="CZ31" s="106" t="e">
        <f t="shared" si="44"/>
        <v>#N/A</v>
      </c>
      <c r="DA31" s="90" t="e">
        <f t="shared" si="45"/>
        <v>#N/A</v>
      </c>
      <c r="DB31" s="90" t="e">
        <f t="shared" si="46"/>
        <v>#N/A</v>
      </c>
      <c r="DC31" s="90" t="e">
        <f t="shared" si="47"/>
        <v>#N/A</v>
      </c>
      <c r="DD31" s="90" t="e">
        <f t="shared" si="48"/>
        <v>#N/A</v>
      </c>
      <c r="DE31" s="90" t="e">
        <f t="shared" si="49"/>
        <v>#N/A</v>
      </c>
      <c r="DF31" s="90" t="e">
        <f t="shared" si="50"/>
        <v>#N/A</v>
      </c>
      <c r="DG31" s="90" t="e">
        <f t="shared" si="51"/>
        <v>#N/A</v>
      </c>
      <c r="DH31" s="90" t="e">
        <f t="shared" si="52"/>
        <v>#N/A</v>
      </c>
      <c r="DI31" s="113">
        <v>25</v>
      </c>
      <c r="DJ31" s="50" t="e">
        <f t="shared" si="53"/>
        <v>#N/A</v>
      </c>
      <c r="DK31" s="50" t="e">
        <f t="shared" si="54"/>
        <v>#N/A</v>
      </c>
      <c r="DL31" s="50" t="e">
        <f t="shared" si="55"/>
        <v>#N/A</v>
      </c>
      <c r="DM31" s="50" t="e">
        <f t="shared" si="56"/>
        <v>#N/A</v>
      </c>
      <c r="DN31" s="50" t="e">
        <f t="shared" si="57"/>
        <v>#N/A</v>
      </c>
      <c r="DO31" s="50" t="e">
        <f t="shared" si="58"/>
        <v>#N/A</v>
      </c>
      <c r="DP31" s="50" t="e">
        <f t="shared" si="59"/>
        <v>#N/A</v>
      </c>
      <c r="DQ31" s="50" t="e">
        <f t="shared" si="60"/>
        <v>#N/A</v>
      </c>
      <c r="DR31" s="50" t="e">
        <f t="shared" si="61"/>
        <v>#N/A</v>
      </c>
      <c r="DS31" s="50">
        <f t="shared" si="62"/>
        <v>0</v>
      </c>
      <c r="DT31" s="113" t="e">
        <f>IF(DS31=0,NA(),SUM($DS$7:DS31))</f>
        <v>#N/A</v>
      </c>
    </row>
    <row r="32" spans="1:124" ht="12" customHeight="1" x14ac:dyDescent="0.2">
      <c r="A32" s="50" t="str">
        <f t="shared" si="3"/>
        <v/>
      </c>
      <c r="B32" s="50" t="str">
        <f t="shared" si="4"/>
        <v/>
      </c>
      <c r="C32" s="50" t="str">
        <f t="shared" si="5"/>
        <v/>
      </c>
      <c r="D32" s="50" t="str">
        <f t="shared" si="6"/>
        <v/>
      </c>
      <c r="E32" s="50" t="str">
        <f t="shared" si="7"/>
        <v/>
      </c>
      <c r="F32" s="50" t="str">
        <f t="shared" si="8"/>
        <v/>
      </c>
      <c r="G32" s="66" t="s">
        <v>420</v>
      </c>
      <c r="H32" s="66" t="s">
        <v>420</v>
      </c>
      <c r="I32" s="50" t="e">
        <f t="shared" si="9"/>
        <v>#VALUE!</v>
      </c>
      <c r="J32" s="50" t="e">
        <f t="shared" si="10"/>
        <v>#VALUE!</v>
      </c>
      <c r="K32" s="66">
        <v>0</v>
      </c>
      <c r="L32" s="66">
        <v>0</v>
      </c>
      <c r="M32" s="66">
        <v>0</v>
      </c>
      <c r="N32" s="649">
        <f t="shared" si="11"/>
        <v>0</v>
      </c>
      <c r="O32" s="650">
        <f t="shared" si="12"/>
        <v>0</v>
      </c>
      <c r="P32" s="650">
        <f t="shared" si="13"/>
        <v>0</v>
      </c>
      <c r="Q32" s="90"/>
      <c r="R32" s="662" t="str">
        <f t="shared" si="63"/>
        <v/>
      </c>
      <c r="S32" s="838" t="str">
        <f t="shared" si="14"/>
        <v/>
      </c>
      <c r="T32" s="182" t="str">
        <f t="shared" si="15"/>
        <v/>
      </c>
      <c r="U32" s="204">
        <v>26</v>
      </c>
      <c r="V32" s="186"/>
      <c r="W32" s="663"/>
      <c r="X32" s="653" t="str">
        <f t="shared" si="16"/>
        <v/>
      </c>
      <c r="Y32" s="186"/>
      <c r="Z32" s="186"/>
      <c r="AA32" s="679" t="str">
        <f t="shared" si="17"/>
        <v/>
      </c>
      <c r="AB32" s="739"/>
      <c r="AC32" s="202" t="str">
        <f t="shared" si="18"/>
        <v/>
      </c>
      <c r="AD32" s="665" t="s">
        <v>339</v>
      </c>
      <c r="AE32" s="666" t="str">
        <f t="shared" si="19"/>
        <v/>
      </c>
      <c r="AF32" s="197" t="s">
        <v>261</v>
      </c>
      <c r="AG32" s="666" t="str">
        <f t="shared" si="20"/>
        <v/>
      </c>
      <c r="AH32" s="667" t="s">
        <v>259</v>
      </c>
      <c r="AI32" s="193" t="str">
        <f t="shared" si="21"/>
        <v/>
      </c>
      <c r="AJ32" s="194"/>
      <c r="AK32" s="85">
        <f t="shared" si="1"/>
        <v>9.5000000000000005E-5</v>
      </c>
      <c r="AL32" s="249"/>
      <c r="AM32" s="249"/>
      <c r="AN32" s="165"/>
      <c r="AO32" s="170"/>
      <c r="AP32" s="170"/>
      <c r="AQ32" s="170"/>
      <c r="AR32" s="170"/>
      <c r="AS32" s="170"/>
      <c r="AT32" s="171"/>
      <c r="AU32" s="249"/>
      <c r="AV32" s="668">
        <f t="shared" si="2"/>
        <v>9.5000000000000005E-5</v>
      </c>
      <c r="AW32" s="669" t="str">
        <f t="shared" si="22"/>
        <v/>
      </c>
      <c r="AX32" s="670" t="str">
        <f t="shared" si="23"/>
        <v/>
      </c>
      <c r="AY32" s="671" t="str">
        <f t="shared" si="64"/>
        <v/>
      </c>
      <c r="BG32" s="206"/>
      <c r="BH32" s="206"/>
      <c r="BI32" s="206"/>
      <c r="BJ32" s="206"/>
      <c r="BK32" s="206"/>
      <c r="BL32" s="206"/>
      <c r="BM32" s="206"/>
      <c r="BN32" s="206"/>
      <c r="BO32" s="206"/>
      <c r="BP32" s="206"/>
      <c r="BQ32" s="206"/>
      <c r="BR32" s="206"/>
      <c r="BS32" s="206"/>
      <c r="BT32" s="206"/>
      <c r="BU32" s="206"/>
      <c r="BV32" s="206"/>
      <c r="BW32" s="206"/>
      <c r="BX32" s="206"/>
      <c r="BY32" s="206"/>
      <c r="BZ32" s="206"/>
      <c r="CA32" s="206"/>
      <c r="CB32" s="206"/>
      <c r="CC32" s="206"/>
      <c r="CD32" s="50" t="str">
        <f t="shared" si="24"/>
        <v/>
      </c>
      <c r="CE32" s="50" t="b">
        <f t="shared" si="25"/>
        <v>1</v>
      </c>
      <c r="CF32" s="682" t="b">
        <v>1</v>
      </c>
      <c r="CG32" s="50" t="b">
        <f t="shared" si="26"/>
        <v>0</v>
      </c>
      <c r="CH32" s="50">
        <v>26</v>
      </c>
      <c r="CI32" s="200" t="b">
        <f t="shared" si="27"/>
        <v>0</v>
      </c>
      <c r="CJ32" s="90" t="str">
        <f t="shared" si="28"/>
        <v/>
      </c>
      <c r="CK32" s="201" t="str">
        <f t="shared" si="29"/>
        <v/>
      </c>
      <c r="CL32" s="90" t="e">
        <f t="shared" si="30"/>
        <v>#N/A</v>
      </c>
      <c r="CM32" s="201" t="e">
        <f t="shared" si="31"/>
        <v>#N/A</v>
      </c>
      <c r="CN32" s="50" t="e">
        <f t="shared" si="32"/>
        <v>#N/A</v>
      </c>
      <c r="CO32" s="50" t="e">
        <f t="shared" si="33"/>
        <v>#N/A</v>
      </c>
      <c r="CP32" s="90" t="str">
        <f t="shared" si="34"/>
        <v/>
      </c>
      <c r="CQ32" s="90" t="str">
        <f t="shared" si="35"/>
        <v/>
      </c>
      <c r="CR32" s="90" t="str">
        <f t="shared" si="36"/>
        <v/>
      </c>
      <c r="CS32" s="90" t="str">
        <f t="shared" si="37"/>
        <v/>
      </c>
      <c r="CT32" s="90" t="str">
        <f t="shared" si="38"/>
        <v/>
      </c>
      <c r="CU32" s="90" t="str">
        <f t="shared" si="39"/>
        <v/>
      </c>
      <c r="CV32" s="90" t="str">
        <f t="shared" si="40"/>
        <v/>
      </c>
      <c r="CW32" s="90" t="str">
        <f t="shared" si="41"/>
        <v/>
      </c>
      <c r="CX32" s="90" t="e">
        <f t="shared" si="42"/>
        <v>#N/A</v>
      </c>
      <c r="CY32" s="113" t="e">
        <f t="shared" si="43"/>
        <v>#N/A</v>
      </c>
      <c r="CZ32" s="106" t="e">
        <f t="shared" si="44"/>
        <v>#N/A</v>
      </c>
      <c r="DA32" s="90" t="e">
        <f t="shared" si="45"/>
        <v>#N/A</v>
      </c>
      <c r="DB32" s="90" t="e">
        <f t="shared" si="46"/>
        <v>#N/A</v>
      </c>
      <c r="DC32" s="90" t="e">
        <f t="shared" si="47"/>
        <v>#N/A</v>
      </c>
      <c r="DD32" s="90" t="e">
        <f t="shared" si="48"/>
        <v>#N/A</v>
      </c>
      <c r="DE32" s="90" t="e">
        <f t="shared" si="49"/>
        <v>#N/A</v>
      </c>
      <c r="DF32" s="90" t="e">
        <f t="shared" si="50"/>
        <v>#N/A</v>
      </c>
      <c r="DG32" s="90" t="e">
        <f t="shared" si="51"/>
        <v>#N/A</v>
      </c>
      <c r="DH32" s="90" t="e">
        <f t="shared" si="52"/>
        <v>#N/A</v>
      </c>
      <c r="DI32" s="113">
        <v>26</v>
      </c>
      <c r="DJ32" s="50" t="e">
        <f t="shared" si="53"/>
        <v>#N/A</v>
      </c>
      <c r="DK32" s="50" t="e">
        <f t="shared" si="54"/>
        <v>#N/A</v>
      </c>
      <c r="DL32" s="50" t="e">
        <f t="shared" si="55"/>
        <v>#N/A</v>
      </c>
      <c r="DM32" s="50" t="e">
        <f t="shared" si="56"/>
        <v>#N/A</v>
      </c>
      <c r="DN32" s="50" t="e">
        <f t="shared" si="57"/>
        <v>#N/A</v>
      </c>
      <c r="DO32" s="50" t="e">
        <f t="shared" si="58"/>
        <v>#N/A</v>
      </c>
      <c r="DP32" s="50" t="e">
        <f t="shared" si="59"/>
        <v>#N/A</v>
      </c>
      <c r="DQ32" s="50" t="e">
        <f t="shared" si="60"/>
        <v>#N/A</v>
      </c>
      <c r="DR32" s="50" t="e">
        <f t="shared" si="61"/>
        <v>#N/A</v>
      </c>
      <c r="DS32" s="50">
        <f t="shared" si="62"/>
        <v>0</v>
      </c>
      <c r="DT32" s="113" t="e">
        <f>IF(DS32=0,NA(),SUM($DS$7:DS32))</f>
        <v>#N/A</v>
      </c>
    </row>
    <row r="33" spans="1:124" ht="12" customHeight="1" x14ac:dyDescent="0.2">
      <c r="A33" s="50" t="str">
        <f t="shared" si="3"/>
        <v/>
      </c>
      <c r="B33" s="50" t="str">
        <f t="shared" si="4"/>
        <v/>
      </c>
      <c r="C33" s="50" t="str">
        <f t="shared" si="5"/>
        <v/>
      </c>
      <c r="D33" s="50" t="str">
        <f t="shared" si="6"/>
        <v/>
      </c>
      <c r="E33" s="50" t="str">
        <f t="shared" si="7"/>
        <v/>
      </c>
      <c r="F33" s="50" t="str">
        <f t="shared" si="8"/>
        <v/>
      </c>
      <c r="G33" s="66" t="s">
        <v>420</v>
      </c>
      <c r="H33" s="66" t="s">
        <v>420</v>
      </c>
      <c r="I33" s="50" t="e">
        <f t="shared" si="9"/>
        <v>#VALUE!</v>
      </c>
      <c r="J33" s="50" t="e">
        <f t="shared" si="10"/>
        <v>#VALUE!</v>
      </c>
      <c r="K33" s="66">
        <v>0</v>
      </c>
      <c r="L33" s="66">
        <v>0</v>
      </c>
      <c r="M33" s="66">
        <v>0</v>
      </c>
      <c r="N33" s="649">
        <f t="shared" si="11"/>
        <v>0</v>
      </c>
      <c r="O33" s="650">
        <f t="shared" si="12"/>
        <v>0</v>
      </c>
      <c r="P33" s="650">
        <f t="shared" si="13"/>
        <v>0</v>
      </c>
      <c r="Q33" s="90"/>
      <c r="R33" s="662" t="str">
        <f t="shared" si="63"/>
        <v/>
      </c>
      <c r="S33" s="838" t="str">
        <f t="shared" si="14"/>
        <v/>
      </c>
      <c r="T33" s="182" t="str">
        <f t="shared" si="15"/>
        <v/>
      </c>
      <c r="U33" s="183">
        <v>27</v>
      </c>
      <c r="V33" s="186"/>
      <c r="W33" s="663"/>
      <c r="X33" s="653" t="str">
        <f t="shared" si="16"/>
        <v/>
      </c>
      <c r="Y33" s="186"/>
      <c r="Z33" s="186"/>
      <c r="AA33" s="679" t="str">
        <f t="shared" si="17"/>
        <v/>
      </c>
      <c r="AB33" s="739"/>
      <c r="AC33" s="202" t="str">
        <f t="shared" si="18"/>
        <v/>
      </c>
      <c r="AD33" s="665" t="s">
        <v>339</v>
      </c>
      <c r="AE33" s="666" t="str">
        <f t="shared" si="19"/>
        <v/>
      </c>
      <c r="AF33" s="197" t="s">
        <v>261</v>
      </c>
      <c r="AG33" s="666" t="str">
        <f t="shared" si="20"/>
        <v/>
      </c>
      <c r="AH33" s="667" t="s">
        <v>259</v>
      </c>
      <c r="AI33" s="193" t="str">
        <f t="shared" si="21"/>
        <v/>
      </c>
      <c r="AJ33" s="194"/>
      <c r="AK33" s="85">
        <f t="shared" si="1"/>
        <v>9.5000000000000005E-5</v>
      </c>
      <c r="AL33" s="249"/>
      <c r="AM33" s="249"/>
      <c r="AN33" s="165"/>
      <c r="AO33" s="170"/>
      <c r="AP33" s="170"/>
      <c r="AQ33" s="170"/>
      <c r="AR33" s="170"/>
      <c r="AS33" s="170"/>
      <c r="AT33" s="171"/>
      <c r="AU33" s="249"/>
      <c r="AV33" s="668">
        <f t="shared" si="2"/>
        <v>9.5000000000000005E-5</v>
      </c>
      <c r="AW33" s="669" t="str">
        <f t="shared" si="22"/>
        <v/>
      </c>
      <c r="AX33" s="670" t="str">
        <f t="shared" si="23"/>
        <v/>
      </c>
      <c r="AY33" s="671" t="str">
        <f t="shared" si="64"/>
        <v/>
      </c>
      <c r="BG33" s="102"/>
      <c r="BH33" s="102"/>
      <c r="BI33" s="102"/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2"/>
      <c r="BX33" s="102"/>
      <c r="BY33" s="102"/>
      <c r="BZ33" s="102"/>
      <c r="CA33" s="102"/>
      <c r="CB33" s="102"/>
      <c r="CC33" s="102"/>
      <c r="CD33" s="50" t="str">
        <f t="shared" si="24"/>
        <v/>
      </c>
      <c r="CE33" s="50" t="b">
        <f t="shared" si="25"/>
        <v>1</v>
      </c>
      <c r="CF33" s="681" t="b">
        <v>1</v>
      </c>
      <c r="CG33" s="50" t="b">
        <f t="shared" si="26"/>
        <v>0</v>
      </c>
      <c r="CH33" s="50">
        <v>27</v>
      </c>
      <c r="CI33" s="200" t="b">
        <f t="shared" si="27"/>
        <v>0</v>
      </c>
      <c r="CJ33" s="90" t="str">
        <f t="shared" si="28"/>
        <v/>
      </c>
      <c r="CK33" s="201" t="str">
        <f t="shared" si="29"/>
        <v/>
      </c>
      <c r="CL33" s="90" t="e">
        <f t="shared" si="30"/>
        <v>#N/A</v>
      </c>
      <c r="CM33" s="201" t="e">
        <f t="shared" si="31"/>
        <v>#N/A</v>
      </c>
      <c r="CN33" s="50" t="e">
        <f t="shared" si="32"/>
        <v>#N/A</v>
      </c>
      <c r="CO33" s="50" t="e">
        <f t="shared" si="33"/>
        <v>#N/A</v>
      </c>
      <c r="CP33" s="90" t="str">
        <f t="shared" si="34"/>
        <v/>
      </c>
      <c r="CQ33" s="90" t="str">
        <f t="shared" si="35"/>
        <v/>
      </c>
      <c r="CR33" s="90" t="str">
        <f t="shared" si="36"/>
        <v/>
      </c>
      <c r="CS33" s="90" t="str">
        <f t="shared" si="37"/>
        <v/>
      </c>
      <c r="CT33" s="90" t="str">
        <f t="shared" si="38"/>
        <v/>
      </c>
      <c r="CU33" s="90" t="str">
        <f t="shared" si="39"/>
        <v/>
      </c>
      <c r="CV33" s="90" t="str">
        <f t="shared" si="40"/>
        <v/>
      </c>
      <c r="CW33" s="90" t="str">
        <f t="shared" si="41"/>
        <v/>
      </c>
      <c r="CX33" s="90" t="e">
        <f t="shared" si="42"/>
        <v>#N/A</v>
      </c>
      <c r="CY33" s="113" t="e">
        <f t="shared" si="43"/>
        <v>#N/A</v>
      </c>
      <c r="CZ33" s="106" t="e">
        <f t="shared" si="44"/>
        <v>#N/A</v>
      </c>
      <c r="DA33" s="90" t="e">
        <f t="shared" si="45"/>
        <v>#N/A</v>
      </c>
      <c r="DB33" s="90" t="e">
        <f t="shared" si="46"/>
        <v>#N/A</v>
      </c>
      <c r="DC33" s="90" t="e">
        <f t="shared" si="47"/>
        <v>#N/A</v>
      </c>
      <c r="DD33" s="90" t="e">
        <f t="shared" si="48"/>
        <v>#N/A</v>
      </c>
      <c r="DE33" s="90" t="e">
        <f t="shared" si="49"/>
        <v>#N/A</v>
      </c>
      <c r="DF33" s="90" t="e">
        <f t="shared" si="50"/>
        <v>#N/A</v>
      </c>
      <c r="DG33" s="90" t="e">
        <f t="shared" si="51"/>
        <v>#N/A</v>
      </c>
      <c r="DH33" s="90" t="e">
        <f t="shared" si="52"/>
        <v>#N/A</v>
      </c>
      <c r="DI33" s="113">
        <v>27</v>
      </c>
      <c r="DJ33" s="50" t="e">
        <f t="shared" si="53"/>
        <v>#N/A</v>
      </c>
      <c r="DK33" s="50" t="e">
        <f t="shared" si="54"/>
        <v>#N/A</v>
      </c>
      <c r="DL33" s="50" t="e">
        <f t="shared" si="55"/>
        <v>#N/A</v>
      </c>
      <c r="DM33" s="50" t="e">
        <f t="shared" si="56"/>
        <v>#N/A</v>
      </c>
      <c r="DN33" s="50" t="e">
        <f t="shared" si="57"/>
        <v>#N/A</v>
      </c>
      <c r="DO33" s="50" t="e">
        <f t="shared" si="58"/>
        <v>#N/A</v>
      </c>
      <c r="DP33" s="50" t="e">
        <f t="shared" si="59"/>
        <v>#N/A</v>
      </c>
      <c r="DQ33" s="50" t="e">
        <f t="shared" si="60"/>
        <v>#N/A</v>
      </c>
      <c r="DR33" s="50" t="e">
        <f t="shared" si="61"/>
        <v>#N/A</v>
      </c>
      <c r="DS33" s="50">
        <f t="shared" si="62"/>
        <v>0</v>
      </c>
      <c r="DT33" s="113" t="e">
        <f>IF(DS33=0,NA(),SUM($DS$7:DS33))</f>
        <v>#N/A</v>
      </c>
    </row>
    <row r="34" spans="1:124" ht="12" customHeight="1" x14ac:dyDescent="0.2">
      <c r="A34" s="50" t="str">
        <f t="shared" si="3"/>
        <v/>
      </c>
      <c r="B34" s="50" t="str">
        <f t="shared" si="4"/>
        <v/>
      </c>
      <c r="C34" s="50" t="str">
        <f t="shared" si="5"/>
        <v/>
      </c>
      <c r="D34" s="50" t="str">
        <f t="shared" si="6"/>
        <v/>
      </c>
      <c r="E34" s="50" t="str">
        <f t="shared" si="7"/>
        <v/>
      </c>
      <c r="F34" s="50" t="str">
        <f t="shared" si="8"/>
        <v/>
      </c>
      <c r="G34" s="66" t="s">
        <v>420</v>
      </c>
      <c r="H34" s="66" t="s">
        <v>420</v>
      </c>
      <c r="I34" s="50" t="e">
        <f t="shared" si="9"/>
        <v>#VALUE!</v>
      </c>
      <c r="J34" s="50" t="e">
        <f t="shared" si="10"/>
        <v>#VALUE!</v>
      </c>
      <c r="K34" s="66">
        <v>0</v>
      </c>
      <c r="L34" s="66">
        <v>0</v>
      </c>
      <c r="M34" s="66">
        <v>0</v>
      </c>
      <c r="N34" s="649">
        <f t="shared" si="11"/>
        <v>0</v>
      </c>
      <c r="O34" s="650">
        <f t="shared" si="12"/>
        <v>0</v>
      </c>
      <c r="P34" s="650">
        <f t="shared" si="13"/>
        <v>0</v>
      </c>
      <c r="Q34" s="90"/>
      <c r="R34" s="662" t="str">
        <f t="shared" si="63"/>
        <v/>
      </c>
      <c r="S34" s="838" t="str">
        <f t="shared" si="14"/>
        <v/>
      </c>
      <c r="T34" s="182" t="str">
        <f t="shared" si="15"/>
        <v/>
      </c>
      <c r="U34" s="204">
        <v>28</v>
      </c>
      <c r="V34" s="186"/>
      <c r="W34" s="663"/>
      <c r="X34" s="653" t="str">
        <f t="shared" si="16"/>
        <v/>
      </c>
      <c r="Y34" s="186"/>
      <c r="Z34" s="186"/>
      <c r="AA34" s="679" t="str">
        <f t="shared" si="17"/>
        <v/>
      </c>
      <c r="AB34" s="739"/>
      <c r="AC34" s="202" t="str">
        <f t="shared" si="18"/>
        <v/>
      </c>
      <c r="AD34" s="665" t="s">
        <v>339</v>
      </c>
      <c r="AE34" s="666" t="str">
        <f t="shared" si="19"/>
        <v/>
      </c>
      <c r="AF34" s="197" t="s">
        <v>261</v>
      </c>
      <c r="AG34" s="666" t="str">
        <f t="shared" si="20"/>
        <v/>
      </c>
      <c r="AH34" s="667" t="s">
        <v>259</v>
      </c>
      <c r="AI34" s="193" t="str">
        <f t="shared" si="21"/>
        <v/>
      </c>
      <c r="AJ34" s="194"/>
      <c r="AK34" s="85">
        <f t="shared" si="1"/>
        <v>9.5000000000000005E-5</v>
      </c>
      <c r="AL34" s="249"/>
      <c r="AM34" s="249"/>
      <c r="AN34" s="165"/>
      <c r="AO34" s="170"/>
      <c r="AP34" s="170"/>
      <c r="AQ34" s="170"/>
      <c r="AR34" s="170"/>
      <c r="AS34" s="170"/>
      <c r="AT34" s="171"/>
      <c r="AU34" s="249"/>
      <c r="AV34" s="668">
        <f t="shared" si="2"/>
        <v>9.5000000000000005E-5</v>
      </c>
      <c r="AW34" s="669" t="str">
        <f t="shared" si="22"/>
        <v/>
      </c>
      <c r="AX34" s="670" t="str">
        <f t="shared" si="23"/>
        <v/>
      </c>
      <c r="AY34" s="671" t="str">
        <f t="shared" si="64"/>
        <v/>
      </c>
      <c r="BG34" s="206"/>
      <c r="BH34" s="206"/>
      <c r="BI34" s="206"/>
      <c r="BJ34" s="206"/>
      <c r="BK34" s="206"/>
      <c r="BL34" s="206"/>
      <c r="BM34" s="206"/>
      <c r="BN34" s="206"/>
      <c r="BO34" s="206"/>
      <c r="BP34" s="206"/>
      <c r="BQ34" s="206"/>
      <c r="BR34" s="206"/>
      <c r="BS34" s="206"/>
      <c r="BT34" s="206"/>
      <c r="BU34" s="206"/>
      <c r="BV34" s="206"/>
      <c r="BW34" s="206"/>
      <c r="BX34" s="206"/>
      <c r="BY34" s="206"/>
      <c r="BZ34" s="206"/>
      <c r="CA34" s="206"/>
      <c r="CB34" s="206"/>
      <c r="CC34" s="206"/>
      <c r="CD34" s="50" t="str">
        <f t="shared" si="24"/>
        <v/>
      </c>
      <c r="CE34" s="50" t="b">
        <f t="shared" si="25"/>
        <v>1</v>
      </c>
      <c r="CF34" s="682" t="b">
        <v>1</v>
      </c>
      <c r="CG34" s="50" t="b">
        <f t="shared" si="26"/>
        <v>0</v>
      </c>
      <c r="CH34" s="50">
        <v>28</v>
      </c>
      <c r="CI34" s="200" t="b">
        <f t="shared" si="27"/>
        <v>0</v>
      </c>
      <c r="CJ34" s="90" t="str">
        <f t="shared" si="28"/>
        <v/>
      </c>
      <c r="CK34" s="201" t="str">
        <f t="shared" si="29"/>
        <v/>
      </c>
      <c r="CL34" s="90" t="e">
        <f t="shared" si="30"/>
        <v>#N/A</v>
      </c>
      <c r="CM34" s="201" t="e">
        <f t="shared" si="31"/>
        <v>#N/A</v>
      </c>
      <c r="CN34" s="50" t="e">
        <f t="shared" si="32"/>
        <v>#N/A</v>
      </c>
      <c r="CO34" s="50" t="e">
        <f t="shared" si="33"/>
        <v>#N/A</v>
      </c>
      <c r="CP34" s="90" t="str">
        <f t="shared" si="34"/>
        <v/>
      </c>
      <c r="CQ34" s="90" t="str">
        <f t="shared" si="35"/>
        <v/>
      </c>
      <c r="CR34" s="90" t="str">
        <f t="shared" si="36"/>
        <v/>
      </c>
      <c r="CS34" s="90" t="str">
        <f t="shared" si="37"/>
        <v/>
      </c>
      <c r="CT34" s="90" t="str">
        <f t="shared" si="38"/>
        <v/>
      </c>
      <c r="CU34" s="90" t="str">
        <f t="shared" si="39"/>
        <v/>
      </c>
      <c r="CV34" s="90" t="str">
        <f t="shared" si="40"/>
        <v/>
      </c>
      <c r="CW34" s="90" t="str">
        <f t="shared" si="41"/>
        <v/>
      </c>
      <c r="CX34" s="90" t="e">
        <f t="shared" si="42"/>
        <v>#N/A</v>
      </c>
      <c r="CY34" s="113" t="e">
        <f t="shared" si="43"/>
        <v>#N/A</v>
      </c>
      <c r="CZ34" s="106" t="e">
        <f t="shared" si="44"/>
        <v>#N/A</v>
      </c>
      <c r="DA34" s="90" t="e">
        <f t="shared" si="45"/>
        <v>#N/A</v>
      </c>
      <c r="DB34" s="90" t="e">
        <f t="shared" si="46"/>
        <v>#N/A</v>
      </c>
      <c r="DC34" s="90" t="e">
        <f t="shared" si="47"/>
        <v>#N/A</v>
      </c>
      <c r="DD34" s="90" t="e">
        <f t="shared" si="48"/>
        <v>#N/A</v>
      </c>
      <c r="DE34" s="90" t="e">
        <f t="shared" si="49"/>
        <v>#N/A</v>
      </c>
      <c r="DF34" s="90" t="e">
        <f t="shared" si="50"/>
        <v>#N/A</v>
      </c>
      <c r="DG34" s="90" t="e">
        <f t="shared" si="51"/>
        <v>#N/A</v>
      </c>
      <c r="DH34" s="90" t="e">
        <f t="shared" si="52"/>
        <v>#N/A</v>
      </c>
      <c r="DI34" s="113">
        <v>28</v>
      </c>
      <c r="DJ34" s="50" t="e">
        <f t="shared" si="53"/>
        <v>#N/A</v>
      </c>
      <c r="DK34" s="50" t="e">
        <f t="shared" si="54"/>
        <v>#N/A</v>
      </c>
      <c r="DL34" s="50" t="e">
        <f t="shared" si="55"/>
        <v>#N/A</v>
      </c>
      <c r="DM34" s="50" t="e">
        <f t="shared" si="56"/>
        <v>#N/A</v>
      </c>
      <c r="DN34" s="50" t="e">
        <f t="shared" si="57"/>
        <v>#N/A</v>
      </c>
      <c r="DO34" s="50" t="e">
        <f t="shared" si="58"/>
        <v>#N/A</v>
      </c>
      <c r="DP34" s="50" t="e">
        <f t="shared" si="59"/>
        <v>#N/A</v>
      </c>
      <c r="DQ34" s="50" t="e">
        <f t="shared" si="60"/>
        <v>#N/A</v>
      </c>
      <c r="DR34" s="50" t="e">
        <f t="shared" si="61"/>
        <v>#N/A</v>
      </c>
      <c r="DS34" s="50">
        <f t="shared" si="62"/>
        <v>0</v>
      </c>
      <c r="DT34" s="113" t="e">
        <f>IF(DS34=0,NA(),SUM($DS$7:DS34))</f>
        <v>#N/A</v>
      </c>
    </row>
    <row r="35" spans="1:124" ht="12" customHeight="1" x14ac:dyDescent="0.2">
      <c r="A35" s="50" t="str">
        <f t="shared" si="3"/>
        <v/>
      </c>
      <c r="B35" s="50" t="str">
        <f t="shared" si="4"/>
        <v/>
      </c>
      <c r="C35" s="50" t="str">
        <f t="shared" si="5"/>
        <v/>
      </c>
      <c r="D35" s="50" t="str">
        <f t="shared" si="6"/>
        <v/>
      </c>
      <c r="E35" s="50" t="str">
        <f t="shared" si="7"/>
        <v/>
      </c>
      <c r="F35" s="50" t="str">
        <f t="shared" si="8"/>
        <v/>
      </c>
      <c r="G35" s="66" t="s">
        <v>420</v>
      </c>
      <c r="H35" s="66" t="s">
        <v>420</v>
      </c>
      <c r="I35" s="50" t="e">
        <f t="shared" si="9"/>
        <v>#VALUE!</v>
      </c>
      <c r="J35" s="50" t="e">
        <f t="shared" si="10"/>
        <v>#VALUE!</v>
      </c>
      <c r="K35" s="66">
        <v>0</v>
      </c>
      <c r="L35" s="66">
        <v>0</v>
      </c>
      <c r="M35" s="66">
        <v>0</v>
      </c>
      <c r="N35" s="649">
        <f t="shared" si="11"/>
        <v>0</v>
      </c>
      <c r="O35" s="650">
        <f t="shared" si="12"/>
        <v>0</v>
      </c>
      <c r="P35" s="650">
        <f t="shared" si="13"/>
        <v>0</v>
      </c>
      <c r="Q35" s="90"/>
      <c r="R35" s="662" t="str">
        <f t="shared" si="63"/>
        <v/>
      </c>
      <c r="S35" s="838" t="str">
        <f t="shared" si="14"/>
        <v/>
      </c>
      <c r="T35" s="182" t="str">
        <f t="shared" si="15"/>
        <v/>
      </c>
      <c r="U35" s="183">
        <v>29</v>
      </c>
      <c r="V35" s="186"/>
      <c r="W35" s="663"/>
      <c r="X35" s="653" t="str">
        <f t="shared" si="16"/>
        <v/>
      </c>
      <c r="Y35" s="186"/>
      <c r="Z35" s="186"/>
      <c r="AA35" s="679" t="str">
        <f t="shared" si="17"/>
        <v/>
      </c>
      <c r="AB35" s="739"/>
      <c r="AC35" s="202" t="str">
        <f t="shared" si="18"/>
        <v/>
      </c>
      <c r="AD35" s="665" t="s">
        <v>339</v>
      </c>
      <c r="AE35" s="666" t="str">
        <f t="shared" si="19"/>
        <v/>
      </c>
      <c r="AF35" s="197" t="s">
        <v>261</v>
      </c>
      <c r="AG35" s="666" t="str">
        <f t="shared" si="20"/>
        <v/>
      </c>
      <c r="AH35" s="667" t="s">
        <v>259</v>
      </c>
      <c r="AI35" s="193" t="str">
        <f t="shared" si="21"/>
        <v/>
      </c>
      <c r="AJ35" s="194"/>
      <c r="AK35" s="85">
        <f t="shared" si="1"/>
        <v>9.5000000000000005E-5</v>
      </c>
      <c r="AL35" s="249"/>
      <c r="AM35" s="249"/>
      <c r="AN35" s="165"/>
      <c r="AO35" s="170"/>
      <c r="AP35" s="170"/>
      <c r="AQ35" s="170"/>
      <c r="AR35" s="170"/>
      <c r="AS35" s="170"/>
      <c r="AT35" s="171"/>
      <c r="AU35" s="249"/>
      <c r="AV35" s="668">
        <f t="shared" si="2"/>
        <v>9.5000000000000005E-5</v>
      </c>
      <c r="AW35" s="669" t="str">
        <f t="shared" si="22"/>
        <v/>
      </c>
      <c r="AX35" s="670" t="str">
        <f t="shared" si="23"/>
        <v/>
      </c>
      <c r="AY35" s="671" t="str">
        <f t="shared" si="64"/>
        <v/>
      </c>
      <c r="BG35" s="206"/>
      <c r="BH35" s="206"/>
      <c r="BI35" s="206"/>
      <c r="BJ35" s="206"/>
      <c r="BK35" s="206"/>
      <c r="BL35" s="206"/>
      <c r="BM35" s="206"/>
      <c r="BN35" s="206"/>
      <c r="BO35" s="206"/>
      <c r="BP35" s="206"/>
      <c r="BQ35" s="206"/>
      <c r="BR35" s="206"/>
      <c r="BS35" s="206"/>
      <c r="BT35" s="206"/>
      <c r="BU35" s="206"/>
      <c r="BV35" s="206"/>
      <c r="BW35" s="206"/>
      <c r="BX35" s="206"/>
      <c r="BY35" s="206"/>
      <c r="BZ35" s="206"/>
      <c r="CA35" s="206"/>
      <c r="CB35" s="206"/>
      <c r="CC35" s="206"/>
      <c r="CD35" s="50" t="str">
        <f t="shared" si="24"/>
        <v/>
      </c>
      <c r="CE35" s="50" t="b">
        <f t="shared" si="25"/>
        <v>1</v>
      </c>
      <c r="CF35" s="682" t="b">
        <v>1</v>
      </c>
      <c r="CG35" s="50" t="b">
        <f t="shared" si="26"/>
        <v>0</v>
      </c>
      <c r="CH35" s="50">
        <v>29</v>
      </c>
      <c r="CI35" s="200" t="b">
        <f t="shared" si="27"/>
        <v>0</v>
      </c>
      <c r="CJ35" s="90" t="str">
        <f t="shared" si="28"/>
        <v/>
      </c>
      <c r="CK35" s="201" t="str">
        <f t="shared" si="29"/>
        <v/>
      </c>
      <c r="CL35" s="90" t="e">
        <f t="shared" si="30"/>
        <v>#N/A</v>
      </c>
      <c r="CM35" s="201" t="e">
        <f t="shared" si="31"/>
        <v>#N/A</v>
      </c>
      <c r="CN35" s="50" t="e">
        <f t="shared" si="32"/>
        <v>#N/A</v>
      </c>
      <c r="CO35" s="50" t="e">
        <f t="shared" si="33"/>
        <v>#N/A</v>
      </c>
      <c r="CP35" s="90" t="str">
        <f t="shared" si="34"/>
        <v/>
      </c>
      <c r="CQ35" s="90" t="str">
        <f t="shared" si="35"/>
        <v/>
      </c>
      <c r="CR35" s="90" t="str">
        <f t="shared" si="36"/>
        <v/>
      </c>
      <c r="CS35" s="90" t="str">
        <f t="shared" si="37"/>
        <v/>
      </c>
      <c r="CT35" s="90" t="str">
        <f t="shared" si="38"/>
        <v/>
      </c>
      <c r="CU35" s="90" t="str">
        <f t="shared" si="39"/>
        <v/>
      </c>
      <c r="CV35" s="90" t="str">
        <f t="shared" si="40"/>
        <v/>
      </c>
      <c r="CW35" s="90" t="str">
        <f t="shared" si="41"/>
        <v/>
      </c>
      <c r="CX35" s="90" t="e">
        <f t="shared" si="42"/>
        <v>#N/A</v>
      </c>
      <c r="CY35" s="113" t="e">
        <f t="shared" si="43"/>
        <v>#N/A</v>
      </c>
      <c r="CZ35" s="106" t="e">
        <f t="shared" si="44"/>
        <v>#N/A</v>
      </c>
      <c r="DA35" s="90" t="e">
        <f t="shared" si="45"/>
        <v>#N/A</v>
      </c>
      <c r="DB35" s="90" t="e">
        <f t="shared" si="46"/>
        <v>#N/A</v>
      </c>
      <c r="DC35" s="90" t="e">
        <f t="shared" si="47"/>
        <v>#N/A</v>
      </c>
      <c r="DD35" s="90" t="e">
        <f t="shared" si="48"/>
        <v>#N/A</v>
      </c>
      <c r="DE35" s="90" t="e">
        <f t="shared" si="49"/>
        <v>#N/A</v>
      </c>
      <c r="DF35" s="90" t="e">
        <f t="shared" si="50"/>
        <v>#N/A</v>
      </c>
      <c r="DG35" s="90" t="e">
        <f t="shared" si="51"/>
        <v>#N/A</v>
      </c>
      <c r="DH35" s="90" t="e">
        <f t="shared" si="52"/>
        <v>#N/A</v>
      </c>
      <c r="DI35" s="113">
        <v>29</v>
      </c>
      <c r="DJ35" s="50" t="e">
        <f t="shared" si="53"/>
        <v>#N/A</v>
      </c>
      <c r="DK35" s="50" t="e">
        <f t="shared" si="54"/>
        <v>#N/A</v>
      </c>
      <c r="DL35" s="50" t="e">
        <f t="shared" si="55"/>
        <v>#N/A</v>
      </c>
      <c r="DM35" s="50" t="e">
        <f t="shared" si="56"/>
        <v>#N/A</v>
      </c>
      <c r="DN35" s="50" t="e">
        <f t="shared" si="57"/>
        <v>#N/A</v>
      </c>
      <c r="DO35" s="50" t="e">
        <f t="shared" si="58"/>
        <v>#N/A</v>
      </c>
      <c r="DP35" s="50" t="e">
        <f t="shared" si="59"/>
        <v>#N/A</v>
      </c>
      <c r="DQ35" s="50" t="e">
        <f t="shared" si="60"/>
        <v>#N/A</v>
      </c>
      <c r="DR35" s="50" t="e">
        <f t="shared" si="61"/>
        <v>#N/A</v>
      </c>
      <c r="DS35" s="50">
        <f t="shared" si="62"/>
        <v>0</v>
      </c>
      <c r="DT35" s="113" t="e">
        <f>IF(DS35=0,NA(),SUM($DS$7:DS35))</f>
        <v>#N/A</v>
      </c>
    </row>
    <row r="36" spans="1:124" ht="12" customHeight="1" thickBot="1" x14ac:dyDescent="0.25">
      <c r="A36" s="50" t="str">
        <f t="shared" si="3"/>
        <v/>
      </c>
      <c r="B36" s="50" t="str">
        <f t="shared" si="4"/>
        <v/>
      </c>
      <c r="C36" s="50" t="str">
        <f t="shared" si="5"/>
        <v/>
      </c>
      <c r="D36" s="50" t="str">
        <f t="shared" si="6"/>
        <v/>
      </c>
      <c r="E36" s="50" t="str">
        <f t="shared" si="7"/>
        <v/>
      </c>
      <c r="F36" s="50" t="str">
        <f t="shared" si="8"/>
        <v/>
      </c>
      <c r="G36" s="66" t="s">
        <v>420</v>
      </c>
      <c r="H36" s="66" t="s">
        <v>420</v>
      </c>
      <c r="I36" s="50" t="e">
        <f t="shared" si="9"/>
        <v>#VALUE!</v>
      </c>
      <c r="J36" s="50" t="e">
        <f t="shared" si="10"/>
        <v>#VALUE!</v>
      </c>
      <c r="K36" s="66">
        <v>0</v>
      </c>
      <c r="L36" s="66">
        <v>0</v>
      </c>
      <c r="M36" s="66">
        <v>0</v>
      </c>
      <c r="N36" s="649">
        <f t="shared" si="11"/>
        <v>0</v>
      </c>
      <c r="O36" s="650">
        <f t="shared" si="12"/>
        <v>0</v>
      </c>
      <c r="P36" s="650">
        <f t="shared" si="13"/>
        <v>0</v>
      </c>
      <c r="Q36" s="90"/>
      <c r="R36" s="683" t="str">
        <f t="shared" si="63"/>
        <v/>
      </c>
      <c r="S36" s="839" t="str">
        <f t="shared" si="14"/>
        <v/>
      </c>
      <c r="T36" s="209" t="str">
        <f t="shared" si="15"/>
        <v/>
      </c>
      <c r="U36" s="210">
        <v>30</v>
      </c>
      <c r="V36" s="213"/>
      <c r="W36" s="684"/>
      <c r="X36" s="685" t="str">
        <f t="shared" si="16"/>
        <v/>
      </c>
      <c r="Y36" s="213"/>
      <c r="Z36" s="213"/>
      <c r="AA36" s="686" t="str">
        <f t="shared" si="17"/>
        <v/>
      </c>
      <c r="AB36" s="740"/>
      <c r="AC36" s="687" t="str">
        <f t="shared" si="18"/>
        <v/>
      </c>
      <c r="AD36" s="688" t="s">
        <v>339</v>
      </c>
      <c r="AE36" s="689" t="str">
        <f t="shared" si="19"/>
        <v/>
      </c>
      <c r="AF36" s="222" t="s">
        <v>261</v>
      </c>
      <c r="AG36" s="689" t="str">
        <f t="shared" si="20"/>
        <v/>
      </c>
      <c r="AH36" s="690" t="s">
        <v>259</v>
      </c>
      <c r="AI36" s="219" t="str">
        <f t="shared" si="21"/>
        <v/>
      </c>
      <c r="AJ36" s="691"/>
      <c r="AK36" s="85">
        <f t="shared" si="1"/>
        <v>9.5000000000000005E-5</v>
      </c>
      <c r="AL36" s="249"/>
      <c r="AM36" s="170"/>
      <c r="AN36" s="165"/>
      <c r="AO36" s="170"/>
      <c r="AP36" s="170"/>
      <c r="AQ36" s="170"/>
      <c r="AR36" s="170"/>
      <c r="AS36" s="170"/>
      <c r="AT36" s="171"/>
      <c r="AU36" s="249"/>
      <c r="AV36" s="692">
        <f t="shared" si="2"/>
        <v>9.5000000000000005E-5</v>
      </c>
      <c r="AW36" s="693" t="str">
        <f t="shared" si="22"/>
        <v/>
      </c>
      <c r="AX36" s="694" t="str">
        <f t="shared" si="23"/>
        <v/>
      </c>
      <c r="AY36" s="695" t="str">
        <f t="shared" si="64"/>
        <v/>
      </c>
      <c r="BF36" s="102"/>
      <c r="BG36" s="102"/>
      <c r="BH36" s="102"/>
      <c r="BI36" s="102"/>
      <c r="BJ36" s="102"/>
      <c r="BK36" s="102"/>
      <c r="BL36" s="102"/>
      <c r="BM36" s="102"/>
      <c r="BN36" s="102"/>
      <c r="BO36" s="102"/>
      <c r="BP36" s="102"/>
      <c r="BQ36" s="102"/>
      <c r="BR36" s="102"/>
      <c r="BS36" s="102"/>
      <c r="BT36" s="102"/>
      <c r="BU36" s="102"/>
      <c r="BV36" s="102"/>
      <c r="BW36" s="102"/>
      <c r="BX36" s="102"/>
      <c r="BY36" s="102"/>
      <c r="BZ36" s="102"/>
      <c r="CA36" s="102"/>
      <c r="CB36" s="102"/>
      <c r="CC36" s="102"/>
      <c r="CD36" s="79" t="str">
        <f t="shared" si="24"/>
        <v/>
      </c>
      <c r="CE36" s="79" t="b">
        <f t="shared" si="25"/>
        <v>1</v>
      </c>
      <c r="CF36" s="696" t="b">
        <v>1</v>
      </c>
      <c r="CG36" s="79" t="b">
        <f t="shared" si="26"/>
        <v>0</v>
      </c>
      <c r="CH36" s="79">
        <v>30</v>
      </c>
      <c r="CI36" s="224" t="b">
        <f t="shared" si="27"/>
        <v>0</v>
      </c>
      <c r="CJ36" s="79" t="str">
        <f t="shared" si="28"/>
        <v/>
      </c>
      <c r="CK36" s="226" t="str">
        <f t="shared" si="29"/>
        <v/>
      </c>
      <c r="CL36" s="79" t="e">
        <f t="shared" si="30"/>
        <v>#N/A</v>
      </c>
      <c r="CM36" s="226" t="e">
        <f t="shared" si="31"/>
        <v>#N/A</v>
      </c>
      <c r="CN36" s="50" t="e">
        <f t="shared" si="32"/>
        <v>#N/A</v>
      </c>
      <c r="CO36" s="50" t="e">
        <f t="shared" si="33"/>
        <v>#N/A</v>
      </c>
      <c r="CP36" s="79" t="str">
        <f t="shared" si="34"/>
        <v/>
      </c>
      <c r="CQ36" s="90" t="str">
        <f t="shared" si="35"/>
        <v/>
      </c>
      <c r="CR36" s="79" t="str">
        <f t="shared" si="36"/>
        <v/>
      </c>
      <c r="CS36" s="79" t="str">
        <f t="shared" si="37"/>
        <v/>
      </c>
      <c r="CT36" s="79" t="str">
        <f t="shared" si="38"/>
        <v/>
      </c>
      <c r="CU36" s="79" t="str">
        <f t="shared" si="39"/>
        <v/>
      </c>
      <c r="CV36" s="79" t="str">
        <f t="shared" si="40"/>
        <v/>
      </c>
      <c r="CW36" s="79" t="str">
        <f t="shared" si="41"/>
        <v/>
      </c>
      <c r="CX36" s="79" t="e">
        <f t="shared" si="42"/>
        <v>#N/A</v>
      </c>
      <c r="CY36" s="109" t="e">
        <f t="shared" si="43"/>
        <v>#N/A</v>
      </c>
      <c r="CZ36" s="207" t="e">
        <f t="shared" si="44"/>
        <v>#N/A</v>
      </c>
      <c r="DA36" s="79" t="e">
        <f t="shared" si="45"/>
        <v>#N/A</v>
      </c>
      <c r="DB36" s="79" t="e">
        <f t="shared" si="46"/>
        <v>#N/A</v>
      </c>
      <c r="DC36" s="79" t="e">
        <f t="shared" si="47"/>
        <v>#N/A</v>
      </c>
      <c r="DD36" s="79" t="e">
        <f t="shared" si="48"/>
        <v>#N/A</v>
      </c>
      <c r="DE36" s="79" t="e">
        <f t="shared" si="49"/>
        <v>#N/A</v>
      </c>
      <c r="DF36" s="79" t="e">
        <f t="shared" si="50"/>
        <v>#N/A</v>
      </c>
      <c r="DG36" s="79" t="e">
        <f t="shared" si="51"/>
        <v>#N/A</v>
      </c>
      <c r="DH36" s="79" t="e">
        <f t="shared" si="52"/>
        <v>#N/A</v>
      </c>
      <c r="DI36" s="109">
        <v>30</v>
      </c>
      <c r="DJ36" s="50" t="e">
        <f t="shared" si="53"/>
        <v>#N/A</v>
      </c>
      <c r="DK36" s="50" t="e">
        <f t="shared" si="54"/>
        <v>#N/A</v>
      </c>
      <c r="DL36" s="50" t="e">
        <f t="shared" si="55"/>
        <v>#N/A</v>
      </c>
      <c r="DM36" s="50" t="e">
        <f t="shared" si="56"/>
        <v>#N/A</v>
      </c>
      <c r="DN36" s="50" t="e">
        <f t="shared" si="57"/>
        <v>#N/A</v>
      </c>
      <c r="DO36" s="50" t="e">
        <f t="shared" si="58"/>
        <v>#N/A</v>
      </c>
      <c r="DP36" s="50" t="e">
        <f t="shared" si="59"/>
        <v>#N/A</v>
      </c>
      <c r="DQ36" s="50" t="e">
        <f t="shared" si="60"/>
        <v>#N/A</v>
      </c>
      <c r="DR36" s="50" t="e">
        <f t="shared" si="61"/>
        <v>#N/A</v>
      </c>
      <c r="DS36" s="90">
        <f t="shared" si="62"/>
        <v>0</v>
      </c>
      <c r="DT36" s="109" t="e">
        <f>IF(DS36=0,NA(),SUM($DS$7:DS36))</f>
        <v>#N/A</v>
      </c>
    </row>
    <row r="37" spans="1:124" ht="13.5" customHeight="1" thickTop="1" thickBot="1" x14ac:dyDescent="0.35">
      <c r="K37" s="66"/>
      <c r="L37" s="697" t="s">
        <v>251</v>
      </c>
      <c r="M37" s="66">
        <v>95</v>
      </c>
      <c r="N37" s="650"/>
      <c r="O37" s="698" t="s">
        <v>251</v>
      </c>
      <c r="P37" s="650">
        <f>AA2</f>
        <v>95</v>
      </c>
      <c r="Q37" s="97"/>
      <c r="R37" s="699"/>
      <c r="S37" s="840"/>
      <c r="T37" s="700"/>
      <c r="U37" s="37">
        <v>12</v>
      </c>
      <c r="V37" s="748" t="s">
        <v>761</v>
      </c>
      <c r="W37" s="751" t="s">
        <v>355</v>
      </c>
      <c r="X37" s="780" t="s">
        <v>594</v>
      </c>
      <c r="Y37" s="701"/>
      <c r="Z37" s="228"/>
      <c r="AA37" s="228"/>
      <c r="AB37" s="227"/>
      <c r="AC37" s="625" t="s">
        <v>317</v>
      </c>
      <c r="AD37" s="232"/>
      <c r="AE37" s="32"/>
      <c r="AF37" s="587"/>
      <c r="AG37" s="749"/>
      <c r="AH37" s="750" t="s">
        <v>762</v>
      </c>
      <c r="AI37" s="230"/>
      <c r="AJ37" s="229"/>
      <c r="AK37" s="85">
        <f t="shared" si="1"/>
        <v>9.5000000000000005E-5</v>
      </c>
      <c r="AL37" s="249"/>
      <c r="AM37" s="170"/>
      <c r="AN37" s="231"/>
      <c r="AO37" s="170"/>
      <c r="AP37" s="170"/>
      <c r="AQ37" s="170"/>
      <c r="AR37" s="170"/>
      <c r="AS37" s="170"/>
      <c r="AT37" s="171"/>
      <c r="AU37" s="249"/>
      <c r="AV37" s="52">
        <f t="shared" si="2"/>
        <v>9.5000000000000005E-5</v>
      </c>
      <c r="AW37" s="229"/>
      <c r="AX37" s="229"/>
      <c r="BF37" s="206"/>
      <c r="CI37" s="90"/>
      <c r="CJ37" s="90"/>
      <c r="CL37" s="702"/>
      <c r="CM37" s="703" t="s">
        <v>316</v>
      </c>
      <c r="CN37" s="704">
        <f>IF($CK$5,SQRT(1/SUM(CP7:CP36)),"")</f>
        <v>9.7682515362190872E-2</v>
      </c>
      <c r="CO37" s="55"/>
      <c r="CP37" s="705">
        <f>SUM(CP7:CP36)</f>
        <v>104.80121831160656</v>
      </c>
      <c r="CQ37" s="706" t="s">
        <v>325</v>
      </c>
      <c r="CR37" s="705">
        <f t="shared" ref="CR37:CW37" si="65">SUM(CR7:CR36)</f>
        <v>39.948431531838018</v>
      </c>
      <c r="CS37" s="705">
        <f t="shared" si="65"/>
        <v>2119.371936462258</v>
      </c>
      <c r="CT37" s="707">
        <f t="shared" si="65"/>
        <v>31.003550552400032</v>
      </c>
      <c r="CU37" s="707">
        <f t="shared" si="65"/>
        <v>1.7068820323371441</v>
      </c>
      <c r="CV37" s="705">
        <f t="shared" si="65"/>
        <v>39.843083768737571</v>
      </c>
      <c r="CW37" s="705">
        <f t="shared" si="65"/>
        <v>21.478261164692025</v>
      </c>
      <c r="CY37" s="708">
        <f t="shared" si="43"/>
        <v>10</v>
      </c>
      <c r="CZ37" s="207"/>
      <c r="DA37" s="79"/>
      <c r="DB37" s="79"/>
      <c r="DC37" s="79"/>
      <c r="DD37" s="79"/>
      <c r="DE37" s="79"/>
      <c r="DF37" s="79"/>
      <c r="DG37" s="79"/>
      <c r="DH37" s="79"/>
      <c r="DI37" s="79"/>
      <c r="DJ37" s="55"/>
      <c r="DK37" s="56"/>
      <c r="DL37" s="56"/>
      <c r="DM37" s="56"/>
      <c r="DN37" s="56"/>
      <c r="DO37" s="56"/>
      <c r="DP37" s="56"/>
      <c r="DQ37" s="56"/>
      <c r="DR37" s="56"/>
      <c r="DS37" s="56"/>
      <c r="DT37" s="69">
        <f>IF(CK5,SUM(DS7:DS36)+2,NA())</f>
        <v>10</v>
      </c>
    </row>
    <row r="38" spans="1:124" ht="12" customHeight="1" thickTop="1" thickBot="1" x14ac:dyDescent="0.25">
      <c r="M38" s="634"/>
      <c r="O38" s="59"/>
      <c r="Q38" s="239"/>
      <c r="R38" s="709" t="str">
        <f>IF(AND($CL$1,$CK$5,$CN$4,CL39&lt;&gt;""), IF(fixedrandom=1,CL39,CM55),"")</f>
        <v/>
      </c>
      <c r="S38" s="847" t="str">
        <f>IF(R38&lt;&gt;"",2*(1-NORMSDIST(ABS(R38))),"")</f>
        <v/>
      </c>
      <c r="T38" s="710" t="str">
        <f>IF(R38&lt;&gt;"",IF(S38&lt;0.001,"***",(IF(S38&lt;0.01,"**",(IF(S38&lt;0.05,"*",(IF(S38&lt;0.1,"?","ns"))))))),"")</f>
        <v/>
      </c>
      <c r="U38" s="242"/>
      <c r="V38" s="458" t="str">
        <f>IF($CK$5,IF(fixedrandom=1,"Fixed effect","Random effects"),"")</f>
        <v>Random effects</v>
      </c>
      <c r="W38" s="917">
        <f>IF(AND($CK$5,$CV$2),IF(fixedrandom=1,SUMPRODUCT(CJ7:CJ36,CP7:CP36)/SUM(CP7:CP36),CM49),"")</f>
        <v>0.53907125485966279</v>
      </c>
      <c r="X38" s="918"/>
      <c r="Y38" s="241"/>
      <c r="Z38" s="242"/>
      <c r="AA38" s="242"/>
      <c r="AB38" s="625"/>
      <c r="AC38" s="711">
        <f>IF($CV$2,IF(fixedrandom=1,CN37^2,CM50),"")</f>
        <v>2.5098458889485829E-2</v>
      </c>
      <c r="AD38" s="712" t="s">
        <v>339</v>
      </c>
      <c r="AE38" s="713">
        <f>IF(CL39&lt;&gt;"",W38-AW38,"")</f>
        <v>0.22856409506001468</v>
      </c>
      <c r="AF38" s="714" t="s">
        <v>261</v>
      </c>
      <c r="AG38" s="713">
        <f>IF(CL39&lt;&gt;"",W38+AW38,"")</f>
        <v>0.84957841465931083</v>
      </c>
      <c r="AH38" s="715" t="s">
        <v>259</v>
      </c>
      <c r="AI38" s="247"/>
      <c r="AJ38" s="248"/>
      <c r="AK38" s="85">
        <f>$AK$3</f>
        <v>9.5000000000000005E-5</v>
      </c>
      <c r="AL38" s="249"/>
      <c r="AM38" s="170"/>
      <c r="AN38" s="716"/>
      <c r="AO38" s="170"/>
      <c r="AP38" s="170"/>
      <c r="AQ38" s="170"/>
      <c r="AR38" s="170"/>
      <c r="AS38" s="170"/>
      <c r="AT38" s="171"/>
      <c r="AU38" s="249"/>
      <c r="AV38" s="717">
        <f>$AK$3</f>
        <v>9.5000000000000005E-5</v>
      </c>
      <c r="AW38" s="718">
        <f>IF(CL39&lt;&gt;"",CO39,"")</f>
        <v>0.3105071597996481</v>
      </c>
      <c r="AX38" s="719">
        <f>IF(CL39&lt;&gt;"",CO39,"")</f>
        <v>0.3105071597996481</v>
      </c>
      <c r="AY38" s="250"/>
      <c r="AZ38" s="250"/>
      <c r="BA38" s="250"/>
      <c r="BB38" s="250"/>
      <c r="BC38" s="250"/>
      <c r="BF38" s="102"/>
      <c r="CD38" s="59" t="s">
        <v>80</v>
      </c>
      <c r="CE38" s="50">
        <f>IF(CL39&lt;&gt;"",CM52/(NORMSINV((100+$AA$2)/200)*CN37),NA())</f>
        <v>1.6218350931466146</v>
      </c>
      <c r="CG38" s="1"/>
      <c r="CH38" s="59" t="s">
        <v>300</v>
      </c>
      <c r="CI38" s="50">
        <v>0.4</v>
      </c>
      <c r="CL38" s="251" t="s">
        <v>315</v>
      </c>
      <c r="CN38" s="1"/>
      <c r="CO38" s="63" t="s">
        <v>299</v>
      </c>
      <c r="CP38" s="55"/>
      <c r="CQ38" s="720"/>
      <c r="CR38" s="721" t="s">
        <v>296</v>
      </c>
      <c r="CS38" s="722">
        <f>IF(fixedrandom=1,MAX(CP7:CP36),MAX(CV7:CV36))</f>
        <v>7.3656553623856151</v>
      </c>
      <c r="CU38" s="55"/>
      <c r="CV38" s="255"/>
      <c r="CW38" s="256"/>
      <c r="CX38" s="67" t="s">
        <v>406</v>
      </c>
      <c r="CY38" s="69" t="e">
        <f>IF(AND(NOT(CT3),CL39&lt;&gt;""),CY37,NA())</f>
        <v>#N/A</v>
      </c>
      <c r="CZ38" s="723" t="s">
        <v>407</v>
      </c>
      <c r="DA38" s="724"/>
      <c r="DB38" s="724"/>
      <c r="DC38" s="724"/>
      <c r="DD38" s="724"/>
    </row>
    <row r="39" spans="1:124" ht="12" customHeight="1" thickTop="1" x14ac:dyDescent="0.2">
      <c r="R39" s="249"/>
      <c r="S39" s="249"/>
      <c r="T39" s="249"/>
      <c r="X39" s="249"/>
      <c r="Y39" s="249"/>
      <c r="Z39" s="12"/>
      <c r="AA39" s="249"/>
      <c r="AB39" s="249"/>
      <c r="AC39" s="249"/>
      <c r="AD39" s="249"/>
      <c r="AE39" s="249"/>
      <c r="AF39" s="298"/>
      <c r="AG39" s="781"/>
      <c r="AH39" s="781"/>
      <c r="AI39" s="258"/>
      <c r="AJ39" s="53"/>
      <c r="AK39" s="85">
        <f>$AK$3</f>
        <v>9.5000000000000005E-5</v>
      </c>
      <c r="AL39" s="249"/>
      <c r="AM39" s="170"/>
      <c r="AN39" s="170"/>
      <c r="AO39" s="170"/>
      <c r="AP39" s="169"/>
      <c r="AQ39" s="249"/>
      <c r="AR39" s="249"/>
      <c r="AS39" s="249"/>
      <c r="AT39" s="249"/>
      <c r="AU39" s="249"/>
      <c r="AV39" s="53">
        <f>$AK$3</f>
        <v>9.5000000000000005E-5</v>
      </c>
      <c r="AW39" s="741"/>
      <c r="AX39" s="741"/>
      <c r="BI39" s="206"/>
      <c r="CE39" s="59" t="s">
        <v>301</v>
      </c>
      <c r="CF39" s="50">
        <f>CM40-CO39</f>
        <v>0.22856409506001468</v>
      </c>
      <c r="CG39" s="91" t="s">
        <v>309</v>
      </c>
      <c r="CI39" s="63" t="s">
        <v>313</v>
      </c>
      <c r="CL39" s="725">
        <f>IF($CK$5,(W38-$CJ$3)/CN37,"")</f>
        <v>5.5186053805112847</v>
      </c>
      <c r="CM39" s="264" t="e">
        <f>IF(AND($CK$5,$CV$2),IF(NOT(CT3),W38,NA()),NA())</f>
        <v>#N/A</v>
      </c>
      <c r="CN39" s="265">
        <f>IF(AND(NOT(CT3),CL39&lt;&gt;""),32,32)</f>
        <v>32</v>
      </c>
      <c r="CO39" s="726">
        <f>IF(CL39&lt;&gt;"",IF(fixedrandom=1,NORMSINV((100+$AA$2)/200)*CN37,CM52),NA())</f>
        <v>0.3105071597996481</v>
      </c>
      <c r="CP39" s="262"/>
      <c r="CQ39" s="262"/>
      <c r="CR39" s="266"/>
      <c r="CS39" s="727"/>
      <c r="CZ39" s="274">
        <v>0</v>
      </c>
      <c r="DA39" s="94" t="s">
        <v>293</v>
      </c>
      <c r="DB39" s="275" t="s">
        <v>294</v>
      </c>
      <c r="DC39" s="276" t="s">
        <v>295</v>
      </c>
    </row>
    <row r="40" spans="1:124" ht="12" customHeight="1" x14ac:dyDescent="0.2">
      <c r="R40" s="249"/>
      <c r="S40" s="249"/>
      <c r="T40" s="249"/>
      <c r="X40" s="249" t="s">
        <v>744</v>
      </c>
      <c r="Y40" s="249"/>
      <c r="Z40" s="728"/>
      <c r="AA40" s="249"/>
      <c r="AB40" s="249"/>
      <c r="AC40" s="272"/>
      <c r="AF40" s="745" t="s">
        <v>763</v>
      </c>
      <c r="AG40" s="626">
        <f>IF(CL39&lt;&gt;"",CE38,"")</f>
        <v>1.6218350931466146</v>
      </c>
      <c r="AH40" s="35"/>
      <c r="AI40" s="729"/>
      <c r="AJ40" s="53"/>
      <c r="AK40" s="249"/>
      <c r="AL40" s="249"/>
      <c r="AM40" s="170"/>
      <c r="AN40" s="170"/>
      <c r="AO40" s="170"/>
      <c r="AP40" s="169"/>
      <c r="AQ40" s="249"/>
      <c r="AR40" s="249"/>
      <c r="AS40" s="249"/>
      <c r="AT40" s="249"/>
      <c r="AU40" s="249"/>
      <c r="AV40" s="741"/>
      <c r="AW40" s="741"/>
      <c r="AX40" s="741"/>
      <c r="BI40" s="102"/>
      <c r="CE40" s="59" t="s">
        <v>302</v>
      </c>
      <c r="CF40" s="50">
        <f>CM40+CO39</f>
        <v>0.84957841465931083</v>
      </c>
      <c r="CG40" s="97">
        <f>IF(AND($CV$2,$CK$5),IF($CT$3,CM40,NA()),NA())</f>
        <v>0.53907125485966279</v>
      </c>
      <c r="CH40" s="95">
        <f>IF($CT$3,CN40+CI38,NA())</f>
        <v>32.4</v>
      </c>
      <c r="CI40" s="70">
        <f>IF($CT$3,CY37+CI38,NA())</f>
        <v>10.4</v>
      </c>
      <c r="CL40" s="1"/>
      <c r="CM40" s="672">
        <f>W38</f>
        <v>0.53907125485966279</v>
      </c>
      <c r="CN40" s="1">
        <v>32</v>
      </c>
      <c r="CP40" s="102"/>
      <c r="CQ40" s="730"/>
      <c r="CR40" s="102"/>
      <c r="CS40" s="102"/>
      <c r="CV40" s="102"/>
      <c r="CW40" s="102"/>
      <c r="CZ40" s="281">
        <f t="shared" ref="CZ40:CZ47" si="66">AVERAGE(DC40:DC41)</f>
        <v>1.1599999999999999</v>
      </c>
      <c r="DA40" s="90">
        <f t="shared" ref="DA40:DA48" si="67">$CS$38*CZ40/$CZ$48</f>
        <v>0.29851201748160761</v>
      </c>
      <c r="DB40" s="282">
        <v>3</v>
      </c>
      <c r="DC40" s="283">
        <v>0.36</v>
      </c>
    </row>
    <row r="41" spans="1:124" ht="12" customHeight="1" x14ac:dyDescent="0.2">
      <c r="U41" s="746" t="s">
        <v>351</v>
      </c>
      <c r="V41" s="249" t="s">
        <v>743</v>
      </c>
      <c r="W41" s="249"/>
      <c r="AC41" s="249"/>
      <c r="AD41" s="249"/>
      <c r="AE41" s="249"/>
      <c r="AF41" s="249"/>
      <c r="AG41" s="35"/>
      <c r="AH41" s="35"/>
      <c r="AI41" s="273"/>
      <c r="AJ41" s="53"/>
      <c r="AK41" s="249"/>
      <c r="AL41" s="249"/>
      <c r="AM41" s="170"/>
      <c r="AN41" s="170"/>
      <c r="AO41" s="170"/>
      <c r="AP41" s="170"/>
      <c r="AQ41" s="249"/>
      <c r="AR41" s="249"/>
      <c r="AS41" s="249"/>
      <c r="AT41" s="249"/>
      <c r="AU41" s="249"/>
      <c r="AV41" s="741"/>
      <c r="AW41" s="741"/>
      <c r="AX41" s="741"/>
      <c r="CE41" s="59" t="s">
        <v>303</v>
      </c>
      <c r="CF41" s="50">
        <v>200</v>
      </c>
      <c r="CG41" s="106">
        <f>IF(AND($CV$2,$CK$5),IF($CT$3,CM40-CO39,NA()),NA())</f>
        <v>0.22856409506001468</v>
      </c>
      <c r="CH41" s="113">
        <f>IF($CT$3,CN40,NA())</f>
        <v>32</v>
      </c>
      <c r="CI41" s="290">
        <f>IF($CT$3,CY37,NA())</f>
        <v>10</v>
      </c>
      <c r="CL41" s="1"/>
      <c r="CM41" s="90"/>
      <c r="CN41" s="90"/>
      <c r="CO41" s="90"/>
      <c r="CV41" s="90"/>
      <c r="CW41" s="90"/>
      <c r="CX41" s="90"/>
      <c r="CY41" s="113"/>
      <c r="CZ41" s="731">
        <f t="shared" si="66"/>
        <v>3.0608</v>
      </c>
      <c r="DA41" s="90">
        <f t="shared" si="67"/>
        <v>0.78765998543767635</v>
      </c>
      <c r="DB41" s="286">
        <v>4</v>
      </c>
      <c r="DC41" s="287">
        <v>1.96</v>
      </c>
      <c r="DG41" s="90"/>
      <c r="DH41" s="90"/>
    </row>
    <row r="42" spans="1:124" ht="12" customHeight="1" x14ac:dyDescent="0.2">
      <c r="X42" s="50" t="s">
        <v>745</v>
      </c>
      <c r="AC42" s="249"/>
      <c r="AD42" s="524"/>
      <c r="AE42" s="732"/>
      <c r="AF42" s="249"/>
      <c r="AG42" s="782"/>
      <c r="AH42" s="783"/>
      <c r="AI42" s="733"/>
      <c r="AJ42" s="53"/>
      <c r="AK42" s="249"/>
      <c r="AL42" s="249"/>
      <c r="AM42" s="249"/>
      <c r="AN42" s="249"/>
      <c r="AO42" s="249"/>
      <c r="AP42" s="259"/>
      <c r="AQ42" s="249"/>
      <c r="AR42" s="249"/>
      <c r="AS42" s="249"/>
      <c r="AT42" s="249"/>
      <c r="AU42" s="249"/>
      <c r="AV42" s="741"/>
      <c r="AW42" s="741"/>
      <c r="AX42" s="741"/>
      <c r="CE42" s="59" t="s">
        <v>304</v>
      </c>
      <c r="CF42" s="50">
        <f>(CF40-CF39)/CF41</f>
        <v>3.1050715979964805E-3</v>
      </c>
      <c r="CG42" s="106">
        <f>IF(AND($CV$2,$CK$5),IF($CT$3,CM40,NA()),NA())</f>
        <v>0.53907125485966279</v>
      </c>
      <c r="CH42" s="113">
        <f>IF($CT$3,CN40-CI38,NA())</f>
        <v>31.6</v>
      </c>
      <c r="CI42" s="290">
        <f>IF($CT$3,CY37-CI38,NA())</f>
        <v>9.6</v>
      </c>
      <c r="CL42" s="253" t="s">
        <v>334</v>
      </c>
      <c r="CM42" s="254" t="s">
        <v>335</v>
      </c>
      <c r="CV42" s="90"/>
      <c r="CW42" s="90"/>
      <c r="CX42" s="90"/>
      <c r="CY42" s="90"/>
      <c r="CZ42" s="281">
        <f t="shared" si="66"/>
        <v>5.4607999999999999</v>
      </c>
      <c r="DA42" s="90">
        <f t="shared" si="67"/>
        <v>1.4052710560892783</v>
      </c>
      <c r="DB42" s="288">
        <v>6</v>
      </c>
      <c r="DC42" s="289">
        <v>4.1616</v>
      </c>
      <c r="DG42" s="90"/>
      <c r="DH42" s="90"/>
    </row>
    <row r="43" spans="1:124" ht="12" customHeight="1" x14ac:dyDescent="0.2">
      <c r="AV43" s="741"/>
      <c r="AW43" s="742"/>
      <c r="AX43" s="742"/>
      <c r="CE43" s="59" t="s">
        <v>307</v>
      </c>
      <c r="CF43" s="50">
        <v>-0.02</v>
      </c>
      <c r="CG43" s="106">
        <f>IF(AND($CV$2,$CK$5),IF($CT$3,CM40+CO39,NA()),NA())</f>
        <v>0.84957841465931083</v>
      </c>
      <c r="CH43" s="113">
        <f>IF($CT$3,CN40,NA())</f>
        <v>32</v>
      </c>
      <c r="CI43" s="290">
        <f>IF($CT$3,CY37,NA())</f>
        <v>10</v>
      </c>
      <c r="CL43" s="268" t="s">
        <v>267</v>
      </c>
      <c r="CM43" s="677">
        <f>COUNT(CR7:CR36)-1</f>
        <v>7</v>
      </c>
      <c r="CV43" s="285"/>
      <c r="CZ43" s="281">
        <f t="shared" si="66"/>
        <v>8.3412499999999987</v>
      </c>
      <c r="DA43" s="90">
        <f t="shared" si="67"/>
        <v>2.1465201429469478</v>
      </c>
      <c r="DB43" s="292">
        <v>7</v>
      </c>
      <c r="DC43" s="283">
        <v>6.76</v>
      </c>
      <c r="DG43" s="90"/>
      <c r="DH43" s="90"/>
    </row>
    <row r="44" spans="1:124" ht="12" customHeight="1" x14ac:dyDescent="0.2">
      <c r="Z44" s="249"/>
      <c r="AL44" s="627"/>
      <c r="AV44" s="741"/>
      <c r="AW44" s="742"/>
      <c r="AX44" s="742"/>
      <c r="CG44" s="207">
        <f>IF(AND($CV$2,$CK$5),IF($CT$3,CM40,NA()),NA())</f>
        <v>0.53907125485966279</v>
      </c>
      <c r="CH44" s="109">
        <f>IF($CT$3,CN40+CI38,NA())</f>
        <v>32.4</v>
      </c>
      <c r="CI44" s="124">
        <f>IF($CT$3,CY37+CI38,NA())</f>
        <v>10.4</v>
      </c>
      <c r="CL44" s="268" t="s">
        <v>326</v>
      </c>
      <c r="CM44" s="677">
        <f>IF(CP37=0,"",CT37-CR37^2/CP37)</f>
        <v>15.775891870905397</v>
      </c>
      <c r="CZ44" s="281">
        <f t="shared" si="66"/>
        <v>11.806249999999999</v>
      </c>
      <c r="DA44" s="90">
        <f t="shared" si="67"/>
        <v>3.038196126200198</v>
      </c>
      <c r="DB44" s="294">
        <v>9</v>
      </c>
      <c r="DC44" s="287">
        <v>9.9224999999999994</v>
      </c>
      <c r="DG44" s="90"/>
      <c r="DH44" s="90"/>
    </row>
    <row r="45" spans="1:124" ht="12" customHeight="1" x14ac:dyDescent="0.2">
      <c r="AD45" s="85"/>
      <c r="AV45" s="741"/>
      <c r="AW45" s="742"/>
      <c r="AX45" s="742"/>
      <c r="CL45" s="268" t="s">
        <v>352</v>
      </c>
      <c r="CM45" s="677">
        <f>CHIDIST(CM44,CM43)</f>
        <v>2.7244597170702257E-2</v>
      </c>
      <c r="CV45" s="90"/>
      <c r="CW45" s="102"/>
      <c r="CX45" s="102"/>
      <c r="CY45" s="102"/>
      <c r="CZ45" s="281">
        <f t="shared" si="66"/>
        <v>15.876249999999999</v>
      </c>
      <c r="DA45" s="90">
        <f t="shared" si="67"/>
        <v>4.0855615668468728</v>
      </c>
      <c r="DB45" s="295">
        <v>10</v>
      </c>
      <c r="DC45" s="289">
        <v>13.69</v>
      </c>
      <c r="DG45" s="90"/>
      <c r="DH45" s="90"/>
    </row>
    <row r="46" spans="1:124" ht="12" customHeight="1" x14ac:dyDescent="0.2">
      <c r="AV46" s="741"/>
      <c r="AW46" s="742"/>
      <c r="AX46" s="742"/>
      <c r="CJ46" s="63" t="s">
        <v>313</v>
      </c>
      <c r="CL46" s="268" t="s">
        <v>251</v>
      </c>
      <c r="CM46" s="734">
        <f>CP37-CS37/CP37</f>
        <v>84.578438742759303</v>
      </c>
      <c r="CZ46" s="281">
        <f t="shared" si="66"/>
        <v>20.55125</v>
      </c>
      <c r="DA46" s="90">
        <f t="shared" si="67"/>
        <v>5.2886164648869727</v>
      </c>
      <c r="DB46" s="296">
        <v>12</v>
      </c>
      <c r="DC46" s="283">
        <v>18.0625</v>
      </c>
      <c r="DG46" s="90"/>
      <c r="DH46" s="90"/>
    </row>
    <row r="47" spans="1:124" ht="12" customHeight="1" x14ac:dyDescent="0.2">
      <c r="AE47" s="249"/>
      <c r="AV47" s="741"/>
      <c r="AW47" s="742"/>
      <c r="AX47" s="742"/>
      <c r="CE47" s="63" t="s">
        <v>305</v>
      </c>
      <c r="CF47" s="50" t="s">
        <v>308</v>
      </c>
      <c r="CG47" s="63" t="s">
        <v>264</v>
      </c>
      <c r="CH47" s="63" t="s">
        <v>263</v>
      </c>
      <c r="CI47" s="63" t="s">
        <v>306</v>
      </c>
      <c r="CJ47" s="154" t="s">
        <v>268</v>
      </c>
      <c r="CL47" s="268" t="s">
        <v>327</v>
      </c>
      <c r="CM47" s="677">
        <f>IF(CM46=0,0,MAX(0,(CM44-CM43)/CM46))</f>
        <v>0.1037603909620133</v>
      </c>
      <c r="CZ47" s="281">
        <f t="shared" si="66"/>
        <v>25.831249999999997</v>
      </c>
      <c r="DA47" s="90">
        <f t="shared" si="67"/>
        <v>6.6473608203204968</v>
      </c>
      <c r="DB47" s="297">
        <v>13</v>
      </c>
      <c r="DC47" s="287">
        <v>23.04</v>
      </c>
      <c r="DG47" s="90"/>
      <c r="DH47" s="90"/>
    </row>
    <row r="48" spans="1:124" ht="12" customHeight="1" x14ac:dyDescent="0.2">
      <c r="AE48" s="249"/>
      <c r="AV48" s="741"/>
      <c r="CE48" s="50">
        <v>0</v>
      </c>
      <c r="CF48" s="50">
        <f t="shared" ref="CF48:CF111" si="68">1-ABS($CM$40-CG48)/$CO$39</f>
        <v>0</v>
      </c>
      <c r="CG48" s="50">
        <f>IF($CT$3,CF39,NA())</f>
        <v>0.22856409506001468</v>
      </c>
      <c r="CH48" s="50">
        <f>IF($CT$3,CN40,NA())</f>
        <v>32</v>
      </c>
      <c r="CI48" s="50">
        <f t="shared" ref="CI48:CI111" si="69">MAX($CI$38*CF48-$CF$43,0)</f>
        <v>0.02</v>
      </c>
      <c r="CJ48" s="50">
        <f>IF($CT$3,CY37,NA())</f>
        <v>10</v>
      </c>
      <c r="CL48" s="268" t="s">
        <v>340</v>
      </c>
      <c r="CM48" s="677">
        <f>SQRT(CM47)</f>
        <v>0.32211859766553885</v>
      </c>
      <c r="CZ48" s="299">
        <f>DC48</f>
        <v>28.622499999999999</v>
      </c>
      <c r="DA48" s="79">
        <f t="shared" si="67"/>
        <v>7.3656553623856151</v>
      </c>
      <c r="DB48" s="300">
        <v>15</v>
      </c>
      <c r="DC48" s="289">
        <v>28.622499999999999</v>
      </c>
      <c r="DG48" s="90"/>
      <c r="DH48" s="90"/>
    </row>
    <row r="49" spans="22:112" ht="12" customHeight="1" x14ac:dyDescent="0.2">
      <c r="AV49" s="741"/>
      <c r="CE49" s="50">
        <v>1</v>
      </c>
      <c r="CF49" s="50">
        <f t="shared" si="68"/>
        <v>1.0000000000000009E-2</v>
      </c>
      <c r="CG49" s="50">
        <f t="shared" ref="CG49:CG80" si="70">IF($CT$3,CG48+$CF$42,NA())</f>
        <v>0.23166916665801116</v>
      </c>
      <c r="CH49" s="50">
        <f t="shared" ref="CH49:CH80" si="71">CH48</f>
        <v>32</v>
      </c>
      <c r="CI49" s="50">
        <f t="shared" si="69"/>
        <v>2.4000000000000004E-2</v>
      </c>
      <c r="CJ49" s="50">
        <f t="shared" ref="CJ49:CJ80" si="72">CJ48</f>
        <v>10</v>
      </c>
      <c r="CL49" s="291" t="s">
        <v>328</v>
      </c>
      <c r="CM49" s="677">
        <f>CW37/CV37</f>
        <v>0.53907125485966279</v>
      </c>
      <c r="CS49" s="63"/>
      <c r="DG49" s="90"/>
      <c r="DH49" s="90"/>
    </row>
    <row r="50" spans="22:112" ht="12" customHeight="1" x14ac:dyDescent="0.2">
      <c r="V50" s="298"/>
      <c r="CE50" s="50">
        <v>2</v>
      </c>
      <c r="CF50" s="50">
        <f t="shared" si="68"/>
        <v>1.9999999999999907E-2</v>
      </c>
      <c r="CG50" s="50">
        <f t="shared" si="70"/>
        <v>0.23477423825600763</v>
      </c>
      <c r="CH50" s="50">
        <f t="shared" si="71"/>
        <v>32</v>
      </c>
      <c r="CI50" s="50">
        <f t="shared" si="69"/>
        <v>2.7999999999999962E-2</v>
      </c>
      <c r="CJ50" s="50">
        <f t="shared" si="72"/>
        <v>10</v>
      </c>
      <c r="CL50" s="268" t="s">
        <v>329</v>
      </c>
      <c r="CM50" s="677">
        <f>1/CV37</f>
        <v>2.5098458889485829E-2</v>
      </c>
      <c r="CO50" s="63"/>
      <c r="CP50" s="63"/>
      <c r="CQ50" s="63"/>
      <c r="CS50" s="154"/>
      <c r="CV50" s="102"/>
      <c r="DG50" s="90"/>
      <c r="DH50" s="90"/>
    </row>
    <row r="51" spans="22:112" ht="12" customHeight="1" x14ac:dyDescent="0.2">
      <c r="CE51" s="50">
        <v>3</v>
      </c>
      <c r="CF51" s="50">
        <f t="shared" si="68"/>
        <v>2.9999999999999805E-2</v>
      </c>
      <c r="CG51" s="50">
        <f t="shared" si="70"/>
        <v>0.2378793098540041</v>
      </c>
      <c r="CH51" s="50">
        <f t="shared" si="71"/>
        <v>32</v>
      </c>
      <c r="CI51" s="50">
        <f t="shared" si="69"/>
        <v>3.1999999999999924E-2</v>
      </c>
      <c r="CJ51" s="50">
        <f t="shared" si="72"/>
        <v>10</v>
      </c>
      <c r="CL51" s="268" t="s">
        <v>330</v>
      </c>
      <c r="CM51" s="677">
        <f>SQRT(CM50)</f>
        <v>0.15842493140123443</v>
      </c>
    </row>
    <row r="52" spans="22:112" ht="12" customHeight="1" x14ac:dyDescent="0.2">
      <c r="V52" s="59"/>
      <c r="CE52" s="50">
        <v>4</v>
      </c>
      <c r="CF52" s="50">
        <f t="shared" si="68"/>
        <v>3.9999999999999925E-2</v>
      </c>
      <c r="CG52" s="50">
        <f t="shared" si="70"/>
        <v>0.24098438145200057</v>
      </c>
      <c r="CH52" s="50">
        <f t="shared" si="71"/>
        <v>32</v>
      </c>
      <c r="CI52" s="50">
        <f t="shared" si="69"/>
        <v>3.599999999999997E-2</v>
      </c>
      <c r="CJ52" s="50">
        <f t="shared" si="72"/>
        <v>10</v>
      </c>
      <c r="CL52" s="268" t="s">
        <v>331</v>
      </c>
      <c r="CM52" s="677">
        <f>NORMSINV((100+$AA$2)/200)*CM51</f>
        <v>0.3105071597996481</v>
      </c>
    </row>
    <row r="53" spans="22:112" ht="12" customHeight="1" x14ac:dyDescent="0.2">
      <c r="V53" s="59"/>
      <c r="CE53" s="50">
        <v>5</v>
      </c>
      <c r="CF53" s="50">
        <f t="shared" si="68"/>
        <v>4.9999999999999933E-2</v>
      </c>
      <c r="CG53" s="50">
        <f t="shared" si="70"/>
        <v>0.24408945304999705</v>
      </c>
      <c r="CH53" s="50">
        <f t="shared" si="71"/>
        <v>32</v>
      </c>
      <c r="CI53" s="50">
        <f t="shared" si="69"/>
        <v>3.999999999999998E-2</v>
      </c>
      <c r="CJ53" s="50">
        <f t="shared" si="72"/>
        <v>10</v>
      </c>
      <c r="CL53" s="268" t="s">
        <v>332</v>
      </c>
      <c r="CM53" s="677">
        <f>CM49-CM52</f>
        <v>0.22856409506001468</v>
      </c>
    </row>
    <row r="54" spans="22:112" ht="12" customHeight="1" x14ac:dyDescent="0.2">
      <c r="CE54" s="50">
        <v>6</v>
      </c>
      <c r="CF54" s="50">
        <f t="shared" si="68"/>
        <v>5.9999999999999831E-2</v>
      </c>
      <c r="CG54" s="50">
        <f t="shared" si="70"/>
        <v>0.24719452464799352</v>
      </c>
      <c r="CH54" s="50">
        <f t="shared" si="71"/>
        <v>32</v>
      </c>
      <c r="CI54" s="50">
        <f t="shared" si="69"/>
        <v>4.3999999999999935E-2</v>
      </c>
      <c r="CJ54" s="50">
        <f t="shared" si="72"/>
        <v>10</v>
      </c>
      <c r="CL54" s="268" t="s">
        <v>333</v>
      </c>
      <c r="CM54" s="677">
        <f>CM49+CM52</f>
        <v>0.84957841465931083</v>
      </c>
    </row>
    <row r="55" spans="22:112" ht="12" customHeight="1" x14ac:dyDescent="0.2">
      <c r="CE55" s="50">
        <v>7</v>
      </c>
      <c r="CF55" s="50">
        <f t="shared" si="68"/>
        <v>6.9999999999999951E-2</v>
      </c>
      <c r="CG55" s="50">
        <f t="shared" si="70"/>
        <v>0.25029959624599002</v>
      </c>
      <c r="CH55" s="50">
        <f t="shared" si="71"/>
        <v>32</v>
      </c>
      <c r="CI55" s="50">
        <f t="shared" si="69"/>
        <v>4.7999999999999987E-2</v>
      </c>
      <c r="CJ55" s="50">
        <f t="shared" si="72"/>
        <v>10</v>
      </c>
      <c r="CL55" s="268" t="s">
        <v>315</v>
      </c>
      <c r="CM55" s="677">
        <f>(CM49-$CJ$3)/CM51</f>
        <v>3.4026920516341308</v>
      </c>
    </row>
    <row r="56" spans="22:112" ht="12" customHeight="1" x14ac:dyDescent="0.2">
      <c r="CE56" s="50">
        <v>8</v>
      </c>
      <c r="CF56" s="50">
        <f t="shared" si="68"/>
        <v>7.999999999999996E-2</v>
      </c>
      <c r="CG56" s="50">
        <f t="shared" si="70"/>
        <v>0.25340466784398652</v>
      </c>
      <c r="CH56" s="50">
        <f t="shared" si="71"/>
        <v>32</v>
      </c>
      <c r="CI56" s="50">
        <f t="shared" si="69"/>
        <v>5.1999999999999991E-2</v>
      </c>
      <c r="CJ56" s="50">
        <f t="shared" si="72"/>
        <v>10</v>
      </c>
      <c r="CL56" s="268" t="s">
        <v>266</v>
      </c>
      <c r="CM56" s="677">
        <f>2*(1-NORMSDIST(ABS(CM55)))</f>
        <v>6.6725441386550344E-4</v>
      </c>
    </row>
    <row r="57" spans="22:112" ht="12" customHeight="1" x14ac:dyDescent="0.2">
      <c r="CE57" s="50">
        <v>9</v>
      </c>
      <c r="CF57" s="50">
        <f t="shared" si="68"/>
        <v>9.000000000000008E-2</v>
      </c>
      <c r="CG57" s="50">
        <f t="shared" si="70"/>
        <v>0.25650973944198302</v>
      </c>
      <c r="CH57" s="50">
        <f t="shared" si="71"/>
        <v>32</v>
      </c>
      <c r="CI57" s="50">
        <f t="shared" si="69"/>
        <v>5.6000000000000036E-2</v>
      </c>
      <c r="CJ57" s="50">
        <f t="shared" si="72"/>
        <v>10</v>
      </c>
      <c r="CL57" s="303" t="s">
        <v>341</v>
      </c>
      <c r="CM57" s="735">
        <f>MAX(0,(CM44-CM43)/CM44)</f>
        <v>0.55628499122070485</v>
      </c>
    </row>
    <row r="58" spans="22:112" ht="12" customHeight="1" x14ac:dyDescent="0.2">
      <c r="CE58" s="50">
        <v>10</v>
      </c>
      <c r="CF58" s="50">
        <f t="shared" si="68"/>
        <v>0.10000000000000009</v>
      </c>
      <c r="CG58" s="50">
        <f t="shared" si="70"/>
        <v>0.25961481103997952</v>
      </c>
      <c r="CH58" s="50">
        <f t="shared" si="71"/>
        <v>32</v>
      </c>
      <c r="CI58" s="50">
        <f t="shared" si="69"/>
        <v>6.0000000000000039E-2</v>
      </c>
      <c r="CJ58" s="50">
        <f t="shared" si="72"/>
        <v>10</v>
      </c>
      <c r="CL58" s="106" t="s">
        <v>342</v>
      </c>
      <c r="CM58" s="113"/>
      <c r="CV58" s="306"/>
      <c r="CW58" s="63"/>
      <c r="CX58" s="63"/>
      <c r="CY58" s="63"/>
      <c r="CZ58" s="63"/>
    </row>
    <row r="59" spans="22:112" ht="12" customHeight="1" x14ac:dyDescent="0.2">
      <c r="CE59" s="50">
        <v>11</v>
      </c>
      <c r="CF59" s="50">
        <f t="shared" si="68"/>
        <v>0.1100000000000001</v>
      </c>
      <c r="CG59" s="50">
        <f t="shared" si="70"/>
        <v>0.26271988263797602</v>
      </c>
      <c r="CH59" s="50">
        <f t="shared" si="71"/>
        <v>32</v>
      </c>
      <c r="CI59" s="50">
        <f t="shared" si="69"/>
        <v>6.4000000000000043E-2</v>
      </c>
      <c r="CJ59" s="50">
        <f t="shared" si="72"/>
        <v>10</v>
      </c>
      <c r="CL59" s="268" t="s">
        <v>343</v>
      </c>
      <c r="CM59" s="677">
        <f>0.5*(LN(CM44)-LN(CM43))/(SQRT(2*CM44)-SQRT(2*CM43-1))</f>
        <v>0.20197716706621055</v>
      </c>
      <c r="CW59" s="154"/>
      <c r="CX59" s="154"/>
      <c r="CY59" s="154"/>
      <c r="CZ59" s="154"/>
    </row>
    <row r="60" spans="22:112" ht="12" customHeight="1" x14ac:dyDescent="0.2">
      <c r="CE60" s="50">
        <v>12</v>
      </c>
      <c r="CF60" s="50">
        <f t="shared" si="68"/>
        <v>0.12000000000000022</v>
      </c>
      <c r="CG60" s="50">
        <f t="shared" si="70"/>
        <v>0.26582495423597252</v>
      </c>
      <c r="CH60" s="50">
        <f t="shared" si="71"/>
        <v>32</v>
      </c>
      <c r="CI60" s="50">
        <f t="shared" si="69"/>
        <v>6.8000000000000088E-2</v>
      </c>
      <c r="CJ60" s="50">
        <f t="shared" si="72"/>
        <v>10</v>
      </c>
      <c r="CL60" s="268" t="s">
        <v>344</v>
      </c>
      <c r="CM60" s="736">
        <f>SQRT(1/(2*(CM43-1)*(1-(1/(3*(CM43-1)^2)))))</f>
        <v>0.29002094671369905</v>
      </c>
    </row>
    <row r="61" spans="22:112" ht="12" customHeight="1" x14ac:dyDescent="0.2">
      <c r="CE61" s="50">
        <v>13</v>
      </c>
      <c r="CF61" s="50">
        <f t="shared" si="68"/>
        <v>0.13000000000000023</v>
      </c>
      <c r="CG61" s="50">
        <f t="shared" si="70"/>
        <v>0.26893002583396902</v>
      </c>
      <c r="CH61" s="50">
        <f t="shared" si="71"/>
        <v>32</v>
      </c>
      <c r="CI61" s="50">
        <f t="shared" si="69"/>
        <v>7.2000000000000092E-2</v>
      </c>
      <c r="CJ61" s="50">
        <f t="shared" si="72"/>
        <v>10</v>
      </c>
      <c r="CL61" s="268" t="s">
        <v>258</v>
      </c>
      <c r="CM61" s="736">
        <f>IF(CM44&gt;(CM43+1),CM59,CM60)</f>
        <v>0.20197716706621055</v>
      </c>
      <c r="CV61" s="63"/>
    </row>
    <row r="62" spans="22:112" ht="12" customHeight="1" x14ac:dyDescent="0.2">
      <c r="CE62" s="50">
        <v>14</v>
      </c>
      <c r="CF62" s="50">
        <f t="shared" si="68"/>
        <v>0.14000000000000035</v>
      </c>
      <c r="CG62" s="50">
        <f t="shared" si="70"/>
        <v>0.27203509743196552</v>
      </c>
      <c r="CH62" s="50">
        <f t="shared" si="71"/>
        <v>32</v>
      </c>
      <c r="CI62" s="50">
        <f t="shared" si="69"/>
        <v>7.6000000000000137E-2</v>
      </c>
      <c r="CJ62" s="50">
        <f t="shared" si="72"/>
        <v>10</v>
      </c>
      <c r="CL62" s="268" t="s">
        <v>345</v>
      </c>
      <c r="CM62" s="677">
        <f>EXP(0.5*LN(CM44/CM43)-NORMSINV((100+$AA$2)/200)*CM61)</f>
        <v>1.0104728849782771</v>
      </c>
      <c r="CV62" s="154"/>
    </row>
    <row r="63" spans="22:112" ht="12" customHeight="1" x14ac:dyDescent="0.2">
      <c r="CE63" s="50">
        <v>15</v>
      </c>
      <c r="CF63" s="50">
        <f t="shared" si="68"/>
        <v>0.15000000000000036</v>
      </c>
      <c r="CG63" s="50">
        <f t="shared" si="70"/>
        <v>0.27514016902996202</v>
      </c>
      <c r="CH63" s="50">
        <f t="shared" si="71"/>
        <v>32</v>
      </c>
      <c r="CI63" s="50">
        <f t="shared" si="69"/>
        <v>8.000000000000014E-2</v>
      </c>
      <c r="CJ63" s="50">
        <f t="shared" si="72"/>
        <v>10</v>
      </c>
      <c r="CL63" s="268" t="s">
        <v>346</v>
      </c>
      <c r="CM63" s="677">
        <f>EXP(0.5*LN(CM44/CM43)+NORMSINV((100+$AA$2)/200)*CM61)</f>
        <v>2.2303407367029155</v>
      </c>
    </row>
    <row r="64" spans="22:112" ht="12" customHeight="1" x14ac:dyDescent="0.2">
      <c r="CE64" s="50">
        <v>16</v>
      </c>
      <c r="CF64" s="50">
        <f t="shared" si="68"/>
        <v>0.16000000000000048</v>
      </c>
      <c r="CG64" s="50">
        <f t="shared" si="70"/>
        <v>0.27824524062795852</v>
      </c>
      <c r="CH64" s="50">
        <f t="shared" si="71"/>
        <v>32</v>
      </c>
      <c r="CI64" s="50">
        <f t="shared" si="69"/>
        <v>8.40000000000002E-2</v>
      </c>
      <c r="CJ64" s="50">
        <f t="shared" si="72"/>
        <v>10</v>
      </c>
      <c r="CL64" s="268" t="s">
        <v>347</v>
      </c>
      <c r="CM64" s="677">
        <f>MAX(0,CM43*(CM62^2-1)/CM46)</f>
        <v>1.7426209460135707E-3</v>
      </c>
    </row>
    <row r="65" spans="83:91" ht="12" customHeight="1" x14ac:dyDescent="0.2">
      <c r="CE65" s="50">
        <v>17</v>
      </c>
      <c r="CF65" s="50">
        <f t="shared" si="68"/>
        <v>0.17000000000000048</v>
      </c>
      <c r="CG65" s="50">
        <f t="shared" si="70"/>
        <v>0.28135031222595502</v>
      </c>
      <c r="CH65" s="50">
        <f t="shared" si="71"/>
        <v>32</v>
      </c>
      <c r="CI65" s="50">
        <f t="shared" si="69"/>
        <v>8.8000000000000203E-2</v>
      </c>
      <c r="CJ65" s="50">
        <f t="shared" si="72"/>
        <v>10</v>
      </c>
      <c r="CL65" s="268" t="s">
        <v>348</v>
      </c>
      <c r="CM65" s="677">
        <f>MAX(0,CM43*(CM63^2-1)/CM46)</f>
        <v>0.32893653543536538</v>
      </c>
    </row>
    <row r="66" spans="83:91" ht="12" customHeight="1" x14ac:dyDescent="0.2">
      <c r="CE66" s="50">
        <v>18</v>
      </c>
      <c r="CF66" s="50">
        <f t="shared" si="68"/>
        <v>0.1800000000000006</v>
      </c>
      <c r="CG66" s="50">
        <f t="shared" si="70"/>
        <v>0.28445538382395152</v>
      </c>
      <c r="CH66" s="50">
        <f t="shared" si="71"/>
        <v>32</v>
      </c>
      <c r="CI66" s="50">
        <f t="shared" si="69"/>
        <v>9.2000000000000248E-2</v>
      </c>
      <c r="CJ66" s="50">
        <f t="shared" si="72"/>
        <v>10</v>
      </c>
      <c r="CL66" s="268" t="s">
        <v>349</v>
      </c>
      <c r="CM66" s="677">
        <f>SQRT(CM64)</f>
        <v>4.1744711593369177E-2</v>
      </c>
    </row>
    <row r="67" spans="83:91" ht="12" customHeight="1" x14ac:dyDescent="0.2">
      <c r="CE67" s="50">
        <v>19</v>
      </c>
      <c r="CF67" s="50">
        <f t="shared" si="68"/>
        <v>0.19000000000000061</v>
      </c>
      <c r="CG67" s="50">
        <f t="shared" si="70"/>
        <v>0.28756045542194802</v>
      </c>
      <c r="CH67" s="50">
        <f t="shared" si="71"/>
        <v>32</v>
      </c>
      <c r="CI67" s="50">
        <f t="shared" si="69"/>
        <v>9.6000000000000252E-2</v>
      </c>
      <c r="CJ67" s="50">
        <f t="shared" si="72"/>
        <v>10</v>
      </c>
      <c r="CL67" s="107" t="s">
        <v>350</v>
      </c>
      <c r="CM67" s="737">
        <f>SQRT(CM65)</f>
        <v>0.57352989062067672</v>
      </c>
    </row>
    <row r="68" spans="83:91" ht="12" customHeight="1" x14ac:dyDescent="0.2">
      <c r="CE68" s="50">
        <v>20</v>
      </c>
      <c r="CF68" s="50">
        <f t="shared" si="68"/>
        <v>0.20000000000000073</v>
      </c>
      <c r="CG68" s="50">
        <f t="shared" si="70"/>
        <v>0.29066552701994453</v>
      </c>
      <c r="CH68" s="50">
        <f t="shared" si="71"/>
        <v>32</v>
      </c>
      <c r="CI68" s="50">
        <f t="shared" si="69"/>
        <v>0.1000000000000003</v>
      </c>
      <c r="CJ68" s="50">
        <f t="shared" si="72"/>
        <v>10</v>
      </c>
    </row>
    <row r="69" spans="83:91" ht="12" customHeight="1" x14ac:dyDescent="0.2">
      <c r="CE69" s="50">
        <v>21</v>
      </c>
      <c r="CF69" s="50">
        <f t="shared" si="68"/>
        <v>0.21000000000000074</v>
      </c>
      <c r="CG69" s="50">
        <f t="shared" si="70"/>
        <v>0.29377059861794103</v>
      </c>
      <c r="CH69" s="50">
        <f t="shared" si="71"/>
        <v>32</v>
      </c>
      <c r="CI69" s="50">
        <f t="shared" si="69"/>
        <v>0.1040000000000003</v>
      </c>
      <c r="CJ69" s="50">
        <f t="shared" si="72"/>
        <v>10</v>
      </c>
    </row>
    <row r="70" spans="83:91" ht="12" customHeight="1" x14ac:dyDescent="0.2">
      <c r="CE70" s="50">
        <v>22</v>
      </c>
      <c r="CF70" s="50">
        <f t="shared" si="68"/>
        <v>0.22000000000000086</v>
      </c>
      <c r="CG70" s="50">
        <f t="shared" si="70"/>
        <v>0.29687567021593753</v>
      </c>
      <c r="CH70" s="50">
        <f t="shared" si="71"/>
        <v>32</v>
      </c>
      <c r="CI70" s="50">
        <f t="shared" si="69"/>
        <v>0.10800000000000036</v>
      </c>
      <c r="CJ70" s="50">
        <f t="shared" si="72"/>
        <v>10</v>
      </c>
    </row>
    <row r="71" spans="83:91" ht="12" customHeight="1" x14ac:dyDescent="0.2">
      <c r="CE71" s="50">
        <v>23</v>
      </c>
      <c r="CF71" s="50">
        <f t="shared" si="68"/>
        <v>0.23000000000000087</v>
      </c>
      <c r="CG71" s="50">
        <f t="shared" si="70"/>
        <v>0.29998074181393403</v>
      </c>
      <c r="CH71" s="50">
        <f t="shared" si="71"/>
        <v>32</v>
      </c>
      <c r="CI71" s="50">
        <f t="shared" si="69"/>
        <v>0.11200000000000036</v>
      </c>
      <c r="CJ71" s="50">
        <f t="shared" si="72"/>
        <v>10</v>
      </c>
    </row>
    <row r="72" spans="83:91" ht="12" customHeight="1" x14ac:dyDescent="0.2">
      <c r="CE72" s="50">
        <v>24</v>
      </c>
      <c r="CF72" s="50">
        <f t="shared" si="68"/>
        <v>0.24000000000000099</v>
      </c>
      <c r="CG72" s="50">
        <f t="shared" si="70"/>
        <v>0.30308581341193053</v>
      </c>
      <c r="CH72" s="50">
        <f t="shared" si="71"/>
        <v>32</v>
      </c>
      <c r="CI72" s="50">
        <f t="shared" si="69"/>
        <v>0.11600000000000041</v>
      </c>
      <c r="CJ72" s="50">
        <f t="shared" si="72"/>
        <v>10</v>
      </c>
    </row>
    <row r="73" spans="83:91" ht="12" customHeight="1" x14ac:dyDescent="0.2">
      <c r="CE73" s="50">
        <v>25</v>
      </c>
      <c r="CF73" s="50">
        <f t="shared" si="68"/>
        <v>0.250000000000001</v>
      </c>
      <c r="CG73" s="50">
        <f t="shared" si="70"/>
        <v>0.30619088500992703</v>
      </c>
      <c r="CH73" s="50">
        <f t="shared" si="71"/>
        <v>32</v>
      </c>
      <c r="CI73" s="50">
        <f t="shared" si="69"/>
        <v>0.12000000000000041</v>
      </c>
      <c r="CJ73" s="50">
        <f t="shared" si="72"/>
        <v>10</v>
      </c>
    </row>
    <row r="74" spans="83:91" ht="12" customHeight="1" x14ac:dyDescent="0.2">
      <c r="CE74" s="50">
        <v>26</v>
      </c>
      <c r="CF74" s="50">
        <f t="shared" si="68"/>
        <v>0.26000000000000112</v>
      </c>
      <c r="CG74" s="50">
        <f t="shared" si="70"/>
        <v>0.30929595660792353</v>
      </c>
      <c r="CH74" s="50">
        <f t="shared" si="71"/>
        <v>32</v>
      </c>
      <c r="CI74" s="50">
        <f t="shared" si="69"/>
        <v>0.12400000000000046</v>
      </c>
      <c r="CJ74" s="50">
        <f t="shared" si="72"/>
        <v>10</v>
      </c>
    </row>
    <row r="75" spans="83:91" ht="12" customHeight="1" x14ac:dyDescent="0.2">
      <c r="CE75" s="50">
        <v>27</v>
      </c>
      <c r="CF75" s="50">
        <f t="shared" si="68"/>
        <v>0.27000000000000113</v>
      </c>
      <c r="CG75" s="50">
        <f t="shared" si="70"/>
        <v>0.31240102820592003</v>
      </c>
      <c r="CH75" s="50">
        <f t="shared" si="71"/>
        <v>32</v>
      </c>
      <c r="CI75" s="50">
        <f t="shared" si="69"/>
        <v>0.12800000000000045</v>
      </c>
      <c r="CJ75" s="50">
        <f t="shared" si="72"/>
        <v>10</v>
      </c>
    </row>
    <row r="76" spans="83:91" ht="12" customHeight="1" x14ac:dyDescent="0.2">
      <c r="CE76" s="50">
        <v>28</v>
      </c>
      <c r="CF76" s="50">
        <f t="shared" si="68"/>
        <v>0.28000000000000125</v>
      </c>
      <c r="CG76" s="50">
        <f t="shared" si="70"/>
        <v>0.31550609980391653</v>
      </c>
      <c r="CH76" s="50">
        <f t="shared" si="71"/>
        <v>32</v>
      </c>
      <c r="CI76" s="50">
        <f t="shared" si="69"/>
        <v>0.13200000000000051</v>
      </c>
      <c r="CJ76" s="50">
        <f t="shared" si="72"/>
        <v>10</v>
      </c>
    </row>
    <row r="77" spans="83:91" ht="12" customHeight="1" x14ac:dyDescent="0.2">
      <c r="CE77" s="50">
        <v>29</v>
      </c>
      <c r="CF77" s="50">
        <f t="shared" si="68"/>
        <v>0.29000000000000126</v>
      </c>
      <c r="CG77" s="50">
        <f t="shared" si="70"/>
        <v>0.31861117140191303</v>
      </c>
      <c r="CH77" s="50">
        <f t="shared" si="71"/>
        <v>32</v>
      </c>
      <c r="CI77" s="50">
        <f t="shared" si="69"/>
        <v>0.13600000000000051</v>
      </c>
      <c r="CJ77" s="50">
        <f t="shared" si="72"/>
        <v>10</v>
      </c>
    </row>
    <row r="78" spans="83:91" ht="12" customHeight="1" x14ac:dyDescent="0.2">
      <c r="CE78" s="50">
        <v>30</v>
      </c>
      <c r="CF78" s="50">
        <f t="shared" si="68"/>
        <v>0.30000000000000138</v>
      </c>
      <c r="CG78" s="50">
        <f t="shared" si="70"/>
        <v>0.32171624299990953</v>
      </c>
      <c r="CH78" s="50">
        <f t="shared" si="71"/>
        <v>32</v>
      </c>
      <c r="CI78" s="50">
        <f t="shared" si="69"/>
        <v>0.14000000000000054</v>
      </c>
      <c r="CJ78" s="50">
        <f t="shared" si="72"/>
        <v>10</v>
      </c>
    </row>
    <row r="79" spans="83:91" ht="12" customHeight="1" x14ac:dyDescent="0.2">
      <c r="CE79" s="50">
        <v>31</v>
      </c>
      <c r="CF79" s="50">
        <f t="shared" si="68"/>
        <v>0.31000000000000139</v>
      </c>
      <c r="CG79" s="50">
        <f t="shared" si="70"/>
        <v>0.32482131459790603</v>
      </c>
      <c r="CH79" s="50">
        <f t="shared" si="71"/>
        <v>32</v>
      </c>
      <c r="CI79" s="50">
        <f t="shared" si="69"/>
        <v>0.14400000000000054</v>
      </c>
      <c r="CJ79" s="50">
        <f t="shared" si="72"/>
        <v>10</v>
      </c>
    </row>
    <row r="80" spans="83:91" ht="12" customHeight="1" x14ac:dyDescent="0.2">
      <c r="CE80" s="50">
        <v>32</v>
      </c>
      <c r="CF80" s="50">
        <f t="shared" si="68"/>
        <v>0.32000000000000151</v>
      </c>
      <c r="CG80" s="50">
        <f t="shared" si="70"/>
        <v>0.32792638619590253</v>
      </c>
      <c r="CH80" s="50">
        <f t="shared" si="71"/>
        <v>32</v>
      </c>
      <c r="CI80" s="50">
        <f t="shared" si="69"/>
        <v>0.1480000000000006</v>
      </c>
      <c r="CJ80" s="50">
        <f t="shared" si="72"/>
        <v>10</v>
      </c>
    </row>
    <row r="81" spans="83:88" ht="12" customHeight="1" x14ac:dyDescent="0.2">
      <c r="CE81" s="50">
        <v>33</v>
      </c>
      <c r="CF81" s="50">
        <f t="shared" si="68"/>
        <v>0.33000000000000151</v>
      </c>
      <c r="CG81" s="50">
        <f t="shared" ref="CG81:CG112" si="73">IF($CT$3,CG80+$CF$42,NA())</f>
        <v>0.33103145779389903</v>
      </c>
      <c r="CH81" s="50">
        <f t="shared" ref="CH81:CH112" si="74">CH80</f>
        <v>32</v>
      </c>
      <c r="CI81" s="50">
        <f t="shared" si="69"/>
        <v>0.15200000000000061</v>
      </c>
      <c r="CJ81" s="50">
        <f t="shared" ref="CJ81:CJ112" si="75">CJ80</f>
        <v>10</v>
      </c>
    </row>
    <row r="82" spans="83:88" ht="12" customHeight="1" x14ac:dyDescent="0.2">
      <c r="CE82" s="50">
        <v>34</v>
      </c>
      <c r="CF82" s="50">
        <f t="shared" si="68"/>
        <v>0.34000000000000163</v>
      </c>
      <c r="CG82" s="50">
        <f t="shared" si="73"/>
        <v>0.33413652939189553</v>
      </c>
      <c r="CH82" s="50">
        <f t="shared" si="74"/>
        <v>32</v>
      </c>
      <c r="CI82" s="50">
        <f t="shared" si="69"/>
        <v>0.15600000000000064</v>
      </c>
      <c r="CJ82" s="50">
        <f t="shared" si="75"/>
        <v>10</v>
      </c>
    </row>
    <row r="83" spans="83:88" ht="12" customHeight="1" x14ac:dyDescent="0.2">
      <c r="CE83" s="50">
        <v>35</v>
      </c>
      <c r="CF83" s="50">
        <f t="shared" si="68"/>
        <v>0.35000000000000164</v>
      </c>
      <c r="CG83" s="50">
        <f t="shared" si="73"/>
        <v>0.33724160098989203</v>
      </c>
      <c r="CH83" s="50">
        <f t="shared" si="74"/>
        <v>32</v>
      </c>
      <c r="CI83" s="50">
        <f t="shared" si="69"/>
        <v>0.16000000000000064</v>
      </c>
      <c r="CJ83" s="50">
        <f t="shared" si="75"/>
        <v>10</v>
      </c>
    </row>
    <row r="84" spans="83:88" ht="12" customHeight="1" x14ac:dyDescent="0.2">
      <c r="CE84" s="50">
        <v>36</v>
      </c>
      <c r="CF84" s="50">
        <f t="shared" si="68"/>
        <v>0.36000000000000176</v>
      </c>
      <c r="CG84" s="50">
        <f t="shared" si="73"/>
        <v>0.34034667258788853</v>
      </c>
      <c r="CH84" s="50">
        <f t="shared" si="74"/>
        <v>32</v>
      </c>
      <c r="CI84" s="50">
        <f t="shared" si="69"/>
        <v>0.1640000000000007</v>
      </c>
      <c r="CJ84" s="50">
        <f t="shared" si="75"/>
        <v>10</v>
      </c>
    </row>
    <row r="85" spans="83:88" ht="12" customHeight="1" x14ac:dyDescent="0.2">
      <c r="CE85" s="50">
        <v>37</v>
      </c>
      <c r="CF85" s="50">
        <f t="shared" si="68"/>
        <v>0.37000000000000177</v>
      </c>
      <c r="CG85" s="50">
        <f t="shared" si="73"/>
        <v>0.34345174418588503</v>
      </c>
      <c r="CH85" s="50">
        <f t="shared" si="74"/>
        <v>32</v>
      </c>
      <c r="CI85" s="50">
        <f t="shared" si="69"/>
        <v>0.1680000000000007</v>
      </c>
      <c r="CJ85" s="50">
        <f t="shared" si="75"/>
        <v>10</v>
      </c>
    </row>
    <row r="86" spans="83:88" ht="12" customHeight="1" x14ac:dyDescent="0.2">
      <c r="CE86" s="50">
        <v>38</v>
      </c>
      <c r="CF86" s="50">
        <f t="shared" si="68"/>
        <v>0.38000000000000189</v>
      </c>
      <c r="CG86" s="50">
        <f t="shared" si="73"/>
        <v>0.34655681578388153</v>
      </c>
      <c r="CH86" s="50">
        <f t="shared" si="74"/>
        <v>32</v>
      </c>
      <c r="CI86" s="50">
        <f t="shared" si="69"/>
        <v>0.17200000000000076</v>
      </c>
      <c r="CJ86" s="50">
        <f t="shared" si="75"/>
        <v>10</v>
      </c>
    </row>
    <row r="87" spans="83:88" ht="12" customHeight="1" x14ac:dyDescent="0.2">
      <c r="CE87" s="50">
        <v>39</v>
      </c>
      <c r="CF87" s="50">
        <f t="shared" si="68"/>
        <v>0.3900000000000019</v>
      </c>
      <c r="CG87" s="50">
        <f t="shared" si="73"/>
        <v>0.34966188738187803</v>
      </c>
      <c r="CH87" s="50">
        <f t="shared" si="74"/>
        <v>32</v>
      </c>
      <c r="CI87" s="50">
        <f t="shared" si="69"/>
        <v>0.17600000000000077</v>
      </c>
      <c r="CJ87" s="50">
        <f t="shared" si="75"/>
        <v>10</v>
      </c>
    </row>
    <row r="88" spans="83:88" ht="12" customHeight="1" x14ac:dyDescent="0.2">
      <c r="CE88" s="50">
        <v>40</v>
      </c>
      <c r="CF88" s="50">
        <f t="shared" si="68"/>
        <v>0.40000000000000202</v>
      </c>
      <c r="CG88" s="50">
        <f t="shared" si="73"/>
        <v>0.35276695897987453</v>
      </c>
      <c r="CH88" s="50">
        <f t="shared" si="74"/>
        <v>32</v>
      </c>
      <c r="CI88" s="50">
        <f t="shared" si="69"/>
        <v>0.1800000000000008</v>
      </c>
      <c r="CJ88" s="50">
        <f t="shared" si="75"/>
        <v>10</v>
      </c>
    </row>
    <row r="89" spans="83:88" ht="12" customHeight="1" x14ac:dyDescent="0.2">
      <c r="CE89" s="50">
        <v>41</v>
      </c>
      <c r="CF89" s="50">
        <f t="shared" si="68"/>
        <v>0.41000000000000203</v>
      </c>
      <c r="CG89" s="50">
        <f t="shared" si="73"/>
        <v>0.35587203057787103</v>
      </c>
      <c r="CH89" s="50">
        <f t="shared" si="74"/>
        <v>32</v>
      </c>
      <c r="CI89" s="50">
        <f t="shared" si="69"/>
        <v>0.1840000000000008</v>
      </c>
      <c r="CJ89" s="50">
        <f t="shared" si="75"/>
        <v>10</v>
      </c>
    </row>
    <row r="90" spans="83:88" ht="12" customHeight="1" x14ac:dyDescent="0.2">
      <c r="CE90" s="50">
        <v>42</v>
      </c>
      <c r="CF90" s="50">
        <f t="shared" si="68"/>
        <v>0.42000000000000204</v>
      </c>
      <c r="CG90" s="50">
        <f t="shared" si="73"/>
        <v>0.35897710217586754</v>
      </c>
      <c r="CH90" s="50">
        <f t="shared" si="74"/>
        <v>32</v>
      </c>
      <c r="CI90" s="50">
        <f t="shared" si="69"/>
        <v>0.18800000000000081</v>
      </c>
      <c r="CJ90" s="50">
        <f t="shared" si="75"/>
        <v>10</v>
      </c>
    </row>
    <row r="91" spans="83:88" ht="12" customHeight="1" x14ac:dyDescent="0.2">
      <c r="CE91" s="50">
        <v>43</v>
      </c>
      <c r="CF91" s="50">
        <f t="shared" si="68"/>
        <v>0.43000000000000216</v>
      </c>
      <c r="CG91" s="50">
        <f t="shared" si="73"/>
        <v>0.36208217377386404</v>
      </c>
      <c r="CH91" s="50">
        <f t="shared" si="74"/>
        <v>32</v>
      </c>
      <c r="CI91" s="50">
        <f t="shared" si="69"/>
        <v>0.19200000000000086</v>
      </c>
      <c r="CJ91" s="50">
        <f t="shared" si="75"/>
        <v>10</v>
      </c>
    </row>
    <row r="92" spans="83:88" ht="12" customHeight="1" x14ac:dyDescent="0.2">
      <c r="CE92" s="50">
        <v>44</v>
      </c>
      <c r="CF92" s="50">
        <f t="shared" si="68"/>
        <v>0.44000000000000217</v>
      </c>
      <c r="CG92" s="50">
        <f t="shared" si="73"/>
        <v>0.36518724537186054</v>
      </c>
      <c r="CH92" s="50">
        <f t="shared" si="74"/>
        <v>32</v>
      </c>
      <c r="CI92" s="50">
        <f t="shared" si="69"/>
        <v>0.19600000000000087</v>
      </c>
      <c r="CJ92" s="50">
        <f t="shared" si="75"/>
        <v>10</v>
      </c>
    </row>
    <row r="93" spans="83:88" ht="12" customHeight="1" x14ac:dyDescent="0.2">
      <c r="CE93" s="50">
        <v>45</v>
      </c>
      <c r="CF93" s="50">
        <f t="shared" si="68"/>
        <v>0.45000000000000229</v>
      </c>
      <c r="CG93" s="50">
        <f t="shared" si="73"/>
        <v>0.36829231696985704</v>
      </c>
      <c r="CH93" s="50">
        <f t="shared" si="74"/>
        <v>32</v>
      </c>
      <c r="CI93" s="50">
        <f t="shared" si="69"/>
        <v>0.20000000000000093</v>
      </c>
      <c r="CJ93" s="50">
        <f t="shared" si="75"/>
        <v>10</v>
      </c>
    </row>
    <row r="94" spans="83:88" ht="12" customHeight="1" x14ac:dyDescent="0.2">
      <c r="CE94" s="50">
        <v>46</v>
      </c>
      <c r="CF94" s="50">
        <f t="shared" si="68"/>
        <v>0.4600000000000023</v>
      </c>
      <c r="CG94" s="50">
        <f t="shared" si="73"/>
        <v>0.37139738856785354</v>
      </c>
      <c r="CH94" s="50">
        <f t="shared" si="74"/>
        <v>32</v>
      </c>
      <c r="CI94" s="50">
        <f t="shared" si="69"/>
        <v>0.20400000000000093</v>
      </c>
      <c r="CJ94" s="50">
        <f t="shared" si="75"/>
        <v>10</v>
      </c>
    </row>
    <row r="95" spans="83:88" ht="12" customHeight="1" x14ac:dyDescent="0.2">
      <c r="CE95" s="50">
        <v>47</v>
      </c>
      <c r="CF95" s="50">
        <f t="shared" si="68"/>
        <v>0.47000000000000242</v>
      </c>
      <c r="CG95" s="50">
        <f t="shared" si="73"/>
        <v>0.37450246016585004</v>
      </c>
      <c r="CH95" s="50">
        <f t="shared" si="74"/>
        <v>32</v>
      </c>
      <c r="CI95" s="50">
        <f t="shared" si="69"/>
        <v>0.20800000000000096</v>
      </c>
      <c r="CJ95" s="50">
        <f t="shared" si="75"/>
        <v>10</v>
      </c>
    </row>
    <row r="96" spans="83:88" ht="12" customHeight="1" x14ac:dyDescent="0.2">
      <c r="CE96" s="50">
        <v>48</v>
      </c>
      <c r="CF96" s="50">
        <f t="shared" si="68"/>
        <v>0.48000000000000242</v>
      </c>
      <c r="CG96" s="50">
        <f t="shared" si="73"/>
        <v>0.37760753176384654</v>
      </c>
      <c r="CH96" s="50">
        <f t="shared" si="74"/>
        <v>32</v>
      </c>
      <c r="CI96" s="50">
        <f t="shared" si="69"/>
        <v>0.21200000000000097</v>
      </c>
      <c r="CJ96" s="50">
        <f t="shared" si="75"/>
        <v>10</v>
      </c>
    </row>
    <row r="97" spans="83:88" ht="12" customHeight="1" x14ac:dyDescent="0.2">
      <c r="CE97" s="50">
        <v>49</v>
      </c>
      <c r="CF97" s="50">
        <f t="shared" si="68"/>
        <v>0.49000000000000254</v>
      </c>
      <c r="CG97" s="50">
        <f t="shared" si="73"/>
        <v>0.38071260336184304</v>
      </c>
      <c r="CH97" s="50">
        <f t="shared" si="74"/>
        <v>32</v>
      </c>
      <c r="CI97" s="50">
        <f t="shared" si="69"/>
        <v>0.21600000000000102</v>
      </c>
      <c r="CJ97" s="50">
        <f t="shared" si="75"/>
        <v>10</v>
      </c>
    </row>
    <row r="98" spans="83:88" ht="12" customHeight="1" x14ac:dyDescent="0.2">
      <c r="CE98" s="50">
        <v>50</v>
      </c>
      <c r="CF98" s="50">
        <f t="shared" si="68"/>
        <v>0.50000000000000266</v>
      </c>
      <c r="CG98" s="50">
        <f t="shared" si="73"/>
        <v>0.38381767495983954</v>
      </c>
      <c r="CH98" s="50">
        <f t="shared" si="74"/>
        <v>32</v>
      </c>
      <c r="CI98" s="50">
        <f t="shared" si="69"/>
        <v>0.22000000000000106</v>
      </c>
      <c r="CJ98" s="50">
        <f t="shared" si="75"/>
        <v>10</v>
      </c>
    </row>
    <row r="99" spans="83:88" ht="12" customHeight="1" x14ac:dyDescent="0.2">
      <c r="CE99" s="50">
        <v>51</v>
      </c>
      <c r="CF99" s="50">
        <f t="shared" si="68"/>
        <v>0.51000000000000267</v>
      </c>
      <c r="CG99" s="50">
        <f t="shared" si="73"/>
        <v>0.38692274655783604</v>
      </c>
      <c r="CH99" s="50">
        <f t="shared" si="74"/>
        <v>32</v>
      </c>
      <c r="CI99" s="50">
        <f t="shared" si="69"/>
        <v>0.22400000000000106</v>
      </c>
      <c r="CJ99" s="50">
        <f t="shared" si="75"/>
        <v>10</v>
      </c>
    </row>
    <row r="100" spans="83:88" ht="12" customHeight="1" x14ac:dyDescent="0.2">
      <c r="CE100" s="50">
        <v>52</v>
      </c>
      <c r="CF100" s="50">
        <f t="shared" si="68"/>
        <v>0.52000000000000268</v>
      </c>
      <c r="CG100" s="50">
        <f t="shared" si="73"/>
        <v>0.39002781815583254</v>
      </c>
      <c r="CH100" s="50">
        <f t="shared" si="74"/>
        <v>32</v>
      </c>
      <c r="CI100" s="50">
        <f t="shared" si="69"/>
        <v>0.22800000000000106</v>
      </c>
      <c r="CJ100" s="50">
        <f t="shared" si="75"/>
        <v>10</v>
      </c>
    </row>
    <row r="101" spans="83:88" ht="12" customHeight="1" x14ac:dyDescent="0.2">
      <c r="CE101" s="50">
        <v>53</v>
      </c>
      <c r="CF101" s="50">
        <f t="shared" si="68"/>
        <v>0.5300000000000028</v>
      </c>
      <c r="CG101" s="50">
        <f t="shared" si="73"/>
        <v>0.39313288975382904</v>
      </c>
      <c r="CH101" s="50">
        <f t="shared" si="74"/>
        <v>32</v>
      </c>
      <c r="CI101" s="50">
        <f t="shared" si="69"/>
        <v>0.23200000000000112</v>
      </c>
      <c r="CJ101" s="50">
        <f t="shared" si="75"/>
        <v>10</v>
      </c>
    </row>
    <row r="102" spans="83:88" ht="12" customHeight="1" x14ac:dyDescent="0.2">
      <c r="CE102" s="50">
        <v>54</v>
      </c>
      <c r="CF102" s="50">
        <f t="shared" si="68"/>
        <v>0.54000000000000292</v>
      </c>
      <c r="CG102" s="50">
        <f t="shared" si="73"/>
        <v>0.39623796135182554</v>
      </c>
      <c r="CH102" s="50">
        <f t="shared" si="74"/>
        <v>32</v>
      </c>
      <c r="CI102" s="50">
        <f t="shared" si="69"/>
        <v>0.23600000000000118</v>
      </c>
      <c r="CJ102" s="50">
        <f t="shared" si="75"/>
        <v>10</v>
      </c>
    </row>
    <row r="103" spans="83:88" ht="12" customHeight="1" x14ac:dyDescent="0.2">
      <c r="CE103" s="50">
        <v>55</v>
      </c>
      <c r="CF103" s="50">
        <f t="shared" si="68"/>
        <v>0.55000000000000293</v>
      </c>
      <c r="CG103" s="50">
        <f t="shared" si="73"/>
        <v>0.39934303294982204</v>
      </c>
      <c r="CH103" s="50">
        <f t="shared" si="74"/>
        <v>32</v>
      </c>
      <c r="CI103" s="50">
        <f t="shared" si="69"/>
        <v>0.24000000000000118</v>
      </c>
      <c r="CJ103" s="50">
        <f t="shared" si="75"/>
        <v>10</v>
      </c>
    </row>
    <row r="104" spans="83:88" ht="12" customHeight="1" x14ac:dyDescent="0.2">
      <c r="CE104" s="50">
        <v>56</v>
      </c>
      <c r="CF104" s="50">
        <f t="shared" si="68"/>
        <v>0.56000000000000294</v>
      </c>
      <c r="CG104" s="50">
        <f t="shared" si="73"/>
        <v>0.40244810454781854</v>
      </c>
      <c r="CH104" s="50">
        <f t="shared" si="74"/>
        <v>32</v>
      </c>
      <c r="CI104" s="50">
        <f t="shared" si="69"/>
        <v>0.24400000000000119</v>
      </c>
      <c r="CJ104" s="50">
        <f t="shared" si="75"/>
        <v>10</v>
      </c>
    </row>
    <row r="105" spans="83:88" ht="12" customHeight="1" x14ac:dyDescent="0.2">
      <c r="CE105" s="50">
        <v>57</v>
      </c>
      <c r="CF105" s="50">
        <f t="shared" si="68"/>
        <v>0.57000000000000295</v>
      </c>
      <c r="CG105" s="50">
        <f t="shared" si="73"/>
        <v>0.40555317614581504</v>
      </c>
      <c r="CH105" s="50">
        <f t="shared" si="74"/>
        <v>32</v>
      </c>
      <c r="CI105" s="50">
        <f t="shared" si="69"/>
        <v>0.24800000000000119</v>
      </c>
      <c r="CJ105" s="50">
        <f t="shared" si="75"/>
        <v>10</v>
      </c>
    </row>
    <row r="106" spans="83:88" ht="12" customHeight="1" x14ac:dyDescent="0.2">
      <c r="CE106" s="50">
        <v>58</v>
      </c>
      <c r="CF106" s="50">
        <f t="shared" si="68"/>
        <v>0.58000000000000307</v>
      </c>
      <c r="CG106" s="50">
        <f t="shared" si="73"/>
        <v>0.40865824774381154</v>
      </c>
      <c r="CH106" s="50">
        <f t="shared" si="74"/>
        <v>32</v>
      </c>
      <c r="CI106" s="50">
        <f t="shared" si="69"/>
        <v>0.25200000000000122</v>
      </c>
      <c r="CJ106" s="50">
        <f t="shared" si="75"/>
        <v>10</v>
      </c>
    </row>
    <row r="107" spans="83:88" ht="12" customHeight="1" x14ac:dyDescent="0.2">
      <c r="CE107" s="50">
        <v>59</v>
      </c>
      <c r="CF107" s="50">
        <f t="shared" si="68"/>
        <v>0.59000000000000319</v>
      </c>
      <c r="CG107" s="50">
        <f t="shared" si="73"/>
        <v>0.41176331934180804</v>
      </c>
      <c r="CH107" s="50">
        <f t="shared" si="74"/>
        <v>32</v>
      </c>
      <c r="CI107" s="50">
        <f t="shared" si="69"/>
        <v>0.25600000000000128</v>
      </c>
      <c r="CJ107" s="50">
        <f t="shared" si="75"/>
        <v>10</v>
      </c>
    </row>
    <row r="108" spans="83:88" ht="12" customHeight="1" x14ac:dyDescent="0.2">
      <c r="CE108" s="50">
        <v>60</v>
      </c>
      <c r="CF108" s="50">
        <f t="shared" si="68"/>
        <v>0.6000000000000032</v>
      </c>
      <c r="CG108" s="50">
        <f t="shared" si="73"/>
        <v>0.41486839093980454</v>
      </c>
      <c r="CH108" s="50">
        <f t="shared" si="74"/>
        <v>32</v>
      </c>
      <c r="CI108" s="50">
        <f t="shared" si="69"/>
        <v>0.26000000000000129</v>
      </c>
      <c r="CJ108" s="50">
        <f t="shared" si="75"/>
        <v>10</v>
      </c>
    </row>
    <row r="109" spans="83:88" ht="12" customHeight="1" x14ac:dyDescent="0.2">
      <c r="CE109" s="50">
        <v>61</v>
      </c>
      <c r="CF109" s="50">
        <f t="shared" si="68"/>
        <v>0.61000000000000321</v>
      </c>
      <c r="CG109" s="50">
        <f t="shared" si="73"/>
        <v>0.41797346253780104</v>
      </c>
      <c r="CH109" s="50">
        <f t="shared" si="74"/>
        <v>32</v>
      </c>
      <c r="CI109" s="50">
        <f t="shared" si="69"/>
        <v>0.26400000000000129</v>
      </c>
      <c r="CJ109" s="50">
        <f t="shared" si="75"/>
        <v>10</v>
      </c>
    </row>
    <row r="110" spans="83:88" ht="12" customHeight="1" x14ac:dyDescent="0.2">
      <c r="CE110" s="50">
        <v>62</v>
      </c>
      <c r="CF110" s="50">
        <f t="shared" si="68"/>
        <v>0.62000000000000333</v>
      </c>
      <c r="CG110" s="50">
        <f t="shared" si="73"/>
        <v>0.42107853413579754</v>
      </c>
      <c r="CH110" s="50">
        <f t="shared" si="74"/>
        <v>32</v>
      </c>
      <c r="CI110" s="50">
        <f t="shared" si="69"/>
        <v>0.26800000000000135</v>
      </c>
      <c r="CJ110" s="50">
        <f t="shared" si="75"/>
        <v>10</v>
      </c>
    </row>
    <row r="111" spans="83:88" ht="12" customHeight="1" x14ac:dyDescent="0.2">
      <c r="CE111" s="50">
        <v>63</v>
      </c>
      <c r="CF111" s="50">
        <f t="shared" si="68"/>
        <v>0.63000000000000345</v>
      </c>
      <c r="CG111" s="50">
        <f t="shared" si="73"/>
        <v>0.42418360573379404</v>
      </c>
      <c r="CH111" s="50">
        <f t="shared" si="74"/>
        <v>32</v>
      </c>
      <c r="CI111" s="50">
        <f t="shared" si="69"/>
        <v>0.27200000000000141</v>
      </c>
      <c r="CJ111" s="50">
        <f t="shared" si="75"/>
        <v>10</v>
      </c>
    </row>
    <row r="112" spans="83:88" ht="12" customHeight="1" x14ac:dyDescent="0.2">
      <c r="CE112" s="50">
        <v>64</v>
      </c>
      <c r="CF112" s="50">
        <f t="shared" ref="CF112:CF175" si="76">1-ABS($CM$40-CG112)/$CO$39</f>
        <v>0.64000000000000346</v>
      </c>
      <c r="CG112" s="50">
        <f t="shared" si="73"/>
        <v>0.42728867733179055</v>
      </c>
      <c r="CH112" s="50">
        <f t="shared" si="74"/>
        <v>32</v>
      </c>
      <c r="CI112" s="50">
        <f t="shared" ref="CI112:CI175" si="77">MAX($CI$38*CF112-$CF$43,0)</f>
        <v>0.27600000000000141</v>
      </c>
      <c r="CJ112" s="50">
        <f t="shared" si="75"/>
        <v>10</v>
      </c>
    </row>
    <row r="113" spans="83:88" ht="12" customHeight="1" x14ac:dyDescent="0.2">
      <c r="CE113" s="50">
        <v>65</v>
      </c>
      <c r="CF113" s="50">
        <f t="shared" si="76"/>
        <v>0.65000000000000346</v>
      </c>
      <c r="CG113" s="50">
        <f t="shared" ref="CG113:CG144" si="78">IF($CT$3,CG112+$CF$42,NA())</f>
        <v>0.43039374892978705</v>
      </c>
      <c r="CH113" s="50">
        <f t="shared" ref="CH113:CH144" si="79">CH112</f>
        <v>32</v>
      </c>
      <c r="CI113" s="50">
        <f t="shared" si="77"/>
        <v>0.28000000000000141</v>
      </c>
      <c r="CJ113" s="50">
        <f t="shared" ref="CJ113:CJ144" si="80">CJ112</f>
        <v>10</v>
      </c>
    </row>
    <row r="114" spans="83:88" ht="12" customHeight="1" x14ac:dyDescent="0.2">
      <c r="CE114" s="50">
        <v>66</v>
      </c>
      <c r="CF114" s="50">
        <f t="shared" si="76"/>
        <v>0.66000000000000358</v>
      </c>
      <c r="CG114" s="50">
        <f t="shared" si="78"/>
        <v>0.43349882052778355</v>
      </c>
      <c r="CH114" s="50">
        <f t="shared" si="79"/>
        <v>32</v>
      </c>
      <c r="CI114" s="50">
        <f t="shared" si="77"/>
        <v>0.28400000000000147</v>
      </c>
      <c r="CJ114" s="50">
        <f t="shared" si="80"/>
        <v>10</v>
      </c>
    </row>
    <row r="115" spans="83:88" ht="12" customHeight="1" x14ac:dyDescent="0.2">
      <c r="CE115" s="50">
        <v>67</v>
      </c>
      <c r="CF115" s="50">
        <f t="shared" si="76"/>
        <v>0.6700000000000037</v>
      </c>
      <c r="CG115" s="50">
        <f t="shared" si="78"/>
        <v>0.43660389212578005</v>
      </c>
      <c r="CH115" s="50">
        <f t="shared" si="79"/>
        <v>32</v>
      </c>
      <c r="CI115" s="50">
        <f t="shared" si="77"/>
        <v>0.28800000000000153</v>
      </c>
      <c r="CJ115" s="50">
        <f t="shared" si="80"/>
        <v>10</v>
      </c>
    </row>
    <row r="116" spans="83:88" ht="12" customHeight="1" x14ac:dyDescent="0.2">
      <c r="CE116" s="50">
        <v>68</v>
      </c>
      <c r="CF116" s="50">
        <f t="shared" si="76"/>
        <v>0.68000000000000371</v>
      </c>
      <c r="CG116" s="50">
        <f t="shared" si="78"/>
        <v>0.43970896372377655</v>
      </c>
      <c r="CH116" s="50">
        <f t="shared" si="79"/>
        <v>32</v>
      </c>
      <c r="CI116" s="50">
        <f t="shared" si="77"/>
        <v>0.29200000000000154</v>
      </c>
      <c r="CJ116" s="50">
        <f t="shared" si="80"/>
        <v>10</v>
      </c>
    </row>
    <row r="117" spans="83:88" ht="12" customHeight="1" x14ac:dyDescent="0.2">
      <c r="CE117" s="50">
        <v>69</v>
      </c>
      <c r="CF117" s="50">
        <f t="shared" si="76"/>
        <v>0.69000000000000372</v>
      </c>
      <c r="CG117" s="50">
        <f t="shared" si="78"/>
        <v>0.44281403532177305</v>
      </c>
      <c r="CH117" s="50">
        <f t="shared" si="79"/>
        <v>32</v>
      </c>
      <c r="CI117" s="50">
        <f t="shared" si="77"/>
        <v>0.29600000000000154</v>
      </c>
      <c r="CJ117" s="50">
        <f t="shared" si="80"/>
        <v>10</v>
      </c>
    </row>
    <row r="118" spans="83:88" ht="12" customHeight="1" x14ac:dyDescent="0.2">
      <c r="CE118" s="50">
        <v>70</v>
      </c>
      <c r="CF118" s="50">
        <f t="shared" si="76"/>
        <v>0.70000000000000384</v>
      </c>
      <c r="CG118" s="50">
        <f t="shared" si="78"/>
        <v>0.44591910691976955</v>
      </c>
      <c r="CH118" s="50">
        <f t="shared" si="79"/>
        <v>32</v>
      </c>
      <c r="CI118" s="50">
        <f t="shared" si="77"/>
        <v>0.30000000000000154</v>
      </c>
      <c r="CJ118" s="50">
        <f t="shared" si="80"/>
        <v>10</v>
      </c>
    </row>
    <row r="119" spans="83:88" ht="12" customHeight="1" x14ac:dyDescent="0.2">
      <c r="CE119" s="50">
        <v>71</v>
      </c>
      <c r="CF119" s="50">
        <f t="shared" si="76"/>
        <v>0.71000000000000396</v>
      </c>
      <c r="CG119" s="50">
        <f t="shared" si="78"/>
        <v>0.44902417851776605</v>
      </c>
      <c r="CH119" s="50">
        <f t="shared" si="79"/>
        <v>32</v>
      </c>
      <c r="CI119" s="50">
        <f t="shared" si="77"/>
        <v>0.3040000000000016</v>
      </c>
      <c r="CJ119" s="50">
        <f t="shared" si="80"/>
        <v>10</v>
      </c>
    </row>
    <row r="120" spans="83:88" ht="12" customHeight="1" x14ac:dyDescent="0.2">
      <c r="CE120" s="50">
        <v>72</v>
      </c>
      <c r="CF120" s="50">
        <f t="shared" si="76"/>
        <v>0.72000000000000397</v>
      </c>
      <c r="CG120" s="50">
        <f t="shared" si="78"/>
        <v>0.45212925011576255</v>
      </c>
      <c r="CH120" s="50">
        <f t="shared" si="79"/>
        <v>32</v>
      </c>
      <c r="CI120" s="50">
        <f t="shared" si="77"/>
        <v>0.30800000000000161</v>
      </c>
      <c r="CJ120" s="50">
        <f t="shared" si="80"/>
        <v>10</v>
      </c>
    </row>
    <row r="121" spans="83:88" ht="12" customHeight="1" x14ac:dyDescent="0.2">
      <c r="CE121" s="50">
        <v>73</v>
      </c>
      <c r="CF121" s="50">
        <f t="shared" si="76"/>
        <v>0.73000000000000398</v>
      </c>
      <c r="CG121" s="50">
        <f t="shared" si="78"/>
        <v>0.45523432171375905</v>
      </c>
      <c r="CH121" s="50">
        <f t="shared" si="79"/>
        <v>32</v>
      </c>
      <c r="CI121" s="50">
        <f t="shared" si="77"/>
        <v>0.31200000000000161</v>
      </c>
      <c r="CJ121" s="50">
        <f t="shared" si="80"/>
        <v>10</v>
      </c>
    </row>
    <row r="122" spans="83:88" ht="12" customHeight="1" x14ac:dyDescent="0.2">
      <c r="CE122" s="50">
        <v>74</v>
      </c>
      <c r="CF122" s="50">
        <f t="shared" si="76"/>
        <v>0.7400000000000041</v>
      </c>
      <c r="CG122" s="50">
        <f t="shared" si="78"/>
        <v>0.45833939331175555</v>
      </c>
      <c r="CH122" s="50">
        <f t="shared" si="79"/>
        <v>32</v>
      </c>
      <c r="CI122" s="50">
        <f t="shared" si="77"/>
        <v>0.31600000000000167</v>
      </c>
      <c r="CJ122" s="50">
        <f t="shared" si="80"/>
        <v>10</v>
      </c>
    </row>
    <row r="123" spans="83:88" ht="12" customHeight="1" x14ac:dyDescent="0.2">
      <c r="CE123" s="50">
        <v>75</v>
      </c>
      <c r="CF123" s="50">
        <f t="shared" si="76"/>
        <v>0.75000000000000422</v>
      </c>
      <c r="CG123" s="50">
        <f t="shared" si="78"/>
        <v>0.46144446490975205</v>
      </c>
      <c r="CH123" s="50">
        <f t="shared" si="79"/>
        <v>32</v>
      </c>
      <c r="CI123" s="50">
        <f t="shared" si="77"/>
        <v>0.32000000000000173</v>
      </c>
      <c r="CJ123" s="50">
        <f t="shared" si="80"/>
        <v>10</v>
      </c>
    </row>
    <row r="124" spans="83:88" ht="12" customHeight="1" x14ac:dyDescent="0.2">
      <c r="CE124" s="50">
        <v>76</v>
      </c>
      <c r="CF124" s="50">
        <f t="shared" si="76"/>
        <v>0.76000000000000423</v>
      </c>
      <c r="CG124" s="50">
        <f t="shared" si="78"/>
        <v>0.46454953650774855</v>
      </c>
      <c r="CH124" s="50">
        <f t="shared" si="79"/>
        <v>32</v>
      </c>
      <c r="CI124" s="50">
        <f t="shared" si="77"/>
        <v>0.32400000000000173</v>
      </c>
      <c r="CJ124" s="50">
        <f t="shared" si="80"/>
        <v>10</v>
      </c>
    </row>
    <row r="125" spans="83:88" ht="12" customHeight="1" x14ac:dyDescent="0.2">
      <c r="CE125" s="50">
        <v>77</v>
      </c>
      <c r="CF125" s="50">
        <f t="shared" si="76"/>
        <v>0.77000000000000424</v>
      </c>
      <c r="CG125" s="50">
        <f t="shared" si="78"/>
        <v>0.46765460810574505</v>
      </c>
      <c r="CH125" s="50">
        <f t="shared" si="79"/>
        <v>32</v>
      </c>
      <c r="CI125" s="50">
        <f t="shared" si="77"/>
        <v>0.32800000000000173</v>
      </c>
      <c r="CJ125" s="50">
        <f t="shared" si="80"/>
        <v>10</v>
      </c>
    </row>
    <row r="126" spans="83:88" ht="12" customHeight="1" x14ac:dyDescent="0.2">
      <c r="CE126" s="50">
        <v>78</v>
      </c>
      <c r="CF126" s="50">
        <f t="shared" si="76"/>
        <v>0.78000000000000436</v>
      </c>
      <c r="CG126" s="50">
        <f t="shared" si="78"/>
        <v>0.47075967970374155</v>
      </c>
      <c r="CH126" s="50">
        <f t="shared" si="79"/>
        <v>32</v>
      </c>
      <c r="CI126" s="50">
        <f t="shared" si="77"/>
        <v>0.33200000000000179</v>
      </c>
      <c r="CJ126" s="50">
        <f t="shared" si="80"/>
        <v>10</v>
      </c>
    </row>
    <row r="127" spans="83:88" ht="12" customHeight="1" x14ac:dyDescent="0.2">
      <c r="CE127" s="50">
        <v>79</v>
      </c>
      <c r="CF127" s="50">
        <f t="shared" si="76"/>
        <v>0.79000000000000437</v>
      </c>
      <c r="CG127" s="50">
        <f t="shared" si="78"/>
        <v>0.47386475130173805</v>
      </c>
      <c r="CH127" s="50">
        <f t="shared" si="79"/>
        <v>32</v>
      </c>
      <c r="CI127" s="50">
        <f t="shared" si="77"/>
        <v>0.3360000000000018</v>
      </c>
      <c r="CJ127" s="50">
        <f t="shared" si="80"/>
        <v>10</v>
      </c>
    </row>
    <row r="128" spans="83:88" ht="12" customHeight="1" x14ac:dyDescent="0.2">
      <c r="CE128" s="50">
        <v>80</v>
      </c>
      <c r="CF128" s="50">
        <f t="shared" si="76"/>
        <v>0.80000000000000449</v>
      </c>
      <c r="CG128" s="50">
        <f t="shared" si="78"/>
        <v>0.47696982289973455</v>
      </c>
      <c r="CH128" s="50">
        <f t="shared" si="79"/>
        <v>32</v>
      </c>
      <c r="CI128" s="50">
        <f t="shared" si="77"/>
        <v>0.34000000000000186</v>
      </c>
      <c r="CJ128" s="50">
        <f t="shared" si="80"/>
        <v>10</v>
      </c>
    </row>
    <row r="129" spans="83:88" ht="12" customHeight="1" x14ac:dyDescent="0.2">
      <c r="CE129" s="50">
        <v>81</v>
      </c>
      <c r="CF129" s="50">
        <f t="shared" si="76"/>
        <v>0.81000000000000449</v>
      </c>
      <c r="CG129" s="50">
        <f t="shared" si="78"/>
        <v>0.48007489449773105</v>
      </c>
      <c r="CH129" s="50">
        <f t="shared" si="79"/>
        <v>32</v>
      </c>
      <c r="CI129" s="50">
        <f t="shared" si="77"/>
        <v>0.34400000000000186</v>
      </c>
      <c r="CJ129" s="50">
        <f t="shared" si="80"/>
        <v>10</v>
      </c>
    </row>
    <row r="130" spans="83:88" ht="12" customHeight="1" x14ac:dyDescent="0.2">
      <c r="CE130" s="50">
        <v>82</v>
      </c>
      <c r="CF130" s="50">
        <f t="shared" si="76"/>
        <v>0.82000000000000461</v>
      </c>
      <c r="CG130" s="50">
        <f t="shared" si="78"/>
        <v>0.48317996609572755</v>
      </c>
      <c r="CH130" s="50">
        <f t="shared" si="79"/>
        <v>32</v>
      </c>
      <c r="CI130" s="50">
        <f t="shared" si="77"/>
        <v>0.34800000000000186</v>
      </c>
      <c r="CJ130" s="50">
        <f t="shared" si="80"/>
        <v>10</v>
      </c>
    </row>
    <row r="131" spans="83:88" ht="12" customHeight="1" x14ac:dyDescent="0.2">
      <c r="CE131" s="50">
        <v>83</v>
      </c>
      <c r="CF131" s="50">
        <f t="shared" si="76"/>
        <v>0.83000000000000462</v>
      </c>
      <c r="CG131" s="50">
        <f t="shared" si="78"/>
        <v>0.48628503769372405</v>
      </c>
      <c r="CH131" s="50">
        <f t="shared" si="79"/>
        <v>32</v>
      </c>
      <c r="CI131" s="50">
        <f t="shared" si="77"/>
        <v>0.35200000000000187</v>
      </c>
      <c r="CJ131" s="50">
        <f t="shared" si="80"/>
        <v>10</v>
      </c>
    </row>
    <row r="132" spans="83:88" ht="12" customHeight="1" x14ac:dyDescent="0.2">
      <c r="CE132" s="50">
        <v>84</v>
      </c>
      <c r="CF132" s="50">
        <f t="shared" si="76"/>
        <v>0.84000000000000474</v>
      </c>
      <c r="CG132" s="50">
        <f t="shared" si="78"/>
        <v>0.48939010929172055</v>
      </c>
      <c r="CH132" s="50">
        <f t="shared" si="79"/>
        <v>32</v>
      </c>
      <c r="CI132" s="50">
        <f t="shared" si="77"/>
        <v>0.35600000000000193</v>
      </c>
      <c r="CJ132" s="50">
        <f t="shared" si="80"/>
        <v>10</v>
      </c>
    </row>
    <row r="133" spans="83:88" ht="12" customHeight="1" x14ac:dyDescent="0.2">
      <c r="CE133" s="50">
        <v>85</v>
      </c>
      <c r="CF133" s="50">
        <f t="shared" si="76"/>
        <v>0.85000000000000475</v>
      </c>
      <c r="CG133" s="50">
        <f t="shared" si="78"/>
        <v>0.49249518088971705</v>
      </c>
      <c r="CH133" s="50">
        <f t="shared" si="79"/>
        <v>32</v>
      </c>
      <c r="CI133" s="50">
        <f t="shared" si="77"/>
        <v>0.36000000000000193</v>
      </c>
      <c r="CJ133" s="50">
        <f t="shared" si="80"/>
        <v>10</v>
      </c>
    </row>
    <row r="134" spans="83:88" ht="12" customHeight="1" x14ac:dyDescent="0.2">
      <c r="CE134" s="50">
        <v>86</v>
      </c>
      <c r="CF134" s="50">
        <f t="shared" si="76"/>
        <v>0.86000000000000487</v>
      </c>
      <c r="CG134" s="50">
        <f t="shared" si="78"/>
        <v>0.49560025248771356</v>
      </c>
      <c r="CH134" s="50">
        <f t="shared" si="79"/>
        <v>32</v>
      </c>
      <c r="CI134" s="50">
        <f t="shared" si="77"/>
        <v>0.36400000000000199</v>
      </c>
      <c r="CJ134" s="50">
        <f t="shared" si="80"/>
        <v>10</v>
      </c>
    </row>
    <row r="135" spans="83:88" ht="12" customHeight="1" x14ac:dyDescent="0.2">
      <c r="CE135" s="50">
        <v>87</v>
      </c>
      <c r="CF135" s="50">
        <f t="shared" si="76"/>
        <v>0.87000000000000488</v>
      </c>
      <c r="CG135" s="50">
        <f t="shared" si="78"/>
        <v>0.49870532408571006</v>
      </c>
      <c r="CH135" s="50">
        <f t="shared" si="79"/>
        <v>32</v>
      </c>
      <c r="CI135" s="50">
        <f t="shared" si="77"/>
        <v>0.36800000000000199</v>
      </c>
      <c r="CJ135" s="50">
        <f t="shared" si="80"/>
        <v>10</v>
      </c>
    </row>
    <row r="136" spans="83:88" ht="12" customHeight="1" x14ac:dyDescent="0.2">
      <c r="CE136" s="50">
        <v>88</v>
      </c>
      <c r="CF136" s="50">
        <f t="shared" si="76"/>
        <v>0.880000000000005</v>
      </c>
      <c r="CG136" s="50">
        <f t="shared" si="78"/>
        <v>0.50181039568370656</v>
      </c>
      <c r="CH136" s="50">
        <f t="shared" si="79"/>
        <v>32</v>
      </c>
      <c r="CI136" s="50">
        <f t="shared" si="77"/>
        <v>0.37200000000000205</v>
      </c>
      <c r="CJ136" s="50">
        <f t="shared" si="80"/>
        <v>10</v>
      </c>
    </row>
    <row r="137" spans="83:88" ht="12" customHeight="1" x14ac:dyDescent="0.2">
      <c r="CE137" s="50">
        <v>89</v>
      </c>
      <c r="CF137" s="50">
        <f t="shared" si="76"/>
        <v>0.8900000000000049</v>
      </c>
      <c r="CG137" s="50">
        <f t="shared" si="78"/>
        <v>0.504915467281703</v>
      </c>
      <c r="CH137" s="50">
        <f t="shared" si="79"/>
        <v>32</v>
      </c>
      <c r="CI137" s="50">
        <f t="shared" si="77"/>
        <v>0.376000000000002</v>
      </c>
      <c r="CJ137" s="50">
        <f t="shared" si="80"/>
        <v>10</v>
      </c>
    </row>
    <row r="138" spans="83:88" ht="12" customHeight="1" x14ac:dyDescent="0.2">
      <c r="CE138" s="50">
        <v>90</v>
      </c>
      <c r="CF138" s="50">
        <f t="shared" si="76"/>
        <v>0.9000000000000048</v>
      </c>
      <c r="CG138" s="50">
        <f t="shared" si="78"/>
        <v>0.50802053887969945</v>
      </c>
      <c r="CH138" s="50">
        <f t="shared" si="79"/>
        <v>32</v>
      </c>
      <c r="CI138" s="50">
        <f t="shared" si="77"/>
        <v>0.38000000000000195</v>
      </c>
      <c r="CJ138" s="50">
        <f t="shared" si="80"/>
        <v>10</v>
      </c>
    </row>
    <row r="139" spans="83:88" ht="12" customHeight="1" x14ac:dyDescent="0.2">
      <c r="CE139" s="50">
        <v>91</v>
      </c>
      <c r="CF139" s="50">
        <f t="shared" si="76"/>
        <v>0.91000000000000458</v>
      </c>
      <c r="CG139" s="50">
        <f t="shared" si="78"/>
        <v>0.51112561047769589</v>
      </c>
      <c r="CH139" s="50">
        <f t="shared" si="79"/>
        <v>32</v>
      </c>
      <c r="CI139" s="50">
        <f t="shared" si="77"/>
        <v>0.3840000000000019</v>
      </c>
      <c r="CJ139" s="50">
        <f t="shared" si="80"/>
        <v>10</v>
      </c>
    </row>
    <row r="140" spans="83:88" ht="12" customHeight="1" x14ac:dyDescent="0.2">
      <c r="CE140" s="50">
        <v>92</v>
      </c>
      <c r="CF140" s="50">
        <f t="shared" si="76"/>
        <v>0.92000000000000448</v>
      </c>
      <c r="CG140" s="50">
        <f t="shared" si="78"/>
        <v>0.51423068207569234</v>
      </c>
      <c r="CH140" s="50">
        <f t="shared" si="79"/>
        <v>32</v>
      </c>
      <c r="CI140" s="50">
        <f t="shared" si="77"/>
        <v>0.38800000000000184</v>
      </c>
      <c r="CJ140" s="50">
        <f t="shared" si="80"/>
        <v>10</v>
      </c>
    </row>
    <row r="141" spans="83:88" ht="12" customHeight="1" x14ac:dyDescent="0.2">
      <c r="CE141" s="50">
        <v>93</v>
      </c>
      <c r="CF141" s="50">
        <f t="shared" si="76"/>
        <v>0.93000000000000438</v>
      </c>
      <c r="CG141" s="50">
        <f t="shared" si="78"/>
        <v>0.51733575367368878</v>
      </c>
      <c r="CH141" s="50">
        <f t="shared" si="79"/>
        <v>32</v>
      </c>
      <c r="CI141" s="50">
        <f t="shared" si="77"/>
        <v>0.39200000000000179</v>
      </c>
      <c r="CJ141" s="50">
        <f t="shared" si="80"/>
        <v>10</v>
      </c>
    </row>
    <row r="142" spans="83:88" ht="12" customHeight="1" x14ac:dyDescent="0.2">
      <c r="CE142" s="50">
        <v>94</v>
      </c>
      <c r="CF142" s="50">
        <f t="shared" si="76"/>
        <v>0.94000000000000428</v>
      </c>
      <c r="CG142" s="50">
        <f t="shared" si="78"/>
        <v>0.52044082527168523</v>
      </c>
      <c r="CH142" s="50">
        <f t="shared" si="79"/>
        <v>32</v>
      </c>
      <c r="CI142" s="50">
        <f t="shared" si="77"/>
        <v>0.39600000000000174</v>
      </c>
      <c r="CJ142" s="50">
        <f t="shared" si="80"/>
        <v>10</v>
      </c>
    </row>
    <row r="143" spans="83:88" ht="12" customHeight="1" x14ac:dyDescent="0.2">
      <c r="CE143" s="50">
        <v>95</v>
      </c>
      <c r="CF143" s="50">
        <f t="shared" si="76"/>
        <v>0.95000000000000417</v>
      </c>
      <c r="CG143" s="50">
        <f t="shared" si="78"/>
        <v>0.52354589686968167</v>
      </c>
      <c r="CH143" s="50">
        <f t="shared" si="79"/>
        <v>32</v>
      </c>
      <c r="CI143" s="50">
        <f t="shared" si="77"/>
        <v>0.40000000000000169</v>
      </c>
      <c r="CJ143" s="50">
        <f t="shared" si="80"/>
        <v>10</v>
      </c>
    </row>
    <row r="144" spans="83:88" ht="12" customHeight="1" x14ac:dyDescent="0.2">
      <c r="CE144" s="50">
        <v>96</v>
      </c>
      <c r="CF144" s="50">
        <f t="shared" si="76"/>
        <v>0.96000000000000407</v>
      </c>
      <c r="CG144" s="50">
        <f t="shared" si="78"/>
        <v>0.52665096846767812</v>
      </c>
      <c r="CH144" s="50">
        <f t="shared" si="79"/>
        <v>32</v>
      </c>
      <c r="CI144" s="50">
        <f t="shared" si="77"/>
        <v>0.40400000000000169</v>
      </c>
      <c r="CJ144" s="50">
        <f t="shared" si="80"/>
        <v>10</v>
      </c>
    </row>
    <row r="145" spans="83:88" ht="12" customHeight="1" x14ac:dyDescent="0.2">
      <c r="CE145" s="50">
        <v>97</v>
      </c>
      <c r="CF145" s="50">
        <f t="shared" si="76"/>
        <v>0.97000000000000397</v>
      </c>
      <c r="CG145" s="50">
        <f t="shared" ref="CG145:CG176" si="81">IF($CT$3,CG144+$CF$42,NA())</f>
        <v>0.52975604006567456</v>
      </c>
      <c r="CH145" s="50">
        <f t="shared" ref="CH145:CH176" si="82">CH144</f>
        <v>32</v>
      </c>
      <c r="CI145" s="50">
        <f t="shared" si="77"/>
        <v>0.40800000000000164</v>
      </c>
      <c r="CJ145" s="50">
        <f t="shared" ref="CJ145:CJ176" si="83">CJ144</f>
        <v>10</v>
      </c>
    </row>
    <row r="146" spans="83:88" ht="12" customHeight="1" x14ac:dyDescent="0.2">
      <c r="CE146" s="50">
        <v>98</v>
      </c>
      <c r="CF146" s="50">
        <f t="shared" si="76"/>
        <v>0.98000000000000376</v>
      </c>
      <c r="CG146" s="50">
        <f t="shared" si="81"/>
        <v>0.53286111166367101</v>
      </c>
      <c r="CH146" s="50">
        <f t="shared" si="82"/>
        <v>32</v>
      </c>
      <c r="CI146" s="50">
        <f t="shared" si="77"/>
        <v>0.41200000000000153</v>
      </c>
      <c r="CJ146" s="50">
        <f t="shared" si="83"/>
        <v>10</v>
      </c>
    </row>
    <row r="147" spans="83:88" ht="12" customHeight="1" x14ac:dyDescent="0.2">
      <c r="CE147" s="50">
        <v>99</v>
      </c>
      <c r="CF147" s="50">
        <f t="shared" si="76"/>
        <v>0.99000000000000365</v>
      </c>
      <c r="CG147" s="50">
        <f t="shared" si="81"/>
        <v>0.53596618326166745</v>
      </c>
      <c r="CH147" s="50">
        <f t="shared" si="82"/>
        <v>32</v>
      </c>
      <c r="CI147" s="50">
        <f t="shared" si="77"/>
        <v>0.41600000000000148</v>
      </c>
      <c r="CJ147" s="50">
        <f t="shared" si="83"/>
        <v>10</v>
      </c>
    </row>
    <row r="148" spans="83:88" ht="12" customHeight="1" x14ac:dyDescent="0.2">
      <c r="CE148" s="50">
        <v>100</v>
      </c>
      <c r="CF148" s="50">
        <f t="shared" si="76"/>
        <v>0.99999999999999645</v>
      </c>
      <c r="CG148" s="50">
        <f t="shared" si="81"/>
        <v>0.5390712548596639</v>
      </c>
      <c r="CH148" s="50">
        <f t="shared" si="82"/>
        <v>32</v>
      </c>
      <c r="CI148" s="50">
        <f t="shared" si="77"/>
        <v>0.4199999999999986</v>
      </c>
      <c r="CJ148" s="50">
        <f t="shared" si="83"/>
        <v>10</v>
      </c>
    </row>
    <row r="149" spans="83:88" ht="12" customHeight="1" x14ac:dyDescent="0.2">
      <c r="CE149" s="50">
        <v>101</v>
      </c>
      <c r="CF149" s="50">
        <f t="shared" si="76"/>
        <v>0.98999999999999655</v>
      </c>
      <c r="CG149" s="50">
        <f t="shared" si="81"/>
        <v>0.54217632645766034</v>
      </c>
      <c r="CH149" s="50">
        <f t="shared" si="82"/>
        <v>32</v>
      </c>
      <c r="CI149" s="50">
        <f t="shared" si="77"/>
        <v>0.41599999999999865</v>
      </c>
      <c r="CJ149" s="50">
        <f t="shared" si="83"/>
        <v>10</v>
      </c>
    </row>
    <row r="150" spans="83:88" ht="12" customHeight="1" x14ac:dyDescent="0.2">
      <c r="CE150" s="50">
        <v>102</v>
      </c>
      <c r="CF150" s="50">
        <f t="shared" si="76"/>
        <v>0.97999999999999665</v>
      </c>
      <c r="CG150" s="50">
        <f t="shared" si="81"/>
        <v>0.54528139805565679</v>
      </c>
      <c r="CH150" s="50">
        <f t="shared" si="82"/>
        <v>32</v>
      </c>
      <c r="CI150" s="50">
        <f t="shared" si="77"/>
        <v>0.4119999999999987</v>
      </c>
      <c r="CJ150" s="50">
        <f t="shared" si="83"/>
        <v>10</v>
      </c>
    </row>
    <row r="151" spans="83:88" ht="12" customHeight="1" x14ac:dyDescent="0.2">
      <c r="CE151" s="50">
        <v>103</v>
      </c>
      <c r="CF151" s="50">
        <f t="shared" si="76"/>
        <v>0.96999999999999675</v>
      </c>
      <c r="CG151" s="50">
        <f t="shared" si="81"/>
        <v>0.54838646965365323</v>
      </c>
      <c r="CH151" s="50">
        <f t="shared" si="82"/>
        <v>32</v>
      </c>
      <c r="CI151" s="50">
        <f t="shared" si="77"/>
        <v>0.40799999999999875</v>
      </c>
      <c r="CJ151" s="50">
        <f t="shared" si="83"/>
        <v>10</v>
      </c>
    </row>
    <row r="152" spans="83:88" ht="12" customHeight="1" x14ac:dyDescent="0.2">
      <c r="CE152" s="50">
        <v>104</v>
      </c>
      <c r="CF152" s="50">
        <f t="shared" si="76"/>
        <v>0.95999999999999686</v>
      </c>
      <c r="CG152" s="50">
        <f t="shared" si="81"/>
        <v>0.55149154125164968</v>
      </c>
      <c r="CH152" s="50">
        <f t="shared" si="82"/>
        <v>32</v>
      </c>
      <c r="CI152" s="50">
        <f t="shared" si="77"/>
        <v>0.4039999999999988</v>
      </c>
      <c r="CJ152" s="50">
        <f t="shared" si="83"/>
        <v>10</v>
      </c>
    </row>
    <row r="153" spans="83:88" ht="12" customHeight="1" x14ac:dyDescent="0.2">
      <c r="CE153" s="50">
        <v>105</v>
      </c>
      <c r="CF153" s="50">
        <f t="shared" si="76"/>
        <v>0.94999999999999696</v>
      </c>
      <c r="CG153" s="50">
        <f t="shared" si="81"/>
        <v>0.55459661284964612</v>
      </c>
      <c r="CH153" s="50">
        <f t="shared" si="82"/>
        <v>32</v>
      </c>
      <c r="CI153" s="50">
        <f t="shared" si="77"/>
        <v>0.3999999999999988</v>
      </c>
      <c r="CJ153" s="50">
        <f t="shared" si="83"/>
        <v>10</v>
      </c>
    </row>
    <row r="154" spans="83:88" ht="12" customHeight="1" x14ac:dyDescent="0.2">
      <c r="CE154" s="50">
        <v>106</v>
      </c>
      <c r="CF154" s="50">
        <f t="shared" si="76"/>
        <v>0.93999999999999717</v>
      </c>
      <c r="CG154" s="50">
        <f t="shared" si="81"/>
        <v>0.55770168444764256</v>
      </c>
      <c r="CH154" s="50">
        <f t="shared" si="82"/>
        <v>32</v>
      </c>
      <c r="CI154" s="50">
        <f t="shared" si="77"/>
        <v>0.39599999999999891</v>
      </c>
      <c r="CJ154" s="50">
        <f t="shared" si="83"/>
        <v>10</v>
      </c>
    </row>
    <row r="155" spans="83:88" ht="12" customHeight="1" x14ac:dyDescent="0.2">
      <c r="CE155" s="50">
        <v>107</v>
      </c>
      <c r="CF155" s="50">
        <f t="shared" si="76"/>
        <v>0.92999999999999727</v>
      </c>
      <c r="CG155" s="50">
        <f t="shared" si="81"/>
        <v>0.56080675604563901</v>
      </c>
      <c r="CH155" s="50">
        <f t="shared" si="82"/>
        <v>32</v>
      </c>
      <c r="CI155" s="50">
        <f t="shared" si="77"/>
        <v>0.39199999999999896</v>
      </c>
      <c r="CJ155" s="50">
        <f t="shared" si="83"/>
        <v>10</v>
      </c>
    </row>
    <row r="156" spans="83:88" ht="12" customHeight="1" x14ac:dyDescent="0.2">
      <c r="CE156" s="50">
        <v>108</v>
      </c>
      <c r="CF156" s="50">
        <f t="shared" si="76"/>
        <v>0.91999999999999738</v>
      </c>
      <c r="CG156" s="50">
        <f t="shared" si="81"/>
        <v>0.56391182764363545</v>
      </c>
      <c r="CH156" s="50">
        <f t="shared" si="82"/>
        <v>32</v>
      </c>
      <c r="CI156" s="50">
        <f t="shared" si="77"/>
        <v>0.38799999999999901</v>
      </c>
      <c r="CJ156" s="50">
        <f t="shared" si="83"/>
        <v>10</v>
      </c>
    </row>
    <row r="157" spans="83:88" ht="12" customHeight="1" x14ac:dyDescent="0.2">
      <c r="CE157" s="50">
        <v>109</v>
      </c>
      <c r="CF157" s="50">
        <f t="shared" si="76"/>
        <v>0.90999999999999748</v>
      </c>
      <c r="CG157" s="50">
        <f t="shared" si="81"/>
        <v>0.5670168992416319</v>
      </c>
      <c r="CH157" s="50">
        <f t="shared" si="82"/>
        <v>32</v>
      </c>
      <c r="CI157" s="50">
        <f t="shared" si="77"/>
        <v>0.38399999999999901</v>
      </c>
      <c r="CJ157" s="50">
        <f t="shared" si="83"/>
        <v>10</v>
      </c>
    </row>
    <row r="158" spans="83:88" ht="12" customHeight="1" x14ac:dyDescent="0.2">
      <c r="CE158" s="50">
        <v>110</v>
      </c>
      <c r="CF158" s="50">
        <f t="shared" si="76"/>
        <v>0.89999999999999758</v>
      </c>
      <c r="CG158" s="50">
        <f t="shared" si="81"/>
        <v>0.57012197083962834</v>
      </c>
      <c r="CH158" s="50">
        <f t="shared" si="82"/>
        <v>32</v>
      </c>
      <c r="CI158" s="50">
        <f t="shared" si="77"/>
        <v>0.37999999999999906</v>
      </c>
      <c r="CJ158" s="50">
        <f t="shared" si="83"/>
        <v>10</v>
      </c>
    </row>
    <row r="159" spans="83:88" ht="12" customHeight="1" x14ac:dyDescent="0.2">
      <c r="CE159" s="50">
        <v>111</v>
      </c>
      <c r="CF159" s="50">
        <f t="shared" si="76"/>
        <v>0.88999999999999768</v>
      </c>
      <c r="CG159" s="50">
        <f t="shared" si="81"/>
        <v>0.57322704243762479</v>
      </c>
      <c r="CH159" s="50">
        <f t="shared" si="82"/>
        <v>32</v>
      </c>
      <c r="CI159" s="50">
        <f t="shared" si="77"/>
        <v>0.37599999999999911</v>
      </c>
      <c r="CJ159" s="50">
        <f t="shared" si="83"/>
        <v>10</v>
      </c>
    </row>
    <row r="160" spans="83:88" ht="12" customHeight="1" x14ac:dyDescent="0.2">
      <c r="CE160" s="50">
        <v>112</v>
      </c>
      <c r="CF160" s="50">
        <f t="shared" si="76"/>
        <v>0.87999999999999778</v>
      </c>
      <c r="CG160" s="50">
        <f t="shared" si="81"/>
        <v>0.57633211403562123</v>
      </c>
      <c r="CH160" s="50">
        <f t="shared" si="82"/>
        <v>32</v>
      </c>
      <c r="CI160" s="50">
        <f t="shared" si="77"/>
        <v>0.37199999999999916</v>
      </c>
      <c r="CJ160" s="50">
        <f t="shared" si="83"/>
        <v>10</v>
      </c>
    </row>
    <row r="161" spans="83:88" ht="12" customHeight="1" x14ac:dyDescent="0.2">
      <c r="CE161" s="50">
        <v>113</v>
      </c>
      <c r="CF161" s="50">
        <f t="shared" si="76"/>
        <v>0.86999999999999789</v>
      </c>
      <c r="CG161" s="50">
        <f t="shared" si="81"/>
        <v>0.57943718563361768</v>
      </c>
      <c r="CH161" s="50">
        <f t="shared" si="82"/>
        <v>32</v>
      </c>
      <c r="CI161" s="50">
        <f t="shared" si="77"/>
        <v>0.36799999999999922</v>
      </c>
      <c r="CJ161" s="50">
        <f t="shared" si="83"/>
        <v>10</v>
      </c>
    </row>
    <row r="162" spans="83:88" ht="12" customHeight="1" x14ac:dyDescent="0.2">
      <c r="CE162" s="50">
        <v>114</v>
      </c>
      <c r="CF162" s="50">
        <f t="shared" si="76"/>
        <v>0.8599999999999981</v>
      </c>
      <c r="CG162" s="50">
        <f t="shared" si="81"/>
        <v>0.58254225723161412</v>
      </c>
      <c r="CH162" s="50">
        <f t="shared" si="82"/>
        <v>32</v>
      </c>
      <c r="CI162" s="50">
        <f t="shared" si="77"/>
        <v>0.36399999999999927</v>
      </c>
      <c r="CJ162" s="50">
        <f t="shared" si="83"/>
        <v>10</v>
      </c>
    </row>
    <row r="163" spans="83:88" ht="12" customHeight="1" x14ac:dyDescent="0.2">
      <c r="CE163" s="50">
        <v>115</v>
      </c>
      <c r="CF163" s="50">
        <f t="shared" si="76"/>
        <v>0.8499999999999982</v>
      </c>
      <c r="CG163" s="50">
        <f t="shared" si="81"/>
        <v>0.58564732882961057</v>
      </c>
      <c r="CH163" s="50">
        <f t="shared" si="82"/>
        <v>32</v>
      </c>
      <c r="CI163" s="50">
        <f t="shared" si="77"/>
        <v>0.35999999999999932</v>
      </c>
      <c r="CJ163" s="50">
        <f t="shared" si="83"/>
        <v>10</v>
      </c>
    </row>
    <row r="164" spans="83:88" ht="12" customHeight="1" x14ac:dyDescent="0.2">
      <c r="CE164" s="50">
        <v>116</v>
      </c>
      <c r="CF164" s="50">
        <f t="shared" si="76"/>
        <v>0.8399999999999983</v>
      </c>
      <c r="CG164" s="50">
        <f t="shared" si="81"/>
        <v>0.58875240042760701</v>
      </c>
      <c r="CH164" s="50">
        <f t="shared" si="82"/>
        <v>32</v>
      </c>
      <c r="CI164" s="50">
        <f t="shared" si="77"/>
        <v>0.35599999999999937</v>
      </c>
      <c r="CJ164" s="50">
        <f t="shared" si="83"/>
        <v>10</v>
      </c>
    </row>
    <row r="165" spans="83:88" ht="12" customHeight="1" x14ac:dyDescent="0.2">
      <c r="CE165" s="50">
        <v>117</v>
      </c>
      <c r="CF165" s="50">
        <f t="shared" si="76"/>
        <v>0.82999999999999841</v>
      </c>
      <c r="CG165" s="50">
        <f t="shared" si="81"/>
        <v>0.59185747202560346</v>
      </c>
      <c r="CH165" s="50">
        <f t="shared" si="82"/>
        <v>32</v>
      </c>
      <c r="CI165" s="50">
        <f t="shared" si="77"/>
        <v>0.35199999999999942</v>
      </c>
      <c r="CJ165" s="50">
        <f t="shared" si="83"/>
        <v>10</v>
      </c>
    </row>
    <row r="166" spans="83:88" ht="12" customHeight="1" x14ac:dyDescent="0.2">
      <c r="CE166" s="50">
        <v>118</v>
      </c>
      <c r="CF166" s="50">
        <f t="shared" si="76"/>
        <v>0.81999999999999851</v>
      </c>
      <c r="CG166" s="50">
        <f t="shared" si="81"/>
        <v>0.5949625436235999</v>
      </c>
      <c r="CH166" s="50">
        <f t="shared" si="82"/>
        <v>32</v>
      </c>
      <c r="CI166" s="50">
        <f t="shared" si="77"/>
        <v>0.34799999999999942</v>
      </c>
      <c r="CJ166" s="50">
        <f t="shared" si="83"/>
        <v>10</v>
      </c>
    </row>
    <row r="167" spans="83:88" ht="12" customHeight="1" x14ac:dyDescent="0.2">
      <c r="CE167" s="50">
        <v>119</v>
      </c>
      <c r="CF167" s="50">
        <f t="shared" si="76"/>
        <v>0.80999999999999861</v>
      </c>
      <c r="CG167" s="50">
        <f t="shared" si="81"/>
        <v>0.59806761522159635</v>
      </c>
      <c r="CH167" s="50">
        <f t="shared" si="82"/>
        <v>32</v>
      </c>
      <c r="CI167" s="50">
        <f t="shared" si="77"/>
        <v>0.34399999999999947</v>
      </c>
      <c r="CJ167" s="50">
        <f t="shared" si="83"/>
        <v>10</v>
      </c>
    </row>
    <row r="168" spans="83:88" ht="12" customHeight="1" x14ac:dyDescent="0.2">
      <c r="CE168" s="50">
        <v>120</v>
      </c>
      <c r="CF168" s="50">
        <f t="shared" si="76"/>
        <v>0.79999999999999871</v>
      </c>
      <c r="CG168" s="50">
        <f t="shared" si="81"/>
        <v>0.60117268681959279</v>
      </c>
      <c r="CH168" s="50">
        <f t="shared" si="82"/>
        <v>32</v>
      </c>
      <c r="CI168" s="50">
        <f t="shared" si="77"/>
        <v>0.33999999999999952</v>
      </c>
      <c r="CJ168" s="50">
        <f t="shared" si="83"/>
        <v>10</v>
      </c>
    </row>
    <row r="169" spans="83:88" ht="12" customHeight="1" x14ac:dyDescent="0.2">
      <c r="CE169" s="50">
        <v>121</v>
      </c>
      <c r="CF169" s="50">
        <f t="shared" si="76"/>
        <v>0.78999999999999893</v>
      </c>
      <c r="CG169" s="50">
        <f t="shared" si="81"/>
        <v>0.60427775841758924</v>
      </c>
      <c r="CH169" s="50">
        <f t="shared" si="82"/>
        <v>32</v>
      </c>
      <c r="CI169" s="50">
        <f t="shared" si="77"/>
        <v>0.33599999999999963</v>
      </c>
      <c r="CJ169" s="50">
        <f t="shared" si="83"/>
        <v>10</v>
      </c>
    </row>
    <row r="170" spans="83:88" ht="12" customHeight="1" x14ac:dyDescent="0.2">
      <c r="CE170" s="50">
        <v>122</v>
      </c>
      <c r="CF170" s="50">
        <f t="shared" si="76"/>
        <v>0.77999999999999892</v>
      </c>
      <c r="CG170" s="50">
        <f t="shared" si="81"/>
        <v>0.60738283001558568</v>
      </c>
      <c r="CH170" s="50">
        <f t="shared" si="82"/>
        <v>32</v>
      </c>
      <c r="CI170" s="50">
        <f t="shared" si="77"/>
        <v>0.33199999999999963</v>
      </c>
      <c r="CJ170" s="50">
        <f t="shared" si="83"/>
        <v>10</v>
      </c>
    </row>
    <row r="171" spans="83:88" ht="12" customHeight="1" x14ac:dyDescent="0.2">
      <c r="CE171" s="50">
        <v>123</v>
      </c>
      <c r="CF171" s="50">
        <f t="shared" si="76"/>
        <v>0.76999999999999913</v>
      </c>
      <c r="CG171" s="50">
        <f t="shared" si="81"/>
        <v>0.61048790161358213</v>
      </c>
      <c r="CH171" s="50">
        <f t="shared" si="82"/>
        <v>32</v>
      </c>
      <c r="CI171" s="50">
        <f t="shared" si="77"/>
        <v>0.32799999999999968</v>
      </c>
      <c r="CJ171" s="50">
        <f t="shared" si="83"/>
        <v>10</v>
      </c>
    </row>
    <row r="172" spans="83:88" ht="12" customHeight="1" x14ac:dyDescent="0.2">
      <c r="CE172" s="50">
        <v>124</v>
      </c>
      <c r="CF172" s="50">
        <f t="shared" si="76"/>
        <v>0.75999999999999923</v>
      </c>
      <c r="CG172" s="50">
        <f t="shared" si="81"/>
        <v>0.61359297321157857</v>
      </c>
      <c r="CH172" s="50">
        <f t="shared" si="82"/>
        <v>32</v>
      </c>
      <c r="CI172" s="50">
        <f t="shared" si="77"/>
        <v>0.32399999999999973</v>
      </c>
      <c r="CJ172" s="50">
        <f t="shared" si="83"/>
        <v>10</v>
      </c>
    </row>
    <row r="173" spans="83:88" ht="12" customHeight="1" x14ac:dyDescent="0.2">
      <c r="CE173" s="50">
        <v>125</v>
      </c>
      <c r="CF173" s="50">
        <f t="shared" si="76"/>
        <v>0.74999999999999933</v>
      </c>
      <c r="CG173" s="50">
        <f t="shared" si="81"/>
        <v>0.61669804480957502</v>
      </c>
      <c r="CH173" s="50">
        <f t="shared" si="82"/>
        <v>32</v>
      </c>
      <c r="CI173" s="50">
        <f t="shared" si="77"/>
        <v>0.31999999999999978</v>
      </c>
      <c r="CJ173" s="50">
        <f t="shared" si="83"/>
        <v>10</v>
      </c>
    </row>
    <row r="174" spans="83:88" ht="12" customHeight="1" x14ac:dyDescent="0.2">
      <c r="CE174" s="50">
        <v>126</v>
      </c>
      <c r="CF174" s="50">
        <f t="shared" si="76"/>
        <v>0.73999999999999944</v>
      </c>
      <c r="CG174" s="50">
        <f t="shared" si="81"/>
        <v>0.61980311640757146</v>
      </c>
      <c r="CH174" s="50">
        <f t="shared" si="82"/>
        <v>32</v>
      </c>
      <c r="CI174" s="50">
        <f t="shared" si="77"/>
        <v>0.31599999999999978</v>
      </c>
      <c r="CJ174" s="50">
        <f t="shared" si="83"/>
        <v>10</v>
      </c>
    </row>
    <row r="175" spans="83:88" ht="12" customHeight="1" x14ac:dyDescent="0.2">
      <c r="CE175" s="50">
        <v>127</v>
      </c>
      <c r="CF175" s="50">
        <f t="shared" si="76"/>
        <v>0.72999999999999954</v>
      </c>
      <c r="CG175" s="50">
        <f t="shared" si="81"/>
        <v>0.62290818800556791</v>
      </c>
      <c r="CH175" s="50">
        <f t="shared" si="82"/>
        <v>32</v>
      </c>
      <c r="CI175" s="50">
        <f t="shared" si="77"/>
        <v>0.31199999999999983</v>
      </c>
      <c r="CJ175" s="50">
        <f t="shared" si="83"/>
        <v>10</v>
      </c>
    </row>
    <row r="176" spans="83:88" ht="12" customHeight="1" x14ac:dyDescent="0.2">
      <c r="CE176" s="50">
        <v>128</v>
      </c>
      <c r="CF176" s="50">
        <f t="shared" ref="CF176:CF239" si="84">1-ABS($CM$40-CG176)/$CO$39</f>
        <v>0.71999999999999975</v>
      </c>
      <c r="CG176" s="50">
        <f t="shared" si="81"/>
        <v>0.62601325960356435</v>
      </c>
      <c r="CH176" s="50">
        <f t="shared" si="82"/>
        <v>32</v>
      </c>
      <c r="CI176" s="50">
        <f t="shared" ref="CI176:CI239" si="85">MAX($CI$38*CF176-$CF$43,0)</f>
        <v>0.30799999999999994</v>
      </c>
      <c r="CJ176" s="50">
        <f t="shared" si="83"/>
        <v>10</v>
      </c>
    </row>
    <row r="177" spans="83:88" ht="12" customHeight="1" x14ac:dyDescent="0.2">
      <c r="CE177" s="50">
        <v>129</v>
      </c>
      <c r="CF177" s="50">
        <f t="shared" si="84"/>
        <v>0.70999999999999974</v>
      </c>
      <c r="CG177" s="50">
        <f t="shared" ref="CG177:CG208" si="86">IF($CT$3,CG176+$CF$42,NA())</f>
        <v>0.6291183312015608</v>
      </c>
      <c r="CH177" s="50">
        <f t="shared" ref="CH177:CH208" si="87">CH176</f>
        <v>32</v>
      </c>
      <c r="CI177" s="50">
        <f t="shared" si="85"/>
        <v>0.30399999999999994</v>
      </c>
      <c r="CJ177" s="50">
        <f t="shared" ref="CJ177:CJ208" si="88">CJ176</f>
        <v>10</v>
      </c>
    </row>
    <row r="178" spans="83:88" ht="12" customHeight="1" x14ac:dyDescent="0.2">
      <c r="CE178" s="50">
        <v>130</v>
      </c>
      <c r="CF178" s="50">
        <f t="shared" si="84"/>
        <v>0.7</v>
      </c>
      <c r="CG178" s="50">
        <f t="shared" si="86"/>
        <v>0.63222340279955724</v>
      </c>
      <c r="CH178" s="50">
        <f t="shared" si="87"/>
        <v>32</v>
      </c>
      <c r="CI178" s="50">
        <f t="shared" si="85"/>
        <v>0.3</v>
      </c>
      <c r="CJ178" s="50">
        <f t="shared" si="88"/>
        <v>10</v>
      </c>
    </row>
    <row r="179" spans="83:88" ht="12" customHeight="1" x14ac:dyDescent="0.2">
      <c r="CE179" s="50">
        <v>131</v>
      </c>
      <c r="CF179" s="50">
        <f t="shared" si="84"/>
        <v>0.69</v>
      </c>
      <c r="CG179" s="50">
        <f t="shared" si="86"/>
        <v>0.63532847439755369</v>
      </c>
      <c r="CH179" s="50">
        <f t="shared" si="87"/>
        <v>32</v>
      </c>
      <c r="CI179" s="50">
        <f t="shared" si="85"/>
        <v>0.29599999999999999</v>
      </c>
      <c r="CJ179" s="50">
        <f t="shared" si="88"/>
        <v>10</v>
      </c>
    </row>
    <row r="180" spans="83:88" ht="12" customHeight="1" x14ac:dyDescent="0.2">
      <c r="CE180" s="50">
        <v>132</v>
      </c>
      <c r="CF180" s="50">
        <f t="shared" si="84"/>
        <v>0.68000000000000016</v>
      </c>
      <c r="CG180" s="50">
        <f t="shared" si="86"/>
        <v>0.63843354599555013</v>
      </c>
      <c r="CH180" s="50">
        <f t="shared" si="87"/>
        <v>32</v>
      </c>
      <c r="CI180" s="50">
        <f t="shared" si="85"/>
        <v>0.29200000000000009</v>
      </c>
      <c r="CJ180" s="50">
        <f t="shared" si="88"/>
        <v>10</v>
      </c>
    </row>
    <row r="181" spans="83:88" ht="12" customHeight="1" x14ac:dyDescent="0.2">
      <c r="CE181" s="50">
        <v>133</v>
      </c>
      <c r="CF181" s="50">
        <f t="shared" si="84"/>
        <v>0.67000000000000026</v>
      </c>
      <c r="CG181" s="50">
        <f t="shared" si="86"/>
        <v>0.64153861759354658</v>
      </c>
      <c r="CH181" s="50">
        <f t="shared" si="87"/>
        <v>32</v>
      </c>
      <c r="CI181" s="50">
        <f t="shared" si="85"/>
        <v>0.28800000000000014</v>
      </c>
      <c r="CJ181" s="50">
        <f t="shared" si="88"/>
        <v>10</v>
      </c>
    </row>
    <row r="182" spans="83:88" ht="12" customHeight="1" x14ac:dyDescent="0.2">
      <c r="CE182" s="50">
        <v>134</v>
      </c>
      <c r="CF182" s="50">
        <f t="shared" si="84"/>
        <v>0.66000000000000036</v>
      </c>
      <c r="CG182" s="50">
        <f t="shared" si="86"/>
        <v>0.64464368919154302</v>
      </c>
      <c r="CH182" s="50">
        <f t="shared" si="87"/>
        <v>32</v>
      </c>
      <c r="CI182" s="50">
        <f t="shared" si="85"/>
        <v>0.2840000000000002</v>
      </c>
      <c r="CJ182" s="50">
        <f t="shared" si="88"/>
        <v>10</v>
      </c>
    </row>
    <row r="183" spans="83:88" ht="12" customHeight="1" x14ac:dyDescent="0.2">
      <c r="CE183" s="50">
        <v>135</v>
      </c>
      <c r="CF183" s="50">
        <f t="shared" si="84"/>
        <v>0.65000000000000047</v>
      </c>
      <c r="CG183" s="50">
        <f t="shared" si="86"/>
        <v>0.64774876078953947</v>
      </c>
      <c r="CH183" s="50">
        <f t="shared" si="87"/>
        <v>32</v>
      </c>
      <c r="CI183" s="50">
        <f t="shared" si="85"/>
        <v>0.28000000000000019</v>
      </c>
      <c r="CJ183" s="50">
        <f t="shared" si="88"/>
        <v>10</v>
      </c>
    </row>
    <row r="184" spans="83:88" ht="12" customHeight="1" x14ac:dyDescent="0.2">
      <c r="CE184" s="50">
        <v>136</v>
      </c>
      <c r="CF184" s="50">
        <f t="shared" si="84"/>
        <v>0.64000000000000057</v>
      </c>
      <c r="CG184" s="50">
        <f t="shared" si="86"/>
        <v>0.65085383238753591</v>
      </c>
      <c r="CH184" s="50">
        <f t="shared" si="87"/>
        <v>32</v>
      </c>
      <c r="CI184" s="50">
        <f t="shared" si="85"/>
        <v>0.27600000000000025</v>
      </c>
      <c r="CJ184" s="50">
        <f t="shared" si="88"/>
        <v>10</v>
      </c>
    </row>
    <row r="185" spans="83:88" ht="12" customHeight="1" x14ac:dyDescent="0.2">
      <c r="CE185" s="50">
        <v>137</v>
      </c>
      <c r="CF185" s="50">
        <f t="shared" si="84"/>
        <v>0.63000000000000078</v>
      </c>
      <c r="CG185" s="50">
        <f t="shared" si="86"/>
        <v>0.65395890398553236</v>
      </c>
      <c r="CH185" s="50">
        <f t="shared" si="87"/>
        <v>32</v>
      </c>
      <c r="CI185" s="50">
        <f t="shared" si="85"/>
        <v>0.27200000000000035</v>
      </c>
      <c r="CJ185" s="50">
        <f t="shared" si="88"/>
        <v>10</v>
      </c>
    </row>
    <row r="186" spans="83:88" ht="12" customHeight="1" x14ac:dyDescent="0.2">
      <c r="CE186" s="50">
        <v>138</v>
      </c>
      <c r="CF186" s="50">
        <f t="shared" si="84"/>
        <v>0.62000000000000077</v>
      </c>
      <c r="CG186" s="50">
        <f t="shared" si="86"/>
        <v>0.6570639755835288</v>
      </c>
      <c r="CH186" s="50">
        <f t="shared" si="87"/>
        <v>32</v>
      </c>
      <c r="CI186" s="50">
        <f t="shared" si="85"/>
        <v>0.26800000000000035</v>
      </c>
      <c r="CJ186" s="50">
        <f t="shared" si="88"/>
        <v>10</v>
      </c>
    </row>
    <row r="187" spans="83:88" ht="12" customHeight="1" x14ac:dyDescent="0.2">
      <c r="CE187" s="50">
        <v>139</v>
      </c>
      <c r="CF187" s="50">
        <f t="shared" si="84"/>
        <v>0.61000000000000099</v>
      </c>
      <c r="CG187" s="50">
        <f t="shared" si="86"/>
        <v>0.66016904718152525</v>
      </c>
      <c r="CH187" s="50">
        <f t="shared" si="87"/>
        <v>32</v>
      </c>
      <c r="CI187" s="50">
        <f t="shared" si="85"/>
        <v>0.2640000000000004</v>
      </c>
      <c r="CJ187" s="50">
        <f t="shared" si="88"/>
        <v>10</v>
      </c>
    </row>
    <row r="188" spans="83:88" ht="12" customHeight="1" x14ac:dyDescent="0.2">
      <c r="CE188" s="50">
        <v>140</v>
      </c>
      <c r="CF188" s="50">
        <f t="shared" si="84"/>
        <v>0.60000000000000109</v>
      </c>
      <c r="CG188" s="50">
        <f t="shared" si="86"/>
        <v>0.66327411877952169</v>
      </c>
      <c r="CH188" s="50">
        <f t="shared" si="87"/>
        <v>32</v>
      </c>
      <c r="CI188" s="50">
        <f t="shared" si="85"/>
        <v>0.26000000000000045</v>
      </c>
      <c r="CJ188" s="50">
        <f t="shared" si="88"/>
        <v>10</v>
      </c>
    </row>
    <row r="189" spans="83:88" ht="12" customHeight="1" x14ac:dyDescent="0.2">
      <c r="CE189" s="50">
        <v>141</v>
      </c>
      <c r="CF189" s="50">
        <f t="shared" si="84"/>
        <v>0.59000000000000119</v>
      </c>
      <c r="CG189" s="50">
        <f t="shared" si="86"/>
        <v>0.66637919037751814</v>
      </c>
      <c r="CH189" s="50">
        <f t="shared" si="87"/>
        <v>32</v>
      </c>
      <c r="CI189" s="50">
        <f t="shared" si="85"/>
        <v>0.2560000000000005</v>
      </c>
      <c r="CJ189" s="50">
        <f t="shared" si="88"/>
        <v>10</v>
      </c>
    </row>
    <row r="190" spans="83:88" ht="12" customHeight="1" x14ac:dyDescent="0.2">
      <c r="CE190" s="50">
        <v>142</v>
      </c>
      <c r="CF190" s="50">
        <f t="shared" si="84"/>
        <v>0.58000000000000129</v>
      </c>
      <c r="CG190" s="50">
        <f t="shared" si="86"/>
        <v>0.66948426197551458</v>
      </c>
      <c r="CH190" s="50">
        <f t="shared" si="87"/>
        <v>32</v>
      </c>
      <c r="CI190" s="50">
        <f t="shared" si="85"/>
        <v>0.25200000000000056</v>
      </c>
      <c r="CJ190" s="50">
        <f t="shared" si="88"/>
        <v>10</v>
      </c>
    </row>
    <row r="191" spans="83:88" ht="12" customHeight="1" x14ac:dyDescent="0.2">
      <c r="CE191" s="50">
        <v>143</v>
      </c>
      <c r="CF191" s="50">
        <f t="shared" si="84"/>
        <v>0.57000000000000139</v>
      </c>
      <c r="CG191" s="50">
        <f t="shared" si="86"/>
        <v>0.67258933357351103</v>
      </c>
      <c r="CH191" s="50">
        <f t="shared" si="87"/>
        <v>32</v>
      </c>
      <c r="CI191" s="50">
        <f t="shared" si="85"/>
        <v>0.24800000000000055</v>
      </c>
      <c r="CJ191" s="50">
        <f t="shared" si="88"/>
        <v>10</v>
      </c>
    </row>
    <row r="192" spans="83:88" ht="12" customHeight="1" x14ac:dyDescent="0.2">
      <c r="CE192" s="50">
        <v>144</v>
      </c>
      <c r="CF192" s="50">
        <f t="shared" si="84"/>
        <v>0.56000000000000161</v>
      </c>
      <c r="CG192" s="50">
        <f t="shared" si="86"/>
        <v>0.67569440517150747</v>
      </c>
      <c r="CH192" s="50">
        <f t="shared" si="87"/>
        <v>32</v>
      </c>
      <c r="CI192" s="50">
        <f t="shared" si="85"/>
        <v>0.24400000000000063</v>
      </c>
      <c r="CJ192" s="50">
        <f t="shared" si="88"/>
        <v>10</v>
      </c>
    </row>
    <row r="193" spans="83:88" ht="12" customHeight="1" x14ac:dyDescent="0.2">
      <c r="CE193" s="50">
        <v>145</v>
      </c>
      <c r="CF193" s="50">
        <f t="shared" si="84"/>
        <v>0.5500000000000016</v>
      </c>
      <c r="CG193" s="50">
        <f t="shared" si="86"/>
        <v>0.67879947676950392</v>
      </c>
      <c r="CH193" s="50">
        <f t="shared" si="87"/>
        <v>32</v>
      </c>
      <c r="CI193" s="50">
        <f t="shared" si="85"/>
        <v>0.24000000000000063</v>
      </c>
      <c r="CJ193" s="50">
        <f t="shared" si="88"/>
        <v>10</v>
      </c>
    </row>
    <row r="194" spans="83:88" ht="12" customHeight="1" x14ac:dyDescent="0.2">
      <c r="CE194" s="50">
        <v>146</v>
      </c>
      <c r="CF194" s="50">
        <f t="shared" si="84"/>
        <v>0.54000000000000181</v>
      </c>
      <c r="CG194" s="50">
        <f t="shared" si="86"/>
        <v>0.68190454836750036</v>
      </c>
      <c r="CH194" s="50">
        <f t="shared" si="87"/>
        <v>32</v>
      </c>
      <c r="CI194" s="50">
        <f t="shared" si="85"/>
        <v>0.23600000000000074</v>
      </c>
      <c r="CJ194" s="50">
        <f t="shared" si="88"/>
        <v>10</v>
      </c>
    </row>
    <row r="195" spans="83:88" ht="12" customHeight="1" x14ac:dyDescent="0.2">
      <c r="CE195" s="50">
        <v>147</v>
      </c>
      <c r="CF195" s="50">
        <f t="shared" si="84"/>
        <v>0.5300000000000018</v>
      </c>
      <c r="CG195" s="50">
        <f t="shared" si="86"/>
        <v>0.68500961996549681</v>
      </c>
      <c r="CH195" s="50">
        <f t="shared" si="87"/>
        <v>32</v>
      </c>
      <c r="CI195" s="50">
        <f t="shared" si="85"/>
        <v>0.23200000000000073</v>
      </c>
      <c r="CJ195" s="50">
        <f t="shared" si="88"/>
        <v>10</v>
      </c>
    </row>
    <row r="196" spans="83:88" ht="12" customHeight="1" x14ac:dyDescent="0.2">
      <c r="CE196" s="50">
        <v>148</v>
      </c>
      <c r="CF196" s="50">
        <f t="shared" si="84"/>
        <v>0.52000000000000202</v>
      </c>
      <c r="CG196" s="50">
        <f t="shared" si="86"/>
        <v>0.68811469156349325</v>
      </c>
      <c r="CH196" s="50">
        <f t="shared" si="87"/>
        <v>32</v>
      </c>
      <c r="CI196" s="50">
        <f t="shared" si="85"/>
        <v>0.22800000000000081</v>
      </c>
      <c r="CJ196" s="50">
        <f t="shared" si="88"/>
        <v>10</v>
      </c>
    </row>
    <row r="197" spans="83:88" ht="12" customHeight="1" x14ac:dyDescent="0.2">
      <c r="CE197" s="50">
        <v>149</v>
      </c>
      <c r="CF197" s="50">
        <f t="shared" si="84"/>
        <v>0.51000000000000212</v>
      </c>
      <c r="CG197" s="50">
        <f t="shared" si="86"/>
        <v>0.6912197631614897</v>
      </c>
      <c r="CH197" s="50">
        <f t="shared" si="87"/>
        <v>32</v>
      </c>
      <c r="CI197" s="50">
        <f t="shared" si="85"/>
        <v>0.22400000000000084</v>
      </c>
      <c r="CJ197" s="50">
        <f t="shared" si="88"/>
        <v>10</v>
      </c>
    </row>
    <row r="198" spans="83:88" ht="12" customHeight="1" x14ac:dyDescent="0.2">
      <c r="CE198" s="50">
        <v>150</v>
      </c>
      <c r="CF198" s="50">
        <f t="shared" si="84"/>
        <v>0.50000000000000222</v>
      </c>
      <c r="CG198" s="50">
        <f t="shared" si="86"/>
        <v>0.69432483475948614</v>
      </c>
      <c r="CH198" s="50">
        <f t="shared" si="87"/>
        <v>32</v>
      </c>
      <c r="CI198" s="50">
        <f t="shared" si="85"/>
        <v>0.22000000000000089</v>
      </c>
      <c r="CJ198" s="50">
        <f t="shared" si="88"/>
        <v>10</v>
      </c>
    </row>
    <row r="199" spans="83:88" ht="12" customHeight="1" x14ac:dyDescent="0.2">
      <c r="CE199" s="50">
        <v>151</v>
      </c>
      <c r="CF199" s="50">
        <f t="shared" si="84"/>
        <v>0.49000000000000232</v>
      </c>
      <c r="CG199" s="50">
        <f t="shared" si="86"/>
        <v>0.69742990635748259</v>
      </c>
      <c r="CH199" s="50">
        <f t="shared" si="87"/>
        <v>32</v>
      </c>
      <c r="CI199" s="50">
        <f t="shared" si="85"/>
        <v>0.21600000000000094</v>
      </c>
      <c r="CJ199" s="50">
        <f t="shared" si="88"/>
        <v>10</v>
      </c>
    </row>
    <row r="200" spans="83:88" ht="12" customHeight="1" x14ac:dyDescent="0.2">
      <c r="CE200" s="50">
        <v>152</v>
      </c>
      <c r="CF200" s="50">
        <f t="shared" si="84"/>
        <v>0.48000000000000242</v>
      </c>
      <c r="CG200" s="50">
        <f t="shared" si="86"/>
        <v>0.70053497795547903</v>
      </c>
      <c r="CH200" s="50">
        <f t="shared" si="87"/>
        <v>32</v>
      </c>
      <c r="CI200" s="50">
        <f t="shared" si="85"/>
        <v>0.21200000000000097</v>
      </c>
      <c r="CJ200" s="50">
        <f t="shared" si="88"/>
        <v>10</v>
      </c>
    </row>
    <row r="201" spans="83:88" ht="12" customHeight="1" x14ac:dyDescent="0.2">
      <c r="CE201" s="50">
        <v>153</v>
      </c>
      <c r="CF201" s="50">
        <f t="shared" si="84"/>
        <v>0.47000000000000264</v>
      </c>
      <c r="CG201" s="50">
        <f t="shared" si="86"/>
        <v>0.70364004955347548</v>
      </c>
      <c r="CH201" s="50">
        <f t="shared" si="87"/>
        <v>32</v>
      </c>
      <c r="CI201" s="50">
        <f t="shared" si="85"/>
        <v>0.20800000000000105</v>
      </c>
      <c r="CJ201" s="50">
        <f t="shared" si="88"/>
        <v>10</v>
      </c>
    </row>
    <row r="202" spans="83:88" ht="12" customHeight="1" x14ac:dyDescent="0.2">
      <c r="CE202" s="50">
        <v>154</v>
      </c>
      <c r="CF202" s="50">
        <f t="shared" si="84"/>
        <v>0.46000000000000274</v>
      </c>
      <c r="CG202" s="50">
        <f t="shared" si="86"/>
        <v>0.70674512115147192</v>
      </c>
      <c r="CH202" s="50">
        <f t="shared" si="87"/>
        <v>32</v>
      </c>
      <c r="CI202" s="50">
        <f t="shared" si="85"/>
        <v>0.2040000000000011</v>
      </c>
      <c r="CJ202" s="50">
        <f t="shared" si="88"/>
        <v>10</v>
      </c>
    </row>
    <row r="203" spans="83:88" ht="12" customHeight="1" x14ac:dyDescent="0.2">
      <c r="CE203" s="50">
        <v>155</v>
      </c>
      <c r="CF203" s="50">
        <f t="shared" si="84"/>
        <v>0.45000000000000284</v>
      </c>
      <c r="CG203" s="50">
        <f t="shared" si="86"/>
        <v>0.70985019274946837</v>
      </c>
      <c r="CH203" s="50">
        <f t="shared" si="87"/>
        <v>32</v>
      </c>
      <c r="CI203" s="50">
        <f t="shared" si="85"/>
        <v>0.20000000000000115</v>
      </c>
      <c r="CJ203" s="50">
        <f t="shared" si="88"/>
        <v>10</v>
      </c>
    </row>
    <row r="204" spans="83:88" ht="12" customHeight="1" x14ac:dyDescent="0.2">
      <c r="CE204" s="50">
        <v>156</v>
      </c>
      <c r="CF204" s="50">
        <f t="shared" si="84"/>
        <v>0.44000000000000294</v>
      </c>
      <c r="CG204" s="50">
        <f t="shared" si="86"/>
        <v>0.71295526434746481</v>
      </c>
      <c r="CH204" s="50">
        <f t="shared" si="87"/>
        <v>32</v>
      </c>
      <c r="CI204" s="50">
        <f t="shared" si="85"/>
        <v>0.19600000000000117</v>
      </c>
      <c r="CJ204" s="50">
        <f t="shared" si="88"/>
        <v>10</v>
      </c>
    </row>
    <row r="205" spans="83:88" ht="12" customHeight="1" x14ac:dyDescent="0.2">
      <c r="CE205" s="50">
        <v>157</v>
      </c>
      <c r="CF205" s="50">
        <f t="shared" si="84"/>
        <v>0.43000000000000305</v>
      </c>
      <c r="CG205" s="50">
        <f t="shared" si="86"/>
        <v>0.71606033594546126</v>
      </c>
      <c r="CH205" s="50">
        <f t="shared" si="87"/>
        <v>32</v>
      </c>
      <c r="CI205" s="50">
        <f t="shared" si="85"/>
        <v>0.19200000000000123</v>
      </c>
      <c r="CJ205" s="50">
        <f t="shared" si="88"/>
        <v>10</v>
      </c>
    </row>
    <row r="206" spans="83:88" ht="12" customHeight="1" x14ac:dyDescent="0.2">
      <c r="CE206" s="50">
        <v>158</v>
      </c>
      <c r="CF206" s="50">
        <f t="shared" si="84"/>
        <v>0.42000000000000315</v>
      </c>
      <c r="CG206" s="50">
        <f t="shared" si="86"/>
        <v>0.7191654075434577</v>
      </c>
      <c r="CH206" s="50">
        <f t="shared" si="87"/>
        <v>32</v>
      </c>
      <c r="CI206" s="50">
        <f t="shared" si="85"/>
        <v>0.18800000000000125</v>
      </c>
      <c r="CJ206" s="50">
        <f t="shared" si="88"/>
        <v>10</v>
      </c>
    </row>
    <row r="207" spans="83:88" ht="12" customHeight="1" x14ac:dyDescent="0.2">
      <c r="CE207" s="50">
        <v>159</v>
      </c>
      <c r="CF207" s="50">
        <f t="shared" si="84"/>
        <v>0.41000000000000325</v>
      </c>
      <c r="CG207" s="50">
        <f t="shared" si="86"/>
        <v>0.72227047914145415</v>
      </c>
      <c r="CH207" s="50">
        <f t="shared" si="87"/>
        <v>32</v>
      </c>
      <c r="CI207" s="50">
        <f t="shared" si="85"/>
        <v>0.1840000000000013</v>
      </c>
      <c r="CJ207" s="50">
        <f t="shared" si="88"/>
        <v>10</v>
      </c>
    </row>
    <row r="208" spans="83:88" ht="12" customHeight="1" x14ac:dyDescent="0.2">
      <c r="CE208" s="50">
        <v>160</v>
      </c>
      <c r="CF208" s="50">
        <f t="shared" si="84"/>
        <v>0.40000000000000335</v>
      </c>
      <c r="CG208" s="50">
        <f t="shared" si="86"/>
        <v>0.72537555073945059</v>
      </c>
      <c r="CH208" s="50">
        <f t="shared" si="87"/>
        <v>32</v>
      </c>
      <c r="CI208" s="50">
        <f t="shared" si="85"/>
        <v>0.18000000000000135</v>
      </c>
      <c r="CJ208" s="50">
        <f t="shared" si="88"/>
        <v>10</v>
      </c>
    </row>
    <row r="209" spans="83:88" ht="12" customHeight="1" x14ac:dyDescent="0.2">
      <c r="CE209" s="50">
        <v>161</v>
      </c>
      <c r="CF209" s="50">
        <f t="shared" si="84"/>
        <v>0.39000000000000357</v>
      </c>
      <c r="CG209" s="50">
        <f t="shared" ref="CG209:CG240" si="89">IF($CT$3,CG208+$CF$42,NA())</f>
        <v>0.72848062233744704</v>
      </c>
      <c r="CH209" s="50">
        <f t="shared" ref="CH209:CH240" si="90">CH208</f>
        <v>32</v>
      </c>
      <c r="CI209" s="50">
        <f t="shared" si="85"/>
        <v>0.17600000000000143</v>
      </c>
      <c r="CJ209" s="50">
        <f t="shared" ref="CJ209:CJ240" si="91">CJ208</f>
        <v>10</v>
      </c>
    </row>
    <row r="210" spans="83:88" ht="12" customHeight="1" x14ac:dyDescent="0.2">
      <c r="CE210" s="50">
        <v>162</v>
      </c>
      <c r="CF210" s="50">
        <f t="shared" si="84"/>
        <v>0.38000000000000367</v>
      </c>
      <c r="CG210" s="50">
        <f t="shared" si="89"/>
        <v>0.73158569393544348</v>
      </c>
      <c r="CH210" s="50">
        <f t="shared" si="90"/>
        <v>32</v>
      </c>
      <c r="CI210" s="50">
        <f t="shared" si="85"/>
        <v>0.17200000000000146</v>
      </c>
      <c r="CJ210" s="50">
        <f t="shared" si="91"/>
        <v>10</v>
      </c>
    </row>
    <row r="211" spans="83:88" ht="12" customHeight="1" x14ac:dyDescent="0.2">
      <c r="CE211" s="50">
        <v>163</v>
      </c>
      <c r="CF211" s="50">
        <f t="shared" si="84"/>
        <v>0.37000000000000377</v>
      </c>
      <c r="CG211" s="50">
        <f t="shared" si="89"/>
        <v>0.73469076553343993</v>
      </c>
      <c r="CH211" s="50">
        <f t="shared" si="90"/>
        <v>32</v>
      </c>
      <c r="CI211" s="50">
        <f t="shared" si="85"/>
        <v>0.16800000000000151</v>
      </c>
      <c r="CJ211" s="50">
        <f t="shared" si="91"/>
        <v>10</v>
      </c>
    </row>
    <row r="212" spans="83:88" ht="12" customHeight="1" x14ac:dyDescent="0.2">
      <c r="CE212" s="50">
        <v>164</v>
      </c>
      <c r="CF212" s="50">
        <f t="shared" si="84"/>
        <v>0.36000000000000387</v>
      </c>
      <c r="CG212" s="50">
        <f t="shared" si="89"/>
        <v>0.73779583713143637</v>
      </c>
      <c r="CH212" s="50">
        <f t="shared" si="90"/>
        <v>32</v>
      </c>
      <c r="CI212" s="50">
        <f t="shared" si="85"/>
        <v>0.16400000000000153</v>
      </c>
      <c r="CJ212" s="50">
        <f t="shared" si="91"/>
        <v>10</v>
      </c>
    </row>
    <row r="213" spans="83:88" ht="12" customHeight="1" x14ac:dyDescent="0.2">
      <c r="CE213" s="50">
        <v>165</v>
      </c>
      <c r="CF213" s="50">
        <f t="shared" si="84"/>
        <v>0.35000000000000397</v>
      </c>
      <c r="CG213" s="50">
        <f t="shared" si="89"/>
        <v>0.74090090872943282</v>
      </c>
      <c r="CH213" s="50">
        <f t="shared" si="90"/>
        <v>32</v>
      </c>
      <c r="CI213" s="50">
        <f t="shared" si="85"/>
        <v>0.16000000000000159</v>
      </c>
      <c r="CJ213" s="50">
        <f t="shared" si="91"/>
        <v>10</v>
      </c>
    </row>
    <row r="214" spans="83:88" ht="12" customHeight="1" x14ac:dyDescent="0.2">
      <c r="CE214" s="50">
        <v>166</v>
      </c>
      <c r="CF214" s="50">
        <f t="shared" si="84"/>
        <v>0.34000000000000408</v>
      </c>
      <c r="CG214" s="50">
        <f t="shared" si="89"/>
        <v>0.74400598032742926</v>
      </c>
      <c r="CH214" s="50">
        <f t="shared" si="90"/>
        <v>32</v>
      </c>
      <c r="CI214" s="50">
        <f t="shared" si="85"/>
        <v>0.15600000000000164</v>
      </c>
      <c r="CJ214" s="50">
        <f t="shared" si="91"/>
        <v>10</v>
      </c>
    </row>
    <row r="215" spans="83:88" ht="12" customHeight="1" x14ac:dyDescent="0.2">
      <c r="CE215" s="50">
        <v>167</v>
      </c>
      <c r="CF215" s="50">
        <f t="shared" si="84"/>
        <v>0.33000000000000418</v>
      </c>
      <c r="CG215" s="50">
        <f t="shared" si="89"/>
        <v>0.74711105192542571</v>
      </c>
      <c r="CH215" s="50">
        <f t="shared" si="90"/>
        <v>32</v>
      </c>
      <c r="CI215" s="50">
        <f t="shared" si="85"/>
        <v>0.15200000000000166</v>
      </c>
      <c r="CJ215" s="50">
        <f t="shared" si="91"/>
        <v>10</v>
      </c>
    </row>
    <row r="216" spans="83:88" ht="12" customHeight="1" x14ac:dyDescent="0.2">
      <c r="CE216" s="50">
        <v>168</v>
      </c>
      <c r="CF216" s="50">
        <f t="shared" si="84"/>
        <v>0.32000000000000428</v>
      </c>
      <c r="CG216" s="50">
        <f t="shared" si="89"/>
        <v>0.75021612352342215</v>
      </c>
      <c r="CH216" s="50">
        <f t="shared" si="90"/>
        <v>32</v>
      </c>
      <c r="CI216" s="50">
        <f t="shared" si="85"/>
        <v>0.14800000000000171</v>
      </c>
      <c r="CJ216" s="50">
        <f t="shared" si="91"/>
        <v>10</v>
      </c>
    </row>
    <row r="217" spans="83:88" ht="12" customHeight="1" x14ac:dyDescent="0.2">
      <c r="CE217" s="50">
        <v>169</v>
      </c>
      <c r="CF217" s="50">
        <f t="shared" si="84"/>
        <v>0.31000000000000449</v>
      </c>
      <c r="CG217" s="50">
        <f t="shared" si="89"/>
        <v>0.7533211951214186</v>
      </c>
      <c r="CH217" s="50">
        <f t="shared" si="90"/>
        <v>32</v>
      </c>
      <c r="CI217" s="50">
        <f t="shared" si="85"/>
        <v>0.14400000000000179</v>
      </c>
      <c r="CJ217" s="50">
        <f t="shared" si="91"/>
        <v>10</v>
      </c>
    </row>
    <row r="218" spans="83:88" ht="12" customHeight="1" x14ac:dyDescent="0.2">
      <c r="CE218" s="50">
        <v>170</v>
      </c>
      <c r="CF218" s="50">
        <f t="shared" si="84"/>
        <v>0.3000000000000046</v>
      </c>
      <c r="CG218" s="50">
        <f t="shared" si="89"/>
        <v>0.75642626671941504</v>
      </c>
      <c r="CH218" s="50">
        <f t="shared" si="90"/>
        <v>32</v>
      </c>
      <c r="CI218" s="50">
        <f t="shared" si="85"/>
        <v>0.14000000000000185</v>
      </c>
      <c r="CJ218" s="50">
        <f t="shared" si="91"/>
        <v>10</v>
      </c>
    </row>
    <row r="219" spans="83:88" ht="12" customHeight="1" x14ac:dyDescent="0.2">
      <c r="CE219" s="50">
        <v>171</v>
      </c>
      <c r="CF219" s="50">
        <f t="shared" si="84"/>
        <v>0.2900000000000047</v>
      </c>
      <c r="CG219" s="50">
        <f t="shared" si="89"/>
        <v>0.75953133831741149</v>
      </c>
      <c r="CH219" s="50">
        <f t="shared" si="90"/>
        <v>32</v>
      </c>
      <c r="CI219" s="50">
        <f t="shared" si="85"/>
        <v>0.13600000000000187</v>
      </c>
      <c r="CJ219" s="50">
        <f t="shared" si="91"/>
        <v>10</v>
      </c>
    </row>
    <row r="220" spans="83:88" ht="12" customHeight="1" x14ac:dyDescent="0.2">
      <c r="CE220" s="50">
        <v>172</v>
      </c>
      <c r="CF220" s="50">
        <f t="shared" si="84"/>
        <v>0.2800000000000048</v>
      </c>
      <c r="CG220" s="50">
        <f t="shared" si="89"/>
        <v>0.76263640991540793</v>
      </c>
      <c r="CH220" s="50">
        <f t="shared" si="90"/>
        <v>32</v>
      </c>
      <c r="CI220" s="50">
        <f t="shared" si="85"/>
        <v>0.13200000000000192</v>
      </c>
      <c r="CJ220" s="50">
        <f t="shared" si="91"/>
        <v>10</v>
      </c>
    </row>
    <row r="221" spans="83:88" ht="12" customHeight="1" x14ac:dyDescent="0.2">
      <c r="CE221" s="50">
        <v>173</v>
      </c>
      <c r="CF221" s="50">
        <f t="shared" si="84"/>
        <v>0.2700000000000049</v>
      </c>
      <c r="CG221" s="50">
        <f t="shared" si="89"/>
        <v>0.76574148151340438</v>
      </c>
      <c r="CH221" s="50">
        <f t="shared" si="90"/>
        <v>32</v>
      </c>
      <c r="CI221" s="50">
        <f t="shared" si="85"/>
        <v>0.12800000000000197</v>
      </c>
      <c r="CJ221" s="50">
        <f t="shared" si="91"/>
        <v>10</v>
      </c>
    </row>
    <row r="222" spans="83:88" ht="12" customHeight="1" x14ac:dyDescent="0.2">
      <c r="CE222" s="50">
        <v>174</v>
      </c>
      <c r="CF222" s="50">
        <f t="shared" si="84"/>
        <v>0.260000000000005</v>
      </c>
      <c r="CG222" s="50">
        <f t="shared" si="89"/>
        <v>0.76884655311140082</v>
      </c>
      <c r="CH222" s="50">
        <f t="shared" si="90"/>
        <v>32</v>
      </c>
      <c r="CI222" s="50">
        <f t="shared" si="85"/>
        <v>0.12400000000000201</v>
      </c>
      <c r="CJ222" s="50">
        <f t="shared" si="91"/>
        <v>10</v>
      </c>
    </row>
    <row r="223" spans="83:88" ht="12" customHeight="1" x14ac:dyDescent="0.2">
      <c r="CE223" s="50">
        <v>175</v>
      </c>
      <c r="CF223" s="50">
        <f t="shared" si="84"/>
        <v>0.25000000000000511</v>
      </c>
      <c r="CG223" s="50">
        <f t="shared" si="89"/>
        <v>0.77195162470939727</v>
      </c>
      <c r="CH223" s="50">
        <f t="shared" si="90"/>
        <v>32</v>
      </c>
      <c r="CI223" s="50">
        <f t="shared" si="85"/>
        <v>0.12000000000000205</v>
      </c>
      <c r="CJ223" s="50">
        <f t="shared" si="91"/>
        <v>10</v>
      </c>
    </row>
    <row r="224" spans="83:88" ht="12" customHeight="1" x14ac:dyDescent="0.2">
      <c r="CE224" s="50">
        <v>176</v>
      </c>
      <c r="CF224" s="50">
        <f t="shared" si="84"/>
        <v>0.24000000000000521</v>
      </c>
      <c r="CG224" s="50">
        <f t="shared" si="89"/>
        <v>0.77505669630739371</v>
      </c>
      <c r="CH224" s="50">
        <f t="shared" si="90"/>
        <v>32</v>
      </c>
      <c r="CI224" s="50">
        <f t="shared" si="85"/>
        <v>0.11600000000000209</v>
      </c>
      <c r="CJ224" s="50">
        <f t="shared" si="91"/>
        <v>10</v>
      </c>
    </row>
    <row r="225" spans="83:88" ht="12" customHeight="1" x14ac:dyDescent="0.2">
      <c r="CE225" s="50">
        <v>177</v>
      </c>
      <c r="CF225" s="50">
        <f t="shared" si="84"/>
        <v>0.23000000000000542</v>
      </c>
      <c r="CG225" s="50">
        <f t="shared" si="89"/>
        <v>0.77816176790539016</v>
      </c>
      <c r="CH225" s="50">
        <f t="shared" si="90"/>
        <v>32</v>
      </c>
      <c r="CI225" s="50">
        <f t="shared" si="85"/>
        <v>0.11200000000000218</v>
      </c>
      <c r="CJ225" s="50">
        <f t="shared" si="91"/>
        <v>10</v>
      </c>
    </row>
    <row r="226" spans="83:88" ht="12" customHeight="1" x14ac:dyDescent="0.2">
      <c r="CE226" s="50">
        <v>178</v>
      </c>
      <c r="CF226" s="50">
        <f t="shared" si="84"/>
        <v>0.22000000000000552</v>
      </c>
      <c r="CG226" s="50">
        <f t="shared" si="89"/>
        <v>0.7812668395033866</v>
      </c>
      <c r="CH226" s="50">
        <f t="shared" si="90"/>
        <v>32</v>
      </c>
      <c r="CI226" s="50">
        <f t="shared" si="85"/>
        <v>0.10800000000000222</v>
      </c>
      <c r="CJ226" s="50">
        <f t="shared" si="91"/>
        <v>10</v>
      </c>
    </row>
    <row r="227" spans="83:88" ht="12" customHeight="1" x14ac:dyDescent="0.2">
      <c r="CE227" s="50">
        <v>179</v>
      </c>
      <c r="CF227" s="50">
        <f t="shared" si="84"/>
        <v>0.21000000000000563</v>
      </c>
      <c r="CG227" s="50">
        <f t="shared" si="89"/>
        <v>0.78437191110138305</v>
      </c>
      <c r="CH227" s="50">
        <f t="shared" si="90"/>
        <v>32</v>
      </c>
      <c r="CI227" s="50">
        <f t="shared" si="85"/>
        <v>0.10400000000000226</v>
      </c>
      <c r="CJ227" s="50">
        <f t="shared" si="91"/>
        <v>10</v>
      </c>
    </row>
    <row r="228" spans="83:88" ht="12" customHeight="1" x14ac:dyDescent="0.2">
      <c r="CE228" s="50">
        <v>180</v>
      </c>
      <c r="CF228" s="50">
        <f t="shared" si="84"/>
        <v>0.20000000000000573</v>
      </c>
      <c r="CG228" s="50">
        <f t="shared" si="89"/>
        <v>0.78747698269937949</v>
      </c>
      <c r="CH228" s="50">
        <f t="shared" si="90"/>
        <v>32</v>
      </c>
      <c r="CI228" s="50">
        <f t="shared" si="85"/>
        <v>0.1000000000000023</v>
      </c>
      <c r="CJ228" s="50">
        <f t="shared" si="91"/>
        <v>10</v>
      </c>
    </row>
    <row r="229" spans="83:88" ht="12" customHeight="1" x14ac:dyDescent="0.2">
      <c r="CE229" s="50">
        <v>181</v>
      </c>
      <c r="CF229" s="50">
        <f t="shared" si="84"/>
        <v>0.19000000000000583</v>
      </c>
      <c r="CG229" s="50">
        <f t="shared" si="89"/>
        <v>0.79058205429737594</v>
      </c>
      <c r="CH229" s="50">
        <f t="shared" si="90"/>
        <v>32</v>
      </c>
      <c r="CI229" s="50">
        <f t="shared" si="85"/>
        <v>9.6000000000002347E-2</v>
      </c>
      <c r="CJ229" s="50">
        <f t="shared" si="91"/>
        <v>10</v>
      </c>
    </row>
    <row r="230" spans="83:88" ht="12" customHeight="1" x14ac:dyDescent="0.2">
      <c r="CE230" s="50">
        <v>182</v>
      </c>
      <c r="CF230" s="50">
        <f t="shared" si="84"/>
        <v>0.18000000000000593</v>
      </c>
      <c r="CG230" s="50">
        <f t="shared" si="89"/>
        <v>0.79368712589537238</v>
      </c>
      <c r="CH230" s="50">
        <f t="shared" si="90"/>
        <v>32</v>
      </c>
      <c r="CI230" s="50">
        <f t="shared" si="85"/>
        <v>9.2000000000002385E-2</v>
      </c>
      <c r="CJ230" s="50">
        <f t="shared" si="91"/>
        <v>10</v>
      </c>
    </row>
    <row r="231" spans="83:88" ht="12" customHeight="1" x14ac:dyDescent="0.2">
      <c r="CE231" s="50">
        <v>183</v>
      </c>
      <c r="CF231" s="50">
        <f t="shared" si="84"/>
        <v>0.17000000000000604</v>
      </c>
      <c r="CG231" s="50">
        <f t="shared" si="89"/>
        <v>0.79679219749336883</v>
      </c>
      <c r="CH231" s="50">
        <f t="shared" si="90"/>
        <v>32</v>
      </c>
      <c r="CI231" s="50">
        <f t="shared" si="85"/>
        <v>8.8000000000002424E-2</v>
      </c>
      <c r="CJ231" s="50">
        <f t="shared" si="91"/>
        <v>10</v>
      </c>
    </row>
    <row r="232" spans="83:88" ht="12" customHeight="1" x14ac:dyDescent="0.2">
      <c r="CE232" s="50">
        <v>184</v>
      </c>
      <c r="CF232" s="50">
        <f t="shared" si="84"/>
        <v>0.16000000000000614</v>
      </c>
      <c r="CG232" s="50">
        <f t="shared" si="89"/>
        <v>0.79989726909136527</v>
      </c>
      <c r="CH232" s="50">
        <f t="shared" si="90"/>
        <v>32</v>
      </c>
      <c r="CI232" s="50">
        <f t="shared" si="85"/>
        <v>8.4000000000002462E-2</v>
      </c>
      <c r="CJ232" s="50">
        <f t="shared" si="91"/>
        <v>10</v>
      </c>
    </row>
    <row r="233" spans="83:88" ht="12" customHeight="1" x14ac:dyDescent="0.2">
      <c r="CE233" s="50">
        <v>185</v>
      </c>
      <c r="CF233" s="50">
        <f t="shared" si="84"/>
        <v>0.15000000000000635</v>
      </c>
      <c r="CG233" s="50">
        <f t="shared" si="89"/>
        <v>0.80300234068936172</v>
      </c>
      <c r="CH233" s="50">
        <f t="shared" si="90"/>
        <v>32</v>
      </c>
      <c r="CI233" s="50">
        <f t="shared" si="85"/>
        <v>8.0000000000002541E-2</v>
      </c>
      <c r="CJ233" s="50">
        <f t="shared" si="91"/>
        <v>10</v>
      </c>
    </row>
    <row r="234" spans="83:88" ht="12" customHeight="1" x14ac:dyDescent="0.2">
      <c r="CE234" s="50">
        <v>186</v>
      </c>
      <c r="CF234" s="50">
        <f t="shared" si="84"/>
        <v>0.14000000000000645</v>
      </c>
      <c r="CG234" s="50">
        <f t="shared" si="89"/>
        <v>0.80610741228735816</v>
      </c>
      <c r="CH234" s="50">
        <f t="shared" si="90"/>
        <v>32</v>
      </c>
      <c r="CI234" s="50">
        <f t="shared" si="85"/>
        <v>7.6000000000002579E-2</v>
      </c>
      <c r="CJ234" s="50">
        <f t="shared" si="91"/>
        <v>10</v>
      </c>
    </row>
    <row r="235" spans="83:88" ht="12" customHeight="1" x14ac:dyDescent="0.2">
      <c r="CE235" s="50">
        <v>187</v>
      </c>
      <c r="CF235" s="50">
        <f t="shared" si="84"/>
        <v>0.13000000000000655</v>
      </c>
      <c r="CG235" s="50">
        <f t="shared" si="89"/>
        <v>0.80921248388535461</v>
      </c>
      <c r="CH235" s="50">
        <f t="shared" si="90"/>
        <v>32</v>
      </c>
      <c r="CI235" s="50">
        <f t="shared" si="85"/>
        <v>7.2000000000002631E-2</v>
      </c>
      <c r="CJ235" s="50">
        <f t="shared" si="91"/>
        <v>10</v>
      </c>
    </row>
    <row r="236" spans="83:88" ht="12" customHeight="1" x14ac:dyDescent="0.2">
      <c r="CE236" s="50">
        <v>188</v>
      </c>
      <c r="CF236" s="50">
        <f t="shared" si="84"/>
        <v>0.12000000000000666</v>
      </c>
      <c r="CG236" s="50">
        <f t="shared" si="89"/>
        <v>0.81231755548335105</v>
      </c>
      <c r="CH236" s="50">
        <f t="shared" si="90"/>
        <v>32</v>
      </c>
      <c r="CI236" s="50">
        <f t="shared" si="85"/>
        <v>6.8000000000002669E-2</v>
      </c>
      <c r="CJ236" s="50">
        <f t="shared" si="91"/>
        <v>10</v>
      </c>
    </row>
    <row r="237" spans="83:88" ht="12" customHeight="1" x14ac:dyDescent="0.2">
      <c r="CE237" s="50">
        <v>189</v>
      </c>
      <c r="CF237" s="50">
        <f t="shared" si="84"/>
        <v>0.11000000000000676</v>
      </c>
      <c r="CG237" s="50">
        <f t="shared" si="89"/>
        <v>0.8154226270813475</v>
      </c>
      <c r="CH237" s="50">
        <f t="shared" si="90"/>
        <v>32</v>
      </c>
      <c r="CI237" s="50">
        <f t="shared" si="85"/>
        <v>6.4000000000002708E-2</v>
      </c>
      <c r="CJ237" s="50">
        <f t="shared" si="91"/>
        <v>10</v>
      </c>
    </row>
    <row r="238" spans="83:88" ht="12" customHeight="1" x14ac:dyDescent="0.2">
      <c r="CE238" s="50">
        <v>190</v>
      </c>
      <c r="CF238" s="50">
        <f t="shared" si="84"/>
        <v>0.10000000000000686</v>
      </c>
      <c r="CG238" s="50">
        <f t="shared" si="89"/>
        <v>0.81852769867934394</v>
      </c>
      <c r="CH238" s="50">
        <f t="shared" si="90"/>
        <v>32</v>
      </c>
      <c r="CI238" s="50">
        <f t="shared" si="85"/>
        <v>6.0000000000002746E-2</v>
      </c>
      <c r="CJ238" s="50">
        <f t="shared" si="91"/>
        <v>10</v>
      </c>
    </row>
    <row r="239" spans="83:88" ht="12" customHeight="1" x14ac:dyDescent="0.2">
      <c r="CE239" s="50">
        <v>191</v>
      </c>
      <c r="CF239" s="50">
        <f t="shared" si="84"/>
        <v>9.0000000000006963E-2</v>
      </c>
      <c r="CG239" s="50">
        <f t="shared" si="89"/>
        <v>0.82163277027734039</v>
      </c>
      <c r="CH239" s="50">
        <f t="shared" si="90"/>
        <v>32</v>
      </c>
      <c r="CI239" s="50">
        <f t="shared" si="85"/>
        <v>5.6000000000002784E-2</v>
      </c>
      <c r="CJ239" s="50">
        <f t="shared" si="91"/>
        <v>10</v>
      </c>
    </row>
    <row r="240" spans="83:88" ht="12" customHeight="1" x14ac:dyDescent="0.2">
      <c r="CE240" s="50">
        <v>192</v>
      </c>
      <c r="CF240" s="50">
        <f t="shared" ref="CF240:CF248" si="92">1-ABS($CM$40-CG240)/$CO$39</f>
        <v>8.0000000000007065E-2</v>
      </c>
      <c r="CG240" s="50">
        <f t="shared" si="89"/>
        <v>0.82473784187533683</v>
      </c>
      <c r="CH240" s="50">
        <f t="shared" si="90"/>
        <v>32</v>
      </c>
      <c r="CI240" s="50">
        <f t="shared" ref="CI240:CI248" si="93">MAX($CI$38*CF240-$CF$43,0)</f>
        <v>5.2000000000002822E-2</v>
      </c>
      <c r="CJ240" s="50">
        <f t="shared" si="91"/>
        <v>10</v>
      </c>
    </row>
    <row r="241" spans="83:88" ht="12" customHeight="1" x14ac:dyDescent="0.2">
      <c r="CE241" s="50">
        <v>193</v>
      </c>
      <c r="CF241" s="50">
        <f t="shared" si="92"/>
        <v>7.0000000000007279E-2</v>
      </c>
      <c r="CG241" s="50">
        <f t="shared" ref="CG241:CG248" si="94">IF($CT$3,CG240+$CF$42,NA())</f>
        <v>0.82784291347333328</v>
      </c>
      <c r="CH241" s="50">
        <f t="shared" ref="CH241:CH248" si="95">CH240</f>
        <v>32</v>
      </c>
      <c r="CI241" s="50">
        <f t="shared" si="93"/>
        <v>4.8000000000002915E-2</v>
      </c>
      <c r="CJ241" s="50">
        <f t="shared" ref="CJ241:CJ248" si="96">CJ240</f>
        <v>10</v>
      </c>
    </row>
    <row r="242" spans="83:88" ht="12" customHeight="1" x14ac:dyDescent="0.2">
      <c r="CE242" s="50">
        <v>194</v>
      </c>
      <c r="CF242" s="50">
        <f t="shared" si="92"/>
        <v>6.0000000000007381E-2</v>
      </c>
      <c r="CG242" s="50">
        <f t="shared" si="94"/>
        <v>0.83094798507132972</v>
      </c>
      <c r="CH242" s="50">
        <f t="shared" si="95"/>
        <v>32</v>
      </c>
      <c r="CI242" s="50">
        <f t="shared" si="93"/>
        <v>4.4000000000002953E-2</v>
      </c>
      <c r="CJ242" s="50">
        <f t="shared" si="96"/>
        <v>10</v>
      </c>
    </row>
    <row r="243" spans="83:88" ht="12" customHeight="1" x14ac:dyDescent="0.2">
      <c r="CE243" s="50">
        <v>195</v>
      </c>
      <c r="CF243" s="50">
        <f t="shared" si="92"/>
        <v>5.0000000000007483E-2</v>
      </c>
      <c r="CG243" s="50">
        <f t="shared" si="94"/>
        <v>0.83405305666932616</v>
      </c>
      <c r="CH243" s="50">
        <f t="shared" si="95"/>
        <v>32</v>
      </c>
      <c r="CI243" s="50">
        <f t="shared" si="93"/>
        <v>4.0000000000002991E-2</v>
      </c>
      <c r="CJ243" s="50">
        <f t="shared" si="96"/>
        <v>10</v>
      </c>
    </row>
    <row r="244" spans="83:88" ht="12" customHeight="1" x14ac:dyDescent="0.2">
      <c r="CE244" s="50">
        <v>196</v>
      </c>
      <c r="CF244" s="50">
        <f t="shared" si="92"/>
        <v>4.0000000000007585E-2</v>
      </c>
      <c r="CG244" s="50">
        <f t="shared" si="94"/>
        <v>0.83715812826732261</v>
      </c>
      <c r="CH244" s="50">
        <f t="shared" si="95"/>
        <v>32</v>
      </c>
      <c r="CI244" s="50">
        <f t="shared" si="93"/>
        <v>3.6000000000003037E-2</v>
      </c>
      <c r="CJ244" s="50">
        <f t="shared" si="96"/>
        <v>10</v>
      </c>
    </row>
    <row r="245" spans="83:88" ht="12" customHeight="1" x14ac:dyDescent="0.2">
      <c r="CE245" s="50">
        <v>197</v>
      </c>
      <c r="CF245" s="50">
        <f t="shared" si="92"/>
        <v>3.0000000000007687E-2</v>
      </c>
      <c r="CG245" s="50">
        <f t="shared" si="94"/>
        <v>0.84026319986531905</v>
      </c>
      <c r="CH245" s="50">
        <f t="shared" si="95"/>
        <v>32</v>
      </c>
      <c r="CI245" s="50">
        <f t="shared" si="93"/>
        <v>3.2000000000003075E-2</v>
      </c>
      <c r="CJ245" s="50">
        <f t="shared" si="96"/>
        <v>10</v>
      </c>
    </row>
    <row r="246" spans="83:88" ht="12" customHeight="1" x14ac:dyDescent="0.2">
      <c r="CE246" s="50">
        <v>198</v>
      </c>
      <c r="CF246" s="50">
        <f t="shared" si="92"/>
        <v>2.0000000000007789E-2</v>
      </c>
      <c r="CG246" s="50">
        <f t="shared" si="94"/>
        <v>0.8433682714633155</v>
      </c>
      <c r="CH246" s="50">
        <f t="shared" si="95"/>
        <v>32</v>
      </c>
      <c r="CI246" s="50">
        <f t="shared" si="93"/>
        <v>2.8000000000003116E-2</v>
      </c>
      <c r="CJ246" s="50">
        <f t="shared" si="96"/>
        <v>10</v>
      </c>
    </row>
    <row r="247" spans="83:88" ht="12" customHeight="1" x14ac:dyDescent="0.2">
      <c r="CE247" s="50">
        <v>199</v>
      </c>
      <c r="CF247" s="50">
        <f t="shared" si="92"/>
        <v>1.0000000000007891E-2</v>
      </c>
      <c r="CG247" s="50">
        <f t="shared" si="94"/>
        <v>0.84647334306131194</v>
      </c>
      <c r="CH247" s="50">
        <f t="shared" si="95"/>
        <v>32</v>
      </c>
      <c r="CI247" s="50">
        <f t="shared" si="93"/>
        <v>2.4000000000003158E-2</v>
      </c>
      <c r="CJ247" s="50">
        <f t="shared" si="96"/>
        <v>10</v>
      </c>
    </row>
    <row r="248" spans="83:88" ht="12" customHeight="1" x14ac:dyDescent="0.2">
      <c r="CE248" s="50">
        <v>200</v>
      </c>
      <c r="CF248" s="50">
        <f t="shared" si="92"/>
        <v>7.9936057773011271E-15</v>
      </c>
      <c r="CG248" s="50">
        <f t="shared" si="94"/>
        <v>0.84957841465930839</v>
      </c>
      <c r="CH248" s="50">
        <f t="shared" si="95"/>
        <v>32</v>
      </c>
      <c r="CI248" s="50">
        <f t="shared" si="93"/>
        <v>2.0000000000003199E-2</v>
      </c>
      <c r="CJ248" s="50">
        <f t="shared" si="96"/>
        <v>10</v>
      </c>
    </row>
  </sheetData>
  <sheetProtection sheet="1" objects="1" scenarios="1" selectLockedCells="1"/>
  <mergeCells count="4">
    <mergeCell ref="AW4:AX4"/>
    <mergeCell ref="AW5:AX5"/>
    <mergeCell ref="W38:X38"/>
    <mergeCell ref="AE5:AG5"/>
  </mergeCells>
  <phoneticPr fontId="2" type="noConversion"/>
  <conditionalFormatting sqref="T7">
    <cfRule type="cellIs" dxfId="32" priority="1" stopIfTrue="1" operator="equal">
      <formula>"ns"</formula>
    </cfRule>
    <cfRule type="cellIs" dxfId="31" priority="2" stopIfTrue="1" operator="equal">
      <formula>"?"</formula>
    </cfRule>
  </conditionalFormatting>
  <conditionalFormatting sqref="W7:W36">
    <cfRule type="cellIs" dxfId="30" priority="3" stopIfTrue="1" operator="equal">
      <formula>""</formula>
    </cfRule>
    <cfRule type="cellIs" dxfId="29" priority="4" stopIfTrue="1" operator="lessThan">
      <formula>$CG$3</formula>
    </cfRule>
  </conditionalFormatting>
  <conditionalFormatting sqref="X7:X36">
    <cfRule type="cellIs" dxfId="28" priority="5" stopIfTrue="1" operator="equal">
      <formula>""</formula>
    </cfRule>
    <cfRule type="cellIs" dxfId="27" priority="6" stopIfTrue="1" operator="greaterThan">
      <formula>$CG$3</formula>
    </cfRule>
  </conditionalFormatting>
  <conditionalFormatting sqref="W6 W37">
    <cfRule type="cellIs" dxfId="26" priority="7" stopIfTrue="1" operator="lessThan">
      <formula>$CH$3</formula>
    </cfRule>
  </conditionalFormatting>
  <conditionalFormatting sqref="X6 X37">
    <cfRule type="cellIs" dxfId="25" priority="8" stopIfTrue="1" operator="greaterThan">
      <formula>$CH$3</formula>
    </cfRule>
  </conditionalFormatting>
  <dataValidations count="4">
    <dataValidation type="decimal" showErrorMessage="1" errorTitle="Reference value for mean" error="Must be a number" sqref="CJ3">
      <formula1>-999999999999</formula1>
      <formula2>999999999999</formula2>
    </dataValidation>
    <dataValidation type="decimal" allowBlank="1" showErrorMessage="1" errorTitle="Confidence level" error="Number, min 0, max 99.9" sqref="AA2">
      <formula1>0</formula1>
      <formula2>99.9</formula2>
    </dataValidation>
    <dataValidation type="whole" allowBlank="1" showErrorMessage="1" errorTitle="Sample size" error="Integer, min 6, max 196_x000a_(or press Delete for Blank)_x000a_Sum of N1 and N2 must be no more than 202, so degrees of freedom is not more than 200." sqref="Y7:Z36">
      <formula1>6</formula1>
      <formula2>196</formula2>
    </dataValidation>
    <dataValidation type="decimal" allowBlank="1" showInputMessage="1" showErrorMessage="1" error="Number, min -8, max+8" sqref="W7:X36">
      <formula1>-8</formula1>
      <formula2>8</formula2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aint.Picture" shapeId="190561" r:id="rId4">
          <objectPr defaultSiz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51</xdr:row>
                <xdr:rowOff>9525</xdr:rowOff>
              </to>
            </anchor>
          </objectPr>
        </oleObject>
      </mc:Choice>
      <mc:Fallback>
        <oleObject progId="Paint.Picture" shapeId="19056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665" r:id="rId6" name="Check Box 201">
              <controlPr defaultSize="0" autoFill="0" autoLine="0" autoPict="0">
                <anchor moveWithCells="1">
                  <from>
                    <xdr:col>27</xdr:col>
                    <xdr:colOff>85725</xdr:colOff>
                    <xdr:row>5</xdr:row>
                    <xdr:rowOff>152400</xdr:rowOff>
                  </from>
                  <to>
                    <xdr:col>29</xdr:col>
                    <xdr:colOff>9525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5" r:id="rId7" name="Option Button 1">
              <controlPr defaultSize="0" autoFill="0" autoLine="0" autoPict="0">
                <anchor moveWithCells="1">
                  <from>
                    <xdr:col>22</xdr:col>
                    <xdr:colOff>200025</xdr:colOff>
                    <xdr:row>38</xdr:row>
                    <xdr:rowOff>114300</xdr:rowOff>
                  </from>
                  <to>
                    <xdr:col>23</xdr:col>
                    <xdr:colOff>123825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7" r:id="rId8" name="Spinner 3">
              <controlPr defaultSize="0" autoPict="0">
                <anchor moveWithCells="1">
                  <from>
                    <xdr:col>27</xdr:col>
                    <xdr:colOff>9525</xdr:colOff>
                    <xdr:row>0</xdr:row>
                    <xdr:rowOff>104775</xdr:rowOff>
                  </from>
                  <to>
                    <xdr:col>27</xdr:col>
                    <xdr:colOff>152400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8" r:id="rId9" name="Check Box 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133350</xdr:rowOff>
                  </from>
                  <to>
                    <xdr:col>17</xdr:col>
                    <xdr:colOff>285750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3" r:id="rId10" name="Check Box 9">
              <controlPr defaultSize="0" autoFill="0" autoLine="0" autoPict="0">
                <anchor moveWithCells="1">
                  <from>
                    <xdr:col>34</xdr:col>
                    <xdr:colOff>419100</xdr:colOff>
                    <xdr:row>0</xdr:row>
                    <xdr:rowOff>0</xdr:rowOff>
                  </from>
                  <to>
                    <xdr:col>36</xdr:col>
                    <xdr:colOff>104775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9" r:id="rId11" name="Check Box 15">
              <controlPr defaultSize="0" autoFill="0" autoLine="0" autoPict="0">
                <anchor moveWithCells="1">
                  <from>
                    <xdr:col>22</xdr:col>
                    <xdr:colOff>0</xdr:colOff>
                    <xdr:row>1</xdr:row>
                    <xdr:rowOff>114300</xdr:rowOff>
                  </from>
                  <to>
                    <xdr:col>22</xdr:col>
                    <xdr:colOff>304800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0" r:id="rId12" name="Option Button 26">
              <controlPr defaultSize="0" autoFill="0" autoLine="0" autoPict="0">
                <anchor moveWithCells="1">
                  <from>
                    <xdr:col>22</xdr:col>
                    <xdr:colOff>200025</xdr:colOff>
                    <xdr:row>40</xdr:row>
                    <xdr:rowOff>114300</xdr:rowOff>
                  </from>
                  <to>
                    <xdr:col>23</xdr:col>
                    <xdr:colOff>123825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0" r:id="rId13" name="Check Box 66">
              <controlPr defaultSize="0" autoFill="0" autoLine="0" autoPict="0">
                <anchor moveWithCells="1">
                  <from>
                    <xdr:col>27</xdr:col>
                    <xdr:colOff>85725</xdr:colOff>
                    <xdr:row>6</xdr:row>
                    <xdr:rowOff>104775</xdr:rowOff>
                  </from>
                  <to>
                    <xdr:col>29</xdr:col>
                    <xdr:colOff>9525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1" r:id="rId14" name="Check Box 67">
              <controlPr defaultSize="0" autoFill="0" autoLine="0" autoPict="0">
                <anchor moveWithCells="1">
                  <from>
                    <xdr:col>27</xdr:col>
                    <xdr:colOff>85725</xdr:colOff>
                    <xdr:row>7</xdr:row>
                    <xdr:rowOff>104775</xdr:rowOff>
                  </from>
                  <to>
                    <xdr:col>29</xdr:col>
                    <xdr:colOff>9525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2" r:id="rId15" name="Check Box 68">
              <controlPr defaultSize="0" autoFill="0" autoLine="0" autoPict="0">
                <anchor moveWithCells="1">
                  <from>
                    <xdr:col>27</xdr:col>
                    <xdr:colOff>85725</xdr:colOff>
                    <xdr:row>8</xdr:row>
                    <xdr:rowOff>104775</xdr:rowOff>
                  </from>
                  <to>
                    <xdr:col>29</xdr:col>
                    <xdr:colOff>9525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3" r:id="rId16" name="Check Box 69">
              <controlPr defaultSize="0" autoFill="0" autoLine="0" autoPict="0">
                <anchor moveWithCells="1">
                  <from>
                    <xdr:col>27</xdr:col>
                    <xdr:colOff>85725</xdr:colOff>
                    <xdr:row>9</xdr:row>
                    <xdr:rowOff>104775</xdr:rowOff>
                  </from>
                  <to>
                    <xdr:col>29</xdr:col>
                    <xdr:colOff>9525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4" r:id="rId17" name="Check Box 70">
              <controlPr defaultSize="0" autoFill="0" autoLine="0" autoPict="0">
                <anchor moveWithCells="1">
                  <from>
                    <xdr:col>27</xdr:col>
                    <xdr:colOff>85725</xdr:colOff>
                    <xdr:row>10</xdr:row>
                    <xdr:rowOff>104775</xdr:rowOff>
                  </from>
                  <to>
                    <xdr:col>29</xdr:col>
                    <xdr:colOff>9525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5" r:id="rId18" name="Check Box 71">
              <controlPr defaultSize="0" autoFill="0" autoLine="0" autoPict="0">
                <anchor moveWithCells="1">
                  <from>
                    <xdr:col>27</xdr:col>
                    <xdr:colOff>85725</xdr:colOff>
                    <xdr:row>11</xdr:row>
                    <xdr:rowOff>104775</xdr:rowOff>
                  </from>
                  <to>
                    <xdr:col>29</xdr:col>
                    <xdr:colOff>9525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6" r:id="rId19" name="Check Box 72">
              <controlPr defaultSize="0" autoFill="0" autoLine="0" autoPict="0">
                <anchor moveWithCells="1">
                  <from>
                    <xdr:col>27</xdr:col>
                    <xdr:colOff>85725</xdr:colOff>
                    <xdr:row>12</xdr:row>
                    <xdr:rowOff>104775</xdr:rowOff>
                  </from>
                  <to>
                    <xdr:col>29</xdr:col>
                    <xdr:colOff>9525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7" r:id="rId20" name="Check Box 73">
              <controlPr defaultSize="0" autoFill="0" autoLine="0" autoPict="0">
                <anchor moveWithCells="1">
                  <from>
                    <xdr:col>27</xdr:col>
                    <xdr:colOff>85725</xdr:colOff>
                    <xdr:row>13</xdr:row>
                    <xdr:rowOff>104775</xdr:rowOff>
                  </from>
                  <to>
                    <xdr:col>29</xdr:col>
                    <xdr:colOff>9525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8" r:id="rId21" name="Check Box 74">
              <controlPr defaultSize="0" autoFill="0" autoLine="0" autoPict="0">
                <anchor moveWithCells="1">
                  <from>
                    <xdr:col>27</xdr:col>
                    <xdr:colOff>85725</xdr:colOff>
                    <xdr:row>14</xdr:row>
                    <xdr:rowOff>104775</xdr:rowOff>
                  </from>
                  <to>
                    <xdr:col>29</xdr:col>
                    <xdr:colOff>9525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9" r:id="rId22" name="Check Box 75">
              <controlPr defaultSize="0" autoFill="0" autoLine="0" autoPict="0">
                <anchor moveWithCells="1">
                  <from>
                    <xdr:col>27</xdr:col>
                    <xdr:colOff>85725</xdr:colOff>
                    <xdr:row>15</xdr:row>
                    <xdr:rowOff>104775</xdr:rowOff>
                  </from>
                  <to>
                    <xdr:col>29</xdr:col>
                    <xdr:colOff>9525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0" r:id="rId23" name="Check Box 76">
              <controlPr defaultSize="0" autoFill="0" autoLine="0" autoPict="0">
                <anchor moveWithCells="1">
                  <from>
                    <xdr:col>27</xdr:col>
                    <xdr:colOff>85725</xdr:colOff>
                    <xdr:row>16</xdr:row>
                    <xdr:rowOff>104775</xdr:rowOff>
                  </from>
                  <to>
                    <xdr:col>29</xdr:col>
                    <xdr:colOff>9525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1" r:id="rId24" name="Check Box 77">
              <controlPr defaultSize="0" autoFill="0" autoLine="0" autoPict="0">
                <anchor moveWithCells="1">
                  <from>
                    <xdr:col>27</xdr:col>
                    <xdr:colOff>85725</xdr:colOff>
                    <xdr:row>17</xdr:row>
                    <xdr:rowOff>104775</xdr:rowOff>
                  </from>
                  <to>
                    <xdr:col>29</xdr:col>
                    <xdr:colOff>9525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2" r:id="rId25" name="Check Box 78">
              <controlPr defaultSize="0" autoFill="0" autoLine="0" autoPict="0">
                <anchor moveWithCells="1">
                  <from>
                    <xdr:col>27</xdr:col>
                    <xdr:colOff>85725</xdr:colOff>
                    <xdr:row>18</xdr:row>
                    <xdr:rowOff>104775</xdr:rowOff>
                  </from>
                  <to>
                    <xdr:col>29</xdr:col>
                    <xdr:colOff>9525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3" r:id="rId26" name="Check Box 79">
              <controlPr defaultSize="0" autoFill="0" autoLine="0" autoPict="0">
                <anchor moveWithCells="1">
                  <from>
                    <xdr:col>27</xdr:col>
                    <xdr:colOff>85725</xdr:colOff>
                    <xdr:row>19</xdr:row>
                    <xdr:rowOff>104775</xdr:rowOff>
                  </from>
                  <to>
                    <xdr:col>29</xdr:col>
                    <xdr:colOff>9525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4" r:id="rId27" name="Check Box 80">
              <controlPr defaultSize="0" autoFill="0" autoLine="0" autoPict="0">
                <anchor moveWithCells="1">
                  <from>
                    <xdr:col>27</xdr:col>
                    <xdr:colOff>85725</xdr:colOff>
                    <xdr:row>20</xdr:row>
                    <xdr:rowOff>104775</xdr:rowOff>
                  </from>
                  <to>
                    <xdr:col>29</xdr:col>
                    <xdr:colOff>9525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5" r:id="rId28" name="Check Box 81">
              <controlPr defaultSize="0" autoFill="0" autoLine="0" autoPict="0">
                <anchor moveWithCells="1">
                  <from>
                    <xdr:col>27</xdr:col>
                    <xdr:colOff>85725</xdr:colOff>
                    <xdr:row>21</xdr:row>
                    <xdr:rowOff>104775</xdr:rowOff>
                  </from>
                  <to>
                    <xdr:col>29</xdr:col>
                    <xdr:colOff>9525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6" r:id="rId29" name="Check Box 82">
              <controlPr defaultSize="0" autoFill="0" autoLine="0" autoPict="0">
                <anchor moveWithCells="1">
                  <from>
                    <xdr:col>27</xdr:col>
                    <xdr:colOff>85725</xdr:colOff>
                    <xdr:row>22</xdr:row>
                    <xdr:rowOff>104775</xdr:rowOff>
                  </from>
                  <to>
                    <xdr:col>29</xdr:col>
                    <xdr:colOff>9525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7" r:id="rId30" name="Check Box 83">
              <controlPr defaultSize="0" autoFill="0" autoLine="0" autoPict="0">
                <anchor moveWithCells="1">
                  <from>
                    <xdr:col>27</xdr:col>
                    <xdr:colOff>85725</xdr:colOff>
                    <xdr:row>23</xdr:row>
                    <xdr:rowOff>104775</xdr:rowOff>
                  </from>
                  <to>
                    <xdr:col>29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8" r:id="rId31" name="Check Box 84">
              <controlPr defaultSize="0" autoFill="0" autoLine="0" autoPict="0">
                <anchor moveWithCells="1">
                  <from>
                    <xdr:col>27</xdr:col>
                    <xdr:colOff>85725</xdr:colOff>
                    <xdr:row>24</xdr:row>
                    <xdr:rowOff>104775</xdr:rowOff>
                  </from>
                  <to>
                    <xdr:col>29</xdr:col>
                    <xdr:colOff>9525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9" r:id="rId32" name="Check Box 85">
              <controlPr defaultSize="0" autoFill="0" autoLine="0" autoPict="0">
                <anchor moveWithCells="1">
                  <from>
                    <xdr:col>27</xdr:col>
                    <xdr:colOff>85725</xdr:colOff>
                    <xdr:row>25</xdr:row>
                    <xdr:rowOff>104775</xdr:rowOff>
                  </from>
                  <to>
                    <xdr:col>29</xdr:col>
                    <xdr:colOff>9525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0" r:id="rId33" name="Check Box 86">
              <controlPr defaultSize="0" autoFill="0" autoLine="0" autoPict="0">
                <anchor moveWithCells="1">
                  <from>
                    <xdr:col>27</xdr:col>
                    <xdr:colOff>85725</xdr:colOff>
                    <xdr:row>26</xdr:row>
                    <xdr:rowOff>104775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1" r:id="rId34" name="Check Box 87">
              <controlPr defaultSize="0" autoFill="0" autoLine="0" autoPict="0">
                <anchor moveWithCells="1">
                  <from>
                    <xdr:col>27</xdr:col>
                    <xdr:colOff>85725</xdr:colOff>
                    <xdr:row>27</xdr:row>
                    <xdr:rowOff>104775</xdr:rowOff>
                  </from>
                  <to>
                    <xdr:col>29</xdr:col>
                    <xdr:colOff>9525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2" r:id="rId35" name="Check Box 88">
              <controlPr defaultSize="0" autoFill="0" autoLine="0" autoPict="0">
                <anchor moveWithCells="1">
                  <from>
                    <xdr:col>27</xdr:col>
                    <xdr:colOff>85725</xdr:colOff>
                    <xdr:row>28</xdr:row>
                    <xdr:rowOff>104775</xdr:rowOff>
                  </from>
                  <to>
                    <xdr:col>29</xdr:col>
                    <xdr:colOff>9525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3" r:id="rId36" name="Check Box 89">
              <controlPr defaultSize="0" autoFill="0" autoLine="0" autoPict="0">
                <anchor moveWithCells="1">
                  <from>
                    <xdr:col>27</xdr:col>
                    <xdr:colOff>85725</xdr:colOff>
                    <xdr:row>29</xdr:row>
                    <xdr:rowOff>104775</xdr:rowOff>
                  </from>
                  <to>
                    <xdr:col>29</xdr:col>
                    <xdr:colOff>9525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4" r:id="rId37" name="Check Box 90">
              <controlPr defaultSize="0" autoFill="0" autoLine="0" autoPict="0">
                <anchor moveWithCells="1">
                  <from>
                    <xdr:col>27</xdr:col>
                    <xdr:colOff>85725</xdr:colOff>
                    <xdr:row>30</xdr:row>
                    <xdr:rowOff>104775</xdr:rowOff>
                  </from>
                  <to>
                    <xdr:col>29</xdr:col>
                    <xdr:colOff>9525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5" r:id="rId38" name="Check Box 91">
              <controlPr defaultSize="0" autoFill="0" autoLine="0" autoPict="0">
                <anchor moveWithCells="1">
                  <from>
                    <xdr:col>27</xdr:col>
                    <xdr:colOff>85725</xdr:colOff>
                    <xdr:row>31</xdr:row>
                    <xdr:rowOff>104775</xdr:rowOff>
                  </from>
                  <to>
                    <xdr:col>29</xdr:col>
                    <xdr:colOff>9525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6" r:id="rId39" name="Check Box 92">
              <controlPr defaultSize="0" autoFill="0" autoLine="0" autoPict="0">
                <anchor moveWithCells="1">
                  <from>
                    <xdr:col>27</xdr:col>
                    <xdr:colOff>85725</xdr:colOff>
                    <xdr:row>32</xdr:row>
                    <xdr:rowOff>104775</xdr:rowOff>
                  </from>
                  <to>
                    <xdr:col>29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7" r:id="rId40" name="Check Box 93">
              <controlPr defaultSize="0" autoFill="0" autoLine="0" autoPict="0">
                <anchor moveWithCells="1">
                  <from>
                    <xdr:col>27</xdr:col>
                    <xdr:colOff>85725</xdr:colOff>
                    <xdr:row>33</xdr:row>
                    <xdr:rowOff>104775</xdr:rowOff>
                  </from>
                  <to>
                    <xdr:col>29</xdr:col>
                    <xdr:colOff>9525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8" r:id="rId41" name="Check Box 94">
              <controlPr defaultSize="0" autoFill="0" autoLine="0" autoPict="0">
                <anchor moveWithCells="1">
                  <from>
                    <xdr:col>27</xdr:col>
                    <xdr:colOff>85725</xdr:colOff>
                    <xdr:row>34</xdr:row>
                    <xdr:rowOff>104775</xdr:rowOff>
                  </from>
                  <to>
                    <xdr:col>29</xdr:col>
                    <xdr:colOff>9525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0" r:id="rId42" name="Button 96">
              <controlPr defaultSize="0" print="0" autoFill="0" autoPict="0" macro="[0]!calccids">
                <anchor moveWithCells="1">
                  <from>
                    <xdr:col>27</xdr:col>
                    <xdr:colOff>352425</xdr:colOff>
                    <xdr:row>0</xdr:row>
                    <xdr:rowOff>66675</xdr:rowOff>
                  </from>
                  <to>
                    <xdr:col>32</xdr:col>
                    <xdr:colOff>171450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8" r:id="rId43" name="Option Button 184">
              <controlPr defaultSize="0" autoFill="0" autoLine="0" autoPict="0" macro="[0]!dunblabelhide">
                <anchor moveWithCells="1">
                  <from>
                    <xdr:col>22</xdr:col>
                    <xdr:colOff>85725</xdr:colOff>
                    <xdr:row>4</xdr:row>
                    <xdr:rowOff>9525</xdr:rowOff>
                  </from>
                  <to>
                    <xdr:col>23</xdr:col>
                    <xdr:colOff>9525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9" r:id="rId44" name="Option Button 185">
              <controlPr defaultSize="0" autoFill="0" autoLine="0" autoPict="0" macro="[0]!dunblabelsee">
                <anchor moveWithCells="1">
                  <from>
                    <xdr:col>23</xdr:col>
                    <xdr:colOff>142875</xdr:colOff>
                    <xdr:row>4</xdr:row>
                    <xdr:rowOff>9525</xdr:rowOff>
                  </from>
                  <to>
                    <xdr:col>23</xdr:col>
                    <xdr:colOff>447675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3" r:id="rId45" name="Group Box 199">
              <controlPr defaultSize="0" autoFill="0" autoPict="0">
                <anchor moveWithCells="1">
                  <from>
                    <xdr:col>20</xdr:col>
                    <xdr:colOff>0</xdr:colOff>
                    <xdr:row>38</xdr:row>
                    <xdr:rowOff>0</xdr:rowOff>
                  </from>
                  <to>
                    <xdr:col>25</xdr:col>
                    <xdr:colOff>161925</xdr:colOff>
                    <xdr:row>42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EP211"/>
  <sheetViews>
    <sheetView showGridLines="0" showRowColHeaders="0" topLeftCell="Q1" workbookViewId="0">
      <selection activeCell="W8" sqref="W8"/>
    </sheetView>
  </sheetViews>
  <sheetFormatPr defaultRowHeight="12" customHeight="1" x14ac:dyDescent="0.2"/>
  <cols>
    <col min="1" max="16" width="5.7109375" style="50" hidden="1" customWidth="1"/>
    <col min="17" max="17" width="0.28515625" style="50" customWidth="1"/>
    <col min="18" max="18" width="5.42578125" style="50" customWidth="1"/>
    <col min="19" max="19" width="5.7109375" style="50" customWidth="1"/>
    <col min="20" max="20" width="3.42578125" style="50" customWidth="1"/>
    <col min="21" max="21" width="4.28515625" style="50" customWidth="1"/>
    <col min="22" max="22" width="11.7109375" style="50" customWidth="1"/>
    <col min="23" max="23" width="5.7109375" style="50" customWidth="1"/>
    <col min="24" max="24" width="7.42578125" style="50" customWidth="1"/>
    <col min="25" max="26" width="6.5703125" style="50" customWidth="1"/>
    <col min="27" max="27" width="5.7109375" style="50" customWidth="1"/>
    <col min="28" max="28" width="8.140625" style="50" customWidth="1"/>
    <col min="29" max="29" width="7.42578125" style="50" hidden="1" customWidth="1"/>
    <col min="30" max="30" width="2" style="50" customWidth="1"/>
    <col min="31" max="31" width="5.7109375" style="50" customWidth="1"/>
    <col min="32" max="32" width="1.7109375" style="50" customWidth="1"/>
    <col min="33" max="33" width="5.7109375" style="52" customWidth="1"/>
    <col min="34" max="34" width="1.7109375" style="52" customWidth="1"/>
    <col min="35" max="35" width="8.85546875" style="52" customWidth="1"/>
    <col min="36" max="36" width="2.85546875" style="52" customWidth="1"/>
    <col min="37" max="38" width="5.7109375" style="50" customWidth="1"/>
    <col min="39" max="40" width="6.42578125" style="50" customWidth="1"/>
    <col min="41" max="41" width="5.7109375" style="50" customWidth="1"/>
    <col min="42" max="42" width="6.7109375" style="85" customWidth="1"/>
    <col min="43" max="46" width="8.5703125" style="50" customWidth="1"/>
    <col min="47" max="47" width="5.7109375" style="50" customWidth="1"/>
    <col min="48" max="48" width="7.5703125" style="52" customWidth="1"/>
    <col min="49" max="50" width="6.42578125" style="52" customWidth="1"/>
    <col min="51" max="71" width="6.5703125" style="50" customWidth="1"/>
    <col min="72" max="73" width="6.28515625" style="50" customWidth="1"/>
    <col min="74" max="74" width="6.5703125" style="50" customWidth="1"/>
    <col min="75" max="89" width="7.28515625" style="50" customWidth="1"/>
    <col min="90" max="90" width="7" style="50" customWidth="1"/>
    <col min="91" max="92" width="5.7109375" style="50" customWidth="1"/>
    <col min="93" max="93" width="7" style="50" customWidth="1"/>
    <col min="94" max="94" width="6.42578125" style="50" customWidth="1"/>
    <col min="95" max="95" width="5.7109375" style="50" customWidth="1"/>
    <col min="96" max="96" width="7.7109375" style="50" customWidth="1"/>
    <col min="97" max="98" width="5.7109375" style="50" customWidth="1"/>
    <col min="99" max="99" width="6.85546875" style="50" customWidth="1"/>
    <col min="100" max="102" width="5.7109375" style="50" customWidth="1"/>
    <col min="103" max="103" width="6.5703125" style="50" customWidth="1"/>
    <col min="104" max="122" width="5.7109375" style="50" customWidth="1"/>
    <col min="123" max="123" width="5.7109375" style="307" customWidth="1"/>
    <col min="124" max="128" width="5.7109375" style="90" customWidth="1"/>
    <col min="129" max="129" width="5.7109375" style="308" customWidth="1"/>
    <col min="130" max="130" width="5.7109375" style="307" customWidth="1"/>
    <col min="131" max="133" width="5.7109375" style="90" customWidth="1"/>
    <col min="134" max="134" width="5.7109375" style="308" customWidth="1"/>
    <col min="135" max="135" width="5.7109375" style="307" customWidth="1"/>
    <col min="136" max="138" width="5.7109375" style="90" customWidth="1"/>
    <col min="139" max="139" width="5.7109375" style="308" customWidth="1"/>
    <col min="140" max="140" width="5.7109375" style="50" customWidth="1"/>
    <col min="141" max="146" width="5.7109375" customWidth="1"/>
    <col min="147" max="157" width="5.7109375" style="50" customWidth="1"/>
    <col min="158" max="16384" width="9.140625" style="50"/>
  </cols>
  <sheetData>
    <row r="1" spans="1:140" ht="12" customHeight="1" thickBot="1" x14ac:dyDescent="0.25">
      <c r="T1" s="11" t="s">
        <v>418</v>
      </c>
      <c r="AG1" s="10" t="s">
        <v>759</v>
      </c>
    </row>
    <row r="2" spans="1:140" ht="12.75" customHeight="1" x14ac:dyDescent="0.2">
      <c r="O2" s="63"/>
      <c r="P2" s="63"/>
      <c r="T2" s="50" t="s">
        <v>210</v>
      </c>
      <c r="Z2" s="15" t="s">
        <v>758</v>
      </c>
      <c r="AA2" s="64">
        <v>95</v>
      </c>
      <c r="AF2" s="52"/>
      <c r="AI2" s="31" t="s">
        <v>366</v>
      </c>
      <c r="AK2" s="627" t="s">
        <v>756</v>
      </c>
      <c r="AV2" s="28"/>
      <c r="AW2" s="53"/>
      <c r="BN2"/>
      <c r="BO2"/>
      <c r="BP2"/>
      <c r="BQ2"/>
      <c r="BR2"/>
      <c r="BS2"/>
      <c r="BT2" s="315" t="s">
        <v>469</v>
      </c>
      <c r="BU2" s="170">
        <f>IF(AND($CZ$2,$CJ$5),$BU$7,NA())</f>
        <v>-0.33806116581249379</v>
      </c>
      <c r="BV2" s="316">
        <v>32</v>
      </c>
      <c r="BY2"/>
      <c r="BZ2"/>
      <c r="CK2" s="59" t="s">
        <v>411</v>
      </c>
      <c r="CL2" s="66">
        <v>2</v>
      </c>
      <c r="CN2" s="55"/>
      <c r="CO2" s="56"/>
      <c r="CP2" s="57" t="s">
        <v>76</v>
      </c>
      <c r="CQ2" s="58" t="b">
        <v>1</v>
      </c>
      <c r="CS2" s="59" t="s">
        <v>311</v>
      </c>
      <c r="CT2" s="60">
        <v>2</v>
      </c>
      <c r="CU2" s="50" t="s">
        <v>312</v>
      </c>
      <c r="CY2" s="318" t="s">
        <v>470</v>
      </c>
      <c r="CZ2" s="319" t="b">
        <f>IF(AND(COUNT(CP83:CP112)&gt;1,COUNT(CP46:CP75)&gt;1,AB8&lt;&gt;""),TRUE,FALSE)</f>
        <v>1</v>
      </c>
      <c r="DM2" s="723" t="s">
        <v>407</v>
      </c>
      <c r="DN2" s="724"/>
      <c r="DO2" s="724"/>
      <c r="DP2" s="724"/>
      <c r="DQ2" s="724"/>
      <c r="DR2" s="724"/>
      <c r="DS2" s="320"/>
      <c r="DT2" s="321"/>
      <c r="DU2" s="322" t="s">
        <v>434</v>
      </c>
      <c r="DV2" s="323"/>
      <c r="DW2" s="323"/>
      <c r="DX2" s="323"/>
      <c r="DY2" s="324"/>
      <c r="DZ2" s="325" t="s">
        <v>433</v>
      </c>
      <c r="EA2" s="326"/>
      <c r="EB2" s="326"/>
      <c r="EC2" s="326"/>
      <c r="ED2" s="327"/>
      <c r="EE2" s="328" t="s">
        <v>435</v>
      </c>
      <c r="EF2" s="329"/>
      <c r="EG2" s="329"/>
      <c r="EH2" s="329"/>
      <c r="EI2" s="330"/>
    </row>
    <row r="3" spans="1:140" ht="12.75" customHeight="1" x14ac:dyDescent="0.2">
      <c r="N3" s="59"/>
      <c r="S3" s="4"/>
      <c r="U3" s="50" t="s">
        <v>221</v>
      </c>
      <c r="AH3" s="17"/>
      <c r="AN3" s="14"/>
      <c r="AP3" s="65"/>
      <c r="AT3" s="66"/>
      <c r="BN3"/>
      <c r="BO3"/>
      <c r="BP3"/>
      <c r="BQ3"/>
      <c r="BR3"/>
      <c r="BS3"/>
      <c r="BT3" s="106"/>
      <c r="BU3" s="170">
        <f>IF(AND($CZ$2,$CJ$5),$BU$7,NA())</f>
        <v>-0.33806116581249379</v>
      </c>
      <c r="BV3" s="334">
        <v>33</v>
      </c>
      <c r="BY3"/>
      <c r="BZ3"/>
      <c r="CK3" s="298" t="s">
        <v>412</v>
      </c>
      <c r="CL3" s="249" t="b">
        <f>(CL2=2)</f>
        <v>1</v>
      </c>
      <c r="CN3" s="55"/>
      <c r="CO3" s="56"/>
      <c r="CP3" s="67"/>
      <c r="CQ3" s="68"/>
      <c r="CR3" s="55" t="str">
        <f>IF(Y4="","",Y4)&amp;""</f>
        <v/>
      </c>
      <c r="CS3" s="56"/>
      <c r="CT3" s="69"/>
      <c r="CU3" s="70"/>
      <c r="CV3" s="55"/>
      <c r="CW3" s="56"/>
      <c r="CX3" s="67" t="s">
        <v>271</v>
      </c>
      <c r="CY3" s="71" t="b">
        <v>1</v>
      </c>
      <c r="DA3" s="72" t="s">
        <v>353</v>
      </c>
      <c r="DB3" s="69" t="b">
        <f>IF(COUNT(CP8:CP37)&gt;1,TRUE,FALSE)</f>
        <v>1</v>
      </c>
      <c r="DN3" s="206"/>
      <c r="DO3" s="206"/>
      <c r="DP3" s="206"/>
      <c r="DQ3" s="153" t="s">
        <v>438</v>
      </c>
      <c r="DR3" s="153" t="s">
        <v>438</v>
      </c>
      <c r="DU3" s="339" t="s">
        <v>300</v>
      </c>
      <c r="DV3" s="340">
        <v>0.4</v>
      </c>
      <c r="DW3" s="97"/>
      <c r="DX3" s="341" t="s">
        <v>429</v>
      </c>
      <c r="DY3" s="95"/>
      <c r="DZ3" s="94"/>
      <c r="EA3" s="94"/>
      <c r="EB3" s="342" t="s">
        <v>300</v>
      </c>
      <c r="EC3" s="94">
        <f>DV3</f>
        <v>0.4</v>
      </c>
      <c r="ED3" s="343"/>
      <c r="EE3" s="344"/>
      <c r="EF3" s="94"/>
      <c r="EG3" s="342" t="s">
        <v>300</v>
      </c>
      <c r="EH3" s="94">
        <f>EC3</f>
        <v>0.4</v>
      </c>
      <c r="EI3" s="343"/>
    </row>
    <row r="4" spans="1:140" ht="12.75" customHeight="1" thickBot="1" x14ac:dyDescent="0.3">
      <c r="I4" s="50" t="s">
        <v>385</v>
      </c>
      <c r="J4" s="50" t="s">
        <v>386</v>
      </c>
      <c r="N4" s="59"/>
      <c r="S4" s="4"/>
      <c r="T4" s="9"/>
      <c r="U4" s="628"/>
      <c r="V4" s="27" t="s">
        <v>511</v>
      </c>
      <c r="W4" s="82" t="s">
        <v>519</v>
      </c>
      <c r="X4" s="82"/>
      <c r="Y4" s="629"/>
      <c r="Z4" s="629"/>
      <c r="AA4" s="13" t="s">
        <v>274</v>
      </c>
      <c r="AB4" s="351" t="s">
        <v>217</v>
      </c>
      <c r="AC4" s="82"/>
      <c r="AD4" s="82"/>
      <c r="AE4" s="82"/>
      <c r="AF4" s="630"/>
      <c r="AG4" s="86"/>
      <c r="AH4" s="86"/>
      <c r="AI4" s="86"/>
      <c r="AJ4" s="86"/>
      <c r="AK4" s="105">
        <f>AA2/1000000</f>
        <v>9.5000000000000005E-5</v>
      </c>
      <c r="AL4" s="105">
        <f t="shared" ref="AL4:AV4" si="0">$AK$4</f>
        <v>9.5000000000000005E-5</v>
      </c>
      <c r="AM4" s="105">
        <f t="shared" si="0"/>
        <v>9.5000000000000005E-5</v>
      </c>
      <c r="AN4" s="105">
        <f t="shared" si="0"/>
        <v>9.5000000000000005E-5</v>
      </c>
      <c r="AO4" s="105">
        <f t="shared" si="0"/>
        <v>9.5000000000000005E-5</v>
      </c>
      <c r="AP4" s="85">
        <f t="shared" si="0"/>
        <v>9.5000000000000005E-5</v>
      </c>
      <c r="AQ4" s="85">
        <f t="shared" si="0"/>
        <v>9.5000000000000005E-5</v>
      </c>
      <c r="AR4" s="85">
        <f t="shared" si="0"/>
        <v>9.5000000000000005E-5</v>
      </c>
      <c r="AS4" s="85">
        <f t="shared" si="0"/>
        <v>9.5000000000000005E-5</v>
      </c>
      <c r="AT4" s="85">
        <f t="shared" si="0"/>
        <v>9.5000000000000005E-5</v>
      </c>
      <c r="AU4" s="85">
        <f t="shared" si="0"/>
        <v>9.5000000000000005E-5</v>
      </c>
      <c r="AV4" s="86">
        <f t="shared" si="0"/>
        <v>9.5000000000000005E-5</v>
      </c>
      <c r="AW4" s="86"/>
      <c r="AX4" s="86"/>
      <c r="BN4"/>
      <c r="BO4"/>
      <c r="BP4"/>
      <c r="BQ4"/>
      <c r="BR4"/>
      <c r="BS4"/>
      <c r="BT4" s="106"/>
      <c r="BU4" s="170">
        <f>IF(AND($CZ$2,$CJ$5),$BU$7,NA())</f>
        <v>-0.33806116581249379</v>
      </c>
      <c r="BV4" s="334">
        <v>34</v>
      </c>
      <c r="BY4"/>
      <c r="BZ4"/>
      <c r="CK4" s="318" t="s">
        <v>413</v>
      </c>
      <c r="CL4" s="336">
        <f>IF(CL3,-999,999)</f>
        <v>-999</v>
      </c>
      <c r="CM4" s="319" t="str">
        <f>IF(CL3,"A","Z")</f>
        <v>A</v>
      </c>
      <c r="CN4" s="25" t="s">
        <v>354</v>
      </c>
      <c r="CO4" s="92">
        <v>0</v>
      </c>
      <c r="CP4" s="67"/>
      <c r="CQ4" s="68"/>
      <c r="CR4" s="93">
        <f>IF(AND(CO4&lt;&gt;"",CQ2),CO4,NA())</f>
        <v>0</v>
      </c>
      <c r="CS4" s="94">
        <v>0</v>
      </c>
      <c r="CT4" s="95">
        <v>34.85</v>
      </c>
      <c r="CU4" s="96"/>
      <c r="CV4" s="55"/>
      <c r="CW4" s="56"/>
      <c r="CX4" s="67" t="s">
        <v>298</v>
      </c>
      <c r="CY4" s="68" t="b">
        <v>1</v>
      </c>
      <c r="DB4" s="90"/>
      <c r="DC4" s="90"/>
      <c r="DD4" s="90"/>
      <c r="DM4" s="274">
        <v>0</v>
      </c>
      <c r="DN4" s="94" t="s">
        <v>293</v>
      </c>
      <c r="DO4" s="275" t="s">
        <v>294</v>
      </c>
      <c r="DP4" s="276" t="s">
        <v>295</v>
      </c>
      <c r="DQ4" s="349" t="s">
        <v>365</v>
      </c>
      <c r="DR4" s="350" t="s">
        <v>440</v>
      </c>
      <c r="DU4" s="106"/>
      <c r="DW4" s="207" t="s">
        <v>426</v>
      </c>
      <c r="DX4" s="79" t="s">
        <v>471</v>
      </c>
      <c r="DY4" s="352"/>
      <c r="DZ4" s="90"/>
      <c r="EB4" s="88" t="s">
        <v>429</v>
      </c>
      <c r="ED4" s="353"/>
      <c r="EG4" s="88" t="s">
        <v>429</v>
      </c>
      <c r="EI4" s="353"/>
    </row>
    <row r="5" spans="1:140" ht="12.75" customHeight="1" thickTop="1" x14ac:dyDescent="0.2">
      <c r="I5" s="50">
        <f>(100-AA2)/200</f>
        <v>2.5000000000000001E-2</v>
      </c>
      <c r="J5" s="50">
        <f>I5</f>
        <v>2.5000000000000001E-2</v>
      </c>
      <c r="N5" s="59"/>
      <c r="S5" s="10" t="s">
        <v>512</v>
      </c>
      <c r="U5" s="631"/>
      <c r="V5" s="22" t="s">
        <v>409</v>
      </c>
      <c r="W5" s="632"/>
      <c r="X5" s="633" t="s">
        <v>416</v>
      </c>
      <c r="Y5" s="632"/>
      <c r="Z5" s="632"/>
      <c r="AA5" s="632"/>
      <c r="AB5" s="778"/>
      <c r="AC5" s="101" t="s">
        <v>317</v>
      </c>
      <c r="AD5" s="87"/>
      <c r="AE5" s="33">
        <v>10</v>
      </c>
      <c r="AF5" s="52"/>
      <c r="AG5" s="87"/>
      <c r="AH5" s="87"/>
      <c r="AI5" s="18" t="s">
        <v>211</v>
      </c>
      <c r="AJ5" s="102"/>
      <c r="AK5" s="85">
        <f t="shared" ref="AK5:AK49" si="1">$AK$4</f>
        <v>9.5000000000000005E-5</v>
      </c>
      <c r="AN5" s="90"/>
      <c r="AO5" s="105"/>
      <c r="AP5" s="105"/>
      <c r="AQ5" s="87"/>
      <c r="AR5" s="87"/>
      <c r="AS5" s="105"/>
      <c r="AT5" s="87"/>
      <c r="AV5" s="52">
        <f t="shared" ref="AV5:AV49" si="2">$AK$4</f>
        <v>9.5000000000000005E-5</v>
      </c>
      <c r="AW5" s="913" t="s">
        <v>214</v>
      </c>
      <c r="AX5" s="914"/>
      <c r="AY5" s="41">
        <v>18</v>
      </c>
      <c r="BN5"/>
      <c r="BO5"/>
      <c r="BP5"/>
      <c r="BQ5"/>
      <c r="BR5"/>
      <c r="BS5"/>
      <c r="BT5" s="207"/>
      <c r="BU5" s="358">
        <f>IF(AND($CZ$2,$CJ$5),$BU$7,NA())</f>
        <v>-0.33806116581249379</v>
      </c>
      <c r="BV5" s="359">
        <v>38</v>
      </c>
      <c r="BY5"/>
      <c r="BZ5"/>
      <c r="CA5" s="90"/>
      <c r="CB5" s="90"/>
      <c r="CC5" s="90"/>
      <c r="CD5" s="90"/>
      <c r="CE5" s="90"/>
      <c r="CF5" s="90"/>
      <c r="CG5" s="90"/>
      <c r="CH5" s="90"/>
      <c r="CI5" s="110" t="s">
        <v>223</v>
      </c>
      <c r="CJ5" s="199" t="b">
        <v>1</v>
      </c>
      <c r="CK5" s="634" t="s">
        <v>755</v>
      </c>
      <c r="CL5" s="50" t="b">
        <f>(M38=P38)</f>
        <v>1</v>
      </c>
      <c r="CM5" s="72" t="s">
        <v>460</v>
      </c>
      <c r="CN5" s="360">
        <f>NORMSINV(0.5+AA2/200)</f>
        <v>1.9599639845400536</v>
      </c>
      <c r="CP5" s="744" t="s">
        <v>757</v>
      </c>
      <c r="CR5" s="72" t="s">
        <v>278</v>
      </c>
      <c r="CS5" s="71" t="b">
        <v>0</v>
      </c>
      <c r="CT5" s="109"/>
      <c r="CU5" s="111"/>
      <c r="CV5" s="112" t="s">
        <v>337</v>
      </c>
      <c r="CY5" s="111"/>
      <c r="DB5" s="111"/>
      <c r="DC5" s="111"/>
      <c r="DM5" s="281">
        <f t="shared" ref="DM5:DM12" si="3">AVERAGE(DP5:DP6)</f>
        <v>1.1599999999999999</v>
      </c>
      <c r="DN5" s="90">
        <f t="shared" ref="DN5:DN13" si="4">$CX$39*DM5/$DM$13</f>
        <v>0.29851201748160761</v>
      </c>
      <c r="DO5" s="282">
        <v>3</v>
      </c>
      <c r="DP5" s="283">
        <v>0.36</v>
      </c>
      <c r="DQ5" s="290">
        <f t="shared" ref="DQ5:DQ13" si="5">$CV$77*DM5/$DM$13</f>
        <v>0.40944725265973064</v>
      </c>
      <c r="DR5" s="290">
        <f t="shared" ref="DR5:DR13" si="6">$CV$114*DM5/$DM$13</f>
        <v>1.2662940996160577</v>
      </c>
      <c r="DU5" s="268" t="s">
        <v>301</v>
      </c>
      <c r="DV5" s="90">
        <f>CR41-CT40</f>
        <v>0.22856409506001468</v>
      </c>
      <c r="DW5" s="97">
        <f>IF(AND($CZ$2,$CP$6,$DB$3),IF($CY$4,CR41,NA()),NA())</f>
        <v>0.53907125485966279</v>
      </c>
      <c r="DX5" s="94" t="e">
        <f>IF(AND(NOT(CJ5),$CP$6,$DB$3),IF($CY$4,CR41,NA()),NA())</f>
        <v>#N/A</v>
      </c>
      <c r="DY5" s="95">
        <f>IF($CY$4,CS41+DV3,NA())</f>
        <v>32.4</v>
      </c>
      <c r="DZ5" s="110" t="s">
        <v>301</v>
      </c>
      <c r="EA5" s="90">
        <f>CN77-CS77</f>
        <v>0.52524009014222506</v>
      </c>
      <c r="EB5" s="97">
        <f>IF(AND($CJ$5,$CZ$2,$CP$6),IF($CY$4,CN77,NA()),NA())</f>
        <v>0.81597270623773788</v>
      </c>
      <c r="EC5" s="95">
        <f>IF(IF($CJ$5,$CY$4),CR77+EC3,NA())</f>
        <v>33.4</v>
      </c>
      <c r="ED5" s="362"/>
      <c r="EE5" s="363" t="s">
        <v>301</v>
      </c>
      <c r="EF5" s="90">
        <f>CN114-CS114</f>
        <v>-0.2061403044047328</v>
      </c>
      <c r="EG5" s="97">
        <f>IF(AND($CJ$5,$CZ$2,$CP$6),IF($CY$4,CN114,NA()),NA())</f>
        <v>4.826350887731963E-2</v>
      </c>
      <c r="EH5" s="95">
        <f>IF(IF($CJ$5,$CY$4),CR114+EH3,NA())</f>
        <v>34.4</v>
      </c>
      <c r="EI5" s="362"/>
    </row>
    <row r="6" spans="1:140" ht="15" customHeight="1" thickBot="1" x14ac:dyDescent="0.35">
      <c r="A6" s="632"/>
      <c r="B6" s="632" t="s">
        <v>394</v>
      </c>
      <c r="C6" s="632"/>
      <c r="D6" s="632"/>
      <c r="E6" s="632"/>
      <c r="F6" s="632"/>
      <c r="G6" s="632"/>
      <c r="H6" s="632"/>
      <c r="I6" s="632"/>
      <c r="J6" s="635"/>
      <c r="K6" s="151"/>
      <c r="L6" s="151" t="s">
        <v>369</v>
      </c>
      <c r="M6" s="151"/>
      <c r="N6" s="636"/>
      <c r="O6" s="147" t="s">
        <v>368</v>
      </c>
      <c r="P6" s="147"/>
      <c r="Q6" s="82"/>
      <c r="R6" s="83" t="s">
        <v>750</v>
      </c>
      <c r="S6" s="82"/>
      <c r="T6" s="82"/>
      <c r="U6" s="637" t="s">
        <v>276</v>
      </c>
      <c r="V6" s="632"/>
      <c r="W6" s="632"/>
      <c r="X6" s="638"/>
      <c r="Y6" s="632"/>
      <c r="Z6" s="632"/>
      <c r="AA6" s="632"/>
      <c r="AB6" s="42">
        <v>9</v>
      </c>
      <c r="AC6" s="639" t="s">
        <v>414</v>
      </c>
      <c r="AD6" s="87"/>
      <c r="AE6" s="919" t="s">
        <v>597</v>
      </c>
      <c r="AF6" s="919"/>
      <c r="AG6" s="919"/>
      <c r="AH6" s="87"/>
      <c r="AI6" s="104" t="s">
        <v>518</v>
      </c>
      <c r="AJ6" s="118"/>
      <c r="AK6" s="85">
        <f t="shared" si="1"/>
        <v>9.5000000000000005E-5</v>
      </c>
      <c r="AN6" s="119"/>
      <c r="AO6" s="90"/>
      <c r="AP6" s="90"/>
      <c r="AQ6" s="90"/>
      <c r="AR6" s="90"/>
      <c r="AS6" s="90"/>
      <c r="AT6" s="87"/>
      <c r="AV6" s="52">
        <f t="shared" si="2"/>
        <v>9.5000000000000005E-5</v>
      </c>
      <c r="AW6" s="915" t="s">
        <v>516</v>
      </c>
      <c r="AX6" s="916"/>
      <c r="AY6" s="640" t="s">
        <v>599</v>
      </c>
      <c r="BT6" s="365" t="s">
        <v>459</v>
      </c>
      <c r="BU6" s="365"/>
      <c r="BV6" s="365"/>
      <c r="BW6" s="365"/>
      <c r="BX6" s="366"/>
      <c r="CA6" s="364" t="s">
        <v>466</v>
      </c>
      <c r="CB6" s="367" t="s">
        <v>442</v>
      </c>
      <c r="CC6" s="368"/>
      <c r="CG6" s="63" t="s">
        <v>276</v>
      </c>
      <c r="CH6" s="121"/>
      <c r="CJ6" s="63" t="s">
        <v>402</v>
      </c>
      <c r="CK6" s="63" t="s">
        <v>397</v>
      </c>
      <c r="CL6" s="63" t="s">
        <v>399</v>
      </c>
      <c r="CN6" s="641" t="s">
        <v>399</v>
      </c>
      <c r="CO6" s="122" t="s">
        <v>280</v>
      </c>
      <c r="CP6" s="124" t="b">
        <f>IF(COUNT(CP8:CP37)&lt;2,FALSE,TRUE)</f>
        <v>1</v>
      </c>
      <c r="CQ6" s="125" t="s">
        <v>281</v>
      </c>
      <c r="CR6" s="149" t="s">
        <v>287</v>
      </c>
      <c r="CS6" s="125" t="s">
        <v>282</v>
      </c>
      <c r="CT6" s="147" t="s">
        <v>288</v>
      </c>
      <c r="CU6" s="90"/>
      <c r="CV6" s="128" t="s">
        <v>338</v>
      </c>
      <c r="CW6" s="129" t="s">
        <v>324</v>
      </c>
      <c r="CX6" s="129"/>
      <c r="CY6" s="129"/>
      <c r="CZ6" s="130" t="s">
        <v>336</v>
      </c>
      <c r="DA6" s="130"/>
      <c r="DB6" s="130"/>
      <c r="DC6" s="61" t="s">
        <v>270</v>
      </c>
      <c r="DD6" s="61"/>
      <c r="DE6" s="61"/>
      <c r="DF6" s="61"/>
      <c r="DG6" s="61"/>
      <c r="DH6" s="61"/>
      <c r="DI6" s="61"/>
      <c r="DJ6" s="61"/>
      <c r="DK6" s="61"/>
      <c r="DL6" s="61"/>
      <c r="DM6" s="731">
        <f t="shared" si="3"/>
        <v>3.0608</v>
      </c>
      <c r="DN6" s="90">
        <f t="shared" si="4"/>
        <v>0.78765998543767635</v>
      </c>
      <c r="DO6" s="286">
        <v>4</v>
      </c>
      <c r="DP6" s="287">
        <v>1.96</v>
      </c>
      <c r="DQ6" s="290">
        <f t="shared" si="5"/>
        <v>1.0803759921904341</v>
      </c>
      <c r="DR6" s="290">
        <f t="shared" si="6"/>
        <v>3.3412698104351981</v>
      </c>
      <c r="DU6" s="268" t="s">
        <v>302</v>
      </c>
      <c r="DV6" s="90">
        <f>CR41+CT40</f>
        <v>0.84957841465931083</v>
      </c>
      <c r="DW6" s="106">
        <f>IF(AND($CZ$2,$CP$6,$DB$3),IF($CY$4,CR41-CT40,NA()),NA())</f>
        <v>0.22856409506001468</v>
      </c>
      <c r="DX6" s="90" t="e">
        <f>IF(AND(NOT(CJ5),$CP$6,$DB$3),IF($CY$4,CR41-CT40,NA()),NA())</f>
        <v>#N/A</v>
      </c>
      <c r="DY6" s="113">
        <f>IF($CY$4,CS41,NA())</f>
        <v>32</v>
      </c>
      <c r="DZ6" s="110" t="s">
        <v>302</v>
      </c>
      <c r="EA6" s="90">
        <f>CN77+CS77</f>
        <v>1.1067053223332506</v>
      </c>
      <c r="EB6" s="106">
        <f>IF(AND($CJ$5,$CZ$2,$CP$6),IF($CY$4,CN77-CS77,NA()),NA())</f>
        <v>0.52524009014222506</v>
      </c>
      <c r="EC6" s="113">
        <f>IF(IF($CJ$5,$CY$4),CR77,NA())</f>
        <v>33</v>
      </c>
      <c r="ED6" s="370"/>
      <c r="EE6" s="363" t="s">
        <v>302</v>
      </c>
      <c r="EF6" s="90">
        <f>CN114+CS114</f>
        <v>0.30266732215937203</v>
      </c>
      <c r="EG6" s="106">
        <f>IF(AND($CJ$5,$CZ$2,$CP$6),IF($CY$4,CN114-CS114,NA()),NA())</f>
        <v>-0.2061403044047328</v>
      </c>
      <c r="EH6" s="113">
        <f>IF(IF($CJ$5,$CY$4),CR114,NA())</f>
        <v>34</v>
      </c>
      <c r="EI6" s="370"/>
      <c r="EJ6"/>
    </row>
    <row r="7" spans="1:140" ht="15" customHeight="1" thickTop="1" thickBot="1" x14ac:dyDescent="0.35">
      <c r="A7" s="63" t="s">
        <v>370</v>
      </c>
      <c r="B7" s="63" t="s">
        <v>391</v>
      </c>
      <c r="C7" s="63" t="s">
        <v>387</v>
      </c>
      <c r="D7" s="63" t="s">
        <v>388</v>
      </c>
      <c r="E7" s="50" t="s">
        <v>389</v>
      </c>
      <c r="F7" s="50" t="s">
        <v>390</v>
      </c>
      <c r="G7" s="50" t="s">
        <v>371</v>
      </c>
      <c r="H7" s="50" t="s">
        <v>382</v>
      </c>
      <c r="I7" s="50" t="s">
        <v>383</v>
      </c>
      <c r="J7" s="50" t="s">
        <v>384</v>
      </c>
      <c r="K7" s="29" t="s">
        <v>355</v>
      </c>
      <c r="L7" s="63" t="s">
        <v>395</v>
      </c>
      <c r="M7" s="63" t="s">
        <v>396</v>
      </c>
      <c r="N7" s="29" t="s">
        <v>355</v>
      </c>
      <c r="O7" s="63" t="s">
        <v>395</v>
      </c>
      <c r="P7" s="63" t="s">
        <v>396</v>
      </c>
      <c r="Q7" s="131"/>
      <c r="R7" s="761" t="str">
        <f>IF(CS5,"t","")</f>
        <v/>
      </c>
      <c r="S7" s="760" t="str">
        <f>IF(CS5,"p","")</f>
        <v/>
      </c>
      <c r="T7" s="83"/>
      <c r="U7" s="133" t="s">
        <v>283</v>
      </c>
      <c r="V7" s="133" t="s">
        <v>310</v>
      </c>
      <c r="W7" s="39" t="s">
        <v>355</v>
      </c>
      <c r="X7" s="40" t="s">
        <v>594</v>
      </c>
      <c r="Y7" s="38" t="s">
        <v>358</v>
      </c>
      <c r="Z7" s="38" t="s">
        <v>361</v>
      </c>
      <c r="AA7" s="38" t="s">
        <v>267</v>
      </c>
      <c r="AB7" s="373" t="s">
        <v>421</v>
      </c>
      <c r="AC7" s="137" t="s">
        <v>415</v>
      </c>
      <c r="AD7" s="87"/>
      <c r="AE7" s="643" t="s">
        <v>332</v>
      </c>
      <c r="AF7" s="142" t="str">
        <f>IF($Y$4&lt;&gt;"",$Y$4,"")</f>
        <v/>
      </c>
      <c r="AG7" s="643" t="s">
        <v>333</v>
      </c>
      <c r="AH7" s="87"/>
      <c r="AI7" s="762" t="s">
        <v>285</v>
      </c>
      <c r="AJ7" s="90"/>
      <c r="AK7" s="85">
        <f t="shared" si="1"/>
        <v>9.5000000000000005E-5</v>
      </c>
      <c r="AN7" s="90"/>
      <c r="AO7" s="90"/>
      <c r="AP7" s="90"/>
      <c r="AQ7" s="90"/>
      <c r="AR7" s="90"/>
      <c r="AS7" s="90"/>
      <c r="AT7" s="87"/>
      <c r="AV7" s="52">
        <f t="shared" si="2"/>
        <v>9.5000000000000005E-5</v>
      </c>
      <c r="AW7" s="644" t="s">
        <v>392</v>
      </c>
      <c r="AX7" s="645" t="s">
        <v>393</v>
      </c>
      <c r="AY7" s="646"/>
      <c r="BT7" s="342" t="s">
        <v>444</v>
      </c>
      <c r="BU7" s="772">
        <f>MIN(AE8:AE37,AE40,AE41,Z40+AE45)</f>
        <v>-0.33806116581249379</v>
      </c>
      <c r="BV7" s="93" t="s">
        <v>454</v>
      </c>
      <c r="BW7" s="94">
        <f>IF(AND($CZ$2,$CJ$5),Z41,NA())</f>
        <v>4.826350887731963E-2</v>
      </c>
      <c r="BX7" s="95">
        <v>38</v>
      </c>
      <c r="BY7" s="342" t="s">
        <v>468</v>
      </c>
      <c r="BZ7" s="375" t="s">
        <v>452</v>
      </c>
      <c r="CA7" s="376" t="s">
        <v>467</v>
      </c>
      <c r="CB7" s="377" t="s">
        <v>443</v>
      </c>
      <c r="CC7" s="378"/>
      <c r="CD7" s="379" t="s">
        <v>441</v>
      </c>
      <c r="CG7" s="63" t="s">
        <v>779</v>
      </c>
      <c r="CH7" s="121" t="s">
        <v>216</v>
      </c>
      <c r="CI7" s="80" t="s">
        <v>410</v>
      </c>
      <c r="CJ7" s="80" t="s">
        <v>403</v>
      </c>
      <c r="CK7" s="80" t="s">
        <v>398</v>
      </c>
      <c r="CL7" s="80" t="s">
        <v>401</v>
      </c>
      <c r="CM7" s="79"/>
      <c r="CN7" s="143" t="s">
        <v>400</v>
      </c>
      <c r="CO7" s="647" t="s">
        <v>415</v>
      </c>
      <c r="CP7" s="146" t="s">
        <v>265</v>
      </c>
      <c r="CQ7" s="648" t="s">
        <v>415</v>
      </c>
      <c r="CR7" s="63" t="s">
        <v>268</v>
      </c>
      <c r="CS7" s="80" t="s">
        <v>404</v>
      </c>
      <c r="CT7" s="80" t="s">
        <v>405</v>
      </c>
      <c r="CU7" s="149" t="s">
        <v>291</v>
      </c>
      <c r="CV7" s="150" t="s">
        <v>291</v>
      </c>
      <c r="CW7" s="151" t="s">
        <v>318</v>
      </c>
      <c r="CX7" s="151" t="s">
        <v>319</v>
      </c>
      <c r="CY7" s="151" t="s">
        <v>320</v>
      </c>
      <c r="CZ7" s="153" t="s">
        <v>321</v>
      </c>
      <c r="DA7" s="153" t="s">
        <v>322</v>
      </c>
      <c r="DB7" s="153" t="s">
        <v>323</v>
      </c>
      <c r="DC7" s="73">
        <v>3</v>
      </c>
      <c r="DD7" s="74">
        <v>4</v>
      </c>
      <c r="DE7" s="75">
        <v>6</v>
      </c>
      <c r="DF7" s="73">
        <v>7</v>
      </c>
      <c r="DG7" s="74">
        <v>9</v>
      </c>
      <c r="DH7" s="75">
        <v>10</v>
      </c>
      <c r="DI7" s="73">
        <v>12</v>
      </c>
      <c r="DJ7" s="74">
        <v>13</v>
      </c>
      <c r="DK7" s="75">
        <v>15</v>
      </c>
      <c r="DM7" s="281">
        <f t="shared" si="3"/>
        <v>5.4607999999999999</v>
      </c>
      <c r="DN7" s="90">
        <f t="shared" si="4"/>
        <v>1.4052710560892783</v>
      </c>
      <c r="DO7" s="288">
        <v>6</v>
      </c>
      <c r="DP7" s="289">
        <v>4.1616</v>
      </c>
      <c r="DQ7" s="290">
        <f t="shared" si="5"/>
        <v>1.9275082390726352</v>
      </c>
      <c r="DR7" s="290">
        <f t="shared" si="6"/>
        <v>5.9611886372270408</v>
      </c>
      <c r="DU7" s="268" t="s">
        <v>431</v>
      </c>
      <c r="DV7" s="90">
        <v>200</v>
      </c>
      <c r="DW7" s="106">
        <f>IF(AND($CZ$2,$CP$6,$DB$3),IF($CY$4,CR41,NA()),NA())</f>
        <v>0.53907125485966279</v>
      </c>
      <c r="DX7" s="90" t="e">
        <f>IF(AND(NOT(CJ5),$CP$6,$DB$3),IF($CY$4,CR41,NA()),NA())</f>
        <v>#N/A</v>
      </c>
      <c r="DY7" s="113">
        <f>IF($CY$4,CS41-DV3,NA())</f>
        <v>31.6</v>
      </c>
      <c r="DZ7" s="110" t="s">
        <v>431</v>
      </c>
      <c r="EA7" s="90">
        <v>200</v>
      </c>
      <c r="EB7" s="106">
        <f>IF(AND($CJ$5,$CZ$2,$CP$6),IF($CY$4,CN77,NA()),NA())</f>
        <v>0.81597270623773788</v>
      </c>
      <c r="EC7" s="113">
        <f>IF(IF($CJ$5,$CY$4),CR77-EC3,NA())</f>
        <v>32.6</v>
      </c>
      <c r="ED7" s="370"/>
      <c r="EE7" s="363" t="s">
        <v>431</v>
      </c>
      <c r="EF7" s="90">
        <v>200</v>
      </c>
      <c r="EG7" s="106">
        <f>IF(AND($CJ$5,$CZ$2,$CP$6),IF($CY$4,CN114,NA()),NA())</f>
        <v>4.826350887731963E-2</v>
      </c>
      <c r="EH7" s="113">
        <f>IF(IF($CJ$5,$CY$4),CR114-EH3,NA())</f>
        <v>33.6</v>
      </c>
      <c r="EI7" s="370"/>
      <c r="EJ7"/>
    </row>
    <row r="8" spans="1:140" ht="12" customHeight="1" thickTop="1" x14ac:dyDescent="0.2">
      <c r="A8" s="50">
        <f t="shared" ref="A8:A37" si="7">IF(CN8,W8/B8,"")</f>
        <v>2.1959735881836102</v>
      </c>
      <c r="B8" s="50">
        <f t="shared" ref="B8:B37" si="8">IF(CN8,SQRT(1/Y8+1/Z8),"")</f>
        <v>0.3779644730092272</v>
      </c>
      <c r="C8" s="50">
        <f t="shared" ref="C8:C37" si="9">IF(CN8,W8/B8-TINV((100-$AA$2)/100,Y8+Z8-2),"")</f>
        <v>0.14044414954073714</v>
      </c>
      <c r="D8" s="50">
        <f t="shared" ref="D8:D37" si="10">IF(CN8,W8/B8+TINV((100-$AA$2)/100,Y8+Z8-2),"")</f>
        <v>4.2515030268264837</v>
      </c>
      <c r="E8" s="50">
        <f t="shared" ref="E8:E37" si="11">IF(CN8,1-nct(A8,G8,Y8+Z8-2),"")</f>
        <v>2.5000000217008433E-2</v>
      </c>
      <c r="F8" s="50">
        <f t="shared" ref="F8:F37" si="12">IF(CN8,nct(A8,H8,Y8+Z8-2),"")</f>
        <v>2.5000000113885309E-2</v>
      </c>
      <c r="G8" s="66">
        <v>0.12870302206476306</v>
      </c>
      <c r="H8" s="66">
        <v>4.2246560266184279</v>
      </c>
      <c r="I8" s="50">
        <f t="shared" ref="I8:I37" si="13">1000000*(E8-$I$5)</f>
        <v>2.1700843205740838E-4</v>
      </c>
      <c r="J8" s="50">
        <f t="shared" ref="J8:J37" si="14">1000000*(F8-$J$5)</f>
        <v>1.1388530743450254E-4</v>
      </c>
      <c r="K8" s="66">
        <v>0.83</v>
      </c>
      <c r="L8" s="66">
        <v>14</v>
      </c>
      <c r="M8" s="66">
        <v>14</v>
      </c>
      <c r="N8" s="649">
        <f t="shared" ref="N8:N37" si="15">W8</f>
        <v>0.83</v>
      </c>
      <c r="O8" s="650">
        <f t="shared" ref="O8:O37" si="16">Y8</f>
        <v>14</v>
      </c>
      <c r="P8" s="650">
        <f t="shared" ref="P8:P37" si="17">Z8</f>
        <v>14</v>
      </c>
      <c r="R8" s="651" t="str">
        <f t="shared" ref="R8:R37" si="18">IF(AND($CQ$2,$CP$6,$CS$5,CP8&lt;&gt;"",$CO$4&lt;&gt;""), CP8,"")</f>
        <v/>
      </c>
      <c r="S8" s="848" t="str">
        <f t="shared" ref="S8:S37" si="19">IF(R8&lt;&gt;"",TDIST(ABS(CP8),Y8+Z8-2,2),"")</f>
        <v/>
      </c>
      <c r="T8" s="156" t="str">
        <f t="shared" ref="T8:T37" si="20">IF(R8&lt;&gt;"",IF(S8&lt;0.001,"***",(IF(S8&lt;0.01,"**",(IF(S8&lt;0.05,"*",(IF(S8&lt;0.1,"?","ns"))))))),"")</f>
        <v/>
      </c>
      <c r="U8" s="157">
        <v>1</v>
      </c>
      <c r="V8" s="161" t="s">
        <v>372</v>
      </c>
      <c r="W8" s="652">
        <v>0.83</v>
      </c>
      <c r="X8" s="653">
        <f t="shared" ref="X8:X37" si="21">IF(CN8,W8*CI8,"")</f>
        <v>0.80578584465834813</v>
      </c>
      <c r="Y8" s="160">
        <v>14</v>
      </c>
      <c r="Z8" s="161">
        <v>14</v>
      </c>
      <c r="AA8" s="654">
        <f t="shared" ref="AA8:AA37" si="22">IF(CN8,Y8+Z8-2,"")</f>
        <v>26</v>
      </c>
      <c r="AB8" s="160" t="s">
        <v>380</v>
      </c>
      <c r="AC8" s="164">
        <f t="shared" ref="AC8:AC37" si="23">IF(CN8,IF($CL$3,CI8*CI8*((Y8+Z8)/(Y8*Z8)+W8^2/(2*(Y8+Z8))),((Y8+Z8)/(Y8*Z8)+W8^2/(2*(Y8+Z8)))),"")</f>
        <v>0.1462378706904813</v>
      </c>
      <c r="AD8" s="655" t="s">
        <v>339</v>
      </c>
      <c r="AE8" s="656">
        <f t="shared" ref="AE8:AE37" si="24">IF(CL8,G8*B8,"")</f>
        <v>4.864516990940311E-2</v>
      </c>
      <c r="AF8" s="174" t="s">
        <v>261</v>
      </c>
      <c r="AG8" s="656">
        <f t="shared" ref="AG8:AG37" si="25">IF(CL8,H8*B8,"")</f>
        <v>1.5967698887460897</v>
      </c>
      <c r="AH8" s="657" t="s">
        <v>259</v>
      </c>
      <c r="AI8" s="763">
        <f>IF(AND($CP$6,$DB$3),IF(CD8&lt;&gt;"",IF(NOT($CJ$5),CD8,IF($CZ$2,IF(CH8=1,CJ46,CJ83),"")),""),"")</f>
        <v>15.046360934565659</v>
      </c>
      <c r="AJ8" s="168"/>
      <c r="AK8" s="85">
        <f t="shared" si="1"/>
        <v>9.5000000000000005E-5</v>
      </c>
      <c r="AL8" s="249"/>
      <c r="AM8" s="249"/>
      <c r="AN8" s="165"/>
      <c r="AO8" s="170"/>
      <c r="AP8" s="170"/>
      <c r="AQ8" s="170"/>
      <c r="AR8" s="170"/>
      <c r="AS8" s="170"/>
      <c r="AT8" s="171"/>
      <c r="AU8" s="249"/>
      <c r="AV8" s="658">
        <f t="shared" si="2"/>
        <v>9.5000000000000005E-5</v>
      </c>
      <c r="AW8" s="659">
        <f t="shared" ref="AW8:AW37" si="26">IF(CL8,IF($CL$3,X8-AE8,W8-AE8),"")</f>
        <v>0.75714067474894498</v>
      </c>
      <c r="AX8" s="660">
        <f t="shared" ref="AX8:AX37" si="27">IF(CL8,IF($CL$3,AG8-X8,AG8-W8),"")</f>
        <v>0.79098404408774159</v>
      </c>
      <c r="AY8" s="661">
        <f t="shared" ref="AY8:AY37" si="28">IF(AW8&lt;&gt;"",(AW8+AX8)/2,"")</f>
        <v>0.77406235941834334</v>
      </c>
      <c r="BT8" s="110" t="s">
        <v>445</v>
      </c>
      <c r="BU8" s="773">
        <f>MAX(AG8:AG37)</f>
        <v>1.7573583111955668</v>
      </c>
      <c r="BV8" s="107" t="s">
        <v>423</v>
      </c>
      <c r="BW8" s="79">
        <f>IF(AND($CZ$2,$CJ$5),(Z40+Z41)/2,NA())</f>
        <v>0.43211810755752877</v>
      </c>
      <c r="BX8" s="113">
        <v>41.6</v>
      </c>
      <c r="BY8" s="94" t="str">
        <f t="shared" ref="BY8:BY37" si="29">IF(OR(NOT($CJ$5),W8="",Y8="",Z8=""),-999999999999,IF(AB8=$AB$8,"zzzzzzzzzzzz",-999999999999))</f>
        <v>zzzzzzzzzzzz</v>
      </c>
      <c r="BZ8" s="95" t="str">
        <f t="shared" ref="BZ8:BZ37" si="30">IF(OR(NOT($CJ$5),W8="",Y8="",Z8=""),"zzzzzzzzzzzz",IF(AB8=$AB$8,"zzzzzzzzzzzz",-999999999999))</f>
        <v>zzzzzzzzzzzz</v>
      </c>
      <c r="CA8" s="290"/>
      <c r="CB8" s="393">
        <f t="shared" ref="CB8:CB37" si="31">IF(NOT($CJ$5),-999,IF(CH8=1,-999,999))</f>
        <v>-999</v>
      </c>
      <c r="CC8" s="394">
        <f t="shared" ref="CC8:CC37" si="32">IF(NOT($CJ$5),999,IF(CH8=1,-999,999))</f>
        <v>-999</v>
      </c>
      <c r="CD8" s="428">
        <f>IF(CV8&lt;&gt;"",100*CV8/$CV$38,"")</f>
        <v>10.039453364029175</v>
      </c>
      <c r="CE8" s="253" t="s">
        <v>334</v>
      </c>
      <c r="CF8" s="254" t="s">
        <v>335</v>
      </c>
      <c r="CG8" s="95" t="b">
        <f>AND(W8&lt;=8,W8&gt;=-8,Y8&gt;5,Z8&gt;5,OR(NOT($CJ$5),AB8&lt;&gt;""))</f>
        <v>1</v>
      </c>
      <c r="CH8" s="395">
        <f>IF(AND(AB8&lt;&gt;"",CP8&lt;&gt;""),IF(AB8=$AB$8,1,2),"")</f>
        <v>1</v>
      </c>
      <c r="CI8" s="50">
        <f t="shared" ref="CI8:CI37" si="33">IF(CN8,EXP(GAMMALN(AA8/2))/(SQRT(AA8/2)*EXP(GAMMALN(AA8/2-0.5))),"")</f>
        <v>0.97082631886547976</v>
      </c>
      <c r="CJ8" s="50" t="b">
        <f t="shared" ref="CJ8:CJ37" si="34">AND(K8=N8,L8=O8,M8=P8)</f>
        <v>1</v>
      </c>
      <c r="CK8" s="753" t="b">
        <v>1</v>
      </c>
      <c r="CL8" s="50" t="b">
        <f t="shared" ref="CL8:CL37" si="35">AND(CJ8,CN8,ISNUMBER(I8),$CL$5)</f>
        <v>1</v>
      </c>
      <c r="CM8" s="50">
        <v>1</v>
      </c>
      <c r="CN8" s="200" t="b">
        <f t="shared" ref="CN8:CN37" si="36">AND(CK8,ABS(W8&lt;=8),W8&lt;&gt;"",Y8&gt;5,Z8&gt;5,Y8+Z8&lt;203)</f>
        <v>1</v>
      </c>
      <c r="CO8" s="90">
        <f>IF(AND(CG8,CN8),IF($CL$3,X8,W8),"")</f>
        <v>0.80578584465834813</v>
      </c>
      <c r="CP8" s="179">
        <f>IF(AND(CG8,CN8),(X8-$CO$4)/SQRT((Y8+Z8)/(Y8*Z8)+W8^2/(2*(Y8+Z8))),"")</f>
        <v>2.045649611889147</v>
      </c>
      <c r="CQ8" s="94" t="e">
        <f>IF(AND(NOT($CY$3),NOT($CJ$5),CN8),IF($CL$3,X8,W8),NA())</f>
        <v>#N/A</v>
      </c>
      <c r="CR8" s="179">
        <f t="shared" ref="CR8:CR37" si="37">IF(CN8,CM8,NA())</f>
        <v>1</v>
      </c>
      <c r="CS8" s="50">
        <f t="shared" ref="CS8:CS37" si="38">IF(AW8&lt;&gt;"",AW8,NA())</f>
        <v>0.75714067474894498</v>
      </c>
      <c r="CT8" s="50">
        <f t="shared" ref="CT8:CT37" si="39">IF(AX8&lt;&gt;"",AX8,NA())</f>
        <v>0.79098404408774159</v>
      </c>
      <c r="CU8" s="94">
        <f>IF(AND(CG8,CN8),1/AC8,"")</f>
        <v>6.8381739646397248</v>
      </c>
      <c r="CV8" s="94">
        <f t="shared" ref="CV8:CV37" si="40">IF(fixedrandom=1,CU8,DA8)</f>
        <v>4.0000278137534862</v>
      </c>
      <c r="CW8" s="94">
        <f>IF(AND(CG8,CN8),CO8*CU8,"")</f>
        <v>5.5101037840179456</v>
      </c>
      <c r="CX8" s="94">
        <f>IF(AND(CG8,CN8),CU8*CU8,"")</f>
        <v>46.760623170676574</v>
      </c>
      <c r="CY8" s="94">
        <f>IF(AND(CG8,CN8),CO8^2*CU8,"")</f>
        <v>4.4399636317600608</v>
      </c>
      <c r="CZ8" s="94">
        <f t="shared" ref="CZ8:CZ37" si="41">IF(CU8&lt;&gt;"",1/CU8+$CF$13,"")</f>
        <v>0.24999826165249461</v>
      </c>
      <c r="DA8" s="94">
        <f t="shared" ref="DA8:DA37" si="42">IF(CU8&lt;&gt;"",1/CZ8,"")</f>
        <v>4.0000278137534862</v>
      </c>
      <c r="DB8" s="94">
        <f t="shared" ref="DB8:DB37" si="43">IF(CU8&lt;&gt;"",DA8*CO8,"")</f>
        <v>3.2231657905622386</v>
      </c>
      <c r="DC8" s="97" t="e">
        <f t="shared" ref="DC8:DC37" si="44">IF(AND(CV8&lt;=$DN$5,NOT($CJ$5),$CY$3),IF($CL$3,X8,W8),NA())</f>
        <v>#N/A</v>
      </c>
      <c r="DD8" s="94" t="e">
        <f t="shared" ref="DD8:DD37" si="45">IF(AND(CV8&gt;$DN$5,NOT($CJ$5),CV8&lt;=$DN$6,$CY$3),IF($CL$3,X8,W8),NA())</f>
        <v>#N/A</v>
      </c>
      <c r="DE8" s="94" t="e">
        <f t="shared" ref="DE8:DE37" si="46">IF(AND(CV8&gt;$DN$6,NOT($CJ$5),CV8&lt;=$DN$7,$CY$3),IF($CL$3,X8,W8),NA())</f>
        <v>#N/A</v>
      </c>
      <c r="DF8" s="94" t="e">
        <f t="shared" ref="DF8:DF37" si="47">IF(AND(CV8&gt;$DN$7,NOT($CJ$5),CV8&lt;=$DN$8,$CY$3),IF($CL$3,X8,W8),NA())</f>
        <v>#N/A</v>
      </c>
      <c r="DG8" s="94" t="e">
        <f t="shared" ref="DG8:DG37" si="48">IF(AND(CV8&gt;$DN$8,NOT($CJ$5),CV8&lt;=$DN$9,$CY$3),IF($CL$3,X8,W8),NA())</f>
        <v>#N/A</v>
      </c>
      <c r="DH8" s="94" t="e">
        <f t="shared" ref="DH8:DH37" si="49">IF(AND(CV8&gt;$DN$9,NOT($CJ$5),CV8&lt;=$DN$10,$CY$3),IF($CL$3,X8,W8),NA())</f>
        <v>#N/A</v>
      </c>
      <c r="DI8" s="94" t="e">
        <f t="shared" ref="DI8:DI37" si="50">IF(AND(CV8&gt;$DN$10,NOT($CJ$5),CV8&lt;=$DN$11,$CY$3),IF($CL$3,X8,W8),NA())</f>
        <v>#N/A</v>
      </c>
      <c r="DJ8" s="94" t="e">
        <f t="shared" ref="DJ8:DJ37" si="51">IF(AND(CV8&gt;$DN$11,NOT($CJ$5),CV8&lt;=$DN$12,$CY$3),IF($CL$3,X8,W8),NA())</f>
        <v>#N/A</v>
      </c>
      <c r="DK8" s="94" t="e">
        <f t="shared" ref="DK8:DK37" si="52">IF(AND(CV8&lt;&gt;"",NOT($CJ$5),CV8&gt;$DN$12,$CY$3),IF($CL$3,X8,W8),NA())</f>
        <v>#N/A</v>
      </c>
      <c r="DL8" s="95">
        <v>1</v>
      </c>
      <c r="DM8" s="281">
        <f t="shared" si="3"/>
        <v>8.3412499999999987</v>
      </c>
      <c r="DN8" s="90">
        <f t="shared" si="4"/>
        <v>2.1465201429469478</v>
      </c>
      <c r="DO8" s="292">
        <v>7</v>
      </c>
      <c r="DP8" s="283">
        <v>6.76</v>
      </c>
      <c r="DQ8" s="290">
        <f t="shared" si="5"/>
        <v>2.9442257726275671</v>
      </c>
      <c r="DR8" s="290">
        <f t="shared" si="6"/>
        <v>9.1055824641572762</v>
      </c>
      <c r="DU8" s="268" t="s">
        <v>304</v>
      </c>
      <c r="DV8" s="90">
        <f>(DV6-DV5)/DV7</f>
        <v>3.1050715979964805E-3</v>
      </c>
      <c r="DW8" s="106">
        <f>IF(AND($CZ$2,$CP$6,$DB$3),IF($CY$4,CR41+CT40,NA()),NA())</f>
        <v>0.84957841465931083</v>
      </c>
      <c r="DX8" s="90" t="e">
        <f>IF(AND(NOT(CJ5),$CP$6,$DB$3),IF($CY$4,CR41+CT40,NA()),NA())</f>
        <v>#N/A</v>
      </c>
      <c r="DY8" s="113">
        <f>IF($CY$4,CS41,NA())</f>
        <v>32</v>
      </c>
      <c r="DZ8" s="110" t="s">
        <v>304</v>
      </c>
      <c r="EA8" s="90">
        <f>(EA6-EA5)/EA7</f>
        <v>2.9073261609551277E-3</v>
      </c>
      <c r="EB8" s="106">
        <f>IF(AND($CJ$5,$CZ$2,$CP$6),IF($CY$4,CN77+CS77,NA()),NA())</f>
        <v>1.1067053223332506</v>
      </c>
      <c r="EC8" s="113">
        <f>IF(IF($CJ$5,$CY$4),CR77,NA())</f>
        <v>33</v>
      </c>
      <c r="ED8" s="370"/>
      <c r="EE8" s="363" t="s">
        <v>304</v>
      </c>
      <c r="EF8" s="90">
        <f>(EF6-EF5)/EF7</f>
        <v>2.5440381328205243E-3</v>
      </c>
      <c r="EG8" s="106">
        <f>IF(AND($CJ$5,$CZ$2,$CP$6),IF($CY$4,CN114+CS114,NA()),NA())</f>
        <v>0.30266732215937203</v>
      </c>
      <c r="EH8" s="113">
        <f>IF(IF($CJ$5,$CY$4),CR114,NA())</f>
        <v>34</v>
      </c>
      <c r="EI8" s="370"/>
      <c r="EJ8"/>
    </row>
    <row r="9" spans="1:140" ht="12" customHeight="1" x14ac:dyDescent="0.2">
      <c r="A9" s="50">
        <f t="shared" si="7"/>
        <v>2.8746592841587328</v>
      </c>
      <c r="B9" s="50">
        <f t="shared" si="8"/>
        <v>0.34299717028501769</v>
      </c>
      <c r="C9" s="50">
        <f t="shared" si="9"/>
        <v>0.83772594069863171</v>
      </c>
      <c r="D9" s="50">
        <f t="shared" si="10"/>
        <v>4.911592627618834</v>
      </c>
      <c r="E9" s="50">
        <f t="shared" si="11"/>
        <v>2.5000000215337215E-2</v>
      </c>
      <c r="F9" s="50">
        <f t="shared" si="12"/>
        <v>2.4999999643544376E-2</v>
      </c>
      <c r="G9" s="66">
        <v>0.77303515004555656</v>
      </c>
      <c r="H9" s="66">
        <v>4.9364570071054326</v>
      </c>
      <c r="I9" s="50">
        <f t="shared" si="13"/>
        <v>2.1533721333844014E-4</v>
      </c>
      <c r="J9" s="50">
        <f t="shared" si="14"/>
        <v>-3.5645562543318299E-4</v>
      </c>
      <c r="K9" s="66">
        <v>0.98599999999999999</v>
      </c>
      <c r="L9" s="66">
        <v>17</v>
      </c>
      <c r="M9" s="66">
        <v>17</v>
      </c>
      <c r="N9" s="649">
        <f t="shared" si="15"/>
        <v>0.98599999999999999</v>
      </c>
      <c r="O9" s="650">
        <f t="shared" si="16"/>
        <v>17</v>
      </c>
      <c r="P9" s="650">
        <f t="shared" si="17"/>
        <v>17</v>
      </c>
      <c r="Q9" s="180"/>
      <c r="R9" s="662" t="str">
        <f t="shared" si="18"/>
        <v/>
      </c>
      <c r="S9" s="849" t="str">
        <f t="shared" si="19"/>
        <v/>
      </c>
      <c r="T9" s="182" t="str">
        <f t="shared" si="20"/>
        <v/>
      </c>
      <c r="U9" s="183">
        <v>2</v>
      </c>
      <c r="V9" s="186" t="s">
        <v>373</v>
      </c>
      <c r="W9" s="663">
        <v>0.98599999999999999</v>
      </c>
      <c r="X9" s="653">
        <f t="shared" si="21"/>
        <v>0.96267790573412426</v>
      </c>
      <c r="Y9" s="186">
        <v>17</v>
      </c>
      <c r="Z9" s="186">
        <v>17</v>
      </c>
      <c r="AA9" s="664">
        <f t="shared" si="22"/>
        <v>32</v>
      </c>
      <c r="AB9" s="186" t="s">
        <v>380</v>
      </c>
      <c r="AC9" s="202">
        <f t="shared" si="23"/>
        <v>0.12577606944435299</v>
      </c>
      <c r="AD9" s="665" t="s">
        <v>339</v>
      </c>
      <c r="AE9" s="666">
        <f t="shared" si="24"/>
        <v>0.26514886899647999</v>
      </c>
      <c r="AF9" s="197" t="s">
        <v>261</v>
      </c>
      <c r="AG9" s="666">
        <f t="shared" si="25"/>
        <v>1.6931907846708107</v>
      </c>
      <c r="AH9" s="667" t="s">
        <v>259</v>
      </c>
      <c r="AI9" s="193">
        <f t="shared" ref="AI9:AI37" si="53">IF(AND($CP$6,$DB$3),IF(CD9&lt;&gt;"",IF(NOT($CJ$5),CD9,IF($CZ$2,IF(CH9=1,CJ47,CJ84),"")),""),"")</f>
        <v>17.494168759064461</v>
      </c>
      <c r="AJ9" s="194"/>
      <c r="AK9" s="85">
        <f t="shared" si="1"/>
        <v>9.5000000000000005E-5</v>
      </c>
      <c r="AL9" s="249"/>
      <c r="AM9" s="249"/>
      <c r="AN9" s="194"/>
      <c r="AO9" s="170"/>
      <c r="AP9" s="170"/>
      <c r="AQ9" s="170"/>
      <c r="AR9" s="170"/>
      <c r="AS9" s="170"/>
      <c r="AT9" s="171"/>
      <c r="AU9" s="249"/>
      <c r="AV9" s="668">
        <f t="shared" si="2"/>
        <v>9.5000000000000005E-5</v>
      </c>
      <c r="AW9" s="669">
        <f t="shared" si="26"/>
        <v>0.69752903673764433</v>
      </c>
      <c r="AX9" s="670">
        <f t="shared" si="27"/>
        <v>0.73051287893668648</v>
      </c>
      <c r="AY9" s="671">
        <f t="shared" si="28"/>
        <v>0.71402095783716546</v>
      </c>
      <c r="BT9" s="402" t="s">
        <v>446</v>
      </c>
      <c r="BU9" s="113">
        <f>BU8-BU7</f>
        <v>2.0954194770080607</v>
      </c>
      <c r="BV9" s="106" t="s">
        <v>457</v>
      </c>
      <c r="BW9" s="113"/>
      <c r="BX9" s="403" t="s">
        <v>299</v>
      </c>
      <c r="BY9" s="94" t="str">
        <f t="shared" si="29"/>
        <v>zzzzzzzzzzzz</v>
      </c>
      <c r="BZ9" s="95" t="str">
        <f t="shared" si="30"/>
        <v>zzzzzzzzzzzz</v>
      </c>
      <c r="CA9" s="290">
        <f>IF(AND($CJ$5,AB9="",W9&lt;&gt;"",Y9&lt;&gt;"",Z9&lt;&gt;""),"zzzzzzzzzzzz",-999999999999)</f>
        <v>-999999999999</v>
      </c>
      <c r="CB9" s="404">
        <f t="shared" si="31"/>
        <v>-999</v>
      </c>
      <c r="CC9" s="405">
        <f t="shared" si="32"/>
        <v>-999</v>
      </c>
      <c r="CD9" s="428">
        <f t="shared" ref="CD9:CD37" si="54">IF(CV9&lt;&gt;"",100*CV9/$CV$38,"")</f>
        <v>10.934410526786058</v>
      </c>
      <c r="CE9" s="268" t="s">
        <v>267</v>
      </c>
      <c r="CF9" s="677">
        <f>COUNT(CW8:CW37)-1</f>
        <v>7</v>
      </c>
      <c r="CG9" s="95" t="b">
        <f t="shared" ref="CG9:CG37" si="55">AND(W9&lt;=8,W9&gt;=-8,Y9&gt;5,Z9&gt;5,OR(NOT($CJ$5),AB9&lt;&gt;""))</f>
        <v>1</v>
      </c>
      <c r="CH9" s="406">
        <f t="shared" ref="CH9:CH37" si="56">IF(AND(AB9&lt;&gt;"",CP9&lt;&gt;""),IF(AB9=$AB$8,1,2),"")</f>
        <v>1</v>
      </c>
      <c r="CI9" s="672">
        <f t="shared" si="33"/>
        <v>0.97634676037943635</v>
      </c>
      <c r="CJ9" s="672" t="b">
        <f t="shared" si="34"/>
        <v>1</v>
      </c>
      <c r="CK9" s="753" t="b">
        <v>1</v>
      </c>
      <c r="CL9" s="672" t="b">
        <f t="shared" si="35"/>
        <v>1</v>
      </c>
      <c r="CM9" s="672">
        <v>2</v>
      </c>
      <c r="CN9" s="674" t="b">
        <f t="shared" si="36"/>
        <v>1</v>
      </c>
      <c r="CO9" s="675">
        <f t="shared" ref="CO9:CO37" si="57">IF(AND(CG9,CN9),IF($CL$3,X9,W9),"")</f>
        <v>0.96267790573412426</v>
      </c>
      <c r="CP9" s="676">
        <f t="shared" ref="CP9:CP37" si="58">IF(AND(CG9,CN9),(X9-$CO$4)/SQRT((Y9+Z9)/(Y9*Z9)+W9^2/(2*(Y9+Z9))),"")</f>
        <v>2.6502453715068466</v>
      </c>
      <c r="CQ9" s="675" t="e">
        <f>IF(AND(NOT($CY$3),NOT($CJ$5),CN9),IF($CL$3,X9,W9),NA())</f>
        <v>#N/A</v>
      </c>
      <c r="CR9" s="676">
        <f t="shared" si="37"/>
        <v>2</v>
      </c>
      <c r="CS9" s="672">
        <f t="shared" si="38"/>
        <v>0.69752903673764433</v>
      </c>
      <c r="CT9" s="672">
        <f t="shared" si="39"/>
        <v>0.73051287893668648</v>
      </c>
      <c r="CU9" s="675">
        <f t="shared" ref="CU9:CU37" si="59">IF(AND(CG9,CN9),1/AC9,"")</f>
        <v>7.9506380221432282</v>
      </c>
      <c r="CV9" s="675">
        <f t="shared" si="40"/>
        <v>4.3566063458050284</v>
      </c>
      <c r="CW9" s="675">
        <f t="shared" ref="CW9:CW37" si="60">IF(AND(CG9,CN9),CO9*CU9,"")</f>
        <v>7.6539035604069428</v>
      </c>
      <c r="CX9" s="675">
        <f t="shared" ref="CX9:CX37" si="61">IF(AND(CG9,CN9),CU9*CU9,"")</f>
        <v>63.212644959149586</v>
      </c>
      <c r="CY9" s="675">
        <f t="shared" ref="CY9:CY37" si="62">IF(AND(CG9,CN9),CO9^2*CU9,"")</f>
        <v>7.3682438502235135</v>
      </c>
      <c r="CZ9" s="675">
        <f t="shared" si="41"/>
        <v>0.22953646040636627</v>
      </c>
      <c r="DA9" s="675">
        <f t="shared" si="42"/>
        <v>4.3566063458050284</v>
      </c>
      <c r="DB9" s="675">
        <f t="shared" si="43"/>
        <v>4.1940086730875805</v>
      </c>
      <c r="DC9" s="678" t="e">
        <f t="shared" si="44"/>
        <v>#N/A</v>
      </c>
      <c r="DD9" s="675" t="e">
        <f t="shared" si="45"/>
        <v>#N/A</v>
      </c>
      <c r="DE9" s="675" t="e">
        <f t="shared" si="46"/>
        <v>#N/A</v>
      </c>
      <c r="DF9" s="675" t="e">
        <f t="shared" si="47"/>
        <v>#N/A</v>
      </c>
      <c r="DG9" s="675" t="e">
        <f t="shared" si="48"/>
        <v>#N/A</v>
      </c>
      <c r="DH9" s="675" t="e">
        <f t="shared" si="49"/>
        <v>#N/A</v>
      </c>
      <c r="DI9" s="675" t="e">
        <f t="shared" si="50"/>
        <v>#N/A</v>
      </c>
      <c r="DJ9" s="675" t="e">
        <f t="shared" si="51"/>
        <v>#N/A</v>
      </c>
      <c r="DK9" s="675" t="e">
        <f t="shared" si="52"/>
        <v>#N/A</v>
      </c>
      <c r="DL9" s="677">
        <v>2</v>
      </c>
      <c r="DM9" s="281">
        <f t="shared" si="3"/>
        <v>11.806249999999999</v>
      </c>
      <c r="DN9" s="90">
        <f t="shared" si="4"/>
        <v>3.038196126200198</v>
      </c>
      <c r="DO9" s="294">
        <v>9</v>
      </c>
      <c r="DP9" s="287">
        <v>9.9224999999999994</v>
      </c>
      <c r="DQ9" s="290">
        <f t="shared" si="5"/>
        <v>4.167272954063745</v>
      </c>
      <c r="DR9" s="290">
        <f t="shared" si="6"/>
        <v>12.888090270337999</v>
      </c>
      <c r="DU9" s="268" t="s">
        <v>307</v>
      </c>
      <c r="DV9" s="90">
        <v>0.01</v>
      </c>
      <c r="DW9" s="207">
        <f>IF(AND($CZ$2,$CP$6,$DB$3),IF($CY$4,CR41,NA()),NA())</f>
        <v>0.53907125485966279</v>
      </c>
      <c r="DX9" s="79" t="e">
        <f>IF(AND(NOT(CJ5),$CP$6,$DB$3),IF($CY$4,CR41,NA()),NA())</f>
        <v>#N/A</v>
      </c>
      <c r="DY9" s="109">
        <f>IF($CY$4,CS41+DV3,NA())</f>
        <v>32.4</v>
      </c>
      <c r="DZ9" s="110" t="s">
        <v>307</v>
      </c>
      <c r="EA9" s="90">
        <v>0.01</v>
      </c>
      <c r="EB9" s="207">
        <f>IF(AND($CJ$5,$CZ$2,$CP$6),IF($CY$4,CN77,NA()),NA())</f>
        <v>0.81597270623773788</v>
      </c>
      <c r="EC9" s="109">
        <f>IF(IF($CJ$5,$CY$4),CR77+EC3,NA())</f>
        <v>33.4</v>
      </c>
      <c r="ED9" s="407"/>
      <c r="EE9" s="363" t="s">
        <v>307</v>
      </c>
      <c r="EF9" s="90">
        <v>0.01</v>
      </c>
      <c r="EG9" s="207">
        <f>IF(AND($CJ$5,$CZ$2,$CP$6),IF($CY$4,CN114,NA()),NA())</f>
        <v>4.826350887731963E-2</v>
      </c>
      <c r="EH9" s="109">
        <f>IF(IF($CJ$5,$CY$4),CR114+EH3,NA())</f>
        <v>34.4</v>
      </c>
      <c r="EI9" s="407"/>
      <c r="EJ9"/>
    </row>
    <row r="10" spans="1:140" ht="12" customHeight="1" x14ac:dyDescent="0.2">
      <c r="A10" s="50">
        <f t="shared" si="7"/>
        <v>2.1124024006895619</v>
      </c>
      <c r="B10" s="50">
        <f t="shared" si="8"/>
        <v>0.31244047052046192</v>
      </c>
      <c r="C10" s="50">
        <f t="shared" si="9"/>
        <v>8.9711480652802322E-2</v>
      </c>
      <c r="D10" s="50">
        <f t="shared" si="10"/>
        <v>4.1350933207263214</v>
      </c>
      <c r="E10" s="50">
        <f t="shared" si="11"/>
        <v>2.5000000208468154E-2</v>
      </c>
      <c r="F10" s="50">
        <f t="shared" si="12"/>
        <v>2.5000000170262368E-2</v>
      </c>
      <c r="G10" s="66">
        <v>8.4711588246839581E-2</v>
      </c>
      <c r="H10" s="66">
        <v>4.1144980072770894</v>
      </c>
      <c r="I10" s="50">
        <f t="shared" si="13"/>
        <v>2.0846815246278183E-4</v>
      </c>
      <c r="J10" s="50">
        <f t="shared" si="14"/>
        <v>1.702623667054759E-4</v>
      </c>
      <c r="K10" s="66">
        <v>0.66</v>
      </c>
      <c r="L10" s="66">
        <v>20</v>
      </c>
      <c r="M10" s="66">
        <v>21</v>
      </c>
      <c r="N10" s="649">
        <f t="shared" si="15"/>
        <v>0.66</v>
      </c>
      <c r="O10" s="650">
        <f t="shared" si="16"/>
        <v>20</v>
      </c>
      <c r="P10" s="650">
        <f t="shared" si="17"/>
        <v>21</v>
      </c>
      <c r="Q10" s="180"/>
      <c r="R10" s="662" t="str">
        <f t="shared" si="18"/>
        <v/>
      </c>
      <c r="S10" s="849" t="str">
        <f t="shared" si="19"/>
        <v/>
      </c>
      <c r="T10" s="182" t="str">
        <f t="shared" si="20"/>
        <v/>
      </c>
      <c r="U10" s="183">
        <v>3</v>
      </c>
      <c r="V10" s="186" t="s">
        <v>374</v>
      </c>
      <c r="W10" s="663">
        <v>0.66</v>
      </c>
      <c r="X10" s="653">
        <f t="shared" si="21"/>
        <v>0.64721199752902403</v>
      </c>
      <c r="Y10" s="186">
        <v>20</v>
      </c>
      <c r="Z10" s="186">
        <v>21</v>
      </c>
      <c r="AA10" s="664">
        <f t="shared" si="22"/>
        <v>39</v>
      </c>
      <c r="AB10" s="186" t="s">
        <v>380</v>
      </c>
      <c r="AC10" s="202">
        <f t="shared" si="23"/>
        <v>9.8981142817820472E-2</v>
      </c>
      <c r="AD10" s="665" t="s">
        <v>339</v>
      </c>
      <c r="AE10" s="666">
        <f t="shared" si="24"/>
        <v>2.6467328490378191E-2</v>
      </c>
      <c r="AF10" s="197" t="s">
        <v>261</v>
      </c>
      <c r="AG10" s="666">
        <f t="shared" si="25"/>
        <v>1.2855356933491568</v>
      </c>
      <c r="AH10" s="667" t="s">
        <v>259</v>
      </c>
      <c r="AI10" s="193">
        <f t="shared" si="53"/>
        <v>22.22996948783636</v>
      </c>
      <c r="AJ10" s="194"/>
      <c r="AK10" s="85">
        <f t="shared" si="1"/>
        <v>9.5000000000000005E-5</v>
      </c>
      <c r="AL10" s="249"/>
      <c r="AM10" s="249"/>
      <c r="AN10" s="194"/>
      <c r="AO10" s="170"/>
      <c r="AP10" s="170"/>
      <c r="AQ10" s="170"/>
      <c r="AR10" s="170"/>
      <c r="AS10" s="170"/>
      <c r="AT10" s="171"/>
      <c r="AU10" s="249"/>
      <c r="AV10" s="668">
        <f t="shared" si="2"/>
        <v>9.5000000000000005E-5</v>
      </c>
      <c r="AW10" s="669">
        <f t="shared" si="26"/>
        <v>0.62074466903864589</v>
      </c>
      <c r="AX10" s="670">
        <f t="shared" si="27"/>
        <v>0.63832369582013282</v>
      </c>
      <c r="AY10" s="671">
        <f t="shared" si="28"/>
        <v>0.62953418242938941</v>
      </c>
      <c r="BT10" s="402" t="s">
        <v>447</v>
      </c>
      <c r="BU10" s="113">
        <f>POWER(10,INT(LOG10(BU9)))</f>
        <v>1</v>
      </c>
      <c r="BV10" s="106">
        <f>IF(AND($CZ$2,$CJ$5),$Z$41,NA())</f>
        <v>4.826350887731963E-2</v>
      </c>
      <c r="BW10" s="113">
        <v>34</v>
      </c>
      <c r="BX10" s="408">
        <f>IF(BX12&lt;&gt;"",CN5*BX12,"")</f>
        <v>0.38632467468981352</v>
      </c>
      <c r="BY10" s="94" t="str">
        <f t="shared" si="29"/>
        <v>zzzzzzzzzzzz</v>
      </c>
      <c r="BZ10" s="95" t="str">
        <f t="shared" si="30"/>
        <v>zzzzzzzzzzzz</v>
      </c>
      <c r="CA10" s="290">
        <f t="shared" ref="CA10:CA37" si="63">IF(AND($CJ$5,AB10="",W10&lt;&gt;"",Y10&lt;&gt;"",Z10&lt;&gt;""),"zzzzzzzzzzzz",-999999999999)</f>
        <v>-999999999999</v>
      </c>
      <c r="CB10" s="404">
        <f t="shared" si="31"/>
        <v>-999</v>
      </c>
      <c r="CC10" s="405">
        <f t="shared" si="32"/>
        <v>-999</v>
      </c>
      <c r="CD10" s="428">
        <f t="shared" si="54"/>
        <v>12.379534879489164</v>
      </c>
      <c r="CE10" s="268" t="s">
        <v>326</v>
      </c>
      <c r="CF10" s="677">
        <f>IF(CU38=0,"",CY38-CW38^2/CU38)</f>
        <v>15.775891870905397</v>
      </c>
      <c r="CG10" s="95" t="b">
        <f t="shared" si="55"/>
        <v>1</v>
      </c>
      <c r="CH10" s="406">
        <f t="shared" si="56"/>
        <v>1</v>
      </c>
      <c r="CI10" s="50">
        <f t="shared" si="33"/>
        <v>0.98062423868033943</v>
      </c>
      <c r="CJ10" s="50" t="b">
        <f t="shared" si="34"/>
        <v>1</v>
      </c>
      <c r="CK10" s="753" t="b">
        <v>1</v>
      </c>
      <c r="CL10" s="50" t="b">
        <f t="shared" si="35"/>
        <v>1</v>
      </c>
      <c r="CM10" s="50">
        <v>3</v>
      </c>
      <c r="CN10" s="200" t="b">
        <f t="shared" si="36"/>
        <v>1</v>
      </c>
      <c r="CO10" s="90">
        <f t="shared" si="57"/>
        <v>0.64721199752902403</v>
      </c>
      <c r="CP10" s="201">
        <f t="shared" si="58"/>
        <v>2.0173114390425986</v>
      </c>
      <c r="CQ10" s="90" t="e">
        <f t="shared" ref="CQ10:CQ37" si="64">IF(AND(NOT($CY$3),NOT($CJ$5),CN10),IF($CL$3,X10,W10),NA())</f>
        <v>#N/A</v>
      </c>
      <c r="CR10" s="201">
        <f t="shared" si="37"/>
        <v>3</v>
      </c>
      <c r="CS10" s="50">
        <f t="shared" si="38"/>
        <v>0.62074466903864589</v>
      </c>
      <c r="CT10" s="50">
        <f t="shared" si="39"/>
        <v>0.63832369582013282</v>
      </c>
      <c r="CU10" s="90">
        <f t="shared" si="59"/>
        <v>10.102934473494086</v>
      </c>
      <c r="CV10" s="90">
        <f t="shared" si="40"/>
        <v>4.932388452214953</v>
      </c>
      <c r="CW10" s="90">
        <f t="shared" si="60"/>
        <v>6.5387404014949464</v>
      </c>
      <c r="CX10" s="90">
        <f t="shared" si="61"/>
        <v>102.06928497571522</v>
      </c>
      <c r="CY10" s="90">
        <f t="shared" si="62"/>
        <v>4.2319512365752763</v>
      </c>
      <c r="CZ10" s="90">
        <f t="shared" si="41"/>
        <v>0.20274153377983378</v>
      </c>
      <c r="DA10" s="90">
        <f t="shared" si="42"/>
        <v>4.932388452214953</v>
      </c>
      <c r="DB10" s="90">
        <f t="shared" si="43"/>
        <v>3.1923009827471307</v>
      </c>
      <c r="DC10" s="106" t="e">
        <f t="shared" si="44"/>
        <v>#N/A</v>
      </c>
      <c r="DD10" s="90" t="e">
        <f t="shared" si="45"/>
        <v>#N/A</v>
      </c>
      <c r="DE10" s="90" t="e">
        <f t="shared" si="46"/>
        <v>#N/A</v>
      </c>
      <c r="DF10" s="90" t="e">
        <f t="shared" si="47"/>
        <v>#N/A</v>
      </c>
      <c r="DG10" s="90" t="e">
        <f t="shared" si="48"/>
        <v>#N/A</v>
      </c>
      <c r="DH10" s="90" t="e">
        <f t="shared" si="49"/>
        <v>#N/A</v>
      </c>
      <c r="DI10" s="90" t="e">
        <f t="shared" si="50"/>
        <v>#N/A</v>
      </c>
      <c r="DJ10" s="90" t="e">
        <f t="shared" si="51"/>
        <v>#N/A</v>
      </c>
      <c r="DK10" s="90" t="e">
        <f t="shared" si="52"/>
        <v>#N/A</v>
      </c>
      <c r="DL10" s="113">
        <v>3</v>
      </c>
      <c r="DM10" s="281">
        <f t="shared" si="3"/>
        <v>15.876249999999999</v>
      </c>
      <c r="DN10" s="90">
        <f t="shared" si="4"/>
        <v>4.0855615668468728</v>
      </c>
      <c r="DO10" s="295">
        <v>10</v>
      </c>
      <c r="DP10" s="289">
        <v>13.69</v>
      </c>
      <c r="DQ10" s="290">
        <f t="shared" si="5"/>
        <v>5.6038680560681451</v>
      </c>
      <c r="DR10" s="290">
        <f t="shared" si="6"/>
        <v>17.331035947439169</v>
      </c>
      <c r="DS10" s="409" t="s">
        <v>305</v>
      </c>
      <c r="DT10" s="80" t="s">
        <v>432</v>
      </c>
      <c r="DU10" s="80" t="s">
        <v>427</v>
      </c>
      <c r="DV10" s="79" t="s">
        <v>428</v>
      </c>
      <c r="DW10" s="80" t="s">
        <v>264</v>
      </c>
      <c r="DX10" s="80" t="s">
        <v>263</v>
      </c>
      <c r="DY10" s="410" t="s">
        <v>306</v>
      </c>
      <c r="DZ10" s="409" t="s">
        <v>432</v>
      </c>
      <c r="EA10" s="80" t="s">
        <v>430</v>
      </c>
      <c r="EB10" s="80" t="s">
        <v>264</v>
      </c>
      <c r="EC10" s="80" t="s">
        <v>263</v>
      </c>
      <c r="ED10" s="410" t="s">
        <v>306</v>
      </c>
      <c r="EE10" s="409" t="s">
        <v>432</v>
      </c>
      <c r="EF10" s="80" t="s">
        <v>436</v>
      </c>
      <c r="EG10" s="80" t="s">
        <v>264</v>
      </c>
      <c r="EH10" s="80" t="s">
        <v>263</v>
      </c>
      <c r="EI10" s="410" t="s">
        <v>306</v>
      </c>
      <c r="EJ10"/>
    </row>
    <row r="11" spans="1:140" ht="12" customHeight="1" x14ac:dyDescent="0.2">
      <c r="A11" s="50">
        <f t="shared" si="7"/>
        <v>2.0989652623170763</v>
      </c>
      <c r="B11" s="50">
        <f t="shared" si="8"/>
        <v>0.37161167647860327</v>
      </c>
      <c r="C11" s="50">
        <f t="shared" si="9"/>
        <v>4.7134745836790337E-2</v>
      </c>
      <c r="D11" s="50">
        <f t="shared" si="10"/>
        <v>4.1507957787973622</v>
      </c>
      <c r="E11" s="50">
        <f t="shared" si="11"/>
        <v>2.5000000211027995E-2</v>
      </c>
      <c r="F11" s="50">
        <f t="shared" si="12"/>
        <v>2.5000000032606894E-2</v>
      </c>
      <c r="G11" s="66">
        <v>4.3402698429905989E-2</v>
      </c>
      <c r="H11" s="66">
        <v>4.1186505545543088</v>
      </c>
      <c r="I11" s="50">
        <f t="shared" si="13"/>
        <v>2.1102799369066005E-4</v>
      </c>
      <c r="J11" s="50">
        <f t="shared" si="14"/>
        <v>3.2606892880204796E-5</v>
      </c>
      <c r="K11" s="66">
        <v>0.78</v>
      </c>
      <c r="L11" s="66">
        <v>15</v>
      </c>
      <c r="M11" s="66">
        <v>14</v>
      </c>
      <c r="N11" s="649">
        <f t="shared" si="15"/>
        <v>0.78</v>
      </c>
      <c r="O11" s="650">
        <f t="shared" si="16"/>
        <v>15</v>
      </c>
      <c r="P11" s="650">
        <f t="shared" si="17"/>
        <v>14</v>
      </c>
      <c r="Q11" s="180"/>
      <c r="R11" s="662" t="str">
        <f t="shared" si="18"/>
        <v/>
      </c>
      <c r="S11" s="849" t="str">
        <f t="shared" si="19"/>
        <v/>
      </c>
      <c r="T11" s="182" t="str">
        <f t="shared" si="20"/>
        <v/>
      </c>
      <c r="U11" s="183">
        <v>4</v>
      </c>
      <c r="V11" s="186" t="s">
        <v>375</v>
      </c>
      <c r="W11" s="663">
        <v>0.78</v>
      </c>
      <c r="X11" s="653">
        <f t="shared" si="21"/>
        <v>0.75809653888870754</v>
      </c>
      <c r="Y11" s="186">
        <v>15</v>
      </c>
      <c r="Z11" s="186">
        <v>14</v>
      </c>
      <c r="AA11" s="664">
        <f t="shared" si="22"/>
        <v>27</v>
      </c>
      <c r="AB11" s="186" t="s">
        <v>380</v>
      </c>
      <c r="AC11" s="202">
        <f t="shared" si="23"/>
        <v>0.14035712991198229</v>
      </c>
      <c r="AD11" s="665" t="s">
        <v>339</v>
      </c>
      <c r="AE11" s="666">
        <f t="shared" si="24"/>
        <v>1.6128949527232605E-2</v>
      </c>
      <c r="AF11" s="197" t="s">
        <v>261</v>
      </c>
      <c r="AG11" s="666">
        <f t="shared" si="25"/>
        <v>1.5305386374074557</v>
      </c>
      <c r="AH11" s="667" t="s">
        <v>259</v>
      </c>
      <c r="AI11" s="193">
        <f t="shared" si="53"/>
        <v>15.676779555774306</v>
      </c>
      <c r="AJ11" s="194"/>
      <c r="AK11" s="85">
        <f t="shared" si="1"/>
        <v>9.5000000000000005E-5</v>
      </c>
      <c r="AL11" s="249"/>
      <c r="AM11" s="249"/>
      <c r="AN11" s="194"/>
      <c r="AO11" s="170"/>
      <c r="AP11" s="170"/>
      <c r="AQ11" s="170"/>
      <c r="AR11" s="170"/>
      <c r="AS11" s="170"/>
      <c r="AT11" s="171"/>
      <c r="AU11" s="249"/>
      <c r="AV11" s="668">
        <f t="shared" si="2"/>
        <v>9.5000000000000005E-5</v>
      </c>
      <c r="AW11" s="669">
        <f t="shared" si="26"/>
        <v>0.74196758936147489</v>
      </c>
      <c r="AX11" s="670">
        <f t="shared" si="27"/>
        <v>0.77244209851874812</v>
      </c>
      <c r="AY11" s="671">
        <f t="shared" si="28"/>
        <v>0.75720484394011156</v>
      </c>
      <c r="BT11" s="402" t="s">
        <v>448</v>
      </c>
      <c r="BU11" s="113">
        <f>ROUNDUP(BU9/BU10,0)</f>
        <v>3</v>
      </c>
      <c r="BV11" s="106">
        <f>IF(AND($CZ$2,$CJ$5),$Z$41,NA())</f>
        <v>4.826350887731963E-2</v>
      </c>
      <c r="BW11" s="113">
        <v>39</v>
      </c>
      <c r="BX11" s="403" t="s">
        <v>464</v>
      </c>
      <c r="BY11" s="94" t="str">
        <f t="shared" si="29"/>
        <v>zzzzzzzzzzzz</v>
      </c>
      <c r="BZ11" s="95" t="str">
        <f t="shared" si="30"/>
        <v>zzzzzzzzzzzz</v>
      </c>
      <c r="CA11" s="290">
        <f t="shared" si="63"/>
        <v>-999999999999</v>
      </c>
      <c r="CB11" s="404">
        <f t="shared" si="31"/>
        <v>-999</v>
      </c>
      <c r="CC11" s="405">
        <f t="shared" si="32"/>
        <v>-999</v>
      </c>
      <c r="CD11" s="428">
        <f t="shared" si="54"/>
        <v>10.28130172698285</v>
      </c>
      <c r="CE11" s="268" t="s">
        <v>352</v>
      </c>
      <c r="CF11" s="677">
        <f>CHIDIST(CF10,CF9)</f>
        <v>2.7244597170702257E-2</v>
      </c>
      <c r="CG11" s="95" t="b">
        <f t="shared" si="55"/>
        <v>1</v>
      </c>
      <c r="CH11" s="406">
        <f t="shared" si="56"/>
        <v>1</v>
      </c>
      <c r="CI11" s="50">
        <f t="shared" si="33"/>
        <v>0.97191863960090707</v>
      </c>
      <c r="CJ11" s="50" t="b">
        <f t="shared" si="34"/>
        <v>1</v>
      </c>
      <c r="CK11" s="753" t="b">
        <v>1</v>
      </c>
      <c r="CL11" s="50" t="b">
        <f t="shared" si="35"/>
        <v>1</v>
      </c>
      <c r="CM11" s="50">
        <v>4</v>
      </c>
      <c r="CN11" s="200" t="b">
        <f t="shared" si="36"/>
        <v>1</v>
      </c>
      <c r="CO11" s="90">
        <f t="shared" si="57"/>
        <v>0.75809653888870754</v>
      </c>
      <c r="CP11" s="201">
        <f t="shared" si="58"/>
        <v>1.9666957783499774</v>
      </c>
      <c r="CQ11" s="90" t="e">
        <f t="shared" si="64"/>
        <v>#N/A</v>
      </c>
      <c r="CR11" s="201">
        <f t="shared" si="37"/>
        <v>4</v>
      </c>
      <c r="CS11" s="50">
        <f t="shared" si="38"/>
        <v>0.74196758936147489</v>
      </c>
      <c r="CT11" s="50">
        <f t="shared" si="39"/>
        <v>0.77244209851874812</v>
      </c>
      <c r="CU11" s="90">
        <f t="shared" si="59"/>
        <v>7.1246825909527951</v>
      </c>
      <c r="CV11" s="90">
        <f t="shared" si="40"/>
        <v>4.0963876595984399</v>
      </c>
      <c r="CW11" s="90">
        <f t="shared" si="60"/>
        <v>5.401197212881943</v>
      </c>
      <c r="CX11" s="90">
        <f t="shared" si="61"/>
        <v>50.761102021825835</v>
      </c>
      <c r="CY11" s="90">
        <f t="shared" si="62"/>
        <v>4.0946289129411353</v>
      </c>
      <c r="CZ11" s="90">
        <f t="shared" si="41"/>
        <v>0.24411752087399557</v>
      </c>
      <c r="DA11" s="90">
        <f t="shared" si="42"/>
        <v>4.0963876595984399</v>
      </c>
      <c r="DB11" s="90">
        <f t="shared" si="43"/>
        <v>3.1054573066879905</v>
      </c>
      <c r="DC11" s="106" t="e">
        <f t="shared" si="44"/>
        <v>#N/A</v>
      </c>
      <c r="DD11" s="90" t="e">
        <f t="shared" si="45"/>
        <v>#N/A</v>
      </c>
      <c r="DE11" s="90" t="e">
        <f t="shared" si="46"/>
        <v>#N/A</v>
      </c>
      <c r="DF11" s="90" t="e">
        <f t="shared" si="47"/>
        <v>#N/A</v>
      </c>
      <c r="DG11" s="90" t="e">
        <f t="shared" si="48"/>
        <v>#N/A</v>
      </c>
      <c r="DH11" s="90" t="e">
        <f t="shared" si="49"/>
        <v>#N/A</v>
      </c>
      <c r="DI11" s="90" t="e">
        <f t="shared" si="50"/>
        <v>#N/A</v>
      </c>
      <c r="DJ11" s="90" t="e">
        <f t="shared" si="51"/>
        <v>#N/A</v>
      </c>
      <c r="DK11" s="90" t="e">
        <f t="shared" si="52"/>
        <v>#N/A</v>
      </c>
      <c r="DL11" s="113">
        <v>4</v>
      </c>
      <c r="DM11" s="281">
        <f t="shared" si="3"/>
        <v>20.55125</v>
      </c>
      <c r="DN11" s="90">
        <f t="shared" si="4"/>
        <v>5.2886164648869727</v>
      </c>
      <c r="DO11" s="296">
        <v>12</v>
      </c>
      <c r="DP11" s="283">
        <v>18.0625</v>
      </c>
      <c r="DQ11" s="290">
        <f t="shared" si="5"/>
        <v>7.2540110786407661</v>
      </c>
      <c r="DR11" s="290">
        <f t="shared" si="6"/>
        <v>22.434419495460784</v>
      </c>
      <c r="DS11" s="307">
        <v>0</v>
      </c>
      <c r="DT11" s="632">
        <f>1-ABS($CR$41-DW11)/$CT$40</f>
        <v>0</v>
      </c>
      <c r="DU11" s="90">
        <f>IF(AND($CJ$5,$CY$4,$CZ$2),DV5,NA())</f>
        <v>0.22856409506001468</v>
      </c>
      <c r="DV11" s="90" t="e">
        <f>IF(AND(NOT($CJ$5),$CY$4),DV5,NA())</f>
        <v>#N/A</v>
      </c>
      <c r="DW11" s="90">
        <f>IF($CY$4,DV5,NA())</f>
        <v>0.22856409506001468</v>
      </c>
      <c r="DX11" s="90">
        <f>IF($CY$4,CS41,NA())</f>
        <v>32</v>
      </c>
      <c r="DY11" s="308">
        <f t="shared" ref="DY11:DY74" si="65">MAX($DV$3*DT11-$DV$9,0)</f>
        <v>0</v>
      </c>
      <c r="DZ11" s="307">
        <f>1-ABS($CN$77-EB11)/$CS$77</f>
        <v>0</v>
      </c>
      <c r="EA11" s="90">
        <f>IF(AND($CJ$5,$CY$4),EA5,NA())</f>
        <v>0.52524009014222506</v>
      </c>
      <c r="EB11" s="90">
        <f>IF($CY$4,EA5,NA())</f>
        <v>0.52524009014222506</v>
      </c>
      <c r="EC11" s="90">
        <f>IF(IF($CJ$5,$CY$4),CR77,NA())</f>
        <v>33</v>
      </c>
      <c r="ED11" s="308">
        <f>MAX($EC$3*DZ11-$EA$9,0)</f>
        <v>0</v>
      </c>
      <c r="EE11" s="307">
        <f>1-ABS($CN$114-EG11)/$CS$114</f>
        <v>0</v>
      </c>
      <c r="EF11" s="90">
        <f>IF(AND($CJ$5,$CY$4),EF5,NA())</f>
        <v>-0.2061403044047328</v>
      </c>
      <c r="EG11" s="90">
        <f>IF($CY$4,EF5,NA())</f>
        <v>-0.2061403044047328</v>
      </c>
      <c r="EH11" s="90">
        <f>IF(IF($CJ$5,$CY$4),CR114,NA())</f>
        <v>34</v>
      </c>
      <c r="EI11" s="308">
        <f>MAX($EH$3*EE11-$EF$9,0)</f>
        <v>0</v>
      </c>
      <c r="EJ11"/>
    </row>
    <row r="12" spans="1:140" ht="12" customHeight="1" x14ac:dyDescent="0.2">
      <c r="A12" s="50">
        <f t="shared" si="7"/>
        <v>2.5901905335322342</v>
      </c>
      <c r="B12" s="50">
        <f t="shared" si="8"/>
        <v>0.3779644730092272</v>
      </c>
      <c r="C12" s="50">
        <f t="shared" si="9"/>
        <v>0.53466109488936109</v>
      </c>
      <c r="D12" s="50">
        <f t="shared" si="10"/>
        <v>4.6457199721751072</v>
      </c>
      <c r="E12" s="50">
        <f t="shared" si="11"/>
        <v>2.5000000210949058E-2</v>
      </c>
      <c r="F12" s="50">
        <f t="shared" si="12"/>
        <v>2.4999999947676543E-2</v>
      </c>
      <c r="G12" s="66">
        <v>0.48673689991629382</v>
      </c>
      <c r="H12" s="66">
        <v>4.649533055855926</v>
      </c>
      <c r="I12" s="50">
        <f t="shared" si="13"/>
        <v>2.1094905683360921E-4</v>
      </c>
      <c r="J12" s="50">
        <f t="shared" si="14"/>
        <v>-5.2323458066272366E-5</v>
      </c>
      <c r="K12" s="66">
        <v>0.97899999999999998</v>
      </c>
      <c r="L12" s="66">
        <v>14</v>
      </c>
      <c r="M12" s="66">
        <v>14</v>
      </c>
      <c r="N12" s="649">
        <f t="shared" si="15"/>
        <v>0.97899999999999998</v>
      </c>
      <c r="O12" s="650">
        <f t="shared" si="16"/>
        <v>14</v>
      </c>
      <c r="P12" s="650">
        <f t="shared" si="17"/>
        <v>14</v>
      </c>
      <c r="Q12" s="180"/>
      <c r="R12" s="662" t="str">
        <f t="shared" si="18"/>
        <v/>
      </c>
      <c r="S12" s="849" t="str">
        <f t="shared" si="19"/>
        <v/>
      </c>
      <c r="T12" s="182" t="str">
        <f t="shared" si="20"/>
        <v/>
      </c>
      <c r="U12" s="183">
        <v>5</v>
      </c>
      <c r="V12" s="186" t="s">
        <v>376</v>
      </c>
      <c r="W12" s="663">
        <v>0.97899999999999998</v>
      </c>
      <c r="X12" s="653">
        <f t="shared" si="21"/>
        <v>0.95043896616930468</v>
      </c>
      <c r="Y12" s="186">
        <v>14</v>
      </c>
      <c r="Z12" s="186">
        <v>14</v>
      </c>
      <c r="AA12" s="664">
        <f t="shared" si="22"/>
        <v>26</v>
      </c>
      <c r="AB12" s="186" t="s">
        <v>380</v>
      </c>
      <c r="AC12" s="202">
        <f t="shared" si="23"/>
        <v>0.15077435999336003</v>
      </c>
      <c r="AD12" s="665" t="s">
        <v>339</v>
      </c>
      <c r="AE12" s="666">
        <f t="shared" si="24"/>
        <v>0.18396925587100696</v>
      </c>
      <c r="AF12" s="197" t="s">
        <v>261</v>
      </c>
      <c r="AG12" s="666">
        <f t="shared" si="25"/>
        <v>1.7573583111955668</v>
      </c>
      <c r="AH12" s="667" t="s">
        <v>259</v>
      </c>
      <c r="AI12" s="193">
        <f t="shared" si="53"/>
        <v>14.593646988839637</v>
      </c>
      <c r="AJ12" s="194"/>
      <c r="AK12" s="85">
        <f t="shared" si="1"/>
        <v>9.5000000000000005E-5</v>
      </c>
      <c r="AL12" s="249"/>
      <c r="AM12" s="249"/>
      <c r="AN12" s="194"/>
      <c r="AO12" s="170"/>
      <c r="AP12" s="170"/>
      <c r="AQ12" s="170"/>
      <c r="AR12" s="170"/>
      <c r="AS12" s="170"/>
      <c r="AT12" s="171"/>
      <c r="AU12" s="249"/>
      <c r="AV12" s="668">
        <f t="shared" si="2"/>
        <v>9.5000000000000005E-5</v>
      </c>
      <c r="AW12" s="669">
        <f t="shared" si="26"/>
        <v>0.76646971029829769</v>
      </c>
      <c r="AX12" s="670">
        <f t="shared" si="27"/>
        <v>0.80691934502626217</v>
      </c>
      <c r="AY12" s="671">
        <f t="shared" si="28"/>
        <v>0.78669452766227987</v>
      </c>
      <c r="BT12" s="402" t="s">
        <v>449</v>
      </c>
      <c r="BU12" s="113">
        <f>CHOOSE(BU11,10,5,5,2,2,2,2,1,1,1)</f>
        <v>5</v>
      </c>
      <c r="BV12" s="106">
        <f>IF(AND($CZ$2,$CJ$5),$Z$40,NA())</f>
        <v>0.81597270623773788</v>
      </c>
      <c r="BW12" s="113">
        <v>33</v>
      </c>
      <c r="BX12" s="124">
        <f>IF(AND(AC40&lt;&gt;"",AC41&lt;&gt;""),SQRT(AC40+AC41),"")</f>
        <v>0.19710804776878216</v>
      </c>
      <c r="BY12" s="94" t="str">
        <f t="shared" si="29"/>
        <v>zzzzzzzzzzzz</v>
      </c>
      <c r="BZ12" s="95" t="str">
        <f t="shared" si="30"/>
        <v>zzzzzzzzzzzz</v>
      </c>
      <c r="CA12" s="290">
        <f t="shared" si="63"/>
        <v>-999999999999</v>
      </c>
      <c r="CB12" s="404">
        <f t="shared" si="31"/>
        <v>-999</v>
      </c>
      <c r="CC12" s="405">
        <f t="shared" si="32"/>
        <v>-999</v>
      </c>
      <c r="CD12" s="428">
        <f t="shared" si="54"/>
        <v>9.8605234826604296</v>
      </c>
      <c r="CE12" s="268" t="s">
        <v>251</v>
      </c>
      <c r="CF12" s="734">
        <f>CU38-CX38/CU38</f>
        <v>84.578438742759303</v>
      </c>
      <c r="CG12" s="95" t="b">
        <f t="shared" si="55"/>
        <v>1</v>
      </c>
      <c r="CH12" s="406">
        <f t="shared" si="56"/>
        <v>1</v>
      </c>
      <c r="CI12" s="50">
        <f t="shared" si="33"/>
        <v>0.97082631886547976</v>
      </c>
      <c r="CJ12" s="50" t="b">
        <f t="shared" si="34"/>
        <v>1</v>
      </c>
      <c r="CK12" s="753" t="b">
        <v>1</v>
      </c>
      <c r="CL12" s="50" t="b">
        <f t="shared" si="35"/>
        <v>1</v>
      </c>
      <c r="CM12" s="50">
        <v>5</v>
      </c>
      <c r="CN12" s="200" t="b">
        <f t="shared" si="36"/>
        <v>1</v>
      </c>
      <c r="CO12" s="90">
        <f t="shared" si="57"/>
        <v>0.95043896616930468</v>
      </c>
      <c r="CP12" s="201">
        <f t="shared" si="58"/>
        <v>2.3763041575741646</v>
      </c>
      <c r="CQ12" s="90" t="e">
        <f t="shared" si="64"/>
        <v>#N/A</v>
      </c>
      <c r="CR12" s="201">
        <f t="shared" si="37"/>
        <v>5</v>
      </c>
      <c r="CS12" s="50">
        <f t="shared" si="38"/>
        <v>0.76646971029829769</v>
      </c>
      <c r="CT12" s="50">
        <f t="shared" si="39"/>
        <v>0.80691934502626217</v>
      </c>
      <c r="CU12" s="90">
        <f t="shared" si="59"/>
        <v>6.6324274236285206</v>
      </c>
      <c r="CV12" s="90">
        <f t="shared" si="40"/>
        <v>3.9287366312324346</v>
      </c>
      <c r="CW12" s="90">
        <f t="shared" si="60"/>
        <v>6.3037174637064357</v>
      </c>
      <c r="CX12" s="90">
        <f t="shared" si="61"/>
        <v>43.989093529699652</v>
      </c>
      <c r="CY12" s="90">
        <f t="shared" si="62"/>
        <v>5.9912987092285368</v>
      </c>
      <c r="CZ12" s="90">
        <f t="shared" si="41"/>
        <v>0.25453475095537331</v>
      </c>
      <c r="DA12" s="90">
        <f t="shared" si="42"/>
        <v>3.9287366312324346</v>
      </c>
      <c r="DB12" s="90">
        <f t="shared" si="43"/>
        <v>3.7340243821400319</v>
      </c>
      <c r="DC12" s="106" t="e">
        <f t="shared" si="44"/>
        <v>#N/A</v>
      </c>
      <c r="DD12" s="90" t="e">
        <f t="shared" si="45"/>
        <v>#N/A</v>
      </c>
      <c r="DE12" s="90" t="e">
        <f t="shared" si="46"/>
        <v>#N/A</v>
      </c>
      <c r="DF12" s="90" t="e">
        <f t="shared" si="47"/>
        <v>#N/A</v>
      </c>
      <c r="DG12" s="90" t="e">
        <f t="shared" si="48"/>
        <v>#N/A</v>
      </c>
      <c r="DH12" s="90" t="e">
        <f t="shared" si="49"/>
        <v>#N/A</v>
      </c>
      <c r="DI12" s="90" t="e">
        <f t="shared" si="50"/>
        <v>#N/A</v>
      </c>
      <c r="DJ12" s="90" t="e">
        <f t="shared" si="51"/>
        <v>#N/A</v>
      </c>
      <c r="DK12" s="90" t="e">
        <f t="shared" si="52"/>
        <v>#N/A</v>
      </c>
      <c r="DL12" s="113">
        <v>5</v>
      </c>
      <c r="DM12" s="281">
        <f t="shared" si="3"/>
        <v>25.831249999999997</v>
      </c>
      <c r="DN12" s="90">
        <f t="shared" si="4"/>
        <v>6.6473608203204968</v>
      </c>
      <c r="DO12" s="297">
        <v>13</v>
      </c>
      <c r="DP12" s="287">
        <v>23.04</v>
      </c>
      <c r="DQ12" s="290">
        <f t="shared" si="5"/>
        <v>9.1177020217816089</v>
      </c>
      <c r="DR12" s="290">
        <f t="shared" si="6"/>
        <v>28.198240914402835</v>
      </c>
      <c r="DS12" s="307">
        <v>1</v>
      </c>
      <c r="DT12" s="50">
        <f t="shared" ref="DT12:DT75" si="66">1-ABS($CR$41-DW12)/$CT$40</f>
        <v>1.0000000000000009E-2</v>
      </c>
      <c r="DU12" s="90">
        <f>IF(AND($CJ$5,$CY$4,$CZ$2),DW11+$DV$8,NA())</f>
        <v>0.23166916665801116</v>
      </c>
      <c r="DV12" s="90" t="e">
        <f>IF(AND(NOT($CJ$5),$CY$4),DW11+$DV$8,NA())</f>
        <v>#N/A</v>
      </c>
      <c r="DW12" s="90">
        <f>IF($CY$4,DW11+$DV$8,NA())</f>
        <v>0.23166916665801116</v>
      </c>
      <c r="DX12" s="90">
        <f t="shared" ref="DX12:DX75" si="67">DX11</f>
        <v>32</v>
      </c>
      <c r="DY12" s="308">
        <f t="shared" si="65"/>
        <v>0</v>
      </c>
      <c r="DZ12" s="307">
        <f t="shared" ref="DZ12:DZ75" si="68">1-ABS($CN$77-EB12)/$CS$77</f>
        <v>1.0000000000000009E-2</v>
      </c>
      <c r="EA12" s="90">
        <f>IF(AND($CJ$5,$CY$4),EB11+$EA$8,NA())</f>
        <v>0.52814741630318018</v>
      </c>
      <c r="EB12" s="90">
        <f>IF($CY$4,EB11+$EA$8,NA())</f>
        <v>0.52814741630318018</v>
      </c>
      <c r="EC12" s="90">
        <f>EC11</f>
        <v>33</v>
      </c>
      <c r="ED12" s="308">
        <f>MAX($EC$3*DZ12-$EA$9,0)</f>
        <v>0</v>
      </c>
      <c r="EE12" s="307">
        <f t="shared" ref="EE12:EE75" si="69">1-ABS($CN$114-EG12)/$CS$114</f>
        <v>9.9999999999998979E-3</v>
      </c>
      <c r="EF12" s="90">
        <f>IF(AND($CJ$5,$CY$4),EG11+$EF$8,NA())</f>
        <v>-0.20359626627191227</v>
      </c>
      <c r="EG12" s="90">
        <f>IF($CY$4,EG11+$EF$8,NA())</f>
        <v>-0.20359626627191227</v>
      </c>
      <c r="EH12" s="90">
        <f t="shared" ref="EH12:EH75" si="70">EH11</f>
        <v>34</v>
      </c>
      <c r="EI12" s="308">
        <f t="shared" ref="EI12:EI75" si="71">MAX($EH$3*EE12-$EF$9,0)</f>
        <v>0</v>
      </c>
      <c r="EJ12"/>
    </row>
    <row r="13" spans="1:140" ht="12" customHeight="1" x14ac:dyDescent="0.2">
      <c r="A13" s="50">
        <f t="shared" si="7"/>
        <v>2.2753461275155482</v>
      </c>
      <c r="B13" s="50">
        <f t="shared" si="8"/>
        <v>0.3779644730092272</v>
      </c>
      <c r="C13" s="50">
        <f t="shared" si="9"/>
        <v>0.21981668887267514</v>
      </c>
      <c r="D13" s="50">
        <f t="shared" si="10"/>
        <v>4.3308755661584213</v>
      </c>
      <c r="E13" s="50">
        <f t="shared" si="11"/>
        <v>2.5000000274442491E-2</v>
      </c>
      <c r="F13" s="50">
        <f t="shared" si="12"/>
        <v>2.5000000198047444E-2</v>
      </c>
      <c r="G13" s="66">
        <v>0.20116912631807318</v>
      </c>
      <c r="H13" s="66">
        <v>4.309778413845109</v>
      </c>
      <c r="I13" s="50">
        <f t="shared" si="13"/>
        <v>2.7444248956731698E-4</v>
      </c>
      <c r="J13" s="50">
        <f t="shared" si="14"/>
        <v>1.9804744302853727E-4</v>
      </c>
      <c r="K13" s="66">
        <v>0.86</v>
      </c>
      <c r="L13" s="66">
        <v>14</v>
      </c>
      <c r="M13" s="66">
        <v>14</v>
      </c>
      <c r="N13" s="649">
        <f t="shared" si="15"/>
        <v>0.86</v>
      </c>
      <c r="O13" s="650">
        <f t="shared" si="16"/>
        <v>14</v>
      </c>
      <c r="P13" s="650">
        <f t="shared" si="17"/>
        <v>14</v>
      </c>
      <c r="Q13" s="180"/>
      <c r="R13" s="662" t="str">
        <f t="shared" si="18"/>
        <v/>
      </c>
      <c r="S13" s="849" t="str">
        <f t="shared" si="19"/>
        <v/>
      </c>
      <c r="T13" s="182" t="str">
        <f t="shared" si="20"/>
        <v/>
      </c>
      <c r="U13" s="183">
        <v>6</v>
      </c>
      <c r="V13" s="186" t="s">
        <v>377</v>
      </c>
      <c r="W13" s="663">
        <v>0.86</v>
      </c>
      <c r="X13" s="653">
        <f t="shared" si="21"/>
        <v>0.83491063422431255</v>
      </c>
      <c r="Y13" s="186">
        <v>14</v>
      </c>
      <c r="Z13" s="186">
        <v>14</v>
      </c>
      <c r="AA13" s="664">
        <f t="shared" si="22"/>
        <v>26</v>
      </c>
      <c r="AB13" s="186" t="s">
        <v>380</v>
      </c>
      <c r="AC13" s="202">
        <f t="shared" si="23"/>
        <v>0.14709117318492909</v>
      </c>
      <c r="AD13" s="665" t="s">
        <v>339</v>
      </c>
      <c r="AE13" s="666">
        <f t="shared" si="24"/>
        <v>7.6034782814537183E-2</v>
      </c>
      <c r="AF13" s="197" t="s">
        <v>261</v>
      </c>
      <c r="AG13" s="666">
        <f t="shared" si="25"/>
        <v>1.6289431269755097</v>
      </c>
      <c r="AH13" s="667" t="s">
        <v>259</v>
      </c>
      <c r="AI13" s="193">
        <f t="shared" si="53"/>
        <v>14.95907427391958</v>
      </c>
      <c r="AJ13" s="194"/>
      <c r="AK13" s="85">
        <f t="shared" si="1"/>
        <v>9.5000000000000005E-5</v>
      </c>
      <c r="AL13" s="249"/>
      <c r="AM13" s="249"/>
      <c r="AN13" s="194"/>
      <c r="AO13" s="170"/>
      <c r="AP13" s="170"/>
      <c r="AQ13" s="170"/>
      <c r="AR13" s="170"/>
      <c r="AS13" s="170"/>
      <c r="AT13" s="171"/>
      <c r="AU13" s="249"/>
      <c r="AV13" s="668">
        <f t="shared" si="2"/>
        <v>9.5000000000000005E-5</v>
      </c>
      <c r="AW13" s="669">
        <f t="shared" si="26"/>
        <v>0.75887585140977531</v>
      </c>
      <c r="AX13" s="670">
        <f t="shared" si="27"/>
        <v>0.79403249275119714</v>
      </c>
      <c r="AY13" s="671">
        <f t="shared" si="28"/>
        <v>0.77645417208048628</v>
      </c>
      <c r="BT13" s="412" t="s">
        <v>450</v>
      </c>
      <c r="BU13" s="109">
        <f>BU10/BU12</f>
        <v>0.2</v>
      </c>
      <c r="BV13" s="207">
        <f>IF(AND($CZ$2,$CJ$5),$Z$40,NA())</f>
        <v>0.81597270623773788</v>
      </c>
      <c r="BW13" s="109">
        <v>39</v>
      </c>
      <c r="BX13" s="109"/>
      <c r="BY13" s="94" t="str">
        <f t="shared" si="29"/>
        <v>zzzzzzzzzzzz</v>
      </c>
      <c r="BZ13" s="95" t="str">
        <f t="shared" si="30"/>
        <v>zzzzzzzzzzzz</v>
      </c>
      <c r="CA13" s="290">
        <f t="shared" si="63"/>
        <v>-999999999999</v>
      </c>
      <c r="CB13" s="404">
        <f t="shared" si="31"/>
        <v>-999</v>
      </c>
      <c r="CC13" s="405">
        <f t="shared" si="32"/>
        <v>-999</v>
      </c>
      <c r="CD13" s="428">
        <f t="shared" si="54"/>
        <v>10.005302926787332</v>
      </c>
      <c r="CE13" s="268" t="s">
        <v>327</v>
      </c>
      <c r="CF13" s="677">
        <f>IF(CF12=0,0,MAX(0,(CF10-CF9)/CF12))</f>
        <v>0.1037603909620133</v>
      </c>
      <c r="CG13" s="95" t="b">
        <f t="shared" si="55"/>
        <v>1</v>
      </c>
      <c r="CH13" s="406">
        <f t="shared" si="56"/>
        <v>1</v>
      </c>
      <c r="CI13" s="50">
        <f t="shared" si="33"/>
        <v>0.97082631886547976</v>
      </c>
      <c r="CJ13" s="50" t="b">
        <f t="shared" si="34"/>
        <v>1</v>
      </c>
      <c r="CK13" s="753" t="b">
        <v>1</v>
      </c>
      <c r="CL13" s="50" t="b">
        <f t="shared" si="35"/>
        <v>1</v>
      </c>
      <c r="CM13" s="50">
        <v>6</v>
      </c>
      <c r="CN13" s="200" t="b">
        <f t="shared" si="36"/>
        <v>1</v>
      </c>
      <c r="CO13" s="90">
        <f t="shared" si="57"/>
        <v>0.83491063422431255</v>
      </c>
      <c r="CP13" s="201">
        <f t="shared" si="58"/>
        <v>2.1134317532028164</v>
      </c>
      <c r="CQ13" s="90" t="e">
        <f t="shared" si="64"/>
        <v>#N/A</v>
      </c>
      <c r="CR13" s="201">
        <f t="shared" si="37"/>
        <v>6</v>
      </c>
      <c r="CS13" s="50">
        <f t="shared" si="38"/>
        <v>0.75887585140977531</v>
      </c>
      <c r="CT13" s="50">
        <f t="shared" si="39"/>
        <v>0.79403249275119714</v>
      </c>
      <c r="CU13" s="90">
        <f t="shared" si="59"/>
        <v>6.7985044809096653</v>
      </c>
      <c r="CV13" s="90">
        <f t="shared" si="40"/>
        <v>3.9864212264358287</v>
      </c>
      <c r="CW13" s="90">
        <f t="shared" si="60"/>
        <v>5.6761436879331191</v>
      </c>
      <c r="CX13" s="90">
        <f t="shared" si="61"/>
        <v>46.219663176948799</v>
      </c>
      <c r="CY13" s="90">
        <f t="shared" si="62"/>
        <v>4.7390727264405692</v>
      </c>
      <c r="CZ13" s="90">
        <f t="shared" si="41"/>
        <v>0.25085156414694237</v>
      </c>
      <c r="DA13" s="90">
        <f t="shared" si="42"/>
        <v>3.9864212264358287</v>
      </c>
      <c r="DB13" s="90">
        <f t="shared" si="43"/>
        <v>3.3283054744487997</v>
      </c>
      <c r="DC13" s="106" t="e">
        <f t="shared" si="44"/>
        <v>#N/A</v>
      </c>
      <c r="DD13" s="90" t="e">
        <f t="shared" si="45"/>
        <v>#N/A</v>
      </c>
      <c r="DE13" s="90" t="e">
        <f t="shared" si="46"/>
        <v>#N/A</v>
      </c>
      <c r="DF13" s="90" t="e">
        <f t="shared" si="47"/>
        <v>#N/A</v>
      </c>
      <c r="DG13" s="90" t="e">
        <f t="shared" si="48"/>
        <v>#N/A</v>
      </c>
      <c r="DH13" s="90" t="e">
        <f t="shared" si="49"/>
        <v>#N/A</v>
      </c>
      <c r="DI13" s="90" t="e">
        <f t="shared" si="50"/>
        <v>#N/A</v>
      </c>
      <c r="DJ13" s="90" t="e">
        <f t="shared" si="51"/>
        <v>#N/A</v>
      </c>
      <c r="DK13" s="90" t="e">
        <f t="shared" si="52"/>
        <v>#N/A</v>
      </c>
      <c r="DL13" s="113">
        <v>6</v>
      </c>
      <c r="DM13" s="299">
        <f>DP13</f>
        <v>28.622499999999999</v>
      </c>
      <c r="DN13" s="79">
        <f t="shared" si="4"/>
        <v>7.3656553623856151</v>
      </c>
      <c r="DO13" s="300">
        <v>15</v>
      </c>
      <c r="DP13" s="289">
        <v>28.622499999999999</v>
      </c>
      <c r="DQ13" s="290">
        <f t="shared" si="5"/>
        <v>10.102934473494086</v>
      </c>
      <c r="DR13" s="290">
        <f t="shared" si="6"/>
        <v>31.245261091603975</v>
      </c>
      <c r="DS13" s="307">
        <v>2</v>
      </c>
      <c r="DT13" s="50">
        <f t="shared" si="66"/>
        <v>1.9999999999999907E-2</v>
      </c>
      <c r="DU13" s="90">
        <f t="shared" ref="DU13:DU76" si="72">IF(AND($CJ$5,$CY$4,$CZ$2),DW12+$DV$8,NA())</f>
        <v>0.23477423825600763</v>
      </c>
      <c r="DV13" s="90" t="e">
        <f t="shared" ref="DV13:DV76" si="73">IF(AND(NOT($CJ$5),$CY$4),DW12+$DV$8,NA())</f>
        <v>#N/A</v>
      </c>
      <c r="DW13" s="90">
        <f t="shared" ref="DW13:DW76" si="74">IF($CY$4,DW12+$DV$8,NA())</f>
        <v>0.23477423825600763</v>
      </c>
      <c r="DX13" s="90">
        <f t="shared" si="67"/>
        <v>32</v>
      </c>
      <c r="DY13" s="308">
        <f t="shared" si="65"/>
        <v>0</v>
      </c>
      <c r="DZ13" s="307">
        <f t="shared" si="68"/>
        <v>2.0000000000000018E-2</v>
      </c>
      <c r="EA13" s="90">
        <f t="shared" ref="EA13:EA76" si="75">IF(AND($CJ$5,$CY$4),EB12+$EA$8,NA())</f>
        <v>0.53105474246413531</v>
      </c>
      <c r="EB13" s="90">
        <f t="shared" ref="EB13:EB76" si="76">IF($CY$4,EB12+$EA$8,NA())</f>
        <v>0.53105474246413531</v>
      </c>
      <c r="EC13" s="90">
        <f t="shared" ref="EC13:EC76" si="77">EC12</f>
        <v>33</v>
      </c>
      <c r="ED13" s="308">
        <f t="shared" ref="ED13:ED76" si="78">MAX($EC$3*DZ13-$EA$9,0)</f>
        <v>0</v>
      </c>
      <c r="EE13" s="307">
        <f t="shared" si="69"/>
        <v>2.0000000000000018E-2</v>
      </c>
      <c r="EF13" s="90">
        <f t="shared" ref="EF13:EF76" si="79">IF(AND($CJ$5,$CY$4),EG12+$EF$8,NA())</f>
        <v>-0.20105222813909174</v>
      </c>
      <c r="EG13" s="90">
        <f t="shared" ref="EG13:EG76" si="80">IF($CY$4,EG12+$EF$8,NA())</f>
        <v>-0.20105222813909174</v>
      </c>
      <c r="EH13" s="90">
        <f t="shared" si="70"/>
        <v>34</v>
      </c>
      <c r="EI13" s="308">
        <f t="shared" si="71"/>
        <v>0</v>
      </c>
      <c r="EJ13"/>
    </row>
    <row r="14" spans="1:140" ht="12" customHeight="1" x14ac:dyDescent="0.2">
      <c r="A14" s="50">
        <f t="shared" si="7"/>
        <v>0.27780824205706844</v>
      </c>
      <c r="B14" s="50">
        <f t="shared" si="8"/>
        <v>0.17998026131178935</v>
      </c>
      <c r="C14" s="50">
        <f t="shared" si="9"/>
        <v>-1.7017916364295718</v>
      </c>
      <c r="D14" s="50">
        <f t="shared" si="10"/>
        <v>2.2574081205437087</v>
      </c>
      <c r="E14" s="50">
        <f t="shared" si="11"/>
        <v>2.5000000135794176E-2</v>
      </c>
      <c r="F14" s="50">
        <f t="shared" si="12"/>
        <v>2.49999999969319E-2</v>
      </c>
      <c r="G14" s="66">
        <v>-1.6830335662717855</v>
      </c>
      <c r="H14" s="66">
        <v>2.2375130145512077</v>
      </c>
      <c r="I14" s="50">
        <f t="shared" si="13"/>
        <v>1.3579417451614617E-4</v>
      </c>
      <c r="J14" s="50">
        <f t="shared" si="14"/>
        <v>-3.0681013285516201E-6</v>
      </c>
      <c r="K14" s="66">
        <v>0.05</v>
      </c>
      <c r="L14" s="66">
        <v>58</v>
      </c>
      <c r="M14" s="66">
        <v>66</v>
      </c>
      <c r="N14" s="649">
        <f t="shared" si="15"/>
        <v>0.05</v>
      </c>
      <c r="O14" s="650">
        <f t="shared" si="16"/>
        <v>58</v>
      </c>
      <c r="P14" s="650">
        <f t="shared" si="17"/>
        <v>66</v>
      </c>
      <c r="Q14" s="180"/>
      <c r="R14" s="662" t="str">
        <f t="shared" si="18"/>
        <v/>
      </c>
      <c r="S14" s="849" t="str">
        <f t="shared" si="19"/>
        <v/>
      </c>
      <c r="T14" s="182" t="str">
        <f t="shared" si="20"/>
        <v/>
      </c>
      <c r="U14" s="183">
        <v>7</v>
      </c>
      <c r="V14" s="186" t="s">
        <v>378</v>
      </c>
      <c r="W14" s="663">
        <v>0.05</v>
      </c>
      <c r="X14" s="653">
        <f t="shared" si="21"/>
        <v>4.9691886171849511E-2</v>
      </c>
      <c r="Y14" s="186">
        <v>58</v>
      </c>
      <c r="Z14" s="186">
        <v>66</v>
      </c>
      <c r="AA14" s="664">
        <f t="shared" si="22"/>
        <v>122</v>
      </c>
      <c r="AB14" s="186" t="s">
        <v>381</v>
      </c>
      <c r="AC14" s="202">
        <f t="shared" si="23"/>
        <v>3.2004853378188397E-2</v>
      </c>
      <c r="AD14" s="665" t="s">
        <v>339</v>
      </c>
      <c r="AE14" s="666">
        <f t="shared" si="24"/>
        <v>-0.30291282105410866</v>
      </c>
      <c r="AF14" s="197" t="s">
        <v>261</v>
      </c>
      <c r="AG14" s="666">
        <f t="shared" si="25"/>
        <v>0.40270817704745587</v>
      </c>
      <c r="AH14" s="667" t="s">
        <v>259</v>
      </c>
      <c r="AI14" s="193">
        <f t="shared" si="53"/>
        <v>52.642342862877861</v>
      </c>
      <c r="AJ14" s="194"/>
      <c r="AK14" s="85">
        <f t="shared" si="1"/>
        <v>9.5000000000000005E-5</v>
      </c>
      <c r="AL14" s="249"/>
      <c r="AM14" s="249"/>
      <c r="AN14" s="194"/>
      <c r="AO14" s="170"/>
      <c r="AP14" s="170"/>
      <c r="AQ14" s="170"/>
      <c r="AR14" s="170"/>
      <c r="AS14" s="170"/>
      <c r="AT14" s="171"/>
      <c r="AU14" s="249"/>
      <c r="AV14" s="668">
        <f t="shared" si="2"/>
        <v>9.5000000000000005E-5</v>
      </c>
      <c r="AW14" s="669">
        <f t="shared" si="26"/>
        <v>0.35260470722595816</v>
      </c>
      <c r="AX14" s="670">
        <f t="shared" si="27"/>
        <v>0.35301629087560638</v>
      </c>
      <c r="AY14" s="671">
        <f t="shared" si="28"/>
        <v>0.35281049905078227</v>
      </c>
      <c r="BT14" s="413"/>
      <c r="BU14" s="414" t="s">
        <v>451</v>
      </c>
      <c r="BV14" s="94"/>
      <c r="BW14" s="94"/>
      <c r="BX14" s="95">
        <v>39</v>
      </c>
      <c r="BY14" s="94">
        <f t="shared" si="29"/>
        <v>-999999999999</v>
      </c>
      <c r="BZ14" s="95">
        <f t="shared" si="30"/>
        <v>-999999999999</v>
      </c>
      <c r="CA14" s="290">
        <f t="shared" si="63"/>
        <v>-999999999999</v>
      </c>
      <c r="CB14" s="404">
        <f t="shared" si="31"/>
        <v>999</v>
      </c>
      <c r="CC14" s="405">
        <f t="shared" si="32"/>
        <v>999</v>
      </c>
      <c r="CD14" s="417">
        <f t="shared" si="54"/>
        <v>18.486659830695622</v>
      </c>
      <c r="CE14" s="268" t="s">
        <v>340</v>
      </c>
      <c r="CF14" s="677">
        <f>SQRT(CF13)</f>
        <v>0.32211859766553885</v>
      </c>
      <c r="CG14" s="95" t="b">
        <f t="shared" si="55"/>
        <v>1</v>
      </c>
      <c r="CH14" s="406">
        <f t="shared" si="56"/>
        <v>2</v>
      </c>
      <c r="CI14" s="50">
        <f t="shared" si="33"/>
        <v>0.99383772343699017</v>
      </c>
      <c r="CJ14" s="50" t="b">
        <f t="shared" si="34"/>
        <v>1</v>
      </c>
      <c r="CK14" s="753" t="b">
        <v>1</v>
      </c>
      <c r="CL14" s="50" t="b">
        <f t="shared" si="35"/>
        <v>1</v>
      </c>
      <c r="CM14" s="50">
        <v>7</v>
      </c>
      <c r="CN14" s="200" t="b">
        <f t="shared" si="36"/>
        <v>1</v>
      </c>
      <c r="CO14" s="90">
        <f t="shared" si="57"/>
        <v>4.9691886171849511E-2</v>
      </c>
      <c r="CP14" s="201">
        <f t="shared" si="58"/>
        <v>0.27605336037697237</v>
      </c>
      <c r="CQ14" s="90" t="e">
        <f t="shared" si="64"/>
        <v>#N/A</v>
      </c>
      <c r="CR14" s="201">
        <f t="shared" si="37"/>
        <v>7</v>
      </c>
      <c r="CS14" s="50">
        <f t="shared" si="38"/>
        <v>0.35260470722595816</v>
      </c>
      <c r="CT14" s="50">
        <f t="shared" si="39"/>
        <v>0.35301629087560638</v>
      </c>
      <c r="CU14" s="90">
        <f t="shared" si="59"/>
        <v>31.245261091603975</v>
      </c>
      <c r="CV14" s="90">
        <f t="shared" si="40"/>
        <v>7.3656553623856151</v>
      </c>
      <c r="CW14" s="90">
        <f t="shared" si="60"/>
        <v>1.5526359575737032</v>
      </c>
      <c r="CX14" s="90">
        <f t="shared" si="61"/>
        <v>976.26634068250121</v>
      </c>
      <c r="CY14" s="90">
        <f t="shared" si="62"/>
        <v>7.7153409270073026E-2</v>
      </c>
      <c r="CZ14" s="90">
        <f t="shared" si="41"/>
        <v>0.13576524434020171</v>
      </c>
      <c r="DA14" s="90">
        <f t="shared" si="42"/>
        <v>7.3656553623856151</v>
      </c>
      <c r="DB14" s="90">
        <f t="shared" si="43"/>
        <v>0.36601330784873898</v>
      </c>
      <c r="DC14" s="106" t="e">
        <f t="shared" si="44"/>
        <v>#N/A</v>
      </c>
      <c r="DD14" s="90" t="e">
        <f t="shared" si="45"/>
        <v>#N/A</v>
      </c>
      <c r="DE14" s="90" t="e">
        <f t="shared" si="46"/>
        <v>#N/A</v>
      </c>
      <c r="DF14" s="90" t="e">
        <f t="shared" si="47"/>
        <v>#N/A</v>
      </c>
      <c r="DG14" s="90" t="e">
        <f t="shared" si="48"/>
        <v>#N/A</v>
      </c>
      <c r="DH14" s="90" t="e">
        <f t="shared" si="49"/>
        <v>#N/A</v>
      </c>
      <c r="DI14" s="90" t="e">
        <f t="shared" si="50"/>
        <v>#N/A</v>
      </c>
      <c r="DJ14" s="90" t="e">
        <f t="shared" si="51"/>
        <v>#N/A</v>
      </c>
      <c r="DK14" s="90" t="e">
        <f t="shared" si="52"/>
        <v>#N/A</v>
      </c>
      <c r="DL14" s="113">
        <v>7</v>
      </c>
      <c r="DM14"/>
      <c r="DN14"/>
      <c r="DO14"/>
      <c r="DP14"/>
      <c r="DQ14"/>
      <c r="DR14"/>
      <c r="DS14" s="307">
        <v>3</v>
      </c>
      <c r="DT14" s="50">
        <f t="shared" si="66"/>
        <v>2.9999999999999805E-2</v>
      </c>
      <c r="DU14" s="90">
        <f t="shared" si="72"/>
        <v>0.2378793098540041</v>
      </c>
      <c r="DV14" s="90" t="e">
        <f t="shared" si="73"/>
        <v>#N/A</v>
      </c>
      <c r="DW14" s="90">
        <f t="shared" si="74"/>
        <v>0.2378793098540041</v>
      </c>
      <c r="DX14" s="90">
        <f t="shared" si="67"/>
        <v>32</v>
      </c>
      <c r="DY14" s="308">
        <f t="shared" si="65"/>
        <v>1.999999999999922E-3</v>
      </c>
      <c r="DZ14" s="307">
        <f t="shared" si="68"/>
        <v>3.0000000000000027E-2</v>
      </c>
      <c r="EA14" s="90">
        <f t="shared" si="75"/>
        <v>0.53396206862509044</v>
      </c>
      <c r="EB14" s="90">
        <f t="shared" si="76"/>
        <v>0.53396206862509044</v>
      </c>
      <c r="EC14" s="90">
        <f t="shared" si="77"/>
        <v>33</v>
      </c>
      <c r="ED14" s="308">
        <f t="shared" si="78"/>
        <v>2.0000000000000104E-3</v>
      </c>
      <c r="EE14" s="307">
        <f t="shared" si="69"/>
        <v>2.9999999999999916E-2</v>
      </c>
      <c r="EF14" s="90">
        <f t="shared" si="79"/>
        <v>-0.19850819000627121</v>
      </c>
      <c r="EG14" s="90">
        <f t="shared" si="80"/>
        <v>-0.19850819000627121</v>
      </c>
      <c r="EH14" s="90">
        <f t="shared" si="70"/>
        <v>34</v>
      </c>
      <c r="EI14" s="308">
        <f t="shared" si="71"/>
        <v>1.9999999999999671E-3</v>
      </c>
      <c r="EJ14"/>
    </row>
    <row r="15" spans="1:140" ht="12" customHeight="1" x14ac:dyDescent="0.2">
      <c r="A15" s="50">
        <f t="shared" si="7"/>
        <v>0.2474974201339743</v>
      </c>
      <c r="B15" s="50">
        <f t="shared" si="8"/>
        <v>0.18990096936993586</v>
      </c>
      <c r="C15" s="50">
        <f t="shared" si="9"/>
        <v>-1.7344700696025115</v>
      </c>
      <c r="D15" s="50">
        <f t="shared" si="10"/>
        <v>2.22946490987046</v>
      </c>
      <c r="E15" s="50">
        <f t="shared" si="11"/>
        <v>2.5000000143745371E-2</v>
      </c>
      <c r="F15" s="50">
        <f t="shared" si="12"/>
        <v>2.4999999996277777E-2</v>
      </c>
      <c r="G15" s="66">
        <v>-1.7133081144184816</v>
      </c>
      <c r="H15" s="66">
        <v>2.2071692675421923</v>
      </c>
      <c r="I15" s="50">
        <f t="shared" si="13"/>
        <v>1.4374536977390662E-4</v>
      </c>
      <c r="J15" s="50">
        <f t="shared" si="14"/>
        <v>-3.7222239179790506E-6</v>
      </c>
      <c r="K15" s="66">
        <v>4.7E-2</v>
      </c>
      <c r="L15" s="66">
        <v>54</v>
      </c>
      <c r="M15" s="66">
        <v>57</v>
      </c>
      <c r="N15" s="649">
        <f t="shared" si="15"/>
        <v>4.7E-2</v>
      </c>
      <c r="O15" s="650">
        <f t="shared" si="16"/>
        <v>54</v>
      </c>
      <c r="P15" s="650">
        <f t="shared" si="17"/>
        <v>57</v>
      </c>
      <c r="Q15" s="180"/>
      <c r="R15" s="662" t="str">
        <f t="shared" si="18"/>
        <v/>
      </c>
      <c r="S15" s="849" t="str">
        <f t="shared" si="19"/>
        <v/>
      </c>
      <c r="T15" s="182" t="str">
        <f t="shared" si="20"/>
        <v/>
      </c>
      <c r="U15" s="183">
        <v>8</v>
      </c>
      <c r="V15" s="186" t="s">
        <v>379</v>
      </c>
      <c r="W15" s="663">
        <v>4.7E-2</v>
      </c>
      <c r="X15" s="653">
        <f t="shared" si="21"/>
        <v>4.6675737610289383E-2</v>
      </c>
      <c r="Y15" s="186">
        <v>54</v>
      </c>
      <c r="Z15" s="186">
        <v>57</v>
      </c>
      <c r="AA15" s="664">
        <f t="shared" si="22"/>
        <v>109</v>
      </c>
      <c r="AB15" s="186" t="s">
        <v>381</v>
      </c>
      <c r="AC15" s="202">
        <f t="shared" si="23"/>
        <v>3.5576305219923138E-2</v>
      </c>
      <c r="AD15" s="665" t="s">
        <v>339</v>
      </c>
      <c r="AE15" s="666">
        <f t="shared" si="24"/>
        <v>-0.32535887175744665</v>
      </c>
      <c r="AF15" s="197" t="s">
        <v>261</v>
      </c>
      <c r="AG15" s="666">
        <f t="shared" si="25"/>
        <v>0.41914358346979363</v>
      </c>
      <c r="AH15" s="667" t="s">
        <v>259</v>
      </c>
      <c r="AI15" s="193">
        <f t="shared" si="53"/>
        <v>47.357657137122139</v>
      </c>
      <c r="AJ15" s="194"/>
      <c r="AK15" s="85">
        <f t="shared" si="1"/>
        <v>9.5000000000000005E-5</v>
      </c>
      <c r="AL15" s="249"/>
      <c r="AM15" s="249"/>
      <c r="AN15" s="194"/>
      <c r="AO15" s="170"/>
      <c r="AP15" s="170"/>
      <c r="AQ15" s="170"/>
      <c r="AR15" s="170"/>
      <c r="AS15" s="170"/>
      <c r="AT15" s="171"/>
      <c r="AU15" s="249"/>
      <c r="AV15" s="668">
        <f t="shared" si="2"/>
        <v>9.5000000000000005E-5</v>
      </c>
      <c r="AW15" s="669">
        <f t="shared" si="26"/>
        <v>0.37203460936773602</v>
      </c>
      <c r="AX15" s="670">
        <f t="shared" si="27"/>
        <v>0.37246784585950427</v>
      </c>
      <c r="AY15" s="671">
        <f t="shared" si="28"/>
        <v>0.37225122761362017</v>
      </c>
      <c r="BT15" s="418"/>
      <c r="BU15" s="419" t="s">
        <v>452</v>
      </c>
      <c r="BV15" s="419" t="s">
        <v>264</v>
      </c>
      <c r="BW15" s="419" t="s">
        <v>453</v>
      </c>
      <c r="BX15" s="420" t="s">
        <v>263</v>
      </c>
      <c r="BY15" s="94">
        <f t="shared" si="29"/>
        <v>-999999999999</v>
      </c>
      <c r="BZ15" s="95">
        <f t="shared" si="30"/>
        <v>-999999999999</v>
      </c>
      <c r="CA15" s="290">
        <f t="shared" si="63"/>
        <v>-999999999999</v>
      </c>
      <c r="CB15" s="404">
        <f t="shared" si="31"/>
        <v>999</v>
      </c>
      <c r="CC15" s="405">
        <f t="shared" si="32"/>
        <v>999</v>
      </c>
      <c r="CD15" s="428">
        <f t="shared" si="54"/>
        <v>18.012813262569367</v>
      </c>
      <c r="CE15" s="291" t="s">
        <v>328</v>
      </c>
      <c r="CF15" s="677">
        <f>DB38/DA38</f>
        <v>0.53907125485966279</v>
      </c>
      <c r="CG15" s="95" t="b">
        <f t="shared" si="55"/>
        <v>1</v>
      </c>
      <c r="CH15" s="406">
        <f t="shared" si="56"/>
        <v>2</v>
      </c>
      <c r="CI15" s="50">
        <f t="shared" si="33"/>
        <v>0.993100800218923</v>
      </c>
      <c r="CJ15" s="50" t="b">
        <f t="shared" si="34"/>
        <v>1</v>
      </c>
      <c r="CK15" s="753" t="b">
        <v>1</v>
      </c>
      <c r="CL15" s="50" t="b">
        <f t="shared" si="35"/>
        <v>1</v>
      </c>
      <c r="CM15" s="50">
        <v>8</v>
      </c>
      <c r="CN15" s="200" t="b">
        <f t="shared" si="36"/>
        <v>1</v>
      </c>
      <c r="CO15" s="90">
        <f t="shared" si="57"/>
        <v>4.6675737610289383E-2</v>
      </c>
      <c r="CP15" s="201">
        <f t="shared" si="58"/>
        <v>0.24575598342445726</v>
      </c>
      <c r="CQ15" s="90" t="e">
        <f t="shared" si="64"/>
        <v>#N/A</v>
      </c>
      <c r="CR15" s="201">
        <f t="shared" si="37"/>
        <v>8</v>
      </c>
      <c r="CS15" s="50">
        <f t="shared" si="38"/>
        <v>0.37203460936773602</v>
      </c>
      <c r="CT15" s="50">
        <f t="shared" si="39"/>
        <v>0.37246784585950427</v>
      </c>
      <c r="CU15" s="90">
        <f t="shared" si="59"/>
        <v>28.10859626423456</v>
      </c>
      <c r="CV15" s="90">
        <f t="shared" si="40"/>
        <v>7.1768602773117829</v>
      </c>
      <c r="CW15" s="90">
        <f t="shared" si="60"/>
        <v>1.3119894638229728</v>
      </c>
      <c r="CX15" s="90">
        <f t="shared" si="61"/>
        <v>790.09318394574109</v>
      </c>
      <c r="CY15" s="90">
        <f t="shared" si="62"/>
        <v>6.1238075960865328E-2</v>
      </c>
      <c r="CZ15" s="90">
        <f t="shared" si="41"/>
        <v>0.13933669618193645</v>
      </c>
      <c r="DA15" s="90">
        <f t="shared" si="42"/>
        <v>7.1768602773117829</v>
      </c>
      <c r="DB15" s="90">
        <f t="shared" si="43"/>
        <v>0.3349852471695135</v>
      </c>
      <c r="DC15" s="106" t="e">
        <f t="shared" si="44"/>
        <v>#N/A</v>
      </c>
      <c r="DD15" s="90" t="e">
        <f t="shared" si="45"/>
        <v>#N/A</v>
      </c>
      <c r="DE15" s="90" t="e">
        <f t="shared" si="46"/>
        <v>#N/A</v>
      </c>
      <c r="DF15" s="90" t="e">
        <f t="shared" si="47"/>
        <v>#N/A</v>
      </c>
      <c r="DG15" s="90" t="e">
        <f t="shared" si="48"/>
        <v>#N/A</v>
      </c>
      <c r="DH15" s="90" t="e">
        <f t="shared" si="49"/>
        <v>#N/A</v>
      </c>
      <c r="DI15" s="90" t="e">
        <f t="shared" si="50"/>
        <v>#N/A</v>
      </c>
      <c r="DJ15" s="90" t="e">
        <f t="shared" si="51"/>
        <v>#N/A</v>
      </c>
      <c r="DK15" s="90" t="e">
        <f t="shared" si="52"/>
        <v>#N/A</v>
      </c>
      <c r="DL15" s="113">
        <v>8</v>
      </c>
      <c r="DM15"/>
      <c r="DN15"/>
      <c r="DO15"/>
      <c r="DP15"/>
      <c r="DQ15"/>
      <c r="DR15"/>
      <c r="DS15" s="307">
        <v>4</v>
      </c>
      <c r="DT15" s="50">
        <f t="shared" si="66"/>
        <v>3.9999999999999925E-2</v>
      </c>
      <c r="DU15" s="90">
        <f t="shared" si="72"/>
        <v>0.24098438145200057</v>
      </c>
      <c r="DV15" s="90" t="e">
        <f t="shared" si="73"/>
        <v>#N/A</v>
      </c>
      <c r="DW15" s="90">
        <f t="shared" si="74"/>
        <v>0.24098438145200057</v>
      </c>
      <c r="DX15" s="90">
        <f t="shared" si="67"/>
        <v>32</v>
      </c>
      <c r="DY15" s="308">
        <f t="shared" si="65"/>
        <v>5.9999999999999689E-3</v>
      </c>
      <c r="DZ15" s="307">
        <f t="shared" si="68"/>
        <v>3.9999999999999925E-2</v>
      </c>
      <c r="EA15" s="90">
        <f t="shared" si="75"/>
        <v>0.53686939478604556</v>
      </c>
      <c r="EB15" s="90">
        <f t="shared" si="76"/>
        <v>0.53686939478604556</v>
      </c>
      <c r="EC15" s="90">
        <f t="shared" si="77"/>
        <v>33</v>
      </c>
      <c r="ED15" s="308">
        <f t="shared" si="78"/>
        <v>5.9999999999999689E-3</v>
      </c>
      <c r="EE15" s="307">
        <f t="shared" si="69"/>
        <v>4.0000000000000147E-2</v>
      </c>
      <c r="EF15" s="90">
        <f t="shared" si="79"/>
        <v>-0.19596415187345068</v>
      </c>
      <c r="EG15" s="90">
        <f t="shared" si="80"/>
        <v>-0.19596415187345068</v>
      </c>
      <c r="EH15" s="90">
        <f t="shared" si="70"/>
        <v>34</v>
      </c>
      <c r="EI15" s="308">
        <f t="shared" si="71"/>
        <v>6.0000000000000591E-3</v>
      </c>
      <c r="EJ15"/>
    </row>
    <row r="16" spans="1:140" ht="12" customHeight="1" x14ac:dyDescent="0.2">
      <c r="A16" s="50" t="str">
        <f t="shared" si="7"/>
        <v/>
      </c>
      <c r="B16" s="50" t="str">
        <f t="shared" si="8"/>
        <v/>
      </c>
      <c r="C16" s="50" t="str">
        <f t="shared" si="9"/>
        <v/>
      </c>
      <c r="D16" s="50" t="str">
        <f t="shared" si="10"/>
        <v/>
      </c>
      <c r="E16" s="50" t="str">
        <f t="shared" si="11"/>
        <v/>
      </c>
      <c r="F16" s="50" t="str">
        <f t="shared" si="12"/>
        <v/>
      </c>
      <c r="G16" s="66" t="s">
        <v>420</v>
      </c>
      <c r="H16" s="66" t="s">
        <v>420</v>
      </c>
      <c r="I16" s="50" t="e">
        <f t="shared" si="13"/>
        <v>#VALUE!</v>
      </c>
      <c r="J16" s="50" t="e">
        <f t="shared" si="14"/>
        <v>#VALUE!</v>
      </c>
      <c r="K16" s="66">
        <v>0</v>
      </c>
      <c r="L16" s="66">
        <v>0</v>
      </c>
      <c r="M16" s="66">
        <v>0</v>
      </c>
      <c r="N16" s="649">
        <f t="shared" si="15"/>
        <v>0</v>
      </c>
      <c r="O16" s="650">
        <f t="shared" si="16"/>
        <v>0</v>
      </c>
      <c r="P16" s="650">
        <f t="shared" si="17"/>
        <v>0</v>
      </c>
      <c r="Q16" s="180"/>
      <c r="R16" s="662" t="str">
        <f t="shared" si="18"/>
        <v/>
      </c>
      <c r="S16" s="849" t="str">
        <f t="shared" si="19"/>
        <v/>
      </c>
      <c r="T16" s="182" t="str">
        <f t="shared" si="20"/>
        <v/>
      </c>
      <c r="U16" s="183">
        <v>9</v>
      </c>
      <c r="V16" s="186"/>
      <c r="W16" s="663"/>
      <c r="X16" s="653" t="str">
        <f t="shared" si="21"/>
        <v/>
      </c>
      <c r="Y16" s="186"/>
      <c r="Z16" s="186"/>
      <c r="AA16" s="664" t="str">
        <f t="shared" si="22"/>
        <v/>
      </c>
      <c r="AB16" s="186"/>
      <c r="AC16" s="202" t="str">
        <f t="shared" si="23"/>
        <v/>
      </c>
      <c r="AD16" s="665" t="s">
        <v>339</v>
      </c>
      <c r="AE16" s="666" t="str">
        <f t="shared" si="24"/>
        <v/>
      </c>
      <c r="AF16" s="197" t="s">
        <v>261</v>
      </c>
      <c r="AG16" s="666" t="str">
        <f t="shared" si="25"/>
        <v/>
      </c>
      <c r="AH16" s="667" t="s">
        <v>259</v>
      </c>
      <c r="AI16" s="193" t="str">
        <f t="shared" si="53"/>
        <v/>
      </c>
      <c r="AJ16" s="194"/>
      <c r="AK16" s="85">
        <f t="shared" si="1"/>
        <v>9.5000000000000005E-5</v>
      </c>
      <c r="AL16" s="249"/>
      <c r="AM16" s="249"/>
      <c r="AN16" s="194"/>
      <c r="AO16" s="170"/>
      <c r="AP16" s="170"/>
      <c r="AQ16" s="170"/>
      <c r="AR16" s="170"/>
      <c r="AS16" s="170"/>
      <c r="AT16" s="171"/>
      <c r="AU16" s="249"/>
      <c r="AV16" s="668">
        <f t="shared" si="2"/>
        <v>9.5000000000000005E-5</v>
      </c>
      <c r="AW16" s="669" t="str">
        <f t="shared" si="26"/>
        <v/>
      </c>
      <c r="AX16" s="670" t="str">
        <f t="shared" si="27"/>
        <v/>
      </c>
      <c r="AY16" s="671" t="str">
        <f t="shared" si="28"/>
        <v/>
      </c>
      <c r="BT16" s="402">
        <v>10</v>
      </c>
      <c r="BU16" s="201">
        <f t="shared" ref="BU16:BU36" si="81">$BU$13*BT16</f>
        <v>2</v>
      </c>
      <c r="BV16" s="201">
        <f>$Z$40+$BU$13*BT16</f>
        <v>2.815972706237738</v>
      </c>
      <c r="BW16" s="201" t="e">
        <f>IF($Z$41&gt;$Z$40,IF(AND($CZ$2,$CJ$5,BV16&lt;=$Z$41+$BX$10+$BU$13,BV16&gt;=$Z$40-$AW$40-$BU$13),BV16,NA()),IF(AND($CZ$2,$CJ$5,BV16&gt;=$Z$41-$BX$10-$BU$13,BV16&lt;=$Z$40+$AW$40+$BU$13),BV16,NA()))</f>
        <v>#N/A</v>
      </c>
      <c r="BX16" s="421">
        <f>IF(AND($CJ$5,$CZ$2),$BX$14,NA())</f>
        <v>39</v>
      </c>
      <c r="BY16" s="94">
        <f t="shared" si="29"/>
        <v>-999999999999</v>
      </c>
      <c r="BZ16" s="95" t="str">
        <f t="shared" si="30"/>
        <v>zzzzzzzzzzzz</v>
      </c>
      <c r="CA16" s="290">
        <f t="shared" si="63"/>
        <v>-999999999999</v>
      </c>
      <c r="CB16" s="422">
        <f t="shared" si="31"/>
        <v>999</v>
      </c>
      <c r="CC16" s="423">
        <f t="shared" si="32"/>
        <v>999</v>
      </c>
      <c r="CD16" s="755" t="str">
        <f t="shared" si="54"/>
        <v/>
      </c>
      <c r="CE16" s="268" t="s">
        <v>329</v>
      </c>
      <c r="CF16" s="677">
        <f>1/DA38</f>
        <v>2.5098458889485829E-2</v>
      </c>
      <c r="CG16" s="95" t="b">
        <f t="shared" si="55"/>
        <v>0</v>
      </c>
      <c r="CH16" s="406" t="str">
        <f t="shared" si="56"/>
        <v/>
      </c>
      <c r="CI16" s="50" t="str">
        <f t="shared" si="33"/>
        <v/>
      </c>
      <c r="CJ16" s="50" t="b">
        <f t="shared" si="34"/>
        <v>1</v>
      </c>
      <c r="CK16" s="753" t="b">
        <v>1</v>
      </c>
      <c r="CL16" s="50" t="b">
        <f t="shared" si="35"/>
        <v>0</v>
      </c>
      <c r="CM16" s="50">
        <v>9</v>
      </c>
      <c r="CN16" s="200" t="b">
        <f t="shared" si="36"/>
        <v>0</v>
      </c>
      <c r="CO16" s="90" t="str">
        <f t="shared" si="57"/>
        <v/>
      </c>
      <c r="CP16" s="201" t="str">
        <f t="shared" si="58"/>
        <v/>
      </c>
      <c r="CQ16" s="90" t="e">
        <f t="shared" si="64"/>
        <v>#N/A</v>
      </c>
      <c r="CR16" s="201" t="e">
        <f t="shared" si="37"/>
        <v>#N/A</v>
      </c>
      <c r="CS16" s="50" t="e">
        <f t="shared" si="38"/>
        <v>#N/A</v>
      </c>
      <c r="CT16" s="50" t="e">
        <f t="shared" si="39"/>
        <v>#N/A</v>
      </c>
      <c r="CU16" s="90" t="str">
        <f t="shared" si="59"/>
        <v/>
      </c>
      <c r="CV16" s="90" t="str">
        <f t="shared" si="40"/>
        <v/>
      </c>
      <c r="CW16" s="90" t="str">
        <f t="shared" si="60"/>
        <v/>
      </c>
      <c r="CX16" s="90" t="str">
        <f t="shared" si="61"/>
        <v/>
      </c>
      <c r="CY16" s="90" t="str">
        <f t="shared" si="62"/>
        <v/>
      </c>
      <c r="CZ16" s="90" t="str">
        <f t="shared" si="41"/>
        <v/>
      </c>
      <c r="DA16" s="90" t="str">
        <f t="shared" si="42"/>
        <v/>
      </c>
      <c r="DB16" s="90" t="str">
        <f t="shared" si="43"/>
        <v/>
      </c>
      <c r="DC16" s="106" t="e">
        <f t="shared" si="44"/>
        <v>#N/A</v>
      </c>
      <c r="DD16" s="90" t="e">
        <f t="shared" si="45"/>
        <v>#N/A</v>
      </c>
      <c r="DE16" s="90" t="e">
        <f t="shared" si="46"/>
        <v>#N/A</v>
      </c>
      <c r="DF16" s="90" t="e">
        <f t="shared" si="47"/>
        <v>#N/A</v>
      </c>
      <c r="DG16" s="90" t="e">
        <f t="shared" si="48"/>
        <v>#N/A</v>
      </c>
      <c r="DH16" s="90" t="e">
        <f t="shared" si="49"/>
        <v>#N/A</v>
      </c>
      <c r="DI16" s="90" t="e">
        <f t="shared" si="50"/>
        <v>#N/A</v>
      </c>
      <c r="DJ16" s="90" t="e">
        <f t="shared" si="51"/>
        <v>#N/A</v>
      </c>
      <c r="DK16" s="90" t="e">
        <f t="shared" si="52"/>
        <v>#N/A</v>
      </c>
      <c r="DL16" s="113">
        <v>9</v>
      </c>
      <c r="DM16"/>
      <c r="DN16"/>
      <c r="DO16"/>
      <c r="DP16"/>
      <c r="DQ16"/>
      <c r="DR16"/>
      <c r="DS16" s="307">
        <v>5</v>
      </c>
      <c r="DT16" s="50">
        <f t="shared" si="66"/>
        <v>4.9999999999999933E-2</v>
      </c>
      <c r="DU16" s="90">
        <f t="shared" si="72"/>
        <v>0.24408945304999705</v>
      </c>
      <c r="DV16" s="90" t="e">
        <f t="shared" si="73"/>
        <v>#N/A</v>
      </c>
      <c r="DW16" s="90">
        <f t="shared" si="74"/>
        <v>0.24408945304999705</v>
      </c>
      <c r="DX16" s="90">
        <f t="shared" si="67"/>
        <v>32</v>
      </c>
      <c r="DY16" s="308">
        <f t="shared" si="65"/>
        <v>9.9999999999999759E-3</v>
      </c>
      <c r="DZ16" s="307">
        <f t="shared" si="68"/>
        <v>4.9999999999999933E-2</v>
      </c>
      <c r="EA16" s="90">
        <f t="shared" si="75"/>
        <v>0.53977672094700069</v>
      </c>
      <c r="EB16" s="90">
        <f t="shared" si="76"/>
        <v>0.53977672094700069</v>
      </c>
      <c r="EC16" s="90">
        <f t="shared" si="77"/>
        <v>33</v>
      </c>
      <c r="ED16" s="308">
        <f t="shared" si="78"/>
        <v>9.9999999999999759E-3</v>
      </c>
      <c r="EE16" s="307">
        <f t="shared" si="69"/>
        <v>5.0000000000000044E-2</v>
      </c>
      <c r="EF16" s="90">
        <f t="shared" si="79"/>
        <v>-0.19342011374063015</v>
      </c>
      <c r="EG16" s="90">
        <f t="shared" si="80"/>
        <v>-0.19342011374063015</v>
      </c>
      <c r="EH16" s="90">
        <f t="shared" si="70"/>
        <v>34</v>
      </c>
      <c r="EI16" s="308">
        <f t="shared" si="71"/>
        <v>1.0000000000000018E-2</v>
      </c>
      <c r="EJ16"/>
    </row>
    <row r="17" spans="1:140" ht="12" customHeight="1" x14ac:dyDescent="0.2">
      <c r="A17" s="50" t="str">
        <f t="shared" si="7"/>
        <v/>
      </c>
      <c r="B17" s="50" t="str">
        <f t="shared" si="8"/>
        <v/>
      </c>
      <c r="C17" s="50" t="str">
        <f t="shared" si="9"/>
        <v/>
      </c>
      <c r="D17" s="50" t="str">
        <f t="shared" si="10"/>
        <v/>
      </c>
      <c r="E17" s="50" t="str">
        <f t="shared" si="11"/>
        <v/>
      </c>
      <c r="F17" s="50" t="str">
        <f t="shared" si="12"/>
        <v/>
      </c>
      <c r="G17" s="66" t="s">
        <v>420</v>
      </c>
      <c r="H17" s="66" t="s">
        <v>420</v>
      </c>
      <c r="I17" s="50" t="e">
        <f t="shared" si="13"/>
        <v>#VALUE!</v>
      </c>
      <c r="J17" s="50" t="e">
        <f t="shared" si="14"/>
        <v>#VALUE!</v>
      </c>
      <c r="K17" s="66">
        <v>0</v>
      </c>
      <c r="L17" s="66">
        <v>0</v>
      </c>
      <c r="M17" s="66">
        <v>0</v>
      </c>
      <c r="N17" s="649">
        <f t="shared" si="15"/>
        <v>0</v>
      </c>
      <c r="O17" s="650">
        <f t="shared" si="16"/>
        <v>0</v>
      </c>
      <c r="P17" s="650">
        <f t="shared" si="17"/>
        <v>0</v>
      </c>
      <c r="Q17" s="180"/>
      <c r="R17" s="662" t="str">
        <f t="shared" si="18"/>
        <v/>
      </c>
      <c r="S17" s="849" t="str">
        <f t="shared" si="19"/>
        <v/>
      </c>
      <c r="T17" s="182" t="str">
        <f t="shared" si="20"/>
        <v/>
      </c>
      <c r="U17" s="183">
        <v>10</v>
      </c>
      <c r="V17" s="186"/>
      <c r="W17" s="663"/>
      <c r="X17" s="653" t="str">
        <f t="shared" si="21"/>
        <v/>
      </c>
      <c r="Y17" s="186"/>
      <c r="Z17" s="186"/>
      <c r="AA17" s="664" t="str">
        <f t="shared" si="22"/>
        <v/>
      </c>
      <c r="AB17" s="186"/>
      <c r="AC17" s="202" t="str">
        <f t="shared" si="23"/>
        <v/>
      </c>
      <c r="AD17" s="665" t="s">
        <v>339</v>
      </c>
      <c r="AE17" s="666" t="str">
        <f t="shared" si="24"/>
        <v/>
      </c>
      <c r="AF17" s="197" t="s">
        <v>261</v>
      </c>
      <c r="AG17" s="666" t="str">
        <f t="shared" si="25"/>
        <v/>
      </c>
      <c r="AH17" s="667" t="s">
        <v>259</v>
      </c>
      <c r="AI17" s="193" t="str">
        <f t="shared" si="53"/>
        <v/>
      </c>
      <c r="AJ17" s="194"/>
      <c r="AK17" s="85">
        <f t="shared" si="1"/>
        <v>9.5000000000000005E-5</v>
      </c>
      <c r="AL17" s="249"/>
      <c r="AM17" s="249"/>
      <c r="AN17" s="194"/>
      <c r="AO17" s="170"/>
      <c r="AP17" s="170"/>
      <c r="AQ17" s="170"/>
      <c r="AR17" s="170"/>
      <c r="AS17" s="170"/>
      <c r="AT17" s="171"/>
      <c r="AU17" s="249"/>
      <c r="AV17" s="668">
        <f t="shared" si="2"/>
        <v>9.5000000000000005E-5</v>
      </c>
      <c r="AW17" s="669" t="str">
        <f t="shared" si="26"/>
        <v/>
      </c>
      <c r="AX17" s="670" t="str">
        <f t="shared" si="27"/>
        <v/>
      </c>
      <c r="AY17" s="671" t="str">
        <f t="shared" si="28"/>
        <v/>
      </c>
      <c r="BT17" s="402">
        <v>9</v>
      </c>
      <c r="BU17" s="201">
        <f t="shared" si="81"/>
        <v>1.8</v>
      </c>
      <c r="BV17" s="201">
        <f t="shared" ref="BV17:BV36" si="82">$Z$40+$BU$13*BT17</f>
        <v>2.6159727062377378</v>
      </c>
      <c r="BW17" s="201" t="e">
        <f t="shared" ref="BW17:BW36" si="83">IF($Z$41&gt;$Z$40,IF(AND($CZ$2,$CJ$5,BV17&lt;=$Z$41+$BX$10+$BU$13,BV17&gt;=$Z$40-$AW$40-$BU$13),BV17,NA()),IF(AND($CZ$2,$CJ$5,BV17&gt;=$Z$41-$BX$10-$BU$13,BV17&lt;=$Z$40+$AW$40+$BU$13),BV17,NA()))</f>
        <v>#N/A</v>
      </c>
      <c r="BX17" s="421">
        <f t="shared" ref="BX17:BX36" si="84">IF(AND($CJ$5,$CZ$2),$BX$14,NA())</f>
        <v>39</v>
      </c>
      <c r="BY17" s="94">
        <f t="shared" si="29"/>
        <v>-999999999999</v>
      </c>
      <c r="BZ17" s="95" t="str">
        <f t="shared" si="30"/>
        <v>zzzzzzzzzzzz</v>
      </c>
      <c r="CA17" s="290">
        <f t="shared" si="63"/>
        <v>-999999999999</v>
      </c>
      <c r="CB17" s="404">
        <f t="shared" si="31"/>
        <v>999</v>
      </c>
      <c r="CC17" s="405">
        <f t="shared" si="32"/>
        <v>999</v>
      </c>
      <c r="CD17" s="428" t="str">
        <f t="shared" si="54"/>
        <v/>
      </c>
      <c r="CE17" s="268" t="s">
        <v>330</v>
      </c>
      <c r="CF17" s="677">
        <f>SQRT(CF16)</f>
        <v>0.15842493140123443</v>
      </c>
      <c r="CG17" s="95" t="b">
        <f t="shared" si="55"/>
        <v>0</v>
      </c>
      <c r="CH17" s="406" t="str">
        <f t="shared" si="56"/>
        <v/>
      </c>
      <c r="CI17" s="50" t="str">
        <f t="shared" si="33"/>
        <v/>
      </c>
      <c r="CJ17" s="50" t="b">
        <f t="shared" si="34"/>
        <v>1</v>
      </c>
      <c r="CK17" s="753" t="b">
        <v>1</v>
      </c>
      <c r="CL17" s="50" t="b">
        <f t="shared" si="35"/>
        <v>0</v>
      </c>
      <c r="CM17" s="50">
        <v>10</v>
      </c>
      <c r="CN17" s="200" t="b">
        <f t="shared" si="36"/>
        <v>0</v>
      </c>
      <c r="CO17" s="90" t="str">
        <f t="shared" si="57"/>
        <v/>
      </c>
      <c r="CP17" s="201" t="str">
        <f t="shared" si="58"/>
        <v/>
      </c>
      <c r="CQ17" s="90" t="e">
        <f t="shared" si="64"/>
        <v>#N/A</v>
      </c>
      <c r="CR17" s="201" t="e">
        <f t="shared" si="37"/>
        <v>#N/A</v>
      </c>
      <c r="CS17" s="50" t="e">
        <f t="shared" si="38"/>
        <v>#N/A</v>
      </c>
      <c r="CT17" s="50" t="e">
        <f t="shared" si="39"/>
        <v>#N/A</v>
      </c>
      <c r="CU17" s="90" t="str">
        <f t="shared" si="59"/>
        <v/>
      </c>
      <c r="CV17" s="90" t="str">
        <f t="shared" si="40"/>
        <v/>
      </c>
      <c r="CW17" s="90" t="str">
        <f t="shared" si="60"/>
        <v/>
      </c>
      <c r="CX17" s="90" t="str">
        <f t="shared" si="61"/>
        <v/>
      </c>
      <c r="CY17" s="90" t="str">
        <f t="shared" si="62"/>
        <v/>
      </c>
      <c r="CZ17" s="90" t="str">
        <f t="shared" si="41"/>
        <v/>
      </c>
      <c r="DA17" s="90" t="str">
        <f t="shared" si="42"/>
        <v/>
      </c>
      <c r="DB17" s="90" t="str">
        <f t="shared" si="43"/>
        <v/>
      </c>
      <c r="DC17" s="106" t="e">
        <f t="shared" si="44"/>
        <v>#N/A</v>
      </c>
      <c r="DD17" s="90" t="e">
        <f t="shared" si="45"/>
        <v>#N/A</v>
      </c>
      <c r="DE17" s="90" t="e">
        <f t="shared" si="46"/>
        <v>#N/A</v>
      </c>
      <c r="DF17" s="90" t="e">
        <f t="shared" si="47"/>
        <v>#N/A</v>
      </c>
      <c r="DG17" s="90" t="e">
        <f t="shared" si="48"/>
        <v>#N/A</v>
      </c>
      <c r="DH17" s="90" t="e">
        <f t="shared" si="49"/>
        <v>#N/A</v>
      </c>
      <c r="DI17" s="90" t="e">
        <f t="shared" si="50"/>
        <v>#N/A</v>
      </c>
      <c r="DJ17" s="90" t="e">
        <f t="shared" si="51"/>
        <v>#N/A</v>
      </c>
      <c r="DK17" s="90" t="e">
        <f t="shared" si="52"/>
        <v>#N/A</v>
      </c>
      <c r="DL17" s="113">
        <v>10</v>
      </c>
      <c r="DM17"/>
      <c r="DN17"/>
      <c r="DO17"/>
      <c r="DP17"/>
      <c r="DQ17"/>
      <c r="DR17"/>
      <c r="DS17" s="307">
        <v>6</v>
      </c>
      <c r="DT17" s="50">
        <f t="shared" si="66"/>
        <v>5.9999999999999831E-2</v>
      </c>
      <c r="DU17" s="90">
        <f t="shared" si="72"/>
        <v>0.24719452464799352</v>
      </c>
      <c r="DV17" s="90" t="e">
        <f t="shared" si="73"/>
        <v>#N/A</v>
      </c>
      <c r="DW17" s="90">
        <f t="shared" si="74"/>
        <v>0.24719452464799352</v>
      </c>
      <c r="DX17" s="90">
        <f t="shared" si="67"/>
        <v>32</v>
      </c>
      <c r="DY17" s="308">
        <f t="shared" si="65"/>
        <v>1.3999999999999934E-2</v>
      </c>
      <c r="DZ17" s="307">
        <f t="shared" si="68"/>
        <v>5.9999999999999942E-2</v>
      </c>
      <c r="EA17" s="90">
        <f t="shared" si="75"/>
        <v>0.54268404710795581</v>
      </c>
      <c r="EB17" s="90">
        <f t="shared" si="76"/>
        <v>0.54268404710795581</v>
      </c>
      <c r="EC17" s="90">
        <f t="shared" si="77"/>
        <v>33</v>
      </c>
      <c r="ED17" s="308">
        <f t="shared" si="78"/>
        <v>1.3999999999999979E-2</v>
      </c>
      <c r="EE17" s="307">
        <f t="shared" si="69"/>
        <v>6.0000000000000164E-2</v>
      </c>
      <c r="EF17" s="90">
        <f t="shared" si="79"/>
        <v>-0.19087607560780961</v>
      </c>
      <c r="EG17" s="90">
        <f t="shared" si="80"/>
        <v>-0.19087607560780961</v>
      </c>
      <c r="EH17" s="90">
        <f t="shared" si="70"/>
        <v>34</v>
      </c>
      <c r="EI17" s="308">
        <f t="shared" si="71"/>
        <v>1.4000000000000066E-2</v>
      </c>
      <c r="EJ17"/>
    </row>
    <row r="18" spans="1:140" ht="12" customHeight="1" x14ac:dyDescent="0.2">
      <c r="A18" s="50" t="str">
        <f t="shared" si="7"/>
        <v/>
      </c>
      <c r="B18" s="50" t="str">
        <f t="shared" si="8"/>
        <v/>
      </c>
      <c r="C18" s="50" t="str">
        <f t="shared" si="9"/>
        <v/>
      </c>
      <c r="D18" s="50" t="str">
        <f t="shared" si="10"/>
        <v/>
      </c>
      <c r="E18" s="50" t="str">
        <f t="shared" si="11"/>
        <v/>
      </c>
      <c r="F18" s="50" t="str">
        <f t="shared" si="12"/>
        <v/>
      </c>
      <c r="G18" s="66" t="s">
        <v>420</v>
      </c>
      <c r="H18" s="66" t="s">
        <v>420</v>
      </c>
      <c r="I18" s="50" t="e">
        <f t="shared" si="13"/>
        <v>#VALUE!</v>
      </c>
      <c r="J18" s="50" t="e">
        <f t="shared" si="14"/>
        <v>#VALUE!</v>
      </c>
      <c r="K18" s="66">
        <v>0</v>
      </c>
      <c r="L18" s="66">
        <v>0</v>
      </c>
      <c r="M18" s="66">
        <v>0</v>
      </c>
      <c r="N18" s="649">
        <f t="shared" si="15"/>
        <v>0</v>
      </c>
      <c r="O18" s="650">
        <f t="shared" si="16"/>
        <v>0</v>
      </c>
      <c r="P18" s="650">
        <f t="shared" si="17"/>
        <v>0</v>
      </c>
      <c r="Q18" s="180"/>
      <c r="R18" s="662" t="str">
        <f t="shared" si="18"/>
        <v/>
      </c>
      <c r="S18" s="849" t="str">
        <f t="shared" si="19"/>
        <v/>
      </c>
      <c r="T18" s="182" t="str">
        <f t="shared" si="20"/>
        <v/>
      </c>
      <c r="U18" s="183">
        <v>11</v>
      </c>
      <c r="V18" s="186"/>
      <c r="W18" s="663"/>
      <c r="X18" s="653" t="str">
        <f t="shared" si="21"/>
        <v/>
      </c>
      <c r="Y18" s="186"/>
      <c r="Z18" s="186"/>
      <c r="AA18" s="679" t="str">
        <f t="shared" si="22"/>
        <v/>
      </c>
      <c r="AB18" s="186"/>
      <c r="AC18" s="202" t="str">
        <f t="shared" si="23"/>
        <v/>
      </c>
      <c r="AD18" s="665" t="s">
        <v>339</v>
      </c>
      <c r="AE18" s="666" t="str">
        <f t="shared" si="24"/>
        <v/>
      </c>
      <c r="AF18" s="197" t="s">
        <v>261</v>
      </c>
      <c r="AG18" s="666" t="str">
        <f t="shared" si="25"/>
        <v/>
      </c>
      <c r="AH18" s="667" t="s">
        <v>259</v>
      </c>
      <c r="AI18" s="193" t="str">
        <f t="shared" si="53"/>
        <v/>
      </c>
      <c r="AJ18" s="194"/>
      <c r="AK18" s="85">
        <f t="shared" si="1"/>
        <v>9.5000000000000005E-5</v>
      </c>
      <c r="AL18" s="249"/>
      <c r="AM18" s="249"/>
      <c r="AN18" s="194"/>
      <c r="AO18" s="170"/>
      <c r="AP18" s="170"/>
      <c r="AQ18" s="170"/>
      <c r="AR18" s="170"/>
      <c r="AS18" s="170"/>
      <c r="AT18" s="171"/>
      <c r="AU18" s="249"/>
      <c r="AV18" s="668">
        <f t="shared" si="2"/>
        <v>9.5000000000000005E-5</v>
      </c>
      <c r="AW18" s="669" t="str">
        <f t="shared" si="26"/>
        <v/>
      </c>
      <c r="AX18" s="670" t="str">
        <f t="shared" si="27"/>
        <v/>
      </c>
      <c r="AY18" s="671" t="str">
        <f t="shared" si="28"/>
        <v/>
      </c>
      <c r="BT18" s="402">
        <v>8</v>
      </c>
      <c r="BU18" s="201">
        <f t="shared" si="81"/>
        <v>1.6</v>
      </c>
      <c r="BV18" s="201">
        <f t="shared" si="82"/>
        <v>2.4159727062377381</v>
      </c>
      <c r="BW18" s="201" t="e">
        <f t="shared" si="83"/>
        <v>#N/A</v>
      </c>
      <c r="BX18" s="421">
        <f t="shared" si="84"/>
        <v>39</v>
      </c>
      <c r="BY18" s="94">
        <f t="shared" si="29"/>
        <v>-999999999999</v>
      </c>
      <c r="BZ18" s="95" t="str">
        <f t="shared" si="30"/>
        <v>zzzzzzzzzzzz</v>
      </c>
      <c r="CA18" s="290">
        <f t="shared" si="63"/>
        <v>-999999999999</v>
      </c>
      <c r="CB18" s="426">
        <f t="shared" si="31"/>
        <v>999</v>
      </c>
      <c r="CC18" s="427">
        <f t="shared" si="32"/>
        <v>999</v>
      </c>
      <c r="CD18" s="428" t="str">
        <f t="shared" si="54"/>
        <v/>
      </c>
      <c r="CE18" s="268" t="s">
        <v>331</v>
      </c>
      <c r="CF18" s="677">
        <f>NORMSINV((100+$AA$2)/200)*CF17</f>
        <v>0.3105071597996481</v>
      </c>
      <c r="CG18" s="95" t="b">
        <f t="shared" si="55"/>
        <v>0</v>
      </c>
      <c r="CH18" s="406" t="str">
        <f t="shared" si="56"/>
        <v/>
      </c>
      <c r="CI18" s="50" t="str">
        <f t="shared" si="33"/>
        <v/>
      </c>
      <c r="CJ18" s="50" t="b">
        <f t="shared" si="34"/>
        <v>1</v>
      </c>
      <c r="CK18" s="753" t="b">
        <v>1</v>
      </c>
      <c r="CL18" s="50" t="b">
        <f t="shared" si="35"/>
        <v>0</v>
      </c>
      <c r="CM18" s="50">
        <v>11</v>
      </c>
      <c r="CN18" s="200" t="b">
        <f t="shared" si="36"/>
        <v>0</v>
      </c>
      <c r="CO18" s="90" t="str">
        <f t="shared" si="57"/>
        <v/>
      </c>
      <c r="CP18" s="201" t="str">
        <f t="shared" si="58"/>
        <v/>
      </c>
      <c r="CQ18" s="90" t="e">
        <f t="shared" si="64"/>
        <v>#N/A</v>
      </c>
      <c r="CR18" s="201" t="e">
        <f t="shared" si="37"/>
        <v>#N/A</v>
      </c>
      <c r="CS18" s="50" t="e">
        <f t="shared" si="38"/>
        <v>#N/A</v>
      </c>
      <c r="CT18" s="50" t="e">
        <f t="shared" si="39"/>
        <v>#N/A</v>
      </c>
      <c r="CU18" s="90" t="str">
        <f t="shared" si="59"/>
        <v/>
      </c>
      <c r="CV18" s="90" t="str">
        <f t="shared" si="40"/>
        <v/>
      </c>
      <c r="CW18" s="90" t="str">
        <f t="shared" si="60"/>
        <v/>
      </c>
      <c r="CX18" s="90" t="str">
        <f t="shared" si="61"/>
        <v/>
      </c>
      <c r="CY18" s="90" t="str">
        <f t="shared" si="62"/>
        <v/>
      </c>
      <c r="CZ18" s="90" t="str">
        <f t="shared" si="41"/>
        <v/>
      </c>
      <c r="DA18" s="90" t="str">
        <f t="shared" si="42"/>
        <v/>
      </c>
      <c r="DB18" s="90" t="str">
        <f t="shared" si="43"/>
        <v/>
      </c>
      <c r="DC18" s="106" t="e">
        <f t="shared" si="44"/>
        <v>#N/A</v>
      </c>
      <c r="DD18" s="90" t="e">
        <f t="shared" si="45"/>
        <v>#N/A</v>
      </c>
      <c r="DE18" s="90" t="e">
        <f t="shared" si="46"/>
        <v>#N/A</v>
      </c>
      <c r="DF18" s="90" t="e">
        <f t="shared" si="47"/>
        <v>#N/A</v>
      </c>
      <c r="DG18" s="90" t="e">
        <f t="shared" si="48"/>
        <v>#N/A</v>
      </c>
      <c r="DH18" s="90" t="e">
        <f t="shared" si="49"/>
        <v>#N/A</v>
      </c>
      <c r="DI18" s="90" t="e">
        <f t="shared" si="50"/>
        <v>#N/A</v>
      </c>
      <c r="DJ18" s="90" t="e">
        <f t="shared" si="51"/>
        <v>#N/A</v>
      </c>
      <c r="DK18" s="90" t="e">
        <f t="shared" si="52"/>
        <v>#N/A</v>
      </c>
      <c r="DL18" s="113">
        <v>11</v>
      </c>
      <c r="DM18"/>
      <c r="DN18"/>
      <c r="DO18"/>
      <c r="DP18"/>
      <c r="DQ18"/>
      <c r="DR18"/>
      <c r="DS18" s="307">
        <v>7</v>
      </c>
      <c r="DT18" s="50">
        <f t="shared" si="66"/>
        <v>6.9999999999999951E-2</v>
      </c>
      <c r="DU18" s="90">
        <f t="shared" si="72"/>
        <v>0.25029959624599002</v>
      </c>
      <c r="DV18" s="90" t="e">
        <f t="shared" si="73"/>
        <v>#N/A</v>
      </c>
      <c r="DW18" s="90">
        <f t="shared" si="74"/>
        <v>0.25029959624599002</v>
      </c>
      <c r="DX18" s="90">
        <f t="shared" si="67"/>
        <v>32</v>
      </c>
      <c r="DY18" s="308">
        <f t="shared" si="65"/>
        <v>1.7999999999999981E-2</v>
      </c>
      <c r="DZ18" s="307">
        <f t="shared" si="68"/>
        <v>6.9999999999999951E-2</v>
      </c>
      <c r="EA18" s="90">
        <f t="shared" si="75"/>
        <v>0.54559137326891094</v>
      </c>
      <c r="EB18" s="90">
        <f t="shared" si="76"/>
        <v>0.54559137326891094</v>
      </c>
      <c r="EC18" s="90">
        <f t="shared" si="77"/>
        <v>33</v>
      </c>
      <c r="ED18" s="308">
        <f t="shared" si="78"/>
        <v>1.7999999999999981E-2</v>
      </c>
      <c r="EE18" s="307">
        <f t="shared" si="69"/>
        <v>7.0000000000000062E-2</v>
      </c>
      <c r="EF18" s="90">
        <f t="shared" si="79"/>
        <v>-0.18833203747498908</v>
      </c>
      <c r="EG18" s="90">
        <f t="shared" si="80"/>
        <v>-0.18833203747498908</v>
      </c>
      <c r="EH18" s="90">
        <f t="shared" si="70"/>
        <v>34</v>
      </c>
      <c r="EI18" s="308">
        <f t="shared" si="71"/>
        <v>1.8000000000000023E-2</v>
      </c>
      <c r="EJ18"/>
    </row>
    <row r="19" spans="1:140" ht="12" customHeight="1" x14ac:dyDescent="0.2">
      <c r="A19" s="50" t="str">
        <f t="shared" si="7"/>
        <v/>
      </c>
      <c r="B19" s="50" t="str">
        <f t="shared" si="8"/>
        <v/>
      </c>
      <c r="C19" s="50" t="str">
        <f t="shared" si="9"/>
        <v/>
      </c>
      <c r="D19" s="50" t="str">
        <f t="shared" si="10"/>
        <v/>
      </c>
      <c r="E19" s="50" t="str">
        <f t="shared" si="11"/>
        <v/>
      </c>
      <c r="F19" s="50" t="str">
        <f t="shared" si="12"/>
        <v/>
      </c>
      <c r="G19" s="66" t="s">
        <v>420</v>
      </c>
      <c r="H19" s="66" t="s">
        <v>420</v>
      </c>
      <c r="I19" s="50" t="e">
        <f t="shared" si="13"/>
        <v>#VALUE!</v>
      </c>
      <c r="J19" s="50" t="e">
        <f t="shared" si="14"/>
        <v>#VALUE!</v>
      </c>
      <c r="K19" s="66">
        <v>0</v>
      </c>
      <c r="L19" s="66">
        <v>0</v>
      </c>
      <c r="M19" s="66">
        <v>0</v>
      </c>
      <c r="N19" s="649">
        <f t="shared" si="15"/>
        <v>0</v>
      </c>
      <c r="O19" s="650">
        <f t="shared" si="16"/>
        <v>0</v>
      </c>
      <c r="P19" s="650">
        <f t="shared" si="17"/>
        <v>0</v>
      </c>
      <c r="Q19" s="180"/>
      <c r="R19" s="662" t="str">
        <f t="shared" si="18"/>
        <v/>
      </c>
      <c r="S19" s="849" t="str">
        <f t="shared" si="19"/>
        <v/>
      </c>
      <c r="T19" s="182" t="str">
        <f t="shared" si="20"/>
        <v/>
      </c>
      <c r="U19" s="183">
        <v>12</v>
      </c>
      <c r="V19" s="186"/>
      <c r="W19" s="663"/>
      <c r="X19" s="653" t="str">
        <f t="shared" si="21"/>
        <v/>
      </c>
      <c r="Y19" s="186"/>
      <c r="Z19" s="186"/>
      <c r="AA19" s="679" t="str">
        <f t="shared" si="22"/>
        <v/>
      </c>
      <c r="AB19" s="186"/>
      <c r="AC19" s="202" t="str">
        <f t="shared" si="23"/>
        <v/>
      </c>
      <c r="AD19" s="665" t="s">
        <v>339</v>
      </c>
      <c r="AE19" s="666" t="str">
        <f t="shared" si="24"/>
        <v/>
      </c>
      <c r="AF19" s="197" t="s">
        <v>261</v>
      </c>
      <c r="AG19" s="666" t="str">
        <f t="shared" si="25"/>
        <v/>
      </c>
      <c r="AH19" s="667" t="s">
        <v>259</v>
      </c>
      <c r="AI19" s="193" t="str">
        <f t="shared" si="53"/>
        <v/>
      </c>
      <c r="AJ19" s="194"/>
      <c r="AK19" s="85">
        <f t="shared" si="1"/>
        <v>9.5000000000000005E-5</v>
      </c>
      <c r="AL19" s="249"/>
      <c r="AM19" s="249"/>
      <c r="AN19" s="194"/>
      <c r="AO19" s="170"/>
      <c r="AP19" s="170"/>
      <c r="AQ19" s="170"/>
      <c r="AR19" s="170"/>
      <c r="AS19" s="170"/>
      <c r="AT19" s="171"/>
      <c r="AU19" s="249"/>
      <c r="AV19" s="668">
        <f t="shared" si="2"/>
        <v>9.5000000000000005E-5</v>
      </c>
      <c r="AW19" s="669" t="str">
        <f t="shared" si="26"/>
        <v/>
      </c>
      <c r="AX19" s="670" t="str">
        <f t="shared" si="27"/>
        <v/>
      </c>
      <c r="AY19" s="671" t="str">
        <f t="shared" si="28"/>
        <v/>
      </c>
      <c r="BT19" s="402">
        <v>7</v>
      </c>
      <c r="BU19" s="201">
        <f t="shared" si="81"/>
        <v>1.4000000000000001</v>
      </c>
      <c r="BV19" s="201">
        <f t="shared" si="82"/>
        <v>2.2159727062377379</v>
      </c>
      <c r="BW19" s="201" t="e">
        <f t="shared" si="83"/>
        <v>#N/A</v>
      </c>
      <c r="BX19" s="421">
        <f t="shared" si="84"/>
        <v>39</v>
      </c>
      <c r="BY19" s="94">
        <f t="shared" si="29"/>
        <v>-999999999999</v>
      </c>
      <c r="BZ19" s="95" t="str">
        <f t="shared" si="30"/>
        <v>zzzzzzzzzzzz</v>
      </c>
      <c r="CA19" s="290">
        <f t="shared" si="63"/>
        <v>-999999999999</v>
      </c>
      <c r="CB19" s="404">
        <f t="shared" si="31"/>
        <v>999</v>
      </c>
      <c r="CC19" s="405">
        <f t="shared" si="32"/>
        <v>999</v>
      </c>
      <c r="CD19" s="428" t="str">
        <f t="shared" si="54"/>
        <v/>
      </c>
      <c r="CE19" s="268" t="s">
        <v>332</v>
      </c>
      <c r="CF19" s="677">
        <f>CF15-CF18</f>
        <v>0.22856409506001468</v>
      </c>
      <c r="CG19" s="95" t="b">
        <f t="shared" si="55"/>
        <v>0</v>
      </c>
      <c r="CH19" s="406" t="str">
        <f t="shared" si="56"/>
        <v/>
      </c>
      <c r="CI19" s="50" t="str">
        <f t="shared" si="33"/>
        <v/>
      </c>
      <c r="CJ19" s="50" t="b">
        <f t="shared" si="34"/>
        <v>1</v>
      </c>
      <c r="CK19" s="753" t="b">
        <v>1</v>
      </c>
      <c r="CL19" s="50" t="b">
        <f t="shared" si="35"/>
        <v>0</v>
      </c>
      <c r="CM19" s="50">
        <v>12</v>
      </c>
      <c r="CN19" s="200" t="b">
        <f t="shared" si="36"/>
        <v>0</v>
      </c>
      <c r="CO19" s="90" t="str">
        <f t="shared" si="57"/>
        <v/>
      </c>
      <c r="CP19" s="201" t="str">
        <f t="shared" si="58"/>
        <v/>
      </c>
      <c r="CQ19" s="90" t="e">
        <f t="shared" si="64"/>
        <v>#N/A</v>
      </c>
      <c r="CR19" s="201" t="e">
        <f t="shared" si="37"/>
        <v>#N/A</v>
      </c>
      <c r="CS19" s="50" t="e">
        <f t="shared" si="38"/>
        <v>#N/A</v>
      </c>
      <c r="CT19" s="50" t="e">
        <f t="shared" si="39"/>
        <v>#N/A</v>
      </c>
      <c r="CU19" s="90" t="str">
        <f t="shared" si="59"/>
        <v/>
      </c>
      <c r="CV19" s="90" t="str">
        <f t="shared" si="40"/>
        <v/>
      </c>
      <c r="CW19" s="90" t="str">
        <f t="shared" si="60"/>
        <v/>
      </c>
      <c r="CX19" s="90" t="str">
        <f t="shared" si="61"/>
        <v/>
      </c>
      <c r="CY19" s="90" t="str">
        <f t="shared" si="62"/>
        <v/>
      </c>
      <c r="CZ19" s="90" t="str">
        <f t="shared" si="41"/>
        <v/>
      </c>
      <c r="DA19" s="90" t="str">
        <f t="shared" si="42"/>
        <v/>
      </c>
      <c r="DB19" s="90" t="str">
        <f t="shared" si="43"/>
        <v/>
      </c>
      <c r="DC19" s="106" t="e">
        <f t="shared" si="44"/>
        <v>#N/A</v>
      </c>
      <c r="DD19" s="90" t="e">
        <f t="shared" si="45"/>
        <v>#N/A</v>
      </c>
      <c r="DE19" s="90" t="e">
        <f t="shared" si="46"/>
        <v>#N/A</v>
      </c>
      <c r="DF19" s="90" t="e">
        <f t="shared" si="47"/>
        <v>#N/A</v>
      </c>
      <c r="DG19" s="90" t="e">
        <f t="shared" si="48"/>
        <v>#N/A</v>
      </c>
      <c r="DH19" s="90" t="e">
        <f t="shared" si="49"/>
        <v>#N/A</v>
      </c>
      <c r="DI19" s="90" t="e">
        <f t="shared" si="50"/>
        <v>#N/A</v>
      </c>
      <c r="DJ19" s="90" t="e">
        <f t="shared" si="51"/>
        <v>#N/A</v>
      </c>
      <c r="DK19" s="90" t="e">
        <f t="shared" si="52"/>
        <v>#N/A</v>
      </c>
      <c r="DL19" s="113">
        <v>12</v>
      </c>
      <c r="DM19"/>
      <c r="DN19"/>
      <c r="DO19"/>
      <c r="DP19"/>
      <c r="DQ19"/>
      <c r="DR19"/>
      <c r="DS19" s="307">
        <v>8</v>
      </c>
      <c r="DT19" s="50">
        <f t="shared" si="66"/>
        <v>7.999999999999996E-2</v>
      </c>
      <c r="DU19" s="90">
        <f t="shared" si="72"/>
        <v>0.25340466784398652</v>
      </c>
      <c r="DV19" s="90" t="e">
        <f t="shared" si="73"/>
        <v>#N/A</v>
      </c>
      <c r="DW19" s="90">
        <f t="shared" si="74"/>
        <v>0.25340466784398652</v>
      </c>
      <c r="DX19" s="90">
        <f t="shared" si="67"/>
        <v>32</v>
      </c>
      <c r="DY19" s="308">
        <f t="shared" si="65"/>
        <v>2.1999999999999985E-2</v>
      </c>
      <c r="DZ19" s="307">
        <f t="shared" si="68"/>
        <v>7.999999999999996E-2</v>
      </c>
      <c r="EA19" s="90">
        <f t="shared" si="75"/>
        <v>0.54849869942986607</v>
      </c>
      <c r="EB19" s="90">
        <f t="shared" si="76"/>
        <v>0.54849869942986607</v>
      </c>
      <c r="EC19" s="90">
        <f t="shared" si="77"/>
        <v>33</v>
      </c>
      <c r="ED19" s="308">
        <f t="shared" si="78"/>
        <v>2.1999999999999985E-2</v>
      </c>
      <c r="EE19" s="307">
        <f t="shared" si="69"/>
        <v>8.0000000000000182E-2</v>
      </c>
      <c r="EF19" s="90">
        <f t="shared" si="79"/>
        <v>-0.18578799934216855</v>
      </c>
      <c r="EG19" s="90">
        <f t="shared" si="80"/>
        <v>-0.18578799934216855</v>
      </c>
      <c r="EH19" s="90">
        <f t="shared" si="70"/>
        <v>34</v>
      </c>
      <c r="EI19" s="308">
        <f t="shared" si="71"/>
        <v>2.2000000000000075E-2</v>
      </c>
      <c r="EJ19"/>
    </row>
    <row r="20" spans="1:140" ht="12" customHeight="1" x14ac:dyDescent="0.2">
      <c r="A20" s="50" t="str">
        <f t="shared" si="7"/>
        <v/>
      </c>
      <c r="B20" s="50" t="str">
        <f t="shared" si="8"/>
        <v/>
      </c>
      <c r="C20" s="50" t="str">
        <f t="shared" si="9"/>
        <v/>
      </c>
      <c r="D20" s="50" t="str">
        <f t="shared" si="10"/>
        <v/>
      </c>
      <c r="E20" s="50" t="str">
        <f t="shared" si="11"/>
        <v/>
      </c>
      <c r="F20" s="50" t="str">
        <f t="shared" si="12"/>
        <v/>
      </c>
      <c r="G20" s="66" t="s">
        <v>420</v>
      </c>
      <c r="H20" s="66" t="s">
        <v>420</v>
      </c>
      <c r="I20" s="50" t="e">
        <f t="shared" si="13"/>
        <v>#VALUE!</v>
      </c>
      <c r="J20" s="50" t="e">
        <f t="shared" si="14"/>
        <v>#VALUE!</v>
      </c>
      <c r="K20" s="66">
        <v>0</v>
      </c>
      <c r="L20" s="66">
        <v>0</v>
      </c>
      <c r="M20" s="66">
        <v>0</v>
      </c>
      <c r="N20" s="649">
        <f t="shared" si="15"/>
        <v>0</v>
      </c>
      <c r="O20" s="650">
        <f t="shared" si="16"/>
        <v>0</v>
      </c>
      <c r="P20" s="650">
        <f t="shared" si="17"/>
        <v>0</v>
      </c>
      <c r="Q20" s="180"/>
      <c r="R20" s="662" t="str">
        <f t="shared" si="18"/>
        <v/>
      </c>
      <c r="S20" s="849" t="str">
        <f t="shared" si="19"/>
        <v/>
      </c>
      <c r="T20" s="182" t="str">
        <f t="shared" si="20"/>
        <v/>
      </c>
      <c r="U20" s="183">
        <v>13</v>
      </c>
      <c r="V20" s="186"/>
      <c r="W20" s="663"/>
      <c r="X20" s="653" t="str">
        <f t="shared" si="21"/>
        <v/>
      </c>
      <c r="Y20" s="186"/>
      <c r="Z20" s="186"/>
      <c r="AA20" s="679" t="str">
        <f t="shared" si="22"/>
        <v/>
      </c>
      <c r="AB20" s="186"/>
      <c r="AC20" s="202" t="str">
        <f t="shared" si="23"/>
        <v/>
      </c>
      <c r="AD20" s="665" t="s">
        <v>339</v>
      </c>
      <c r="AE20" s="666" t="str">
        <f t="shared" si="24"/>
        <v/>
      </c>
      <c r="AF20" s="197" t="s">
        <v>261</v>
      </c>
      <c r="AG20" s="666" t="str">
        <f t="shared" si="25"/>
        <v/>
      </c>
      <c r="AH20" s="667" t="s">
        <v>259</v>
      </c>
      <c r="AI20" s="193" t="str">
        <f t="shared" si="53"/>
        <v/>
      </c>
      <c r="AJ20" s="194"/>
      <c r="AK20" s="85">
        <f t="shared" si="1"/>
        <v>9.5000000000000005E-5</v>
      </c>
      <c r="AL20" s="249"/>
      <c r="AM20" s="249"/>
      <c r="AN20" s="194"/>
      <c r="AO20" s="170"/>
      <c r="AP20" s="170"/>
      <c r="AQ20" s="170"/>
      <c r="AR20" s="170"/>
      <c r="AS20" s="170"/>
      <c r="AT20" s="171"/>
      <c r="AU20" s="249"/>
      <c r="AV20" s="668">
        <f t="shared" si="2"/>
        <v>9.5000000000000005E-5</v>
      </c>
      <c r="AW20" s="669" t="str">
        <f t="shared" si="26"/>
        <v/>
      </c>
      <c r="AX20" s="670" t="str">
        <f t="shared" si="27"/>
        <v/>
      </c>
      <c r="AY20" s="671" t="str">
        <f t="shared" si="28"/>
        <v/>
      </c>
      <c r="BT20" s="402">
        <v>6</v>
      </c>
      <c r="BU20" s="201">
        <f t="shared" si="81"/>
        <v>1.2000000000000002</v>
      </c>
      <c r="BV20" s="201">
        <f t="shared" si="82"/>
        <v>2.0159727062377382</v>
      </c>
      <c r="BW20" s="201" t="e">
        <f t="shared" si="83"/>
        <v>#N/A</v>
      </c>
      <c r="BX20" s="421">
        <f t="shared" si="84"/>
        <v>39</v>
      </c>
      <c r="BY20" s="94">
        <f t="shared" si="29"/>
        <v>-999999999999</v>
      </c>
      <c r="BZ20" s="95" t="str">
        <f t="shared" si="30"/>
        <v>zzzzzzzzzzzz</v>
      </c>
      <c r="CA20" s="290">
        <f t="shared" si="63"/>
        <v>-999999999999</v>
      </c>
      <c r="CB20" s="404">
        <f t="shared" si="31"/>
        <v>999</v>
      </c>
      <c r="CC20" s="405">
        <f t="shared" si="32"/>
        <v>999</v>
      </c>
      <c r="CD20" s="428" t="str">
        <f t="shared" si="54"/>
        <v/>
      </c>
      <c r="CE20" s="268" t="s">
        <v>333</v>
      </c>
      <c r="CF20" s="677">
        <f>CF15+CF18</f>
        <v>0.84957841465931083</v>
      </c>
      <c r="CG20" s="95" t="b">
        <f t="shared" si="55"/>
        <v>0</v>
      </c>
      <c r="CH20" s="406" t="str">
        <f t="shared" si="56"/>
        <v/>
      </c>
      <c r="CI20" s="50" t="str">
        <f t="shared" si="33"/>
        <v/>
      </c>
      <c r="CJ20" s="50" t="b">
        <f t="shared" si="34"/>
        <v>1</v>
      </c>
      <c r="CK20" s="753" t="b">
        <v>1</v>
      </c>
      <c r="CL20" s="50" t="b">
        <f t="shared" si="35"/>
        <v>0</v>
      </c>
      <c r="CM20" s="50">
        <v>13</v>
      </c>
      <c r="CN20" s="200" t="b">
        <f t="shared" si="36"/>
        <v>0</v>
      </c>
      <c r="CO20" s="90" t="str">
        <f t="shared" si="57"/>
        <v/>
      </c>
      <c r="CP20" s="201" t="str">
        <f t="shared" si="58"/>
        <v/>
      </c>
      <c r="CQ20" s="90" t="e">
        <f t="shared" si="64"/>
        <v>#N/A</v>
      </c>
      <c r="CR20" s="201" t="e">
        <f t="shared" si="37"/>
        <v>#N/A</v>
      </c>
      <c r="CS20" s="50" t="e">
        <f t="shared" si="38"/>
        <v>#N/A</v>
      </c>
      <c r="CT20" s="50" t="e">
        <f t="shared" si="39"/>
        <v>#N/A</v>
      </c>
      <c r="CU20" s="90" t="str">
        <f t="shared" si="59"/>
        <v/>
      </c>
      <c r="CV20" s="90" t="str">
        <f t="shared" si="40"/>
        <v/>
      </c>
      <c r="CW20" s="90" t="str">
        <f t="shared" si="60"/>
        <v/>
      </c>
      <c r="CX20" s="90" t="str">
        <f t="shared" si="61"/>
        <v/>
      </c>
      <c r="CY20" s="90" t="str">
        <f t="shared" si="62"/>
        <v/>
      </c>
      <c r="CZ20" s="90" t="str">
        <f t="shared" si="41"/>
        <v/>
      </c>
      <c r="DA20" s="90" t="str">
        <f t="shared" si="42"/>
        <v/>
      </c>
      <c r="DB20" s="90" t="str">
        <f t="shared" si="43"/>
        <v/>
      </c>
      <c r="DC20" s="106" t="e">
        <f t="shared" si="44"/>
        <v>#N/A</v>
      </c>
      <c r="DD20" s="90" t="e">
        <f t="shared" si="45"/>
        <v>#N/A</v>
      </c>
      <c r="DE20" s="90" t="e">
        <f t="shared" si="46"/>
        <v>#N/A</v>
      </c>
      <c r="DF20" s="90" t="e">
        <f t="shared" si="47"/>
        <v>#N/A</v>
      </c>
      <c r="DG20" s="90" t="e">
        <f t="shared" si="48"/>
        <v>#N/A</v>
      </c>
      <c r="DH20" s="90" t="e">
        <f t="shared" si="49"/>
        <v>#N/A</v>
      </c>
      <c r="DI20" s="90" t="e">
        <f t="shared" si="50"/>
        <v>#N/A</v>
      </c>
      <c r="DJ20" s="90" t="e">
        <f t="shared" si="51"/>
        <v>#N/A</v>
      </c>
      <c r="DK20" s="90" t="e">
        <f t="shared" si="52"/>
        <v>#N/A</v>
      </c>
      <c r="DL20" s="113">
        <v>13</v>
      </c>
      <c r="DM20"/>
      <c r="DN20"/>
      <c r="DO20"/>
      <c r="DP20"/>
      <c r="DQ20"/>
      <c r="DR20"/>
      <c r="DS20" s="307">
        <v>9</v>
      </c>
      <c r="DT20" s="50">
        <f t="shared" si="66"/>
        <v>9.000000000000008E-2</v>
      </c>
      <c r="DU20" s="90">
        <f t="shared" si="72"/>
        <v>0.25650973944198302</v>
      </c>
      <c r="DV20" s="90" t="e">
        <f t="shared" si="73"/>
        <v>#N/A</v>
      </c>
      <c r="DW20" s="90">
        <f t="shared" si="74"/>
        <v>0.25650973944198302</v>
      </c>
      <c r="DX20" s="90">
        <f t="shared" si="67"/>
        <v>32</v>
      </c>
      <c r="DY20" s="308">
        <f t="shared" si="65"/>
        <v>2.600000000000003E-2</v>
      </c>
      <c r="DZ20" s="307">
        <f t="shared" si="68"/>
        <v>8.9999999999999969E-2</v>
      </c>
      <c r="EA20" s="90">
        <f t="shared" si="75"/>
        <v>0.55140602559082119</v>
      </c>
      <c r="EB20" s="90">
        <f t="shared" si="76"/>
        <v>0.55140602559082119</v>
      </c>
      <c r="EC20" s="90">
        <f t="shared" si="77"/>
        <v>33</v>
      </c>
      <c r="ED20" s="308">
        <f t="shared" si="78"/>
        <v>2.5999999999999988E-2</v>
      </c>
      <c r="EE20" s="307">
        <f t="shared" si="69"/>
        <v>9.000000000000008E-2</v>
      </c>
      <c r="EF20" s="90">
        <f t="shared" si="79"/>
        <v>-0.18324396120934802</v>
      </c>
      <c r="EG20" s="90">
        <f t="shared" si="80"/>
        <v>-0.18324396120934802</v>
      </c>
      <c r="EH20" s="90">
        <f t="shared" si="70"/>
        <v>34</v>
      </c>
      <c r="EI20" s="308">
        <f t="shared" si="71"/>
        <v>2.600000000000003E-2</v>
      </c>
      <c r="EJ20"/>
    </row>
    <row r="21" spans="1:140" ht="12" customHeight="1" x14ac:dyDescent="0.2">
      <c r="A21" s="50" t="str">
        <f t="shared" si="7"/>
        <v/>
      </c>
      <c r="B21" s="50" t="str">
        <f t="shared" si="8"/>
        <v/>
      </c>
      <c r="C21" s="50" t="str">
        <f t="shared" si="9"/>
        <v/>
      </c>
      <c r="D21" s="50" t="str">
        <f t="shared" si="10"/>
        <v/>
      </c>
      <c r="E21" s="50" t="str">
        <f t="shared" si="11"/>
        <v/>
      </c>
      <c r="F21" s="50" t="str">
        <f t="shared" si="12"/>
        <v/>
      </c>
      <c r="G21" s="66" t="s">
        <v>420</v>
      </c>
      <c r="H21" s="66" t="s">
        <v>420</v>
      </c>
      <c r="I21" s="50" t="e">
        <f t="shared" si="13"/>
        <v>#VALUE!</v>
      </c>
      <c r="J21" s="50" t="e">
        <f t="shared" si="14"/>
        <v>#VALUE!</v>
      </c>
      <c r="K21" s="66">
        <v>0</v>
      </c>
      <c r="L21" s="66">
        <v>0</v>
      </c>
      <c r="M21" s="66">
        <v>0</v>
      </c>
      <c r="N21" s="649">
        <f t="shared" si="15"/>
        <v>0</v>
      </c>
      <c r="O21" s="650">
        <f t="shared" si="16"/>
        <v>0</v>
      </c>
      <c r="P21" s="650">
        <f t="shared" si="17"/>
        <v>0</v>
      </c>
      <c r="Q21" s="180"/>
      <c r="R21" s="662" t="str">
        <f t="shared" si="18"/>
        <v/>
      </c>
      <c r="S21" s="849" t="str">
        <f t="shared" si="19"/>
        <v/>
      </c>
      <c r="T21" s="182" t="str">
        <f t="shared" si="20"/>
        <v/>
      </c>
      <c r="U21" s="183">
        <v>14</v>
      </c>
      <c r="V21" s="186"/>
      <c r="W21" s="663"/>
      <c r="X21" s="653" t="str">
        <f t="shared" si="21"/>
        <v/>
      </c>
      <c r="Y21" s="186"/>
      <c r="Z21" s="186"/>
      <c r="AA21" s="679" t="str">
        <f t="shared" si="22"/>
        <v/>
      </c>
      <c r="AB21" s="186"/>
      <c r="AC21" s="202" t="str">
        <f t="shared" si="23"/>
        <v/>
      </c>
      <c r="AD21" s="665" t="s">
        <v>339</v>
      </c>
      <c r="AE21" s="666" t="str">
        <f t="shared" si="24"/>
        <v/>
      </c>
      <c r="AF21" s="197" t="s">
        <v>261</v>
      </c>
      <c r="AG21" s="666" t="str">
        <f t="shared" si="25"/>
        <v/>
      </c>
      <c r="AH21" s="667" t="s">
        <v>259</v>
      </c>
      <c r="AI21" s="193" t="str">
        <f t="shared" si="53"/>
        <v/>
      </c>
      <c r="AJ21" s="194"/>
      <c r="AK21" s="85">
        <f t="shared" si="1"/>
        <v>9.5000000000000005E-5</v>
      </c>
      <c r="AL21" s="249"/>
      <c r="AM21" s="249"/>
      <c r="AN21" s="194"/>
      <c r="AO21" s="170"/>
      <c r="AP21" s="170"/>
      <c r="AQ21" s="170"/>
      <c r="AR21" s="170"/>
      <c r="AS21" s="170"/>
      <c r="AT21" s="171"/>
      <c r="AU21" s="249"/>
      <c r="AV21" s="668">
        <f t="shared" si="2"/>
        <v>9.5000000000000005E-5</v>
      </c>
      <c r="AW21" s="669" t="str">
        <f t="shared" si="26"/>
        <v/>
      </c>
      <c r="AX21" s="670" t="str">
        <f t="shared" si="27"/>
        <v/>
      </c>
      <c r="AY21" s="671" t="str">
        <f t="shared" si="28"/>
        <v/>
      </c>
      <c r="BT21" s="402">
        <v>5</v>
      </c>
      <c r="BU21" s="201">
        <f t="shared" si="81"/>
        <v>1</v>
      </c>
      <c r="BV21" s="201">
        <f t="shared" si="82"/>
        <v>1.815972706237738</v>
      </c>
      <c r="BW21" s="201" t="e">
        <f t="shared" si="83"/>
        <v>#N/A</v>
      </c>
      <c r="BX21" s="421">
        <f t="shared" si="84"/>
        <v>39</v>
      </c>
      <c r="BY21" s="94">
        <f t="shared" si="29"/>
        <v>-999999999999</v>
      </c>
      <c r="BZ21" s="95" t="str">
        <f t="shared" si="30"/>
        <v>zzzzzzzzzzzz</v>
      </c>
      <c r="CA21" s="290">
        <f t="shared" si="63"/>
        <v>-999999999999</v>
      </c>
      <c r="CB21" s="404">
        <f t="shared" si="31"/>
        <v>999</v>
      </c>
      <c r="CC21" s="405">
        <f t="shared" si="32"/>
        <v>999</v>
      </c>
      <c r="CD21" s="428" t="str">
        <f t="shared" si="54"/>
        <v/>
      </c>
      <c r="CE21" s="268" t="s">
        <v>315</v>
      </c>
      <c r="CF21" s="677">
        <f>(CF15-$CO$4)/CF17</f>
        <v>3.4026920516341308</v>
      </c>
      <c r="CG21" s="95" t="b">
        <f t="shared" si="55"/>
        <v>0</v>
      </c>
      <c r="CH21" s="406" t="str">
        <f t="shared" si="56"/>
        <v/>
      </c>
      <c r="CI21" s="50" t="str">
        <f t="shared" si="33"/>
        <v/>
      </c>
      <c r="CJ21" s="50" t="b">
        <f t="shared" si="34"/>
        <v>1</v>
      </c>
      <c r="CK21" s="753" t="b">
        <v>1</v>
      </c>
      <c r="CL21" s="50" t="b">
        <f t="shared" si="35"/>
        <v>0</v>
      </c>
      <c r="CM21" s="50">
        <v>14</v>
      </c>
      <c r="CN21" s="200" t="b">
        <f t="shared" si="36"/>
        <v>0</v>
      </c>
      <c r="CO21" s="90" t="str">
        <f t="shared" si="57"/>
        <v/>
      </c>
      <c r="CP21" s="201" t="str">
        <f t="shared" si="58"/>
        <v/>
      </c>
      <c r="CQ21" s="90" t="e">
        <f t="shared" si="64"/>
        <v>#N/A</v>
      </c>
      <c r="CR21" s="201" t="e">
        <f t="shared" si="37"/>
        <v>#N/A</v>
      </c>
      <c r="CS21" s="50" t="e">
        <f t="shared" si="38"/>
        <v>#N/A</v>
      </c>
      <c r="CT21" s="50" t="e">
        <f t="shared" si="39"/>
        <v>#N/A</v>
      </c>
      <c r="CU21" s="90" t="str">
        <f t="shared" si="59"/>
        <v/>
      </c>
      <c r="CV21" s="90" t="str">
        <f t="shared" si="40"/>
        <v/>
      </c>
      <c r="CW21" s="90" t="str">
        <f t="shared" si="60"/>
        <v/>
      </c>
      <c r="CX21" s="90" t="str">
        <f t="shared" si="61"/>
        <v/>
      </c>
      <c r="CY21" s="90" t="str">
        <f t="shared" si="62"/>
        <v/>
      </c>
      <c r="CZ21" s="90" t="str">
        <f t="shared" si="41"/>
        <v/>
      </c>
      <c r="DA21" s="90" t="str">
        <f t="shared" si="42"/>
        <v/>
      </c>
      <c r="DB21" s="90" t="str">
        <f t="shared" si="43"/>
        <v/>
      </c>
      <c r="DC21" s="106" t="e">
        <f t="shared" si="44"/>
        <v>#N/A</v>
      </c>
      <c r="DD21" s="90" t="e">
        <f t="shared" si="45"/>
        <v>#N/A</v>
      </c>
      <c r="DE21" s="90" t="e">
        <f t="shared" si="46"/>
        <v>#N/A</v>
      </c>
      <c r="DF21" s="90" t="e">
        <f t="shared" si="47"/>
        <v>#N/A</v>
      </c>
      <c r="DG21" s="90" t="e">
        <f t="shared" si="48"/>
        <v>#N/A</v>
      </c>
      <c r="DH21" s="90" t="e">
        <f t="shared" si="49"/>
        <v>#N/A</v>
      </c>
      <c r="DI21" s="90" t="e">
        <f t="shared" si="50"/>
        <v>#N/A</v>
      </c>
      <c r="DJ21" s="90" t="e">
        <f t="shared" si="51"/>
        <v>#N/A</v>
      </c>
      <c r="DK21" s="90" t="e">
        <f t="shared" si="52"/>
        <v>#N/A</v>
      </c>
      <c r="DL21" s="113">
        <v>14</v>
      </c>
      <c r="DM21"/>
      <c r="DN21"/>
      <c r="DO21"/>
      <c r="DP21"/>
      <c r="DQ21"/>
      <c r="DR21"/>
      <c r="DS21" s="307">
        <v>10</v>
      </c>
      <c r="DT21" s="50">
        <f t="shared" si="66"/>
        <v>0.10000000000000009</v>
      </c>
      <c r="DU21" s="90">
        <f t="shared" si="72"/>
        <v>0.25961481103997952</v>
      </c>
      <c r="DV21" s="90" t="e">
        <f t="shared" si="73"/>
        <v>#N/A</v>
      </c>
      <c r="DW21" s="90">
        <f t="shared" si="74"/>
        <v>0.25961481103997952</v>
      </c>
      <c r="DX21" s="90">
        <f t="shared" si="67"/>
        <v>32</v>
      </c>
      <c r="DY21" s="308">
        <f t="shared" si="65"/>
        <v>3.0000000000000034E-2</v>
      </c>
      <c r="DZ21" s="307">
        <f t="shared" si="68"/>
        <v>9.9999999999999978E-2</v>
      </c>
      <c r="EA21" s="90">
        <f t="shared" si="75"/>
        <v>0.55431335175177632</v>
      </c>
      <c r="EB21" s="90">
        <f t="shared" si="76"/>
        <v>0.55431335175177632</v>
      </c>
      <c r="EC21" s="90">
        <f t="shared" si="77"/>
        <v>33</v>
      </c>
      <c r="ED21" s="308">
        <f t="shared" si="78"/>
        <v>2.9999999999999992E-2</v>
      </c>
      <c r="EE21" s="307">
        <f t="shared" si="69"/>
        <v>0.10000000000000031</v>
      </c>
      <c r="EF21" s="90">
        <f t="shared" si="79"/>
        <v>-0.18069992307652749</v>
      </c>
      <c r="EG21" s="90">
        <f t="shared" si="80"/>
        <v>-0.18069992307652749</v>
      </c>
      <c r="EH21" s="90">
        <f t="shared" si="70"/>
        <v>34</v>
      </c>
      <c r="EI21" s="308">
        <f t="shared" si="71"/>
        <v>3.0000000000000124E-2</v>
      </c>
      <c r="EJ21"/>
    </row>
    <row r="22" spans="1:140" ht="12" customHeight="1" x14ac:dyDescent="0.2">
      <c r="A22" s="50" t="str">
        <f t="shared" si="7"/>
        <v/>
      </c>
      <c r="B22" s="50" t="str">
        <f t="shared" si="8"/>
        <v/>
      </c>
      <c r="C22" s="50" t="str">
        <f t="shared" si="9"/>
        <v/>
      </c>
      <c r="D22" s="50" t="str">
        <f t="shared" si="10"/>
        <v/>
      </c>
      <c r="E22" s="50" t="str">
        <f t="shared" si="11"/>
        <v/>
      </c>
      <c r="F22" s="50" t="str">
        <f t="shared" si="12"/>
        <v/>
      </c>
      <c r="G22" s="66" t="s">
        <v>420</v>
      </c>
      <c r="H22" s="66" t="s">
        <v>420</v>
      </c>
      <c r="I22" s="50" t="e">
        <f t="shared" si="13"/>
        <v>#VALUE!</v>
      </c>
      <c r="J22" s="50" t="e">
        <f t="shared" si="14"/>
        <v>#VALUE!</v>
      </c>
      <c r="K22" s="66">
        <v>0</v>
      </c>
      <c r="L22" s="66">
        <v>0</v>
      </c>
      <c r="M22" s="66">
        <v>0</v>
      </c>
      <c r="N22" s="649">
        <f t="shared" si="15"/>
        <v>0</v>
      </c>
      <c r="O22" s="650">
        <f t="shared" si="16"/>
        <v>0</v>
      </c>
      <c r="P22" s="650">
        <f t="shared" si="17"/>
        <v>0</v>
      </c>
      <c r="Q22" s="180"/>
      <c r="R22" s="662" t="str">
        <f t="shared" si="18"/>
        <v/>
      </c>
      <c r="S22" s="849" t="str">
        <f t="shared" si="19"/>
        <v/>
      </c>
      <c r="T22" s="182" t="str">
        <f t="shared" si="20"/>
        <v/>
      </c>
      <c r="U22" s="183">
        <v>15</v>
      </c>
      <c r="V22" s="186"/>
      <c r="W22" s="663"/>
      <c r="X22" s="653" t="str">
        <f t="shared" si="21"/>
        <v/>
      </c>
      <c r="Y22" s="186"/>
      <c r="Z22" s="186"/>
      <c r="AA22" s="679" t="str">
        <f t="shared" si="22"/>
        <v/>
      </c>
      <c r="AB22" s="186"/>
      <c r="AC22" s="202" t="str">
        <f t="shared" si="23"/>
        <v/>
      </c>
      <c r="AD22" s="665" t="s">
        <v>339</v>
      </c>
      <c r="AE22" s="666" t="str">
        <f t="shared" si="24"/>
        <v/>
      </c>
      <c r="AF22" s="197" t="s">
        <v>261</v>
      </c>
      <c r="AG22" s="666" t="str">
        <f t="shared" si="25"/>
        <v/>
      </c>
      <c r="AH22" s="667" t="s">
        <v>259</v>
      </c>
      <c r="AI22" s="193" t="str">
        <f t="shared" si="53"/>
        <v/>
      </c>
      <c r="AJ22" s="194"/>
      <c r="AK22" s="85">
        <f t="shared" si="1"/>
        <v>9.5000000000000005E-5</v>
      </c>
      <c r="AL22" s="249"/>
      <c r="AM22" s="249"/>
      <c r="AN22" s="194"/>
      <c r="AO22" s="170"/>
      <c r="AP22" s="170"/>
      <c r="AQ22" s="170"/>
      <c r="AR22" s="170"/>
      <c r="AS22" s="170"/>
      <c r="AT22" s="171"/>
      <c r="AU22" s="249"/>
      <c r="AV22" s="668">
        <f t="shared" si="2"/>
        <v>9.5000000000000005E-5</v>
      </c>
      <c r="AW22" s="669" t="str">
        <f t="shared" si="26"/>
        <v/>
      </c>
      <c r="AX22" s="670" t="str">
        <f t="shared" si="27"/>
        <v/>
      </c>
      <c r="AY22" s="671" t="str">
        <f t="shared" si="28"/>
        <v/>
      </c>
      <c r="BT22" s="402">
        <v>4</v>
      </c>
      <c r="BU22" s="201">
        <f t="shared" si="81"/>
        <v>0.8</v>
      </c>
      <c r="BV22" s="201">
        <f t="shared" si="82"/>
        <v>1.6159727062377378</v>
      </c>
      <c r="BW22" s="201" t="e">
        <f t="shared" si="83"/>
        <v>#N/A</v>
      </c>
      <c r="BX22" s="421">
        <f t="shared" si="84"/>
        <v>39</v>
      </c>
      <c r="BY22" s="94">
        <f t="shared" si="29"/>
        <v>-999999999999</v>
      </c>
      <c r="BZ22" s="95" t="str">
        <f t="shared" si="30"/>
        <v>zzzzzzzzzzzz</v>
      </c>
      <c r="CA22" s="290">
        <f t="shared" si="63"/>
        <v>-999999999999</v>
      </c>
      <c r="CB22" s="404">
        <f t="shared" si="31"/>
        <v>999</v>
      </c>
      <c r="CC22" s="405">
        <f t="shared" si="32"/>
        <v>999</v>
      </c>
      <c r="CD22" s="428" t="str">
        <f t="shared" si="54"/>
        <v/>
      </c>
      <c r="CE22" s="268" t="s">
        <v>266</v>
      </c>
      <c r="CF22" s="677">
        <f>2*(1-NORMSDIST(ABS(CF21)))</f>
        <v>6.6725441386550344E-4</v>
      </c>
      <c r="CG22" s="95" t="b">
        <f t="shared" si="55"/>
        <v>0</v>
      </c>
      <c r="CH22" s="406" t="str">
        <f t="shared" si="56"/>
        <v/>
      </c>
      <c r="CI22" s="50" t="str">
        <f t="shared" si="33"/>
        <v/>
      </c>
      <c r="CJ22" s="50" t="b">
        <f t="shared" si="34"/>
        <v>1</v>
      </c>
      <c r="CK22" s="753" t="b">
        <v>1</v>
      </c>
      <c r="CL22" s="50" t="b">
        <f t="shared" si="35"/>
        <v>0</v>
      </c>
      <c r="CM22" s="50">
        <v>15</v>
      </c>
      <c r="CN22" s="200" t="b">
        <f t="shared" si="36"/>
        <v>0</v>
      </c>
      <c r="CO22" s="90" t="str">
        <f t="shared" si="57"/>
        <v/>
      </c>
      <c r="CP22" s="201" t="str">
        <f t="shared" si="58"/>
        <v/>
      </c>
      <c r="CQ22" s="90" t="e">
        <f t="shared" si="64"/>
        <v>#N/A</v>
      </c>
      <c r="CR22" s="201" t="e">
        <f t="shared" si="37"/>
        <v>#N/A</v>
      </c>
      <c r="CS22" s="50" t="e">
        <f t="shared" si="38"/>
        <v>#N/A</v>
      </c>
      <c r="CT22" s="50" t="e">
        <f t="shared" si="39"/>
        <v>#N/A</v>
      </c>
      <c r="CU22" s="90" t="str">
        <f t="shared" si="59"/>
        <v/>
      </c>
      <c r="CV22" s="90" t="str">
        <f t="shared" si="40"/>
        <v/>
      </c>
      <c r="CW22" s="90" t="str">
        <f t="shared" si="60"/>
        <v/>
      </c>
      <c r="CX22" s="90" t="str">
        <f t="shared" si="61"/>
        <v/>
      </c>
      <c r="CY22" s="90" t="str">
        <f t="shared" si="62"/>
        <v/>
      </c>
      <c r="CZ22" s="90" t="str">
        <f t="shared" si="41"/>
        <v/>
      </c>
      <c r="DA22" s="90" t="str">
        <f t="shared" si="42"/>
        <v/>
      </c>
      <c r="DB22" s="90" t="str">
        <f t="shared" si="43"/>
        <v/>
      </c>
      <c r="DC22" s="106" t="e">
        <f t="shared" si="44"/>
        <v>#N/A</v>
      </c>
      <c r="DD22" s="90" t="e">
        <f t="shared" si="45"/>
        <v>#N/A</v>
      </c>
      <c r="DE22" s="90" t="e">
        <f t="shared" si="46"/>
        <v>#N/A</v>
      </c>
      <c r="DF22" s="90" t="e">
        <f t="shared" si="47"/>
        <v>#N/A</v>
      </c>
      <c r="DG22" s="90" t="e">
        <f t="shared" si="48"/>
        <v>#N/A</v>
      </c>
      <c r="DH22" s="90" t="e">
        <f t="shared" si="49"/>
        <v>#N/A</v>
      </c>
      <c r="DI22" s="90" t="e">
        <f t="shared" si="50"/>
        <v>#N/A</v>
      </c>
      <c r="DJ22" s="90" t="e">
        <f t="shared" si="51"/>
        <v>#N/A</v>
      </c>
      <c r="DK22" s="90" t="e">
        <f t="shared" si="52"/>
        <v>#N/A</v>
      </c>
      <c r="DL22" s="113">
        <v>15</v>
      </c>
      <c r="DM22"/>
      <c r="DN22"/>
      <c r="DO22"/>
      <c r="DP22"/>
      <c r="DQ22"/>
      <c r="DR22"/>
      <c r="DS22" s="307">
        <v>11</v>
      </c>
      <c r="DT22" s="50">
        <f t="shared" si="66"/>
        <v>0.1100000000000001</v>
      </c>
      <c r="DU22" s="90">
        <f t="shared" si="72"/>
        <v>0.26271988263797602</v>
      </c>
      <c r="DV22" s="90" t="e">
        <f t="shared" si="73"/>
        <v>#N/A</v>
      </c>
      <c r="DW22" s="90">
        <f t="shared" si="74"/>
        <v>0.26271988263797602</v>
      </c>
      <c r="DX22" s="90">
        <f t="shared" si="67"/>
        <v>32</v>
      </c>
      <c r="DY22" s="308">
        <f t="shared" si="65"/>
        <v>3.4000000000000037E-2</v>
      </c>
      <c r="DZ22" s="307">
        <f t="shared" si="68"/>
        <v>0.10999999999999988</v>
      </c>
      <c r="EA22" s="90">
        <f t="shared" si="75"/>
        <v>0.55722067791273144</v>
      </c>
      <c r="EB22" s="90">
        <f t="shared" si="76"/>
        <v>0.55722067791273144</v>
      </c>
      <c r="EC22" s="90">
        <f t="shared" si="77"/>
        <v>33</v>
      </c>
      <c r="ED22" s="308">
        <f t="shared" si="78"/>
        <v>3.3999999999999954E-2</v>
      </c>
      <c r="EE22" s="307">
        <f t="shared" si="69"/>
        <v>0.11000000000000021</v>
      </c>
      <c r="EF22" s="90">
        <f t="shared" si="79"/>
        <v>-0.17815588494370696</v>
      </c>
      <c r="EG22" s="90">
        <f t="shared" si="80"/>
        <v>-0.17815588494370696</v>
      </c>
      <c r="EH22" s="90">
        <f t="shared" si="70"/>
        <v>34</v>
      </c>
      <c r="EI22" s="308">
        <f t="shared" si="71"/>
        <v>3.4000000000000086E-2</v>
      </c>
      <c r="EJ22"/>
    </row>
    <row r="23" spans="1:140" ht="12" customHeight="1" x14ac:dyDescent="0.2">
      <c r="A23" s="50" t="str">
        <f t="shared" si="7"/>
        <v/>
      </c>
      <c r="B23" s="50" t="str">
        <f t="shared" si="8"/>
        <v/>
      </c>
      <c r="C23" s="50" t="str">
        <f t="shared" si="9"/>
        <v/>
      </c>
      <c r="D23" s="50" t="str">
        <f t="shared" si="10"/>
        <v/>
      </c>
      <c r="E23" s="50" t="str">
        <f t="shared" si="11"/>
        <v/>
      </c>
      <c r="F23" s="50" t="str">
        <f t="shared" si="12"/>
        <v/>
      </c>
      <c r="G23" s="66" t="s">
        <v>420</v>
      </c>
      <c r="H23" s="66" t="s">
        <v>420</v>
      </c>
      <c r="I23" s="50" t="e">
        <f t="shared" si="13"/>
        <v>#VALUE!</v>
      </c>
      <c r="J23" s="50" t="e">
        <f t="shared" si="14"/>
        <v>#VALUE!</v>
      </c>
      <c r="K23" s="66">
        <v>0</v>
      </c>
      <c r="L23" s="66">
        <v>0</v>
      </c>
      <c r="M23" s="66">
        <v>0</v>
      </c>
      <c r="N23" s="649">
        <f t="shared" si="15"/>
        <v>0</v>
      </c>
      <c r="O23" s="650">
        <f t="shared" si="16"/>
        <v>0</v>
      </c>
      <c r="P23" s="650">
        <f t="shared" si="17"/>
        <v>0</v>
      </c>
      <c r="Q23" s="180"/>
      <c r="R23" s="662" t="str">
        <f t="shared" si="18"/>
        <v/>
      </c>
      <c r="S23" s="849" t="str">
        <f t="shared" si="19"/>
        <v/>
      </c>
      <c r="T23" s="182" t="str">
        <f t="shared" si="20"/>
        <v/>
      </c>
      <c r="U23" s="183">
        <v>16</v>
      </c>
      <c r="V23" s="186"/>
      <c r="W23" s="663"/>
      <c r="X23" s="653" t="str">
        <f t="shared" si="21"/>
        <v/>
      </c>
      <c r="Y23" s="186"/>
      <c r="Z23" s="186"/>
      <c r="AA23" s="679" t="str">
        <f t="shared" si="22"/>
        <v/>
      </c>
      <c r="AB23" s="186"/>
      <c r="AC23" s="202" t="str">
        <f t="shared" si="23"/>
        <v/>
      </c>
      <c r="AD23" s="665" t="s">
        <v>339</v>
      </c>
      <c r="AE23" s="666" t="str">
        <f t="shared" si="24"/>
        <v/>
      </c>
      <c r="AF23" s="197" t="s">
        <v>261</v>
      </c>
      <c r="AG23" s="666" t="str">
        <f t="shared" si="25"/>
        <v/>
      </c>
      <c r="AH23" s="667" t="s">
        <v>259</v>
      </c>
      <c r="AI23" s="193" t="str">
        <f t="shared" si="53"/>
        <v/>
      </c>
      <c r="AJ23" s="194"/>
      <c r="AK23" s="85">
        <f t="shared" si="1"/>
        <v>9.5000000000000005E-5</v>
      </c>
      <c r="AL23" s="249"/>
      <c r="AM23" s="249"/>
      <c r="AN23" s="194"/>
      <c r="AO23" s="170"/>
      <c r="AP23" s="170"/>
      <c r="AQ23" s="170"/>
      <c r="AR23" s="170"/>
      <c r="AS23" s="170"/>
      <c r="AT23" s="171"/>
      <c r="AU23" s="249"/>
      <c r="AV23" s="668">
        <f t="shared" si="2"/>
        <v>9.5000000000000005E-5</v>
      </c>
      <c r="AW23" s="669" t="str">
        <f t="shared" si="26"/>
        <v/>
      </c>
      <c r="AX23" s="670" t="str">
        <f t="shared" si="27"/>
        <v/>
      </c>
      <c r="AY23" s="671" t="str">
        <f t="shared" si="28"/>
        <v/>
      </c>
      <c r="BT23" s="402">
        <v>3</v>
      </c>
      <c r="BU23" s="201">
        <f t="shared" si="81"/>
        <v>0.60000000000000009</v>
      </c>
      <c r="BV23" s="201">
        <f t="shared" si="82"/>
        <v>1.4159727062377381</v>
      </c>
      <c r="BW23" s="201" t="e">
        <f t="shared" si="83"/>
        <v>#N/A</v>
      </c>
      <c r="BX23" s="421">
        <f t="shared" si="84"/>
        <v>39</v>
      </c>
      <c r="BY23" s="94">
        <f t="shared" si="29"/>
        <v>-999999999999</v>
      </c>
      <c r="BZ23" s="95" t="str">
        <f t="shared" si="30"/>
        <v>zzzzzzzzzzzz</v>
      </c>
      <c r="CA23" s="290">
        <f t="shared" si="63"/>
        <v>-999999999999</v>
      </c>
      <c r="CB23" s="404">
        <f t="shared" si="31"/>
        <v>999</v>
      </c>
      <c r="CC23" s="405">
        <f t="shared" si="32"/>
        <v>999</v>
      </c>
      <c r="CD23" s="428" t="str">
        <f t="shared" si="54"/>
        <v/>
      </c>
      <c r="CE23" s="303" t="s">
        <v>341</v>
      </c>
      <c r="CF23" s="735">
        <f>MAX(0,(CF10-CF9)/CF10)</f>
        <v>0.55628499122070485</v>
      </c>
      <c r="CG23" s="95" t="b">
        <f t="shared" si="55"/>
        <v>0</v>
      </c>
      <c r="CH23" s="406" t="str">
        <f t="shared" si="56"/>
        <v/>
      </c>
      <c r="CI23" s="50" t="str">
        <f t="shared" si="33"/>
        <v/>
      </c>
      <c r="CJ23" s="50" t="b">
        <f t="shared" si="34"/>
        <v>1</v>
      </c>
      <c r="CK23" s="753" t="b">
        <v>1</v>
      </c>
      <c r="CL23" s="50" t="b">
        <f t="shared" si="35"/>
        <v>0</v>
      </c>
      <c r="CM23" s="50">
        <v>16</v>
      </c>
      <c r="CN23" s="200" t="b">
        <f t="shared" si="36"/>
        <v>0</v>
      </c>
      <c r="CO23" s="90" t="str">
        <f t="shared" si="57"/>
        <v/>
      </c>
      <c r="CP23" s="201" t="str">
        <f t="shared" si="58"/>
        <v/>
      </c>
      <c r="CQ23" s="90" t="e">
        <f t="shared" si="64"/>
        <v>#N/A</v>
      </c>
      <c r="CR23" s="201" t="e">
        <f t="shared" si="37"/>
        <v>#N/A</v>
      </c>
      <c r="CS23" s="50" t="e">
        <f t="shared" si="38"/>
        <v>#N/A</v>
      </c>
      <c r="CT23" s="50" t="e">
        <f t="shared" si="39"/>
        <v>#N/A</v>
      </c>
      <c r="CU23" s="90" t="str">
        <f t="shared" si="59"/>
        <v/>
      </c>
      <c r="CV23" s="90" t="str">
        <f t="shared" si="40"/>
        <v/>
      </c>
      <c r="CW23" s="90" t="str">
        <f t="shared" si="60"/>
        <v/>
      </c>
      <c r="CX23" s="90" t="str">
        <f t="shared" si="61"/>
        <v/>
      </c>
      <c r="CY23" s="90" t="str">
        <f t="shared" si="62"/>
        <v/>
      </c>
      <c r="CZ23" s="90" t="str">
        <f t="shared" si="41"/>
        <v/>
      </c>
      <c r="DA23" s="90" t="str">
        <f t="shared" si="42"/>
        <v/>
      </c>
      <c r="DB23" s="90" t="str">
        <f t="shared" si="43"/>
        <v/>
      </c>
      <c r="DC23" s="106" t="e">
        <f t="shared" si="44"/>
        <v>#N/A</v>
      </c>
      <c r="DD23" s="90" t="e">
        <f t="shared" si="45"/>
        <v>#N/A</v>
      </c>
      <c r="DE23" s="90" t="e">
        <f t="shared" si="46"/>
        <v>#N/A</v>
      </c>
      <c r="DF23" s="90" t="e">
        <f t="shared" si="47"/>
        <v>#N/A</v>
      </c>
      <c r="DG23" s="90" t="e">
        <f t="shared" si="48"/>
        <v>#N/A</v>
      </c>
      <c r="DH23" s="90" t="e">
        <f t="shared" si="49"/>
        <v>#N/A</v>
      </c>
      <c r="DI23" s="90" t="e">
        <f t="shared" si="50"/>
        <v>#N/A</v>
      </c>
      <c r="DJ23" s="90" t="e">
        <f t="shared" si="51"/>
        <v>#N/A</v>
      </c>
      <c r="DK23" s="90" t="e">
        <f t="shared" si="52"/>
        <v>#N/A</v>
      </c>
      <c r="DL23" s="113">
        <v>16</v>
      </c>
      <c r="DM23"/>
      <c r="DN23"/>
      <c r="DO23"/>
      <c r="DP23"/>
      <c r="DQ23"/>
      <c r="DR23"/>
      <c r="DS23" s="307">
        <v>12</v>
      </c>
      <c r="DT23" s="50">
        <f t="shared" si="66"/>
        <v>0.12000000000000022</v>
      </c>
      <c r="DU23" s="90">
        <f t="shared" si="72"/>
        <v>0.26582495423597252</v>
      </c>
      <c r="DV23" s="90" t="e">
        <f t="shared" si="73"/>
        <v>#N/A</v>
      </c>
      <c r="DW23" s="90">
        <f t="shared" si="74"/>
        <v>0.26582495423597252</v>
      </c>
      <c r="DX23" s="90">
        <f t="shared" si="67"/>
        <v>32</v>
      </c>
      <c r="DY23" s="308">
        <f t="shared" si="65"/>
        <v>3.8000000000000089E-2</v>
      </c>
      <c r="DZ23" s="307">
        <f t="shared" si="68"/>
        <v>0.11999999999999988</v>
      </c>
      <c r="EA23" s="90">
        <f t="shared" si="75"/>
        <v>0.56012800407368657</v>
      </c>
      <c r="EB23" s="90">
        <f t="shared" si="76"/>
        <v>0.56012800407368657</v>
      </c>
      <c r="EC23" s="90">
        <f t="shared" si="77"/>
        <v>33</v>
      </c>
      <c r="ED23" s="308">
        <f t="shared" si="78"/>
        <v>3.7999999999999957E-2</v>
      </c>
      <c r="EE23" s="307">
        <f t="shared" si="69"/>
        <v>0.12000000000000033</v>
      </c>
      <c r="EF23" s="90">
        <f t="shared" si="79"/>
        <v>-0.17561184681088643</v>
      </c>
      <c r="EG23" s="90">
        <f t="shared" si="80"/>
        <v>-0.17561184681088643</v>
      </c>
      <c r="EH23" s="90">
        <f t="shared" si="70"/>
        <v>34</v>
      </c>
      <c r="EI23" s="308">
        <f t="shared" si="71"/>
        <v>3.8000000000000131E-2</v>
      </c>
      <c r="EJ23"/>
    </row>
    <row r="24" spans="1:140" ht="12" customHeight="1" x14ac:dyDescent="0.2">
      <c r="A24" s="50" t="str">
        <f t="shared" si="7"/>
        <v/>
      </c>
      <c r="B24" s="50" t="str">
        <f t="shared" si="8"/>
        <v/>
      </c>
      <c r="C24" s="50" t="str">
        <f t="shared" si="9"/>
        <v/>
      </c>
      <c r="D24" s="50" t="str">
        <f t="shared" si="10"/>
        <v/>
      </c>
      <c r="E24" s="50" t="str">
        <f t="shared" si="11"/>
        <v/>
      </c>
      <c r="F24" s="50" t="str">
        <f t="shared" si="12"/>
        <v/>
      </c>
      <c r="G24" s="66" t="s">
        <v>420</v>
      </c>
      <c r="H24" s="66" t="s">
        <v>420</v>
      </c>
      <c r="I24" s="50" t="e">
        <f t="shared" si="13"/>
        <v>#VALUE!</v>
      </c>
      <c r="J24" s="50" t="e">
        <f t="shared" si="14"/>
        <v>#VALUE!</v>
      </c>
      <c r="K24" s="66">
        <v>0</v>
      </c>
      <c r="L24" s="66">
        <v>0</v>
      </c>
      <c r="M24" s="66">
        <v>0</v>
      </c>
      <c r="N24" s="649">
        <f t="shared" si="15"/>
        <v>0</v>
      </c>
      <c r="O24" s="650">
        <f t="shared" si="16"/>
        <v>0</v>
      </c>
      <c r="P24" s="650">
        <f t="shared" si="17"/>
        <v>0</v>
      </c>
      <c r="Q24" s="180"/>
      <c r="R24" s="662" t="str">
        <f t="shared" si="18"/>
        <v/>
      </c>
      <c r="S24" s="849" t="str">
        <f t="shared" si="19"/>
        <v/>
      </c>
      <c r="T24" s="182" t="str">
        <f t="shared" si="20"/>
        <v/>
      </c>
      <c r="U24" s="183">
        <v>17</v>
      </c>
      <c r="V24" s="186"/>
      <c r="W24" s="663"/>
      <c r="X24" s="653" t="str">
        <f t="shared" si="21"/>
        <v/>
      </c>
      <c r="Y24" s="186"/>
      <c r="Z24" s="186"/>
      <c r="AA24" s="679" t="str">
        <f t="shared" si="22"/>
        <v/>
      </c>
      <c r="AB24" s="186"/>
      <c r="AC24" s="202" t="str">
        <f t="shared" si="23"/>
        <v/>
      </c>
      <c r="AD24" s="665" t="s">
        <v>339</v>
      </c>
      <c r="AE24" s="666" t="str">
        <f t="shared" si="24"/>
        <v/>
      </c>
      <c r="AF24" s="197" t="s">
        <v>261</v>
      </c>
      <c r="AG24" s="666" t="str">
        <f t="shared" si="25"/>
        <v/>
      </c>
      <c r="AH24" s="667" t="s">
        <v>259</v>
      </c>
      <c r="AI24" s="193" t="str">
        <f t="shared" si="53"/>
        <v/>
      </c>
      <c r="AJ24" s="194"/>
      <c r="AK24" s="85">
        <f t="shared" si="1"/>
        <v>9.5000000000000005E-5</v>
      </c>
      <c r="AL24" s="249"/>
      <c r="AM24" s="249"/>
      <c r="AN24" s="194"/>
      <c r="AO24" s="170"/>
      <c r="AP24" s="170"/>
      <c r="AQ24" s="170"/>
      <c r="AR24" s="170"/>
      <c r="AS24" s="170"/>
      <c r="AT24" s="171"/>
      <c r="AU24" s="249"/>
      <c r="AV24" s="668">
        <f t="shared" si="2"/>
        <v>9.5000000000000005E-5</v>
      </c>
      <c r="AW24" s="669" t="str">
        <f t="shared" si="26"/>
        <v/>
      </c>
      <c r="AX24" s="670" t="str">
        <f t="shared" si="27"/>
        <v/>
      </c>
      <c r="AY24" s="671" t="str">
        <f t="shared" si="28"/>
        <v/>
      </c>
      <c r="BT24" s="402">
        <v>2</v>
      </c>
      <c r="BU24" s="201">
        <f t="shared" si="81"/>
        <v>0.4</v>
      </c>
      <c r="BV24" s="201">
        <f t="shared" si="82"/>
        <v>1.2159727062377379</v>
      </c>
      <c r="BW24" s="201">
        <f t="shared" si="83"/>
        <v>1.2159727062377379</v>
      </c>
      <c r="BX24" s="421">
        <f t="shared" si="84"/>
        <v>39</v>
      </c>
      <c r="BY24" s="94">
        <f t="shared" si="29"/>
        <v>-999999999999</v>
      </c>
      <c r="BZ24" s="95" t="str">
        <f t="shared" si="30"/>
        <v>zzzzzzzzzzzz</v>
      </c>
      <c r="CA24" s="290">
        <f t="shared" si="63"/>
        <v>-999999999999</v>
      </c>
      <c r="CB24" s="404">
        <f t="shared" si="31"/>
        <v>999</v>
      </c>
      <c r="CC24" s="405">
        <f t="shared" si="32"/>
        <v>999</v>
      </c>
      <c r="CD24" s="428" t="str">
        <f t="shared" si="54"/>
        <v/>
      </c>
      <c r="CE24" s="106" t="s">
        <v>342</v>
      </c>
      <c r="CF24" s="113"/>
      <c r="CG24" s="95" t="b">
        <f t="shared" si="55"/>
        <v>0</v>
      </c>
      <c r="CH24" s="406" t="str">
        <f t="shared" si="56"/>
        <v/>
      </c>
      <c r="CI24" s="50" t="str">
        <f t="shared" si="33"/>
        <v/>
      </c>
      <c r="CJ24" s="50" t="b">
        <f t="shared" si="34"/>
        <v>1</v>
      </c>
      <c r="CK24" s="753" t="b">
        <v>1</v>
      </c>
      <c r="CL24" s="50" t="b">
        <f t="shared" si="35"/>
        <v>0</v>
      </c>
      <c r="CM24" s="50">
        <v>17</v>
      </c>
      <c r="CN24" s="200" t="b">
        <f t="shared" si="36"/>
        <v>0</v>
      </c>
      <c r="CO24" s="90" t="str">
        <f t="shared" si="57"/>
        <v/>
      </c>
      <c r="CP24" s="201" t="str">
        <f t="shared" si="58"/>
        <v/>
      </c>
      <c r="CQ24" s="90" t="e">
        <f t="shared" si="64"/>
        <v>#N/A</v>
      </c>
      <c r="CR24" s="201" t="e">
        <f t="shared" si="37"/>
        <v>#N/A</v>
      </c>
      <c r="CS24" s="50" t="e">
        <f t="shared" si="38"/>
        <v>#N/A</v>
      </c>
      <c r="CT24" s="50" t="e">
        <f t="shared" si="39"/>
        <v>#N/A</v>
      </c>
      <c r="CU24" s="90" t="str">
        <f t="shared" si="59"/>
        <v/>
      </c>
      <c r="CV24" s="90" t="str">
        <f t="shared" si="40"/>
        <v/>
      </c>
      <c r="CW24" s="90" t="str">
        <f t="shared" si="60"/>
        <v/>
      </c>
      <c r="CX24" s="90" t="str">
        <f t="shared" si="61"/>
        <v/>
      </c>
      <c r="CY24" s="90" t="str">
        <f t="shared" si="62"/>
        <v/>
      </c>
      <c r="CZ24" s="90" t="str">
        <f t="shared" si="41"/>
        <v/>
      </c>
      <c r="DA24" s="90" t="str">
        <f t="shared" si="42"/>
        <v/>
      </c>
      <c r="DB24" s="90" t="str">
        <f t="shared" si="43"/>
        <v/>
      </c>
      <c r="DC24" s="106" t="e">
        <f t="shared" si="44"/>
        <v>#N/A</v>
      </c>
      <c r="DD24" s="90" t="e">
        <f t="shared" si="45"/>
        <v>#N/A</v>
      </c>
      <c r="DE24" s="90" t="e">
        <f t="shared" si="46"/>
        <v>#N/A</v>
      </c>
      <c r="DF24" s="90" t="e">
        <f t="shared" si="47"/>
        <v>#N/A</v>
      </c>
      <c r="DG24" s="90" t="e">
        <f t="shared" si="48"/>
        <v>#N/A</v>
      </c>
      <c r="DH24" s="90" t="e">
        <f t="shared" si="49"/>
        <v>#N/A</v>
      </c>
      <c r="DI24" s="90" t="e">
        <f t="shared" si="50"/>
        <v>#N/A</v>
      </c>
      <c r="DJ24" s="90" t="e">
        <f t="shared" si="51"/>
        <v>#N/A</v>
      </c>
      <c r="DK24" s="90" t="e">
        <f t="shared" si="52"/>
        <v>#N/A</v>
      </c>
      <c r="DL24" s="113">
        <v>17</v>
      </c>
      <c r="DM24"/>
      <c r="DN24"/>
      <c r="DO24"/>
      <c r="DP24"/>
      <c r="DQ24"/>
      <c r="DR24"/>
      <c r="DS24" s="307">
        <v>13</v>
      </c>
      <c r="DT24" s="50">
        <f t="shared" si="66"/>
        <v>0.13000000000000023</v>
      </c>
      <c r="DU24" s="90">
        <f t="shared" si="72"/>
        <v>0.26893002583396902</v>
      </c>
      <c r="DV24" s="90" t="e">
        <f t="shared" si="73"/>
        <v>#N/A</v>
      </c>
      <c r="DW24" s="90">
        <f t="shared" si="74"/>
        <v>0.26893002583396902</v>
      </c>
      <c r="DX24" s="90">
        <f t="shared" si="67"/>
        <v>32</v>
      </c>
      <c r="DY24" s="308">
        <f t="shared" si="65"/>
        <v>4.2000000000000093E-2</v>
      </c>
      <c r="DZ24" s="307">
        <f t="shared" si="68"/>
        <v>0.12999999999999989</v>
      </c>
      <c r="EA24" s="90">
        <f t="shared" si="75"/>
        <v>0.5630353302346417</v>
      </c>
      <c r="EB24" s="90">
        <f t="shared" si="76"/>
        <v>0.5630353302346417</v>
      </c>
      <c r="EC24" s="90">
        <f t="shared" si="77"/>
        <v>33</v>
      </c>
      <c r="ED24" s="308">
        <f t="shared" si="78"/>
        <v>4.1999999999999961E-2</v>
      </c>
      <c r="EE24" s="307">
        <f t="shared" si="69"/>
        <v>0.13000000000000023</v>
      </c>
      <c r="EF24" s="90">
        <f t="shared" si="79"/>
        <v>-0.1730678086780659</v>
      </c>
      <c r="EG24" s="90">
        <f t="shared" si="80"/>
        <v>-0.1730678086780659</v>
      </c>
      <c r="EH24" s="90">
        <f t="shared" si="70"/>
        <v>34</v>
      </c>
      <c r="EI24" s="308">
        <f t="shared" si="71"/>
        <v>4.2000000000000093E-2</v>
      </c>
      <c r="EJ24"/>
    </row>
    <row r="25" spans="1:140" ht="12" customHeight="1" x14ac:dyDescent="0.2">
      <c r="A25" s="50" t="str">
        <f t="shared" si="7"/>
        <v/>
      </c>
      <c r="B25" s="50" t="str">
        <f t="shared" si="8"/>
        <v/>
      </c>
      <c r="C25" s="50" t="str">
        <f t="shared" si="9"/>
        <v/>
      </c>
      <c r="D25" s="50" t="str">
        <f t="shared" si="10"/>
        <v/>
      </c>
      <c r="E25" s="50" t="str">
        <f t="shared" si="11"/>
        <v/>
      </c>
      <c r="F25" s="50" t="str">
        <f t="shared" si="12"/>
        <v/>
      </c>
      <c r="G25" s="66" t="s">
        <v>420</v>
      </c>
      <c r="H25" s="66" t="s">
        <v>420</v>
      </c>
      <c r="I25" s="50" t="e">
        <f t="shared" si="13"/>
        <v>#VALUE!</v>
      </c>
      <c r="J25" s="50" t="e">
        <f t="shared" si="14"/>
        <v>#VALUE!</v>
      </c>
      <c r="K25" s="66">
        <v>0</v>
      </c>
      <c r="L25" s="66">
        <v>0</v>
      </c>
      <c r="M25" s="66">
        <v>0</v>
      </c>
      <c r="N25" s="649">
        <f t="shared" si="15"/>
        <v>0</v>
      </c>
      <c r="O25" s="650">
        <f t="shared" si="16"/>
        <v>0</v>
      </c>
      <c r="P25" s="650">
        <f t="shared" si="17"/>
        <v>0</v>
      </c>
      <c r="Q25" s="180"/>
      <c r="R25" s="662" t="str">
        <f t="shared" si="18"/>
        <v/>
      </c>
      <c r="S25" s="849" t="str">
        <f t="shared" si="19"/>
        <v/>
      </c>
      <c r="T25" s="182" t="str">
        <f t="shared" si="20"/>
        <v/>
      </c>
      <c r="U25" s="183">
        <v>18</v>
      </c>
      <c r="V25" s="186"/>
      <c r="W25" s="663"/>
      <c r="X25" s="653" t="str">
        <f t="shared" si="21"/>
        <v/>
      </c>
      <c r="Y25" s="186"/>
      <c r="Z25" s="186"/>
      <c r="AA25" s="679" t="str">
        <f t="shared" si="22"/>
        <v/>
      </c>
      <c r="AB25" s="186"/>
      <c r="AC25" s="202" t="str">
        <f t="shared" si="23"/>
        <v/>
      </c>
      <c r="AD25" s="665" t="s">
        <v>339</v>
      </c>
      <c r="AE25" s="666" t="str">
        <f t="shared" si="24"/>
        <v/>
      </c>
      <c r="AF25" s="197" t="s">
        <v>261</v>
      </c>
      <c r="AG25" s="666" t="str">
        <f t="shared" si="25"/>
        <v/>
      </c>
      <c r="AH25" s="667" t="s">
        <v>259</v>
      </c>
      <c r="AI25" s="193" t="str">
        <f t="shared" si="53"/>
        <v/>
      </c>
      <c r="AJ25" s="194"/>
      <c r="AK25" s="85">
        <f t="shared" si="1"/>
        <v>9.5000000000000005E-5</v>
      </c>
      <c r="AL25" s="249"/>
      <c r="AM25" s="249"/>
      <c r="AN25" s="194"/>
      <c r="AO25" s="170"/>
      <c r="AP25" s="170"/>
      <c r="AQ25" s="170"/>
      <c r="AR25" s="170"/>
      <c r="AS25" s="170"/>
      <c r="AT25" s="171"/>
      <c r="AU25" s="249"/>
      <c r="AV25" s="668">
        <f t="shared" si="2"/>
        <v>9.5000000000000005E-5</v>
      </c>
      <c r="AW25" s="669" t="str">
        <f t="shared" si="26"/>
        <v/>
      </c>
      <c r="AX25" s="670" t="str">
        <f t="shared" si="27"/>
        <v/>
      </c>
      <c r="AY25" s="671" t="str">
        <f t="shared" si="28"/>
        <v/>
      </c>
      <c r="BT25" s="402">
        <v>1</v>
      </c>
      <c r="BU25" s="201">
        <f t="shared" si="81"/>
        <v>0.2</v>
      </c>
      <c r="BV25" s="201">
        <f t="shared" si="82"/>
        <v>1.0159727062377379</v>
      </c>
      <c r="BW25" s="201">
        <f t="shared" si="83"/>
        <v>1.0159727062377379</v>
      </c>
      <c r="BX25" s="421">
        <f t="shared" si="84"/>
        <v>39</v>
      </c>
      <c r="BY25" s="94">
        <f t="shared" si="29"/>
        <v>-999999999999</v>
      </c>
      <c r="BZ25" s="95" t="str">
        <f t="shared" si="30"/>
        <v>zzzzzzzzzzzz</v>
      </c>
      <c r="CA25" s="290">
        <f t="shared" si="63"/>
        <v>-999999999999</v>
      </c>
      <c r="CB25" s="404">
        <f t="shared" si="31"/>
        <v>999</v>
      </c>
      <c r="CC25" s="405">
        <f t="shared" si="32"/>
        <v>999</v>
      </c>
      <c r="CD25" s="428" t="str">
        <f t="shared" si="54"/>
        <v/>
      </c>
      <c r="CE25" s="268" t="s">
        <v>343</v>
      </c>
      <c r="CF25" s="677">
        <f>0.5*(LN(CF10)-LN(CF9))/(SQRT(2*CF10)-SQRT(2*CF9-1))</f>
        <v>0.20197716706621055</v>
      </c>
      <c r="CG25" s="95" t="b">
        <f t="shared" si="55"/>
        <v>0</v>
      </c>
      <c r="CH25" s="406" t="str">
        <f t="shared" si="56"/>
        <v/>
      </c>
      <c r="CI25" s="50" t="str">
        <f t="shared" si="33"/>
        <v/>
      </c>
      <c r="CJ25" s="50" t="b">
        <f t="shared" si="34"/>
        <v>1</v>
      </c>
      <c r="CK25" s="753" t="b">
        <v>1</v>
      </c>
      <c r="CL25" s="50" t="b">
        <f t="shared" si="35"/>
        <v>0</v>
      </c>
      <c r="CM25" s="50">
        <v>18</v>
      </c>
      <c r="CN25" s="200" t="b">
        <f t="shared" si="36"/>
        <v>0</v>
      </c>
      <c r="CO25" s="90" t="str">
        <f t="shared" si="57"/>
        <v/>
      </c>
      <c r="CP25" s="201" t="str">
        <f t="shared" si="58"/>
        <v/>
      </c>
      <c r="CQ25" s="90" t="e">
        <f t="shared" si="64"/>
        <v>#N/A</v>
      </c>
      <c r="CR25" s="201" t="e">
        <f t="shared" si="37"/>
        <v>#N/A</v>
      </c>
      <c r="CS25" s="50" t="e">
        <f t="shared" si="38"/>
        <v>#N/A</v>
      </c>
      <c r="CT25" s="50" t="e">
        <f t="shared" si="39"/>
        <v>#N/A</v>
      </c>
      <c r="CU25" s="90" t="str">
        <f t="shared" si="59"/>
        <v/>
      </c>
      <c r="CV25" s="90" t="str">
        <f t="shared" si="40"/>
        <v/>
      </c>
      <c r="CW25" s="90" t="str">
        <f t="shared" si="60"/>
        <v/>
      </c>
      <c r="CX25" s="90" t="str">
        <f t="shared" si="61"/>
        <v/>
      </c>
      <c r="CY25" s="90" t="str">
        <f t="shared" si="62"/>
        <v/>
      </c>
      <c r="CZ25" s="90" t="str">
        <f t="shared" si="41"/>
        <v/>
      </c>
      <c r="DA25" s="90" t="str">
        <f t="shared" si="42"/>
        <v/>
      </c>
      <c r="DB25" s="90" t="str">
        <f t="shared" si="43"/>
        <v/>
      </c>
      <c r="DC25" s="106" t="e">
        <f t="shared" si="44"/>
        <v>#N/A</v>
      </c>
      <c r="DD25" s="90" t="e">
        <f t="shared" si="45"/>
        <v>#N/A</v>
      </c>
      <c r="DE25" s="90" t="e">
        <f t="shared" si="46"/>
        <v>#N/A</v>
      </c>
      <c r="DF25" s="90" t="e">
        <f t="shared" si="47"/>
        <v>#N/A</v>
      </c>
      <c r="DG25" s="90" t="e">
        <f t="shared" si="48"/>
        <v>#N/A</v>
      </c>
      <c r="DH25" s="90" t="e">
        <f t="shared" si="49"/>
        <v>#N/A</v>
      </c>
      <c r="DI25" s="90" t="e">
        <f t="shared" si="50"/>
        <v>#N/A</v>
      </c>
      <c r="DJ25" s="90" t="e">
        <f t="shared" si="51"/>
        <v>#N/A</v>
      </c>
      <c r="DK25" s="90" t="e">
        <f t="shared" si="52"/>
        <v>#N/A</v>
      </c>
      <c r="DL25" s="113">
        <v>18</v>
      </c>
      <c r="DM25"/>
      <c r="DN25"/>
      <c r="DO25"/>
      <c r="DP25"/>
      <c r="DQ25"/>
      <c r="DR25"/>
      <c r="DS25" s="307">
        <v>14</v>
      </c>
      <c r="DT25" s="50">
        <f t="shared" si="66"/>
        <v>0.14000000000000035</v>
      </c>
      <c r="DU25" s="90">
        <f t="shared" si="72"/>
        <v>0.27203509743196552</v>
      </c>
      <c r="DV25" s="90" t="e">
        <f t="shared" si="73"/>
        <v>#N/A</v>
      </c>
      <c r="DW25" s="90">
        <f t="shared" si="74"/>
        <v>0.27203509743196552</v>
      </c>
      <c r="DX25" s="90">
        <f t="shared" si="67"/>
        <v>32</v>
      </c>
      <c r="DY25" s="308">
        <f t="shared" si="65"/>
        <v>4.6000000000000138E-2</v>
      </c>
      <c r="DZ25" s="307">
        <f t="shared" si="68"/>
        <v>0.1399999999999999</v>
      </c>
      <c r="EA25" s="90">
        <f t="shared" si="75"/>
        <v>0.56594265639559682</v>
      </c>
      <c r="EB25" s="90">
        <f t="shared" si="76"/>
        <v>0.56594265639559682</v>
      </c>
      <c r="EC25" s="90">
        <f t="shared" si="77"/>
        <v>33</v>
      </c>
      <c r="ED25" s="308">
        <f t="shared" si="78"/>
        <v>4.5999999999999965E-2</v>
      </c>
      <c r="EE25" s="307">
        <f t="shared" si="69"/>
        <v>0.14000000000000035</v>
      </c>
      <c r="EF25" s="90">
        <f t="shared" si="79"/>
        <v>-0.17052377054524537</v>
      </c>
      <c r="EG25" s="90">
        <f t="shared" si="80"/>
        <v>-0.17052377054524537</v>
      </c>
      <c r="EH25" s="90">
        <f t="shared" si="70"/>
        <v>34</v>
      </c>
      <c r="EI25" s="308">
        <f t="shared" si="71"/>
        <v>4.6000000000000138E-2</v>
      </c>
      <c r="EJ25"/>
    </row>
    <row r="26" spans="1:140" ht="12" customHeight="1" x14ac:dyDescent="0.2">
      <c r="A26" s="50" t="str">
        <f t="shared" si="7"/>
        <v/>
      </c>
      <c r="B26" s="50" t="str">
        <f t="shared" si="8"/>
        <v/>
      </c>
      <c r="C26" s="50" t="str">
        <f t="shared" si="9"/>
        <v/>
      </c>
      <c r="D26" s="50" t="str">
        <f t="shared" si="10"/>
        <v/>
      </c>
      <c r="E26" s="50" t="str">
        <f t="shared" si="11"/>
        <v/>
      </c>
      <c r="F26" s="50" t="str">
        <f t="shared" si="12"/>
        <v/>
      </c>
      <c r="G26" s="66" t="s">
        <v>420</v>
      </c>
      <c r="H26" s="66" t="s">
        <v>420</v>
      </c>
      <c r="I26" s="50" t="e">
        <f t="shared" si="13"/>
        <v>#VALUE!</v>
      </c>
      <c r="J26" s="50" t="e">
        <f t="shared" si="14"/>
        <v>#VALUE!</v>
      </c>
      <c r="K26" s="66">
        <v>0</v>
      </c>
      <c r="L26" s="66">
        <v>0</v>
      </c>
      <c r="M26" s="66">
        <v>0</v>
      </c>
      <c r="N26" s="649">
        <f t="shared" si="15"/>
        <v>0</v>
      </c>
      <c r="O26" s="650">
        <f t="shared" si="16"/>
        <v>0</v>
      </c>
      <c r="P26" s="650">
        <f t="shared" si="17"/>
        <v>0</v>
      </c>
      <c r="Q26" s="180"/>
      <c r="R26" s="662" t="str">
        <f t="shared" si="18"/>
        <v/>
      </c>
      <c r="S26" s="849" t="str">
        <f t="shared" si="19"/>
        <v/>
      </c>
      <c r="T26" s="182" t="str">
        <f t="shared" si="20"/>
        <v/>
      </c>
      <c r="U26" s="183">
        <v>19</v>
      </c>
      <c r="V26" s="186"/>
      <c r="W26" s="663"/>
      <c r="X26" s="653" t="str">
        <f t="shared" si="21"/>
        <v/>
      </c>
      <c r="Y26" s="186"/>
      <c r="Z26" s="186"/>
      <c r="AA26" s="679" t="str">
        <f t="shared" si="22"/>
        <v/>
      </c>
      <c r="AB26" s="186"/>
      <c r="AC26" s="202" t="str">
        <f t="shared" si="23"/>
        <v/>
      </c>
      <c r="AD26" s="665" t="s">
        <v>339</v>
      </c>
      <c r="AE26" s="666" t="str">
        <f t="shared" si="24"/>
        <v/>
      </c>
      <c r="AF26" s="197" t="s">
        <v>261</v>
      </c>
      <c r="AG26" s="666" t="str">
        <f t="shared" si="25"/>
        <v/>
      </c>
      <c r="AH26" s="667" t="s">
        <v>259</v>
      </c>
      <c r="AI26" s="193" t="str">
        <f t="shared" si="53"/>
        <v/>
      </c>
      <c r="AJ26" s="194"/>
      <c r="AK26" s="85">
        <f t="shared" si="1"/>
        <v>9.5000000000000005E-5</v>
      </c>
      <c r="AL26" s="249"/>
      <c r="AM26" s="249"/>
      <c r="AN26" s="680"/>
      <c r="AO26" s="170"/>
      <c r="AP26" s="170"/>
      <c r="AQ26" s="170"/>
      <c r="AR26" s="170"/>
      <c r="AS26" s="170"/>
      <c r="AT26" s="171"/>
      <c r="AU26" s="249"/>
      <c r="AV26" s="668">
        <f t="shared" si="2"/>
        <v>9.5000000000000005E-5</v>
      </c>
      <c r="AW26" s="669" t="str">
        <f t="shared" si="26"/>
        <v/>
      </c>
      <c r="AX26" s="670" t="str">
        <f t="shared" si="27"/>
        <v/>
      </c>
      <c r="AY26" s="671" t="str">
        <f t="shared" si="28"/>
        <v/>
      </c>
      <c r="BT26" s="402">
        <v>0</v>
      </c>
      <c r="BU26" s="201">
        <f t="shared" si="81"/>
        <v>0</v>
      </c>
      <c r="BV26" s="201">
        <f t="shared" si="82"/>
        <v>0.81597270623773788</v>
      </c>
      <c r="BW26" s="201">
        <f t="shared" si="83"/>
        <v>0.81597270623773788</v>
      </c>
      <c r="BX26" s="421">
        <f t="shared" si="84"/>
        <v>39</v>
      </c>
      <c r="BY26" s="94">
        <f t="shared" si="29"/>
        <v>-999999999999</v>
      </c>
      <c r="BZ26" s="95" t="str">
        <f t="shared" si="30"/>
        <v>zzzzzzzzzzzz</v>
      </c>
      <c r="CA26" s="290">
        <f t="shared" si="63"/>
        <v>-999999999999</v>
      </c>
      <c r="CB26" s="404">
        <f t="shared" si="31"/>
        <v>999</v>
      </c>
      <c r="CC26" s="405">
        <f t="shared" si="32"/>
        <v>999</v>
      </c>
      <c r="CD26" s="428" t="str">
        <f t="shared" si="54"/>
        <v/>
      </c>
      <c r="CE26" s="268" t="s">
        <v>344</v>
      </c>
      <c r="CF26" s="736">
        <f>SQRT(1/(2*(CF9-1)*(1-(1/(3*(CF9-1)^2)))))</f>
        <v>0.29002094671369905</v>
      </c>
      <c r="CG26" s="95" t="b">
        <f t="shared" si="55"/>
        <v>0</v>
      </c>
      <c r="CH26" s="406" t="str">
        <f t="shared" si="56"/>
        <v/>
      </c>
      <c r="CI26" s="50" t="str">
        <f t="shared" si="33"/>
        <v/>
      </c>
      <c r="CJ26" s="50" t="b">
        <f t="shared" si="34"/>
        <v>1</v>
      </c>
      <c r="CK26" s="753" t="b">
        <v>1</v>
      </c>
      <c r="CL26" s="50" t="b">
        <f t="shared" si="35"/>
        <v>0</v>
      </c>
      <c r="CM26" s="50">
        <v>19</v>
      </c>
      <c r="CN26" s="200" t="b">
        <f t="shared" si="36"/>
        <v>0</v>
      </c>
      <c r="CO26" s="90" t="str">
        <f t="shared" si="57"/>
        <v/>
      </c>
      <c r="CP26" s="201" t="str">
        <f t="shared" si="58"/>
        <v/>
      </c>
      <c r="CQ26" s="90" t="e">
        <f t="shared" si="64"/>
        <v>#N/A</v>
      </c>
      <c r="CR26" s="201" t="e">
        <f t="shared" si="37"/>
        <v>#N/A</v>
      </c>
      <c r="CS26" s="50" t="e">
        <f t="shared" si="38"/>
        <v>#N/A</v>
      </c>
      <c r="CT26" s="50" t="e">
        <f t="shared" si="39"/>
        <v>#N/A</v>
      </c>
      <c r="CU26" s="90" t="str">
        <f t="shared" si="59"/>
        <v/>
      </c>
      <c r="CV26" s="90" t="str">
        <f t="shared" si="40"/>
        <v/>
      </c>
      <c r="CW26" s="90" t="str">
        <f t="shared" si="60"/>
        <v/>
      </c>
      <c r="CX26" s="90" t="str">
        <f t="shared" si="61"/>
        <v/>
      </c>
      <c r="CY26" s="90" t="str">
        <f t="shared" si="62"/>
        <v/>
      </c>
      <c r="CZ26" s="90" t="str">
        <f t="shared" si="41"/>
        <v/>
      </c>
      <c r="DA26" s="90" t="str">
        <f t="shared" si="42"/>
        <v/>
      </c>
      <c r="DB26" s="90" t="str">
        <f t="shared" si="43"/>
        <v/>
      </c>
      <c r="DC26" s="106" t="e">
        <f t="shared" si="44"/>
        <v>#N/A</v>
      </c>
      <c r="DD26" s="90" t="e">
        <f t="shared" si="45"/>
        <v>#N/A</v>
      </c>
      <c r="DE26" s="90" t="e">
        <f t="shared" si="46"/>
        <v>#N/A</v>
      </c>
      <c r="DF26" s="90" t="e">
        <f t="shared" si="47"/>
        <v>#N/A</v>
      </c>
      <c r="DG26" s="90" t="e">
        <f t="shared" si="48"/>
        <v>#N/A</v>
      </c>
      <c r="DH26" s="90" t="e">
        <f t="shared" si="49"/>
        <v>#N/A</v>
      </c>
      <c r="DI26" s="90" t="e">
        <f t="shared" si="50"/>
        <v>#N/A</v>
      </c>
      <c r="DJ26" s="90" t="e">
        <f t="shared" si="51"/>
        <v>#N/A</v>
      </c>
      <c r="DK26" s="90" t="e">
        <f t="shared" si="52"/>
        <v>#N/A</v>
      </c>
      <c r="DL26" s="113">
        <v>19</v>
      </c>
      <c r="DM26"/>
      <c r="DN26"/>
      <c r="DO26"/>
      <c r="DP26"/>
      <c r="DQ26"/>
      <c r="DR26"/>
      <c r="DS26" s="307">
        <v>15</v>
      </c>
      <c r="DT26" s="50">
        <f t="shared" si="66"/>
        <v>0.15000000000000036</v>
      </c>
      <c r="DU26" s="90">
        <f t="shared" si="72"/>
        <v>0.27514016902996202</v>
      </c>
      <c r="DV26" s="90" t="e">
        <f t="shared" si="73"/>
        <v>#N/A</v>
      </c>
      <c r="DW26" s="90">
        <f t="shared" si="74"/>
        <v>0.27514016902996202</v>
      </c>
      <c r="DX26" s="90">
        <f t="shared" si="67"/>
        <v>32</v>
      </c>
      <c r="DY26" s="308">
        <f t="shared" si="65"/>
        <v>5.0000000000000142E-2</v>
      </c>
      <c r="DZ26" s="307">
        <f t="shared" si="68"/>
        <v>0.14999999999999991</v>
      </c>
      <c r="EA26" s="90">
        <f t="shared" si="75"/>
        <v>0.56884998255655195</v>
      </c>
      <c r="EB26" s="90">
        <f t="shared" si="76"/>
        <v>0.56884998255655195</v>
      </c>
      <c r="EC26" s="90">
        <f t="shared" si="77"/>
        <v>33</v>
      </c>
      <c r="ED26" s="308">
        <f t="shared" si="78"/>
        <v>4.9999999999999968E-2</v>
      </c>
      <c r="EE26" s="307">
        <f t="shared" si="69"/>
        <v>0.15000000000000024</v>
      </c>
      <c r="EF26" s="90">
        <f t="shared" si="79"/>
        <v>-0.16797973241242484</v>
      </c>
      <c r="EG26" s="90">
        <f t="shared" si="80"/>
        <v>-0.16797973241242484</v>
      </c>
      <c r="EH26" s="90">
        <f t="shared" si="70"/>
        <v>34</v>
      </c>
      <c r="EI26" s="308">
        <f t="shared" si="71"/>
        <v>5.00000000000001E-2</v>
      </c>
      <c r="EJ26"/>
    </row>
    <row r="27" spans="1:140" ht="12" customHeight="1" x14ac:dyDescent="0.2">
      <c r="A27" s="50" t="str">
        <f t="shared" si="7"/>
        <v/>
      </c>
      <c r="B27" s="50" t="str">
        <f t="shared" si="8"/>
        <v/>
      </c>
      <c r="C27" s="50" t="str">
        <f t="shared" si="9"/>
        <v/>
      </c>
      <c r="D27" s="50" t="str">
        <f t="shared" si="10"/>
        <v/>
      </c>
      <c r="E27" s="50" t="str">
        <f t="shared" si="11"/>
        <v/>
      </c>
      <c r="F27" s="50" t="str">
        <f t="shared" si="12"/>
        <v/>
      </c>
      <c r="G27" s="66" t="s">
        <v>420</v>
      </c>
      <c r="H27" s="66" t="s">
        <v>420</v>
      </c>
      <c r="I27" s="50" t="e">
        <f t="shared" si="13"/>
        <v>#VALUE!</v>
      </c>
      <c r="J27" s="50" t="e">
        <f t="shared" si="14"/>
        <v>#VALUE!</v>
      </c>
      <c r="K27" s="66">
        <v>0</v>
      </c>
      <c r="L27" s="66">
        <v>0</v>
      </c>
      <c r="M27" s="66">
        <v>0</v>
      </c>
      <c r="N27" s="649">
        <f t="shared" si="15"/>
        <v>0</v>
      </c>
      <c r="O27" s="650">
        <f t="shared" si="16"/>
        <v>0</v>
      </c>
      <c r="P27" s="650">
        <f t="shared" si="17"/>
        <v>0</v>
      </c>
      <c r="Q27" s="79"/>
      <c r="R27" s="662" t="str">
        <f t="shared" si="18"/>
        <v/>
      </c>
      <c r="S27" s="849" t="str">
        <f t="shared" si="19"/>
        <v/>
      </c>
      <c r="T27" s="182" t="str">
        <f t="shared" si="20"/>
        <v/>
      </c>
      <c r="U27" s="204">
        <v>20</v>
      </c>
      <c r="V27" s="186"/>
      <c r="W27" s="663"/>
      <c r="X27" s="653" t="str">
        <f t="shared" si="21"/>
        <v/>
      </c>
      <c r="Y27" s="186"/>
      <c r="Z27" s="186"/>
      <c r="AA27" s="679" t="str">
        <f t="shared" si="22"/>
        <v/>
      </c>
      <c r="AB27" s="186"/>
      <c r="AC27" s="202" t="str">
        <f t="shared" si="23"/>
        <v/>
      </c>
      <c r="AD27" s="665" t="s">
        <v>339</v>
      </c>
      <c r="AE27" s="666" t="str">
        <f t="shared" si="24"/>
        <v/>
      </c>
      <c r="AF27" s="197" t="s">
        <v>261</v>
      </c>
      <c r="AG27" s="666" t="str">
        <f t="shared" si="25"/>
        <v/>
      </c>
      <c r="AH27" s="667" t="s">
        <v>259</v>
      </c>
      <c r="AI27" s="193" t="str">
        <f t="shared" si="53"/>
        <v/>
      </c>
      <c r="AJ27" s="194"/>
      <c r="AK27" s="85">
        <f t="shared" si="1"/>
        <v>9.5000000000000005E-5</v>
      </c>
      <c r="AL27" s="249"/>
      <c r="AM27" s="249"/>
      <c r="AN27" s="165"/>
      <c r="AO27" s="170"/>
      <c r="AP27" s="170"/>
      <c r="AQ27" s="170"/>
      <c r="AR27" s="170"/>
      <c r="AS27" s="170"/>
      <c r="AT27" s="171"/>
      <c r="AU27" s="249"/>
      <c r="AV27" s="668">
        <f t="shared" si="2"/>
        <v>9.5000000000000005E-5</v>
      </c>
      <c r="AW27" s="669" t="str">
        <f t="shared" si="26"/>
        <v/>
      </c>
      <c r="AX27" s="670" t="str">
        <f t="shared" si="27"/>
        <v/>
      </c>
      <c r="AY27" s="671" t="str">
        <f t="shared" si="28"/>
        <v/>
      </c>
      <c r="BT27" s="402">
        <v>-1</v>
      </c>
      <c r="BU27" s="201">
        <f t="shared" si="81"/>
        <v>-0.2</v>
      </c>
      <c r="BV27" s="201">
        <f t="shared" si="82"/>
        <v>0.61597270623773781</v>
      </c>
      <c r="BW27" s="201">
        <f t="shared" si="83"/>
        <v>0.61597270623773781</v>
      </c>
      <c r="BX27" s="421">
        <f t="shared" si="84"/>
        <v>39</v>
      </c>
      <c r="BY27" s="94">
        <f t="shared" si="29"/>
        <v>-999999999999</v>
      </c>
      <c r="BZ27" s="95" t="str">
        <f t="shared" si="30"/>
        <v>zzzzzzzzzzzz</v>
      </c>
      <c r="CA27" s="290">
        <f t="shared" si="63"/>
        <v>-999999999999</v>
      </c>
      <c r="CB27" s="404">
        <f t="shared" si="31"/>
        <v>999</v>
      </c>
      <c r="CC27" s="405">
        <f t="shared" si="32"/>
        <v>999</v>
      </c>
      <c r="CD27" s="428" t="str">
        <f t="shared" si="54"/>
        <v/>
      </c>
      <c r="CE27" s="268" t="s">
        <v>258</v>
      </c>
      <c r="CF27" s="736">
        <f>IF(CF10&gt;(CF9+1),CF25,CF26)</f>
        <v>0.20197716706621055</v>
      </c>
      <c r="CG27" s="95" t="b">
        <f t="shared" si="55"/>
        <v>0</v>
      </c>
      <c r="CH27" s="406" t="str">
        <f t="shared" si="56"/>
        <v/>
      </c>
      <c r="CI27" s="50" t="str">
        <f t="shared" si="33"/>
        <v/>
      </c>
      <c r="CJ27" s="50" t="b">
        <f t="shared" si="34"/>
        <v>1</v>
      </c>
      <c r="CK27" s="753" t="b">
        <v>1</v>
      </c>
      <c r="CL27" s="50" t="b">
        <f t="shared" si="35"/>
        <v>0</v>
      </c>
      <c r="CM27" s="50">
        <v>20</v>
      </c>
      <c r="CN27" s="200" t="b">
        <f t="shared" si="36"/>
        <v>0</v>
      </c>
      <c r="CO27" s="90" t="str">
        <f t="shared" si="57"/>
        <v/>
      </c>
      <c r="CP27" s="201" t="str">
        <f t="shared" si="58"/>
        <v/>
      </c>
      <c r="CQ27" s="90" t="e">
        <f t="shared" si="64"/>
        <v>#N/A</v>
      </c>
      <c r="CR27" s="201" t="e">
        <f t="shared" si="37"/>
        <v>#N/A</v>
      </c>
      <c r="CS27" s="50" t="e">
        <f t="shared" si="38"/>
        <v>#N/A</v>
      </c>
      <c r="CT27" s="50" t="e">
        <f t="shared" si="39"/>
        <v>#N/A</v>
      </c>
      <c r="CU27" s="90" t="str">
        <f t="shared" si="59"/>
        <v/>
      </c>
      <c r="CV27" s="90" t="str">
        <f t="shared" si="40"/>
        <v/>
      </c>
      <c r="CW27" s="90" t="str">
        <f t="shared" si="60"/>
        <v/>
      </c>
      <c r="CX27" s="90" t="str">
        <f t="shared" si="61"/>
        <v/>
      </c>
      <c r="CY27" s="90" t="str">
        <f t="shared" si="62"/>
        <v/>
      </c>
      <c r="CZ27" s="90" t="str">
        <f t="shared" si="41"/>
        <v/>
      </c>
      <c r="DA27" s="90" t="str">
        <f t="shared" si="42"/>
        <v/>
      </c>
      <c r="DB27" s="90" t="str">
        <f t="shared" si="43"/>
        <v/>
      </c>
      <c r="DC27" s="106" t="e">
        <f t="shared" si="44"/>
        <v>#N/A</v>
      </c>
      <c r="DD27" s="90" t="e">
        <f t="shared" si="45"/>
        <v>#N/A</v>
      </c>
      <c r="DE27" s="90" t="e">
        <f t="shared" si="46"/>
        <v>#N/A</v>
      </c>
      <c r="DF27" s="90" t="e">
        <f t="shared" si="47"/>
        <v>#N/A</v>
      </c>
      <c r="DG27" s="90" t="e">
        <f t="shared" si="48"/>
        <v>#N/A</v>
      </c>
      <c r="DH27" s="90" t="e">
        <f t="shared" si="49"/>
        <v>#N/A</v>
      </c>
      <c r="DI27" s="90" t="e">
        <f t="shared" si="50"/>
        <v>#N/A</v>
      </c>
      <c r="DJ27" s="90" t="e">
        <f t="shared" si="51"/>
        <v>#N/A</v>
      </c>
      <c r="DK27" s="90" t="e">
        <f t="shared" si="52"/>
        <v>#N/A</v>
      </c>
      <c r="DL27" s="113">
        <v>20</v>
      </c>
      <c r="DM27"/>
      <c r="DN27"/>
      <c r="DO27"/>
      <c r="DP27"/>
      <c r="DQ27"/>
      <c r="DR27"/>
      <c r="DS27" s="307">
        <v>16</v>
      </c>
      <c r="DT27" s="50">
        <f t="shared" si="66"/>
        <v>0.16000000000000048</v>
      </c>
      <c r="DU27" s="90">
        <f t="shared" si="72"/>
        <v>0.27824524062795852</v>
      </c>
      <c r="DV27" s="90" t="e">
        <f t="shared" si="73"/>
        <v>#N/A</v>
      </c>
      <c r="DW27" s="90">
        <f t="shared" si="74"/>
        <v>0.27824524062795852</v>
      </c>
      <c r="DX27" s="90">
        <f t="shared" si="67"/>
        <v>32</v>
      </c>
      <c r="DY27" s="308">
        <f t="shared" si="65"/>
        <v>5.4000000000000194E-2</v>
      </c>
      <c r="DZ27" s="307">
        <f t="shared" si="68"/>
        <v>0.15999999999999992</v>
      </c>
      <c r="EA27" s="90">
        <f t="shared" si="75"/>
        <v>0.57175730871750707</v>
      </c>
      <c r="EB27" s="90">
        <f t="shared" si="76"/>
        <v>0.57175730871750707</v>
      </c>
      <c r="EC27" s="90">
        <f t="shared" si="77"/>
        <v>33</v>
      </c>
      <c r="ED27" s="308">
        <f t="shared" si="78"/>
        <v>5.3999999999999972E-2</v>
      </c>
      <c r="EE27" s="307">
        <f t="shared" si="69"/>
        <v>0.16000000000000036</v>
      </c>
      <c r="EF27" s="90">
        <f t="shared" si="79"/>
        <v>-0.16543569427960431</v>
      </c>
      <c r="EG27" s="90">
        <f t="shared" si="80"/>
        <v>-0.16543569427960431</v>
      </c>
      <c r="EH27" s="90">
        <f t="shared" si="70"/>
        <v>34</v>
      </c>
      <c r="EI27" s="308">
        <f t="shared" si="71"/>
        <v>5.4000000000000152E-2</v>
      </c>
      <c r="EJ27"/>
    </row>
    <row r="28" spans="1:140" ht="12" customHeight="1" x14ac:dyDescent="0.2">
      <c r="A28" s="50" t="str">
        <f t="shared" si="7"/>
        <v/>
      </c>
      <c r="B28" s="50" t="str">
        <f t="shared" si="8"/>
        <v/>
      </c>
      <c r="C28" s="50" t="str">
        <f t="shared" si="9"/>
        <v/>
      </c>
      <c r="D28" s="50" t="str">
        <f t="shared" si="10"/>
        <v/>
      </c>
      <c r="E28" s="50" t="str">
        <f t="shared" si="11"/>
        <v/>
      </c>
      <c r="F28" s="50" t="str">
        <f t="shared" si="12"/>
        <v/>
      </c>
      <c r="G28" s="66" t="s">
        <v>420</v>
      </c>
      <c r="H28" s="66" t="s">
        <v>420</v>
      </c>
      <c r="I28" s="50" t="e">
        <f t="shared" si="13"/>
        <v>#VALUE!</v>
      </c>
      <c r="J28" s="50" t="e">
        <f t="shared" si="14"/>
        <v>#VALUE!</v>
      </c>
      <c r="K28" s="66">
        <v>0</v>
      </c>
      <c r="L28" s="66">
        <v>0</v>
      </c>
      <c r="M28" s="66">
        <v>0</v>
      </c>
      <c r="N28" s="649">
        <f t="shared" si="15"/>
        <v>0</v>
      </c>
      <c r="O28" s="650">
        <f t="shared" si="16"/>
        <v>0</v>
      </c>
      <c r="P28" s="650">
        <f t="shared" si="17"/>
        <v>0</v>
      </c>
      <c r="Q28" s="90"/>
      <c r="R28" s="662" t="str">
        <f t="shared" si="18"/>
        <v/>
      </c>
      <c r="S28" s="849" t="str">
        <f t="shared" si="19"/>
        <v/>
      </c>
      <c r="T28" s="182" t="str">
        <f t="shared" si="20"/>
        <v/>
      </c>
      <c r="U28" s="183">
        <v>21</v>
      </c>
      <c r="V28" s="186"/>
      <c r="W28" s="663"/>
      <c r="X28" s="653" t="str">
        <f t="shared" si="21"/>
        <v/>
      </c>
      <c r="Y28" s="186"/>
      <c r="Z28" s="186"/>
      <c r="AA28" s="679" t="str">
        <f t="shared" si="22"/>
        <v/>
      </c>
      <c r="AB28" s="186"/>
      <c r="AC28" s="202" t="str">
        <f t="shared" si="23"/>
        <v/>
      </c>
      <c r="AD28" s="665" t="s">
        <v>339</v>
      </c>
      <c r="AE28" s="666" t="str">
        <f t="shared" si="24"/>
        <v/>
      </c>
      <c r="AF28" s="197" t="s">
        <v>261</v>
      </c>
      <c r="AG28" s="666" t="str">
        <f t="shared" si="25"/>
        <v/>
      </c>
      <c r="AH28" s="667" t="s">
        <v>259</v>
      </c>
      <c r="AI28" s="193" t="str">
        <f t="shared" si="53"/>
        <v/>
      </c>
      <c r="AJ28" s="194"/>
      <c r="AK28" s="85">
        <f t="shared" si="1"/>
        <v>9.5000000000000005E-5</v>
      </c>
      <c r="AL28" s="249"/>
      <c r="AM28" s="249"/>
      <c r="AN28" s="165"/>
      <c r="AO28" s="170"/>
      <c r="AP28" s="170"/>
      <c r="AQ28" s="170"/>
      <c r="AR28" s="170"/>
      <c r="AS28" s="170"/>
      <c r="AT28" s="171"/>
      <c r="AU28" s="249"/>
      <c r="AV28" s="668">
        <f t="shared" si="2"/>
        <v>9.5000000000000005E-5</v>
      </c>
      <c r="AW28" s="669" t="str">
        <f t="shared" si="26"/>
        <v/>
      </c>
      <c r="AX28" s="670" t="str">
        <f t="shared" si="27"/>
        <v/>
      </c>
      <c r="AY28" s="671" t="str">
        <f t="shared" si="28"/>
        <v/>
      </c>
      <c r="BT28" s="402">
        <v>-2</v>
      </c>
      <c r="BU28" s="201">
        <f t="shared" si="81"/>
        <v>-0.4</v>
      </c>
      <c r="BV28" s="201">
        <f t="shared" si="82"/>
        <v>0.41597270623773785</v>
      </c>
      <c r="BW28" s="201">
        <f t="shared" si="83"/>
        <v>0.41597270623773785</v>
      </c>
      <c r="BX28" s="421">
        <f t="shared" si="84"/>
        <v>39</v>
      </c>
      <c r="BY28" s="94">
        <f t="shared" si="29"/>
        <v>-999999999999</v>
      </c>
      <c r="BZ28" s="95" t="str">
        <f t="shared" si="30"/>
        <v>zzzzzzzzzzzz</v>
      </c>
      <c r="CA28" s="290">
        <f t="shared" si="63"/>
        <v>-999999999999</v>
      </c>
      <c r="CB28" s="404">
        <f t="shared" si="31"/>
        <v>999</v>
      </c>
      <c r="CC28" s="405">
        <f t="shared" si="32"/>
        <v>999</v>
      </c>
      <c r="CD28" s="428" t="str">
        <f t="shared" si="54"/>
        <v/>
      </c>
      <c r="CE28" s="268" t="s">
        <v>345</v>
      </c>
      <c r="CF28" s="677">
        <f>EXP(0.5*LN(CF10/CF9)-NORMSINV((100+$AA$2)/200)*CF27)</f>
        <v>1.0104728849782771</v>
      </c>
      <c r="CG28" s="95" t="b">
        <f t="shared" si="55"/>
        <v>0</v>
      </c>
      <c r="CH28" s="406" t="str">
        <f t="shared" si="56"/>
        <v/>
      </c>
      <c r="CI28" s="50" t="str">
        <f t="shared" si="33"/>
        <v/>
      </c>
      <c r="CJ28" s="50" t="b">
        <f t="shared" si="34"/>
        <v>1</v>
      </c>
      <c r="CK28" s="753" t="b">
        <v>1</v>
      </c>
      <c r="CL28" s="50" t="b">
        <f t="shared" si="35"/>
        <v>0</v>
      </c>
      <c r="CM28" s="50">
        <v>21</v>
      </c>
      <c r="CN28" s="200" t="b">
        <f t="shared" si="36"/>
        <v>0</v>
      </c>
      <c r="CO28" s="90" t="str">
        <f t="shared" si="57"/>
        <v/>
      </c>
      <c r="CP28" s="201" t="str">
        <f t="shared" si="58"/>
        <v/>
      </c>
      <c r="CQ28" s="90" t="e">
        <f t="shared" si="64"/>
        <v>#N/A</v>
      </c>
      <c r="CR28" s="201" t="e">
        <f t="shared" si="37"/>
        <v>#N/A</v>
      </c>
      <c r="CS28" s="50" t="e">
        <f t="shared" si="38"/>
        <v>#N/A</v>
      </c>
      <c r="CT28" s="50" t="e">
        <f t="shared" si="39"/>
        <v>#N/A</v>
      </c>
      <c r="CU28" s="90" t="str">
        <f t="shared" si="59"/>
        <v/>
      </c>
      <c r="CV28" s="90" t="str">
        <f t="shared" si="40"/>
        <v/>
      </c>
      <c r="CW28" s="90" t="str">
        <f t="shared" si="60"/>
        <v/>
      </c>
      <c r="CX28" s="90" t="str">
        <f t="shared" si="61"/>
        <v/>
      </c>
      <c r="CY28" s="90" t="str">
        <f t="shared" si="62"/>
        <v/>
      </c>
      <c r="CZ28" s="90" t="str">
        <f t="shared" si="41"/>
        <v/>
      </c>
      <c r="DA28" s="90" t="str">
        <f t="shared" si="42"/>
        <v/>
      </c>
      <c r="DB28" s="90" t="str">
        <f t="shared" si="43"/>
        <v/>
      </c>
      <c r="DC28" s="106" t="e">
        <f t="shared" si="44"/>
        <v>#N/A</v>
      </c>
      <c r="DD28" s="90" t="e">
        <f t="shared" si="45"/>
        <v>#N/A</v>
      </c>
      <c r="DE28" s="90" t="e">
        <f t="shared" si="46"/>
        <v>#N/A</v>
      </c>
      <c r="DF28" s="90" t="e">
        <f t="shared" si="47"/>
        <v>#N/A</v>
      </c>
      <c r="DG28" s="90" t="e">
        <f t="shared" si="48"/>
        <v>#N/A</v>
      </c>
      <c r="DH28" s="90" t="e">
        <f t="shared" si="49"/>
        <v>#N/A</v>
      </c>
      <c r="DI28" s="90" t="e">
        <f t="shared" si="50"/>
        <v>#N/A</v>
      </c>
      <c r="DJ28" s="90" t="e">
        <f t="shared" si="51"/>
        <v>#N/A</v>
      </c>
      <c r="DK28" s="90" t="e">
        <f t="shared" si="52"/>
        <v>#N/A</v>
      </c>
      <c r="DL28" s="113">
        <v>21</v>
      </c>
      <c r="DM28"/>
      <c r="DN28"/>
      <c r="DO28"/>
      <c r="DP28"/>
      <c r="DQ28"/>
      <c r="DR28"/>
      <c r="DS28" s="307">
        <v>17</v>
      </c>
      <c r="DT28" s="50">
        <f t="shared" si="66"/>
        <v>0.17000000000000048</v>
      </c>
      <c r="DU28" s="90">
        <f t="shared" si="72"/>
        <v>0.28135031222595502</v>
      </c>
      <c r="DV28" s="90" t="e">
        <f t="shared" si="73"/>
        <v>#N/A</v>
      </c>
      <c r="DW28" s="90">
        <f t="shared" si="74"/>
        <v>0.28135031222595502</v>
      </c>
      <c r="DX28" s="90">
        <f t="shared" si="67"/>
        <v>32</v>
      </c>
      <c r="DY28" s="308">
        <f t="shared" si="65"/>
        <v>5.8000000000000197E-2</v>
      </c>
      <c r="DZ28" s="307">
        <f t="shared" si="68"/>
        <v>0.16999999999999982</v>
      </c>
      <c r="EA28" s="90">
        <f t="shared" si="75"/>
        <v>0.5746646348784622</v>
      </c>
      <c r="EB28" s="90">
        <f t="shared" si="76"/>
        <v>0.5746646348784622</v>
      </c>
      <c r="EC28" s="90">
        <f t="shared" si="77"/>
        <v>33</v>
      </c>
      <c r="ED28" s="308">
        <f t="shared" si="78"/>
        <v>5.7999999999999934E-2</v>
      </c>
      <c r="EE28" s="307">
        <f t="shared" si="69"/>
        <v>0.17000000000000037</v>
      </c>
      <c r="EF28" s="90">
        <f t="shared" si="79"/>
        <v>-0.16289165614678378</v>
      </c>
      <c r="EG28" s="90">
        <f t="shared" si="80"/>
        <v>-0.16289165614678378</v>
      </c>
      <c r="EH28" s="90">
        <f t="shared" si="70"/>
        <v>34</v>
      </c>
      <c r="EI28" s="308">
        <f t="shared" si="71"/>
        <v>5.8000000000000156E-2</v>
      </c>
      <c r="EJ28"/>
    </row>
    <row r="29" spans="1:140" ht="12" customHeight="1" x14ac:dyDescent="0.2">
      <c r="A29" s="50" t="str">
        <f t="shared" si="7"/>
        <v/>
      </c>
      <c r="B29" s="50" t="str">
        <f t="shared" si="8"/>
        <v/>
      </c>
      <c r="C29" s="50" t="str">
        <f t="shared" si="9"/>
        <v/>
      </c>
      <c r="D29" s="50" t="str">
        <f t="shared" si="10"/>
        <v/>
      </c>
      <c r="E29" s="50" t="str">
        <f t="shared" si="11"/>
        <v/>
      </c>
      <c r="F29" s="50" t="str">
        <f t="shared" si="12"/>
        <v/>
      </c>
      <c r="G29" s="66" t="s">
        <v>420</v>
      </c>
      <c r="H29" s="66" t="s">
        <v>420</v>
      </c>
      <c r="I29" s="50" t="e">
        <f t="shared" si="13"/>
        <v>#VALUE!</v>
      </c>
      <c r="J29" s="50" t="e">
        <f t="shared" si="14"/>
        <v>#VALUE!</v>
      </c>
      <c r="K29" s="66">
        <v>0</v>
      </c>
      <c r="L29" s="66">
        <v>0</v>
      </c>
      <c r="M29" s="66">
        <v>0</v>
      </c>
      <c r="N29" s="649">
        <f t="shared" si="15"/>
        <v>0</v>
      </c>
      <c r="O29" s="650">
        <f t="shared" si="16"/>
        <v>0</v>
      </c>
      <c r="P29" s="650">
        <f t="shared" si="17"/>
        <v>0</v>
      </c>
      <c r="Q29" s="90"/>
      <c r="R29" s="662" t="str">
        <f t="shared" si="18"/>
        <v/>
      </c>
      <c r="S29" s="849" t="str">
        <f t="shared" si="19"/>
        <v/>
      </c>
      <c r="T29" s="182" t="str">
        <f t="shared" si="20"/>
        <v/>
      </c>
      <c r="U29" s="204">
        <v>22</v>
      </c>
      <c r="V29" s="186"/>
      <c r="W29" s="663"/>
      <c r="X29" s="653" t="str">
        <f t="shared" si="21"/>
        <v/>
      </c>
      <c r="Y29" s="186"/>
      <c r="Z29" s="186"/>
      <c r="AA29" s="679" t="str">
        <f t="shared" si="22"/>
        <v/>
      </c>
      <c r="AB29" s="186"/>
      <c r="AC29" s="202" t="str">
        <f t="shared" si="23"/>
        <v/>
      </c>
      <c r="AD29" s="665" t="s">
        <v>339</v>
      </c>
      <c r="AE29" s="666" t="str">
        <f t="shared" si="24"/>
        <v/>
      </c>
      <c r="AF29" s="197" t="s">
        <v>261</v>
      </c>
      <c r="AG29" s="666" t="str">
        <f t="shared" si="25"/>
        <v/>
      </c>
      <c r="AH29" s="667" t="s">
        <v>259</v>
      </c>
      <c r="AI29" s="193" t="str">
        <f t="shared" si="53"/>
        <v/>
      </c>
      <c r="AJ29" s="194"/>
      <c r="AK29" s="85">
        <f t="shared" si="1"/>
        <v>9.5000000000000005E-5</v>
      </c>
      <c r="AL29" s="249"/>
      <c r="AM29" s="249"/>
      <c r="AN29" s="165"/>
      <c r="AO29" s="170"/>
      <c r="AP29" s="170"/>
      <c r="AQ29" s="170"/>
      <c r="AR29" s="170"/>
      <c r="AS29" s="170"/>
      <c r="AT29" s="171"/>
      <c r="AU29" s="249"/>
      <c r="AV29" s="668">
        <f t="shared" si="2"/>
        <v>9.5000000000000005E-5</v>
      </c>
      <c r="AW29" s="669" t="str">
        <f t="shared" si="26"/>
        <v/>
      </c>
      <c r="AX29" s="670" t="str">
        <f t="shared" si="27"/>
        <v/>
      </c>
      <c r="AY29" s="671" t="str">
        <f t="shared" si="28"/>
        <v/>
      </c>
      <c r="BT29" s="402">
        <v>-3</v>
      </c>
      <c r="BU29" s="201">
        <f t="shared" si="81"/>
        <v>-0.60000000000000009</v>
      </c>
      <c r="BV29" s="201">
        <f t="shared" si="82"/>
        <v>0.21597270623773779</v>
      </c>
      <c r="BW29" s="201">
        <f t="shared" si="83"/>
        <v>0.21597270623773779</v>
      </c>
      <c r="BX29" s="421">
        <f t="shared" si="84"/>
        <v>39</v>
      </c>
      <c r="BY29" s="94">
        <f t="shared" si="29"/>
        <v>-999999999999</v>
      </c>
      <c r="BZ29" s="95" t="str">
        <f t="shared" si="30"/>
        <v>zzzzzzzzzzzz</v>
      </c>
      <c r="CA29" s="290">
        <f t="shared" si="63"/>
        <v>-999999999999</v>
      </c>
      <c r="CB29" s="432">
        <f t="shared" si="31"/>
        <v>999</v>
      </c>
      <c r="CC29" s="433">
        <f t="shared" si="32"/>
        <v>999</v>
      </c>
      <c r="CD29" s="434" t="str">
        <f t="shared" si="54"/>
        <v/>
      </c>
      <c r="CE29" s="268" t="s">
        <v>346</v>
      </c>
      <c r="CF29" s="677">
        <f>EXP(0.5*LN(CF10/CF9)+NORMSINV((100+$AA$2)/200)*CF27)</f>
        <v>2.2303407367029155</v>
      </c>
      <c r="CG29" s="95" t="b">
        <f t="shared" si="55"/>
        <v>0</v>
      </c>
      <c r="CH29" s="406" t="str">
        <f t="shared" si="56"/>
        <v/>
      </c>
      <c r="CI29" s="50" t="str">
        <f t="shared" si="33"/>
        <v/>
      </c>
      <c r="CJ29" s="50" t="b">
        <f t="shared" si="34"/>
        <v>1</v>
      </c>
      <c r="CK29" s="753" t="b">
        <v>1</v>
      </c>
      <c r="CL29" s="50" t="b">
        <f t="shared" si="35"/>
        <v>0</v>
      </c>
      <c r="CM29" s="50">
        <v>22</v>
      </c>
      <c r="CN29" s="200" t="b">
        <f t="shared" si="36"/>
        <v>0</v>
      </c>
      <c r="CO29" s="90" t="str">
        <f t="shared" si="57"/>
        <v/>
      </c>
      <c r="CP29" s="201" t="str">
        <f t="shared" si="58"/>
        <v/>
      </c>
      <c r="CQ29" s="90" t="e">
        <f t="shared" si="64"/>
        <v>#N/A</v>
      </c>
      <c r="CR29" s="201" t="e">
        <f t="shared" si="37"/>
        <v>#N/A</v>
      </c>
      <c r="CS29" s="50" t="e">
        <f t="shared" si="38"/>
        <v>#N/A</v>
      </c>
      <c r="CT29" s="50" t="e">
        <f t="shared" si="39"/>
        <v>#N/A</v>
      </c>
      <c r="CU29" s="90" t="str">
        <f t="shared" si="59"/>
        <v/>
      </c>
      <c r="CV29" s="90" t="str">
        <f t="shared" si="40"/>
        <v/>
      </c>
      <c r="CW29" s="90" t="str">
        <f t="shared" si="60"/>
        <v/>
      </c>
      <c r="CX29" s="90" t="str">
        <f t="shared" si="61"/>
        <v/>
      </c>
      <c r="CY29" s="90" t="str">
        <f t="shared" si="62"/>
        <v/>
      </c>
      <c r="CZ29" s="90" t="str">
        <f t="shared" si="41"/>
        <v/>
      </c>
      <c r="DA29" s="90" t="str">
        <f t="shared" si="42"/>
        <v/>
      </c>
      <c r="DB29" s="90" t="str">
        <f t="shared" si="43"/>
        <v/>
      </c>
      <c r="DC29" s="106" t="e">
        <f t="shared" si="44"/>
        <v>#N/A</v>
      </c>
      <c r="DD29" s="90" t="e">
        <f t="shared" si="45"/>
        <v>#N/A</v>
      </c>
      <c r="DE29" s="90" t="e">
        <f t="shared" si="46"/>
        <v>#N/A</v>
      </c>
      <c r="DF29" s="90" t="e">
        <f t="shared" si="47"/>
        <v>#N/A</v>
      </c>
      <c r="DG29" s="90" t="e">
        <f t="shared" si="48"/>
        <v>#N/A</v>
      </c>
      <c r="DH29" s="90" t="e">
        <f t="shared" si="49"/>
        <v>#N/A</v>
      </c>
      <c r="DI29" s="90" t="e">
        <f t="shared" si="50"/>
        <v>#N/A</v>
      </c>
      <c r="DJ29" s="90" t="e">
        <f t="shared" si="51"/>
        <v>#N/A</v>
      </c>
      <c r="DK29" s="90" t="e">
        <f t="shared" si="52"/>
        <v>#N/A</v>
      </c>
      <c r="DL29" s="113">
        <v>22</v>
      </c>
      <c r="DM29"/>
      <c r="DN29"/>
      <c r="DO29"/>
      <c r="DP29"/>
      <c r="DQ29"/>
      <c r="DR29"/>
      <c r="DS29" s="307">
        <v>18</v>
      </c>
      <c r="DT29" s="50">
        <f t="shared" si="66"/>
        <v>0.1800000000000006</v>
      </c>
      <c r="DU29" s="90">
        <f t="shared" si="72"/>
        <v>0.28445538382395152</v>
      </c>
      <c r="DV29" s="90" t="e">
        <f t="shared" si="73"/>
        <v>#N/A</v>
      </c>
      <c r="DW29" s="90">
        <f t="shared" si="74"/>
        <v>0.28445538382395152</v>
      </c>
      <c r="DX29" s="90">
        <f t="shared" si="67"/>
        <v>32</v>
      </c>
      <c r="DY29" s="308">
        <f t="shared" si="65"/>
        <v>6.2000000000000242E-2</v>
      </c>
      <c r="DZ29" s="307">
        <f t="shared" si="68"/>
        <v>0.17999999999999983</v>
      </c>
      <c r="EA29" s="90">
        <f t="shared" si="75"/>
        <v>0.57757196103941733</v>
      </c>
      <c r="EB29" s="90">
        <f t="shared" si="76"/>
        <v>0.57757196103941733</v>
      </c>
      <c r="EC29" s="90">
        <f t="shared" si="77"/>
        <v>33</v>
      </c>
      <c r="ED29" s="308">
        <f t="shared" si="78"/>
        <v>6.1999999999999937E-2</v>
      </c>
      <c r="EE29" s="307">
        <f t="shared" si="69"/>
        <v>0.18000000000000049</v>
      </c>
      <c r="EF29" s="90">
        <f t="shared" si="79"/>
        <v>-0.16034761801396324</v>
      </c>
      <c r="EG29" s="90">
        <f t="shared" si="80"/>
        <v>-0.16034761801396324</v>
      </c>
      <c r="EH29" s="90">
        <f t="shared" si="70"/>
        <v>34</v>
      </c>
      <c r="EI29" s="308">
        <f t="shared" si="71"/>
        <v>6.2000000000000201E-2</v>
      </c>
      <c r="EJ29"/>
    </row>
    <row r="30" spans="1:140" ht="12" customHeight="1" x14ac:dyDescent="0.2">
      <c r="A30" s="50" t="str">
        <f t="shared" si="7"/>
        <v/>
      </c>
      <c r="B30" s="50" t="str">
        <f t="shared" si="8"/>
        <v/>
      </c>
      <c r="C30" s="50" t="str">
        <f t="shared" si="9"/>
        <v/>
      </c>
      <c r="D30" s="50" t="str">
        <f t="shared" si="10"/>
        <v/>
      </c>
      <c r="E30" s="50" t="str">
        <f t="shared" si="11"/>
        <v/>
      </c>
      <c r="F30" s="50" t="str">
        <f t="shared" si="12"/>
        <v/>
      </c>
      <c r="G30" s="66" t="s">
        <v>420</v>
      </c>
      <c r="H30" s="66" t="s">
        <v>420</v>
      </c>
      <c r="I30" s="50" t="e">
        <f t="shared" si="13"/>
        <v>#VALUE!</v>
      </c>
      <c r="J30" s="50" t="e">
        <f t="shared" si="14"/>
        <v>#VALUE!</v>
      </c>
      <c r="K30" s="66">
        <v>0</v>
      </c>
      <c r="L30" s="66">
        <v>0</v>
      </c>
      <c r="M30" s="66">
        <v>0</v>
      </c>
      <c r="N30" s="649">
        <f t="shared" si="15"/>
        <v>0</v>
      </c>
      <c r="O30" s="650">
        <f t="shared" si="16"/>
        <v>0</v>
      </c>
      <c r="P30" s="650">
        <f t="shared" si="17"/>
        <v>0</v>
      </c>
      <c r="Q30" s="90"/>
      <c r="R30" s="662" t="str">
        <f t="shared" si="18"/>
        <v/>
      </c>
      <c r="S30" s="849" t="str">
        <f t="shared" si="19"/>
        <v/>
      </c>
      <c r="T30" s="182" t="str">
        <f t="shared" si="20"/>
        <v/>
      </c>
      <c r="U30" s="183">
        <v>23</v>
      </c>
      <c r="V30" s="186"/>
      <c r="W30" s="663"/>
      <c r="X30" s="653" t="str">
        <f t="shared" si="21"/>
        <v/>
      </c>
      <c r="Y30" s="186"/>
      <c r="Z30" s="186"/>
      <c r="AA30" s="679" t="str">
        <f t="shared" si="22"/>
        <v/>
      </c>
      <c r="AB30" s="186"/>
      <c r="AC30" s="202" t="str">
        <f t="shared" si="23"/>
        <v/>
      </c>
      <c r="AD30" s="665" t="s">
        <v>339</v>
      </c>
      <c r="AE30" s="666" t="str">
        <f t="shared" si="24"/>
        <v/>
      </c>
      <c r="AF30" s="197" t="s">
        <v>261</v>
      </c>
      <c r="AG30" s="666" t="str">
        <f t="shared" si="25"/>
        <v/>
      </c>
      <c r="AH30" s="667" t="s">
        <v>259</v>
      </c>
      <c r="AI30" s="193" t="str">
        <f t="shared" si="53"/>
        <v/>
      </c>
      <c r="AJ30" s="194"/>
      <c r="AK30" s="85">
        <f t="shared" si="1"/>
        <v>9.5000000000000005E-5</v>
      </c>
      <c r="AL30" s="249"/>
      <c r="AM30" s="249"/>
      <c r="AN30" s="165"/>
      <c r="AO30" s="170"/>
      <c r="AP30" s="170"/>
      <c r="AQ30" s="170"/>
      <c r="AR30" s="170"/>
      <c r="AS30" s="170"/>
      <c r="AT30" s="171"/>
      <c r="AU30" s="249"/>
      <c r="AV30" s="668">
        <f t="shared" si="2"/>
        <v>9.5000000000000005E-5</v>
      </c>
      <c r="AW30" s="669" t="str">
        <f t="shared" si="26"/>
        <v/>
      </c>
      <c r="AX30" s="670" t="str">
        <f t="shared" si="27"/>
        <v/>
      </c>
      <c r="AY30" s="671" t="str">
        <f t="shared" si="28"/>
        <v/>
      </c>
      <c r="BT30" s="402">
        <v>-4</v>
      </c>
      <c r="BU30" s="201">
        <f t="shared" si="81"/>
        <v>-0.8</v>
      </c>
      <c r="BV30" s="201">
        <f t="shared" si="82"/>
        <v>1.5972706237737833E-2</v>
      </c>
      <c r="BW30" s="201">
        <f t="shared" si="83"/>
        <v>1.5972706237737833E-2</v>
      </c>
      <c r="BX30" s="421">
        <f t="shared" si="84"/>
        <v>39</v>
      </c>
      <c r="BY30" s="94">
        <f t="shared" si="29"/>
        <v>-999999999999</v>
      </c>
      <c r="BZ30" s="95" t="str">
        <f t="shared" si="30"/>
        <v>zzzzzzzzzzzz</v>
      </c>
      <c r="CA30" s="290">
        <f t="shared" si="63"/>
        <v>-999999999999</v>
      </c>
      <c r="CB30" s="404">
        <f t="shared" si="31"/>
        <v>999</v>
      </c>
      <c r="CC30" s="405">
        <f t="shared" si="32"/>
        <v>999</v>
      </c>
      <c r="CD30" s="428" t="str">
        <f t="shared" si="54"/>
        <v/>
      </c>
      <c r="CE30" s="268" t="s">
        <v>347</v>
      </c>
      <c r="CF30" s="677">
        <f>MAX(0,CF9*(CF28^2-1)/CF12)</f>
        <v>1.7426209460135707E-3</v>
      </c>
      <c r="CG30" s="95" t="b">
        <f t="shared" si="55"/>
        <v>0</v>
      </c>
      <c r="CH30" s="406" t="str">
        <f t="shared" si="56"/>
        <v/>
      </c>
      <c r="CI30" s="50" t="str">
        <f t="shared" si="33"/>
        <v/>
      </c>
      <c r="CJ30" s="50" t="b">
        <f t="shared" si="34"/>
        <v>1</v>
      </c>
      <c r="CK30" s="753" t="b">
        <v>1</v>
      </c>
      <c r="CL30" s="50" t="b">
        <f t="shared" si="35"/>
        <v>0</v>
      </c>
      <c r="CM30" s="50">
        <v>23</v>
      </c>
      <c r="CN30" s="200" t="b">
        <f t="shared" si="36"/>
        <v>0</v>
      </c>
      <c r="CO30" s="90" t="str">
        <f t="shared" si="57"/>
        <v/>
      </c>
      <c r="CP30" s="201" t="str">
        <f t="shared" si="58"/>
        <v/>
      </c>
      <c r="CQ30" s="90" t="e">
        <f t="shared" si="64"/>
        <v>#N/A</v>
      </c>
      <c r="CR30" s="201" t="e">
        <f t="shared" si="37"/>
        <v>#N/A</v>
      </c>
      <c r="CS30" s="50" t="e">
        <f t="shared" si="38"/>
        <v>#N/A</v>
      </c>
      <c r="CT30" s="50" t="e">
        <f t="shared" si="39"/>
        <v>#N/A</v>
      </c>
      <c r="CU30" s="90" t="str">
        <f t="shared" si="59"/>
        <v/>
      </c>
      <c r="CV30" s="90" t="str">
        <f t="shared" si="40"/>
        <v/>
      </c>
      <c r="CW30" s="90" t="str">
        <f t="shared" si="60"/>
        <v/>
      </c>
      <c r="CX30" s="90" t="str">
        <f t="shared" si="61"/>
        <v/>
      </c>
      <c r="CY30" s="90" t="str">
        <f t="shared" si="62"/>
        <v/>
      </c>
      <c r="CZ30" s="90" t="str">
        <f t="shared" si="41"/>
        <v/>
      </c>
      <c r="DA30" s="90" t="str">
        <f t="shared" si="42"/>
        <v/>
      </c>
      <c r="DB30" s="90" t="str">
        <f t="shared" si="43"/>
        <v/>
      </c>
      <c r="DC30" s="106" t="e">
        <f t="shared" si="44"/>
        <v>#N/A</v>
      </c>
      <c r="DD30" s="90" t="e">
        <f t="shared" si="45"/>
        <v>#N/A</v>
      </c>
      <c r="DE30" s="90" t="e">
        <f t="shared" si="46"/>
        <v>#N/A</v>
      </c>
      <c r="DF30" s="90" t="e">
        <f t="shared" si="47"/>
        <v>#N/A</v>
      </c>
      <c r="DG30" s="90" t="e">
        <f t="shared" si="48"/>
        <v>#N/A</v>
      </c>
      <c r="DH30" s="90" t="e">
        <f t="shared" si="49"/>
        <v>#N/A</v>
      </c>
      <c r="DI30" s="90" t="e">
        <f t="shared" si="50"/>
        <v>#N/A</v>
      </c>
      <c r="DJ30" s="90" t="e">
        <f t="shared" si="51"/>
        <v>#N/A</v>
      </c>
      <c r="DK30" s="90" t="e">
        <f t="shared" si="52"/>
        <v>#N/A</v>
      </c>
      <c r="DL30" s="113">
        <v>23</v>
      </c>
      <c r="DM30"/>
      <c r="DN30"/>
      <c r="DO30"/>
      <c r="DP30"/>
      <c r="DQ30"/>
      <c r="DR30"/>
      <c r="DS30" s="307">
        <v>19</v>
      </c>
      <c r="DT30" s="50">
        <f t="shared" si="66"/>
        <v>0.19000000000000061</v>
      </c>
      <c r="DU30" s="90">
        <f t="shared" si="72"/>
        <v>0.28756045542194802</v>
      </c>
      <c r="DV30" s="90" t="e">
        <f t="shared" si="73"/>
        <v>#N/A</v>
      </c>
      <c r="DW30" s="90">
        <f t="shared" si="74"/>
        <v>0.28756045542194802</v>
      </c>
      <c r="DX30" s="90">
        <f t="shared" si="67"/>
        <v>32</v>
      </c>
      <c r="DY30" s="308">
        <f t="shared" si="65"/>
        <v>6.6000000000000253E-2</v>
      </c>
      <c r="DZ30" s="307">
        <f t="shared" si="68"/>
        <v>0.18999999999999984</v>
      </c>
      <c r="EA30" s="90">
        <f t="shared" si="75"/>
        <v>0.58047928720037245</v>
      </c>
      <c r="EB30" s="90">
        <f t="shared" si="76"/>
        <v>0.58047928720037245</v>
      </c>
      <c r="EC30" s="90">
        <f t="shared" si="77"/>
        <v>33</v>
      </c>
      <c r="ED30" s="308">
        <f t="shared" si="78"/>
        <v>6.5999999999999948E-2</v>
      </c>
      <c r="EE30" s="307">
        <f t="shared" si="69"/>
        <v>0.19000000000000039</v>
      </c>
      <c r="EF30" s="90">
        <f t="shared" si="79"/>
        <v>-0.15780357988114271</v>
      </c>
      <c r="EG30" s="90">
        <f t="shared" si="80"/>
        <v>-0.15780357988114271</v>
      </c>
      <c r="EH30" s="90">
        <f t="shared" si="70"/>
        <v>34</v>
      </c>
      <c r="EI30" s="308">
        <f t="shared" si="71"/>
        <v>6.600000000000017E-2</v>
      </c>
      <c r="EJ30"/>
    </row>
    <row r="31" spans="1:140" ht="12" customHeight="1" x14ac:dyDescent="0.2">
      <c r="A31" s="50" t="str">
        <f t="shared" si="7"/>
        <v/>
      </c>
      <c r="B31" s="50" t="str">
        <f t="shared" si="8"/>
        <v/>
      </c>
      <c r="C31" s="50" t="str">
        <f t="shared" si="9"/>
        <v/>
      </c>
      <c r="D31" s="50" t="str">
        <f t="shared" si="10"/>
        <v/>
      </c>
      <c r="E31" s="50" t="str">
        <f t="shared" si="11"/>
        <v/>
      </c>
      <c r="F31" s="50" t="str">
        <f t="shared" si="12"/>
        <v/>
      </c>
      <c r="G31" s="66" t="s">
        <v>420</v>
      </c>
      <c r="H31" s="66" t="s">
        <v>420</v>
      </c>
      <c r="I31" s="50" t="e">
        <f t="shared" si="13"/>
        <v>#VALUE!</v>
      </c>
      <c r="J31" s="50" t="e">
        <f t="shared" si="14"/>
        <v>#VALUE!</v>
      </c>
      <c r="K31" s="66">
        <v>0</v>
      </c>
      <c r="L31" s="66">
        <v>0</v>
      </c>
      <c r="M31" s="66">
        <v>0</v>
      </c>
      <c r="N31" s="649">
        <f t="shared" si="15"/>
        <v>0</v>
      </c>
      <c r="O31" s="650">
        <f t="shared" si="16"/>
        <v>0</v>
      </c>
      <c r="P31" s="650">
        <f t="shared" si="17"/>
        <v>0</v>
      </c>
      <c r="Q31" s="90"/>
      <c r="R31" s="662" t="str">
        <f t="shared" si="18"/>
        <v/>
      </c>
      <c r="S31" s="849" t="str">
        <f t="shared" si="19"/>
        <v/>
      </c>
      <c r="T31" s="182" t="str">
        <f t="shared" si="20"/>
        <v/>
      </c>
      <c r="U31" s="204">
        <v>24</v>
      </c>
      <c r="V31" s="186"/>
      <c r="W31" s="663"/>
      <c r="X31" s="653" t="str">
        <f t="shared" si="21"/>
        <v/>
      </c>
      <c r="Y31" s="186"/>
      <c r="Z31" s="186"/>
      <c r="AA31" s="679" t="str">
        <f t="shared" si="22"/>
        <v/>
      </c>
      <c r="AB31" s="186"/>
      <c r="AC31" s="202" t="str">
        <f t="shared" si="23"/>
        <v/>
      </c>
      <c r="AD31" s="665" t="s">
        <v>339</v>
      </c>
      <c r="AE31" s="666" t="str">
        <f t="shared" si="24"/>
        <v/>
      </c>
      <c r="AF31" s="197" t="s">
        <v>261</v>
      </c>
      <c r="AG31" s="666" t="str">
        <f t="shared" si="25"/>
        <v/>
      </c>
      <c r="AH31" s="667" t="s">
        <v>259</v>
      </c>
      <c r="AI31" s="193" t="str">
        <f t="shared" si="53"/>
        <v/>
      </c>
      <c r="AJ31" s="194"/>
      <c r="AK31" s="85">
        <f t="shared" si="1"/>
        <v>9.5000000000000005E-5</v>
      </c>
      <c r="AL31" s="249"/>
      <c r="AM31" s="249"/>
      <c r="AN31" s="165"/>
      <c r="AO31" s="170"/>
      <c r="AP31" s="170"/>
      <c r="AQ31" s="170"/>
      <c r="AR31" s="170"/>
      <c r="AS31" s="170"/>
      <c r="AT31" s="171"/>
      <c r="AU31" s="249"/>
      <c r="AV31" s="668">
        <f t="shared" si="2"/>
        <v>9.5000000000000005E-5</v>
      </c>
      <c r="AW31" s="669" t="str">
        <f t="shared" si="26"/>
        <v/>
      </c>
      <c r="AX31" s="670" t="str">
        <f t="shared" si="27"/>
        <v/>
      </c>
      <c r="AY31" s="671" t="str">
        <f t="shared" si="28"/>
        <v/>
      </c>
      <c r="BT31" s="402">
        <v>-5</v>
      </c>
      <c r="BU31" s="201">
        <f t="shared" si="81"/>
        <v>-1</v>
      </c>
      <c r="BV31" s="201">
        <f t="shared" si="82"/>
        <v>-0.18402729376226212</v>
      </c>
      <c r="BW31" s="201">
        <f t="shared" si="83"/>
        <v>-0.18402729376226212</v>
      </c>
      <c r="BX31" s="421">
        <f t="shared" si="84"/>
        <v>39</v>
      </c>
      <c r="BY31" s="94">
        <f t="shared" si="29"/>
        <v>-999999999999</v>
      </c>
      <c r="BZ31" s="95" t="str">
        <f t="shared" si="30"/>
        <v>zzzzzzzzzzzz</v>
      </c>
      <c r="CA31" s="290">
        <f t="shared" si="63"/>
        <v>-999999999999</v>
      </c>
      <c r="CB31" s="404">
        <f t="shared" si="31"/>
        <v>999</v>
      </c>
      <c r="CC31" s="405">
        <f t="shared" si="32"/>
        <v>999</v>
      </c>
      <c r="CD31" s="428" t="str">
        <f t="shared" si="54"/>
        <v/>
      </c>
      <c r="CE31" s="268" t="s">
        <v>348</v>
      </c>
      <c r="CF31" s="677">
        <f>MAX(0,CF9*(CF29^2-1)/CF12)</f>
        <v>0.32893653543536538</v>
      </c>
      <c r="CG31" s="95" t="b">
        <f t="shared" si="55"/>
        <v>0</v>
      </c>
      <c r="CH31" s="406" t="str">
        <f t="shared" si="56"/>
        <v/>
      </c>
      <c r="CI31" s="50" t="str">
        <f t="shared" si="33"/>
        <v/>
      </c>
      <c r="CJ31" s="50" t="b">
        <f t="shared" si="34"/>
        <v>1</v>
      </c>
      <c r="CK31" s="177" t="b">
        <v>1</v>
      </c>
      <c r="CL31" s="50" t="b">
        <f t="shared" si="35"/>
        <v>0</v>
      </c>
      <c r="CM31" s="50">
        <v>24</v>
      </c>
      <c r="CN31" s="200" t="b">
        <f t="shared" si="36"/>
        <v>0</v>
      </c>
      <c r="CO31" s="90" t="str">
        <f t="shared" si="57"/>
        <v/>
      </c>
      <c r="CP31" s="201" t="str">
        <f t="shared" si="58"/>
        <v/>
      </c>
      <c r="CQ31" s="90" t="e">
        <f t="shared" si="64"/>
        <v>#N/A</v>
      </c>
      <c r="CR31" s="201" t="e">
        <f t="shared" si="37"/>
        <v>#N/A</v>
      </c>
      <c r="CS31" s="50" t="e">
        <f t="shared" si="38"/>
        <v>#N/A</v>
      </c>
      <c r="CT31" s="50" t="e">
        <f t="shared" si="39"/>
        <v>#N/A</v>
      </c>
      <c r="CU31" s="90" t="str">
        <f t="shared" si="59"/>
        <v/>
      </c>
      <c r="CV31" s="90" t="str">
        <f t="shared" si="40"/>
        <v/>
      </c>
      <c r="CW31" s="90" t="str">
        <f t="shared" si="60"/>
        <v/>
      </c>
      <c r="CX31" s="90" t="str">
        <f t="shared" si="61"/>
        <v/>
      </c>
      <c r="CY31" s="90" t="str">
        <f t="shared" si="62"/>
        <v/>
      </c>
      <c r="CZ31" s="90" t="str">
        <f t="shared" si="41"/>
        <v/>
      </c>
      <c r="DA31" s="90" t="str">
        <f t="shared" si="42"/>
        <v/>
      </c>
      <c r="DB31" s="90" t="str">
        <f t="shared" si="43"/>
        <v/>
      </c>
      <c r="DC31" s="106" t="e">
        <f t="shared" si="44"/>
        <v>#N/A</v>
      </c>
      <c r="DD31" s="90" t="e">
        <f t="shared" si="45"/>
        <v>#N/A</v>
      </c>
      <c r="DE31" s="90" t="e">
        <f t="shared" si="46"/>
        <v>#N/A</v>
      </c>
      <c r="DF31" s="90" t="e">
        <f t="shared" si="47"/>
        <v>#N/A</v>
      </c>
      <c r="DG31" s="90" t="e">
        <f t="shared" si="48"/>
        <v>#N/A</v>
      </c>
      <c r="DH31" s="90" t="e">
        <f t="shared" si="49"/>
        <v>#N/A</v>
      </c>
      <c r="DI31" s="90" t="e">
        <f t="shared" si="50"/>
        <v>#N/A</v>
      </c>
      <c r="DJ31" s="90" t="e">
        <f t="shared" si="51"/>
        <v>#N/A</v>
      </c>
      <c r="DK31" s="90" t="e">
        <f t="shared" si="52"/>
        <v>#N/A</v>
      </c>
      <c r="DL31" s="113">
        <v>24</v>
      </c>
      <c r="DM31"/>
      <c r="DN31"/>
      <c r="DO31"/>
      <c r="DP31"/>
      <c r="DQ31"/>
      <c r="DR31"/>
      <c r="DS31" s="307">
        <v>20</v>
      </c>
      <c r="DT31" s="50">
        <f t="shared" si="66"/>
        <v>0.20000000000000073</v>
      </c>
      <c r="DU31" s="90">
        <f t="shared" si="72"/>
        <v>0.29066552701994453</v>
      </c>
      <c r="DV31" s="90" t="e">
        <f t="shared" si="73"/>
        <v>#N/A</v>
      </c>
      <c r="DW31" s="90">
        <f t="shared" si="74"/>
        <v>0.29066552701994453</v>
      </c>
      <c r="DX31" s="90">
        <f t="shared" si="67"/>
        <v>32</v>
      </c>
      <c r="DY31" s="308">
        <f t="shared" si="65"/>
        <v>7.0000000000000298E-2</v>
      </c>
      <c r="DZ31" s="307">
        <f t="shared" si="68"/>
        <v>0.19999999999999984</v>
      </c>
      <c r="EA31" s="90">
        <f t="shared" si="75"/>
        <v>0.58338661336132758</v>
      </c>
      <c r="EB31" s="90">
        <f t="shared" si="76"/>
        <v>0.58338661336132758</v>
      </c>
      <c r="EC31" s="90">
        <f t="shared" si="77"/>
        <v>33</v>
      </c>
      <c r="ED31" s="308">
        <f t="shared" si="78"/>
        <v>6.9999999999999951E-2</v>
      </c>
      <c r="EE31" s="307">
        <f t="shared" si="69"/>
        <v>0.20000000000000051</v>
      </c>
      <c r="EF31" s="90">
        <f t="shared" si="79"/>
        <v>-0.15525954174832218</v>
      </c>
      <c r="EG31" s="90">
        <f t="shared" si="80"/>
        <v>-0.15525954174832218</v>
      </c>
      <c r="EH31" s="90">
        <f t="shared" si="70"/>
        <v>34</v>
      </c>
      <c r="EI31" s="308">
        <f t="shared" si="71"/>
        <v>7.0000000000000215E-2</v>
      </c>
      <c r="EJ31"/>
    </row>
    <row r="32" spans="1:140" ht="12" customHeight="1" x14ac:dyDescent="0.2">
      <c r="A32" s="50" t="str">
        <f t="shared" si="7"/>
        <v/>
      </c>
      <c r="B32" s="50" t="str">
        <f t="shared" si="8"/>
        <v/>
      </c>
      <c r="C32" s="50" t="str">
        <f t="shared" si="9"/>
        <v/>
      </c>
      <c r="D32" s="50" t="str">
        <f t="shared" si="10"/>
        <v/>
      </c>
      <c r="E32" s="50" t="str">
        <f t="shared" si="11"/>
        <v/>
      </c>
      <c r="F32" s="50" t="str">
        <f t="shared" si="12"/>
        <v/>
      </c>
      <c r="G32" s="66" t="s">
        <v>420</v>
      </c>
      <c r="H32" s="66" t="s">
        <v>420</v>
      </c>
      <c r="I32" s="50" t="e">
        <f t="shared" si="13"/>
        <v>#VALUE!</v>
      </c>
      <c r="J32" s="50" t="e">
        <f t="shared" si="14"/>
        <v>#VALUE!</v>
      </c>
      <c r="K32" s="66">
        <v>0</v>
      </c>
      <c r="L32" s="66">
        <v>0</v>
      </c>
      <c r="M32" s="66">
        <v>0</v>
      </c>
      <c r="N32" s="649">
        <f t="shared" si="15"/>
        <v>0</v>
      </c>
      <c r="O32" s="650">
        <f t="shared" si="16"/>
        <v>0</v>
      </c>
      <c r="P32" s="650">
        <f t="shared" si="17"/>
        <v>0</v>
      </c>
      <c r="Q32" s="90"/>
      <c r="R32" s="662" t="str">
        <f t="shared" si="18"/>
        <v/>
      </c>
      <c r="S32" s="849" t="str">
        <f t="shared" si="19"/>
        <v/>
      </c>
      <c r="T32" s="182" t="str">
        <f t="shared" si="20"/>
        <v/>
      </c>
      <c r="U32" s="183">
        <v>25</v>
      </c>
      <c r="V32" s="186"/>
      <c r="W32" s="663"/>
      <c r="X32" s="653" t="str">
        <f t="shared" si="21"/>
        <v/>
      </c>
      <c r="Y32" s="186"/>
      <c r="Z32" s="186"/>
      <c r="AA32" s="679" t="str">
        <f t="shared" si="22"/>
        <v/>
      </c>
      <c r="AB32" s="186"/>
      <c r="AC32" s="202" t="str">
        <f t="shared" si="23"/>
        <v/>
      </c>
      <c r="AD32" s="665" t="s">
        <v>339</v>
      </c>
      <c r="AE32" s="666" t="str">
        <f t="shared" si="24"/>
        <v/>
      </c>
      <c r="AF32" s="197" t="s">
        <v>261</v>
      </c>
      <c r="AG32" s="666" t="str">
        <f t="shared" si="25"/>
        <v/>
      </c>
      <c r="AH32" s="667" t="s">
        <v>259</v>
      </c>
      <c r="AI32" s="193" t="str">
        <f t="shared" si="53"/>
        <v/>
      </c>
      <c r="AJ32" s="194"/>
      <c r="AK32" s="85">
        <f t="shared" si="1"/>
        <v>9.5000000000000005E-5</v>
      </c>
      <c r="AL32" s="249"/>
      <c r="AM32" s="249"/>
      <c r="AN32" s="165"/>
      <c r="AO32" s="170"/>
      <c r="AP32" s="170"/>
      <c r="AQ32" s="170"/>
      <c r="AR32" s="170"/>
      <c r="AS32" s="170"/>
      <c r="AT32" s="171"/>
      <c r="AU32" s="249"/>
      <c r="AV32" s="668">
        <f t="shared" si="2"/>
        <v>9.5000000000000005E-5</v>
      </c>
      <c r="AW32" s="669" t="str">
        <f t="shared" si="26"/>
        <v/>
      </c>
      <c r="AX32" s="670" t="str">
        <f t="shared" si="27"/>
        <v/>
      </c>
      <c r="AY32" s="671" t="str">
        <f t="shared" si="28"/>
        <v/>
      </c>
      <c r="BT32" s="402">
        <v>-6</v>
      </c>
      <c r="BU32" s="201">
        <f t="shared" si="81"/>
        <v>-1.2000000000000002</v>
      </c>
      <c r="BV32" s="201">
        <f t="shared" si="82"/>
        <v>-0.3840272937622623</v>
      </c>
      <c r="BW32" s="201">
        <f t="shared" si="83"/>
        <v>-0.3840272937622623</v>
      </c>
      <c r="BX32" s="421">
        <f t="shared" si="84"/>
        <v>39</v>
      </c>
      <c r="BY32" s="94">
        <f t="shared" si="29"/>
        <v>-999999999999</v>
      </c>
      <c r="BZ32" s="95" t="str">
        <f t="shared" si="30"/>
        <v>zzzzzzzzzzzz</v>
      </c>
      <c r="CA32" s="290">
        <f t="shared" si="63"/>
        <v>-999999999999</v>
      </c>
      <c r="CB32" s="404">
        <f t="shared" si="31"/>
        <v>999</v>
      </c>
      <c r="CC32" s="405">
        <f t="shared" si="32"/>
        <v>999</v>
      </c>
      <c r="CD32" s="756" t="str">
        <f t="shared" si="54"/>
        <v/>
      </c>
      <c r="CE32" s="268" t="s">
        <v>349</v>
      </c>
      <c r="CF32" s="677">
        <f>SQRT(CF30)</f>
        <v>4.1744711593369177E-2</v>
      </c>
      <c r="CG32" s="95" t="b">
        <f t="shared" si="55"/>
        <v>0</v>
      </c>
      <c r="CH32" s="406" t="str">
        <f t="shared" si="56"/>
        <v/>
      </c>
      <c r="CI32" s="50" t="str">
        <f t="shared" si="33"/>
        <v/>
      </c>
      <c r="CJ32" s="50" t="b">
        <f t="shared" si="34"/>
        <v>1</v>
      </c>
      <c r="CK32" s="753" t="b">
        <v>1</v>
      </c>
      <c r="CL32" s="50" t="b">
        <f t="shared" si="35"/>
        <v>0</v>
      </c>
      <c r="CM32" s="50">
        <v>25</v>
      </c>
      <c r="CN32" s="200" t="b">
        <f t="shared" si="36"/>
        <v>0</v>
      </c>
      <c r="CO32" s="90" t="str">
        <f t="shared" si="57"/>
        <v/>
      </c>
      <c r="CP32" s="201" t="str">
        <f t="shared" si="58"/>
        <v/>
      </c>
      <c r="CQ32" s="90" t="e">
        <f t="shared" si="64"/>
        <v>#N/A</v>
      </c>
      <c r="CR32" s="201" t="e">
        <f t="shared" si="37"/>
        <v>#N/A</v>
      </c>
      <c r="CS32" s="50" t="e">
        <f t="shared" si="38"/>
        <v>#N/A</v>
      </c>
      <c r="CT32" s="50" t="e">
        <f t="shared" si="39"/>
        <v>#N/A</v>
      </c>
      <c r="CU32" s="90" t="str">
        <f t="shared" si="59"/>
        <v/>
      </c>
      <c r="CV32" s="90" t="str">
        <f t="shared" si="40"/>
        <v/>
      </c>
      <c r="CW32" s="90" t="str">
        <f t="shared" si="60"/>
        <v/>
      </c>
      <c r="CX32" s="90" t="str">
        <f t="shared" si="61"/>
        <v/>
      </c>
      <c r="CY32" s="90" t="str">
        <f t="shared" si="62"/>
        <v/>
      </c>
      <c r="CZ32" s="90" t="str">
        <f t="shared" si="41"/>
        <v/>
      </c>
      <c r="DA32" s="90" t="str">
        <f t="shared" si="42"/>
        <v/>
      </c>
      <c r="DB32" s="90" t="str">
        <f t="shared" si="43"/>
        <v/>
      </c>
      <c r="DC32" s="106" t="e">
        <f t="shared" si="44"/>
        <v>#N/A</v>
      </c>
      <c r="DD32" s="90" t="e">
        <f t="shared" si="45"/>
        <v>#N/A</v>
      </c>
      <c r="DE32" s="90" t="e">
        <f t="shared" si="46"/>
        <v>#N/A</v>
      </c>
      <c r="DF32" s="90" t="e">
        <f t="shared" si="47"/>
        <v>#N/A</v>
      </c>
      <c r="DG32" s="90" t="e">
        <f t="shared" si="48"/>
        <v>#N/A</v>
      </c>
      <c r="DH32" s="90" t="e">
        <f t="shared" si="49"/>
        <v>#N/A</v>
      </c>
      <c r="DI32" s="90" t="e">
        <f t="shared" si="50"/>
        <v>#N/A</v>
      </c>
      <c r="DJ32" s="90" t="e">
        <f t="shared" si="51"/>
        <v>#N/A</v>
      </c>
      <c r="DK32" s="90" t="e">
        <f t="shared" si="52"/>
        <v>#N/A</v>
      </c>
      <c r="DL32" s="113">
        <v>25</v>
      </c>
      <c r="DM32"/>
      <c r="DN32"/>
      <c r="DO32"/>
      <c r="DP32"/>
      <c r="DQ32"/>
      <c r="DR32"/>
      <c r="DS32" s="307">
        <v>21</v>
      </c>
      <c r="DT32" s="50">
        <f t="shared" si="66"/>
        <v>0.21000000000000074</v>
      </c>
      <c r="DU32" s="90">
        <f t="shared" si="72"/>
        <v>0.29377059861794103</v>
      </c>
      <c r="DV32" s="90" t="e">
        <f t="shared" si="73"/>
        <v>#N/A</v>
      </c>
      <c r="DW32" s="90">
        <f t="shared" si="74"/>
        <v>0.29377059861794103</v>
      </c>
      <c r="DX32" s="90">
        <f t="shared" si="67"/>
        <v>32</v>
      </c>
      <c r="DY32" s="308">
        <f t="shared" si="65"/>
        <v>7.4000000000000302E-2</v>
      </c>
      <c r="DZ32" s="307">
        <f t="shared" si="68"/>
        <v>0.20999999999999985</v>
      </c>
      <c r="EA32" s="90">
        <f t="shared" si="75"/>
        <v>0.5862939395222827</v>
      </c>
      <c r="EB32" s="90">
        <f t="shared" si="76"/>
        <v>0.5862939395222827</v>
      </c>
      <c r="EC32" s="90">
        <f t="shared" si="77"/>
        <v>33</v>
      </c>
      <c r="ED32" s="308">
        <f t="shared" si="78"/>
        <v>7.3999999999999955E-2</v>
      </c>
      <c r="EE32" s="307">
        <f t="shared" si="69"/>
        <v>0.21000000000000041</v>
      </c>
      <c r="EF32" s="90">
        <f t="shared" si="79"/>
        <v>-0.15271550361550165</v>
      </c>
      <c r="EG32" s="90">
        <f t="shared" si="80"/>
        <v>-0.15271550361550165</v>
      </c>
      <c r="EH32" s="90">
        <f t="shared" si="70"/>
        <v>34</v>
      </c>
      <c r="EI32" s="308">
        <f t="shared" si="71"/>
        <v>7.4000000000000177E-2</v>
      </c>
      <c r="EJ32"/>
    </row>
    <row r="33" spans="1:140" ht="12" customHeight="1" x14ac:dyDescent="0.2">
      <c r="A33" s="50" t="str">
        <f t="shared" si="7"/>
        <v/>
      </c>
      <c r="B33" s="50" t="str">
        <f t="shared" si="8"/>
        <v/>
      </c>
      <c r="C33" s="50" t="str">
        <f t="shared" si="9"/>
        <v/>
      </c>
      <c r="D33" s="50" t="str">
        <f t="shared" si="10"/>
        <v/>
      </c>
      <c r="E33" s="50" t="str">
        <f t="shared" si="11"/>
        <v/>
      </c>
      <c r="F33" s="50" t="str">
        <f t="shared" si="12"/>
        <v/>
      </c>
      <c r="G33" s="66" t="s">
        <v>420</v>
      </c>
      <c r="H33" s="66" t="s">
        <v>420</v>
      </c>
      <c r="I33" s="50" t="e">
        <f t="shared" si="13"/>
        <v>#VALUE!</v>
      </c>
      <c r="J33" s="50" t="e">
        <f t="shared" si="14"/>
        <v>#VALUE!</v>
      </c>
      <c r="K33" s="66">
        <v>0</v>
      </c>
      <c r="L33" s="66">
        <v>0</v>
      </c>
      <c r="M33" s="66">
        <v>0</v>
      </c>
      <c r="N33" s="649">
        <f t="shared" si="15"/>
        <v>0</v>
      </c>
      <c r="O33" s="650">
        <f t="shared" si="16"/>
        <v>0</v>
      </c>
      <c r="P33" s="650">
        <f t="shared" si="17"/>
        <v>0</v>
      </c>
      <c r="Q33" s="90"/>
      <c r="R33" s="662" t="str">
        <f t="shared" si="18"/>
        <v/>
      </c>
      <c r="S33" s="849" t="str">
        <f t="shared" si="19"/>
        <v/>
      </c>
      <c r="T33" s="182" t="str">
        <f t="shared" si="20"/>
        <v/>
      </c>
      <c r="U33" s="204">
        <v>26</v>
      </c>
      <c r="V33" s="186"/>
      <c r="W33" s="663"/>
      <c r="X33" s="653" t="str">
        <f t="shared" si="21"/>
        <v/>
      </c>
      <c r="Y33" s="186"/>
      <c r="Z33" s="186"/>
      <c r="AA33" s="679" t="str">
        <f t="shared" si="22"/>
        <v/>
      </c>
      <c r="AB33" s="186"/>
      <c r="AC33" s="202" t="str">
        <f t="shared" si="23"/>
        <v/>
      </c>
      <c r="AD33" s="665" t="s">
        <v>339</v>
      </c>
      <c r="AE33" s="666" t="str">
        <f t="shared" si="24"/>
        <v/>
      </c>
      <c r="AF33" s="197" t="s">
        <v>261</v>
      </c>
      <c r="AG33" s="666" t="str">
        <f t="shared" si="25"/>
        <v/>
      </c>
      <c r="AH33" s="667" t="s">
        <v>259</v>
      </c>
      <c r="AI33" s="193" t="str">
        <f t="shared" si="53"/>
        <v/>
      </c>
      <c r="AJ33" s="194"/>
      <c r="AK33" s="85">
        <f t="shared" si="1"/>
        <v>9.5000000000000005E-5</v>
      </c>
      <c r="AL33" s="249"/>
      <c r="AM33" s="249"/>
      <c r="AN33" s="165"/>
      <c r="AO33" s="170"/>
      <c r="AP33" s="170"/>
      <c r="AQ33" s="170"/>
      <c r="AR33" s="170"/>
      <c r="AS33" s="170"/>
      <c r="AT33" s="171"/>
      <c r="AU33" s="249"/>
      <c r="AV33" s="668">
        <f t="shared" si="2"/>
        <v>9.5000000000000005E-5</v>
      </c>
      <c r="AW33" s="669" t="str">
        <f t="shared" si="26"/>
        <v/>
      </c>
      <c r="AX33" s="670" t="str">
        <f t="shared" si="27"/>
        <v/>
      </c>
      <c r="AY33" s="671" t="str">
        <f t="shared" si="28"/>
        <v/>
      </c>
      <c r="BT33" s="402">
        <v>-7</v>
      </c>
      <c r="BU33" s="201">
        <f t="shared" si="81"/>
        <v>-1.4000000000000001</v>
      </c>
      <c r="BV33" s="201">
        <f t="shared" si="82"/>
        <v>-0.58402729376226226</v>
      </c>
      <c r="BW33" s="201" t="e">
        <f t="shared" si="83"/>
        <v>#N/A</v>
      </c>
      <c r="BX33" s="421">
        <f t="shared" si="84"/>
        <v>39</v>
      </c>
      <c r="BY33" s="94">
        <f t="shared" si="29"/>
        <v>-999999999999</v>
      </c>
      <c r="BZ33" s="95" t="str">
        <f t="shared" si="30"/>
        <v>zzzzzzzzzzzz</v>
      </c>
      <c r="CA33" s="424">
        <f t="shared" si="63"/>
        <v>-999999999999</v>
      </c>
      <c r="CB33" s="404">
        <f t="shared" si="31"/>
        <v>999</v>
      </c>
      <c r="CC33" s="405">
        <f t="shared" si="32"/>
        <v>999</v>
      </c>
      <c r="CD33" s="756" t="str">
        <f t="shared" si="54"/>
        <v/>
      </c>
      <c r="CE33" s="107" t="s">
        <v>350</v>
      </c>
      <c r="CF33" s="737">
        <f>SQRT(CF31)</f>
        <v>0.57352989062067672</v>
      </c>
      <c r="CG33" s="95" t="b">
        <f t="shared" si="55"/>
        <v>0</v>
      </c>
      <c r="CH33" s="406" t="str">
        <f t="shared" si="56"/>
        <v/>
      </c>
      <c r="CI33" s="50" t="str">
        <f t="shared" si="33"/>
        <v/>
      </c>
      <c r="CJ33" s="50" t="b">
        <f t="shared" si="34"/>
        <v>1</v>
      </c>
      <c r="CK33" s="753" t="b">
        <v>1</v>
      </c>
      <c r="CL33" s="50" t="b">
        <f t="shared" si="35"/>
        <v>0</v>
      </c>
      <c r="CM33" s="50">
        <v>26</v>
      </c>
      <c r="CN33" s="200" t="b">
        <f t="shared" si="36"/>
        <v>0</v>
      </c>
      <c r="CO33" s="90" t="str">
        <f t="shared" si="57"/>
        <v/>
      </c>
      <c r="CP33" s="201" t="str">
        <f t="shared" si="58"/>
        <v/>
      </c>
      <c r="CQ33" s="90" t="e">
        <f t="shared" si="64"/>
        <v>#N/A</v>
      </c>
      <c r="CR33" s="201" t="e">
        <f t="shared" si="37"/>
        <v>#N/A</v>
      </c>
      <c r="CS33" s="50" t="e">
        <f t="shared" si="38"/>
        <v>#N/A</v>
      </c>
      <c r="CT33" s="50" t="e">
        <f t="shared" si="39"/>
        <v>#N/A</v>
      </c>
      <c r="CU33" s="90" t="str">
        <f t="shared" si="59"/>
        <v/>
      </c>
      <c r="CV33" s="90" t="str">
        <f t="shared" si="40"/>
        <v/>
      </c>
      <c r="CW33" s="90" t="str">
        <f t="shared" si="60"/>
        <v/>
      </c>
      <c r="CX33" s="90" t="str">
        <f t="shared" si="61"/>
        <v/>
      </c>
      <c r="CY33" s="90" t="str">
        <f t="shared" si="62"/>
        <v/>
      </c>
      <c r="CZ33" s="90" t="str">
        <f t="shared" si="41"/>
        <v/>
      </c>
      <c r="DA33" s="90" t="str">
        <f t="shared" si="42"/>
        <v/>
      </c>
      <c r="DB33" s="90" t="str">
        <f t="shared" si="43"/>
        <v/>
      </c>
      <c r="DC33" s="106" t="e">
        <f t="shared" si="44"/>
        <v>#N/A</v>
      </c>
      <c r="DD33" s="90" t="e">
        <f t="shared" si="45"/>
        <v>#N/A</v>
      </c>
      <c r="DE33" s="90" t="e">
        <f t="shared" si="46"/>
        <v>#N/A</v>
      </c>
      <c r="DF33" s="90" t="e">
        <f t="shared" si="47"/>
        <v>#N/A</v>
      </c>
      <c r="DG33" s="90" t="e">
        <f t="shared" si="48"/>
        <v>#N/A</v>
      </c>
      <c r="DH33" s="90" t="e">
        <f t="shared" si="49"/>
        <v>#N/A</v>
      </c>
      <c r="DI33" s="90" t="e">
        <f t="shared" si="50"/>
        <v>#N/A</v>
      </c>
      <c r="DJ33" s="90" t="e">
        <f t="shared" si="51"/>
        <v>#N/A</v>
      </c>
      <c r="DK33" s="90" t="e">
        <f t="shared" si="52"/>
        <v>#N/A</v>
      </c>
      <c r="DL33" s="113">
        <v>26</v>
      </c>
      <c r="DM33"/>
      <c r="DN33"/>
      <c r="DO33"/>
      <c r="DP33"/>
      <c r="DQ33"/>
      <c r="DR33"/>
      <c r="DS33" s="307">
        <v>22</v>
      </c>
      <c r="DT33" s="50">
        <f t="shared" si="66"/>
        <v>0.22000000000000086</v>
      </c>
      <c r="DU33" s="90">
        <f t="shared" si="72"/>
        <v>0.29687567021593753</v>
      </c>
      <c r="DV33" s="90" t="e">
        <f t="shared" si="73"/>
        <v>#N/A</v>
      </c>
      <c r="DW33" s="90">
        <f t="shared" si="74"/>
        <v>0.29687567021593753</v>
      </c>
      <c r="DX33" s="90">
        <f t="shared" si="67"/>
        <v>32</v>
      </c>
      <c r="DY33" s="308">
        <f t="shared" si="65"/>
        <v>7.8000000000000361E-2</v>
      </c>
      <c r="DZ33" s="307">
        <f t="shared" si="68"/>
        <v>0.21999999999999986</v>
      </c>
      <c r="EA33" s="90">
        <f t="shared" si="75"/>
        <v>0.58920126568323783</v>
      </c>
      <c r="EB33" s="90">
        <f t="shared" si="76"/>
        <v>0.58920126568323783</v>
      </c>
      <c r="EC33" s="90">
        <f t="shared" si="77"/>
        <v>33</v>
      </c>
      <c r="ED33" s="308">
        <f t="shared" si="78"/>
        <v>7.7999999999999958E-2</v>
      </c>
      <c r="EE33" s="307">
        <f t="shared" si="69"/>
        <v>0.22000000000000053</v>
      </c>
      <c r="EF33" s="90">
        <f t="shared" si="79"/>
        <v>-0.15017146548268112</v>
      </c>
      <c r="EG33" s="90">
        <f t="shared" si="80"/>
        <v>-0.15017146548268112</v>
      </c>
      <c r="EH33" s="90">
        <f t="shared" si="70"/>
        <v>34</v>
      </c>
      <c r="EI33" s="308">
        <f t="shared" si="71"/>
        <v>7.8000000000000222E-2</v>
      </c>
      <c r="EJ33"/>
    </row>
    <row r="34" spans="1:140" ht="12" customHeight="1" x14ac:dyDescent="0.2">
      <c r="A34" s="50" t="str">
        <f t="shared" si="7"/>
        <v/>
      </c>
      <c r="B34" s="50" t="str">
        <f t="shared" si="8"/>
        <v/>
      </c>
      <c r="C34" s="50" t="str">
        <f t="shared" si="9"/>
        <v/>
      </c>
      <c r="D34" s="50" t="str">
        <f t="shared" si="10"/>
        <v/>
      </c>
      <c r="E34" s="50" t="str">
        <f t="shared" si="11"/>
        <v/>
      </c>
      <c r="F34" s="50" t="str">
        <f t="shared" si="12"/>
        <v/>
      </c>
      <c r="G34" s="66" t="s">
        <v>420</v>
      </c>
      <c r="H34" s="66" t="s">
        <v>420</v>
      </c>
      <c r="I34" s="50" t="e">
        <f t="shared" si="13"/>
        <v>#VALUE!</v>
      </c>
      <c r="J34" s="50" t="e">
        <f t="shared" si="14"/>
        <v>#VALUE!</v>
      </c>
      <c r="K34" s="66">
        <v>0</v>
      </c>
      <c r="L34" s="66">
        <v>0</v>
      </c>
      <c r="M34" s="66">
        <v>0</v>
      </c>
      <c r="N34" s="649">
        <f t="shared" si="15"/>
        <v>0</v>
      </c>
      <c r="O34" s="650">
        <f t="shared" si="16"/>
        <v>0</v>
      </c>
      <c r="P34" s="650">
        <f t="shared" si="17"/>
        <v>0</v>
      </c>
      <c r="Q34" s="90"/>
      <c r="R34" s="662" t="str">
        <f t="shared" si="18"/>
        <v/>
      </c>
      <c r="S34" s="849" t="str">
        <f t="shared" si="19"/>
        <v/>
      </c>
      <c r="T34" s="182" t="str">
        <f t="shared" si="20"/>
        <v/>
      </c>
      <c r="U34" s="183">
        <v>27</v>
      </c>
      <c r="V34" s="186"/>
      <c r="W34" s="663"/>
      <c r="X34" s="653" t="str">
        <f t="shared" si="21"/>
        <v/>
      </c>
      <c r="Y34" s="186"/>
      <c r="Z34" s="186"/>
      <c r="AA34" s="679" t="str">
        <f t="shared" si="22"/>
        <v/>
      </c>
      <c r="AB34" s="186"/>
      <c r="AC34" s="202" t="str">
        <f t="shared" si="23"/>
        <v/>
      </c>
      <c r="AD34" s="665" t="s">
        <v>339</v>
      </c>
      <c r="AE34" s="666" t="str">
        <f t="shared" si="24"/>
        <v/>
      </c>
      <c r="AF34" s="197" t="s">
        <v>261</v>
      </c>
      <c r="AG34" s="666" t="str">
        <f t="shared" si="25"/>
        <v/>
      </c>
      <c r="AH34" s="667" t="s">
        <v>259</v>
      </c>
      <c r="AI34" s="193" t="str">
        <f t="shared" si="53"/>
        <v/>
      </c>
      <c r="AJ34" s="194"/>
      <c r="AK34" s="85">
        <f t="shared" si="1"/>
        <v>9.5000000000000005E-5</v>
      </c>
      <c r="AL34" s="249"/>
      <c r="AM34" s="249"/>
      <c r="AN34" s="165"/>
      <c r="AO34" s="170"/>
      <c r="AP34" s="170"/>
      <c r="AQ34" s="170"/>
      <c r="AR34" s="170"/>
      <c r="AS34" s="170"/>
      <c r="AT34" s="171"/>
      <c r="AU34" s="249"/>
      <c r="AV34" s="668">
        <f t="shared" si="2"/>
        <v>9.5000000000000005E-5</v>
      </c>
      <c r="AW34" s="669" t="str">
        <f t="shared" si="26"/>
        <v/>
      </c>
      <c r="AX34" s="670" t="str">
        <f t="shared" si="27"/>
        <v/>
      </c>
      <c r="AY34" s="671" t="str">
        <f t="shared" si="28"/>
        <v/>
      </c>
      <c r="BT34" s="402">
        <v>-8</v>
      </c>
      <c r="BU34" s="201">
        <f t="shared" si="81"/>
        <v>-1.6</v>
      </c>
      <c r="BV34" s="201">
        <f t="shared" si="82"/>
        <v>-0.78402729376226221</v>
      </c>
      <c r="BW34" s="201" t="e">
        <f t="shared" si="83"/>
        <v>#N/A</v>
      </c>
      <c r="BX34" s="421">
        <f t="shared" si="84"/>
        <v>39</v>
      </c>
      <c r="BY34" s="94">
        <f t="shared" si="29"/>
        <v>-999999999999</v>
      </c>
      <c r="BZ34" s="95" t="str">
        <f t="shared" si="30"/>
        <v>zzzzzzzzzzzz</v>
      </c>
      <c r="CA34" s="424">
        <f t="shared" si="63"/>
        <v>-999999999999</v>
      </c>
      <c r="CB34" s="404">
        <f t="shared" si="31"/>
        <v>999</v>
      </c>
      <c r="CC34" s="405">
        <f t="shared" si="32"/>
        <v>999</v>
      </c>
      <c r="CD34" s="428" t="str">
        <f t="shared" si="54"/>
        <v/>
      </c>
      <c r="CE34" s="102"/>
      <c r="CF34" s="102"/>
      <c r="CG34" s="95" t="b">
        <f t="shared" si="55"/>
        <v>0</v>
      </c>
      <c r="CH34" s="406" t="str">
        <f t="shared" si="56"/>
        <v/>
      </c>
      <c r="CI34" s="50" t="str">
        <f t="shared" si="33"/>
        <v/>
      </c>
      <c r="CJ34" s="50" t="b">
        <f t="shared" si="34"/>
        <v>1</v>
      </c>
      <c r="CK34" s="177" t="b">
        <v>1</v>
      </c>
      <c r="CL34" s="50" t="b">
        <f t="shared" si="35"/>
        <v>0</v>
      </c>
      <c r="CM34" s="50">
        <v>27</v>
      </c>
      <c r="CN34" s="200" t="b">
        <f t="shared" si="36"/>
        <v>0</v>
      </c>
      <c r="CO34" s="90" t="str">
        <f t="shared" si="57"/>
        <v/>
      </c>
      <c r="CP34" s="201" t="str">
        <f t="shared" si="58"/>
        <v/>
      </c>
      <c r="CQ34" s="90" t="e">
        <f t="shared" si="64"/>
        <v>#N/A</v>
      </c>
      <c r="CR34" s="201" t="e">
        <f t="shared" si="37"/>
        <v>#N/A</v>
      </c>
      <c r="CS34" s="50" t="e">
        <f t="shared" si="38"/>
        <v>#N/A</v>
      </c>
      <c r="CT34" s="50" t="e">
        <f t="shared" si="39"/>
        <v>#N/A</v>
      </c>
      <c r="CU34" s="90" t="str">
        <f t="shared" si="59"/>
        <v/>
      </c>
      <c r="CV34" s="90" t="str">
        <f t="shared" si="40"/>
        <v/>
      </c>
      <c r="CW34" s="90" t="str">
        <f t="shared" si="60"/>
        <v/>
      </c>
      <c r="CX34" s="90" t="str">
        <f t="shared" si="61"/>
        <v/>
      </c>
      <c r="CY34" s="90" t="str">
        <f t="shared" si="62"/>
        <v/>
      </c>
      <c r="CZ34" s="90" t="str">
        <f t="shared" si="41"/>
        <v/>
      </c>
      <c r="DA34" s="90" t="str">
        <f t="shared" si="42"/>
        <v/>
      </c>
      <c r="DB34" s="90" t="str">
        <f t="shared" si="43"/>
        <v/>
      </c>
      <c r="DC34" s="106" t="e">
        <f t="shared" si="44"/>
        <v>#N/A</v>
      </c>
      <c r="DD34" s="90" t="e">
        <f t="shared" si="45"/>
        <v>#N/A</v>
      </c>
      <c r="DE34" s="90" t="e">
        <f t="shared" si="46"/>
        <v>#N/A</v>
      </c>
      <c r="DF34" s="90" t="e">
        <f t="shared" si="47"/>
        <v>#N/A</v>
      </c>
      <c r="DG34" s="90" t="e">
        <f t="shared" si="48"/>
        <v>#N/A</v>
      </c>
      <c r="DH34" s="90" t="e">
        <f t="shared" si="49"/>
        <v>#N/A</v>
      </c>
      <c r="DI34" s="90" t="e">
        <f t="shared" si="50"/>
        <v>#N/A</v>
      </c>
      <c r="DJ34" s="90" t="e">
        <f t="shared" si="51"/>
        <v>#N/A</v>
      </c>
      <c r="DK34" s="90" t="e">
        <f t="shared" si="52"/>
        <v>#N/A</v>
      </c>
      <c r="DL34" s="113">
        <v>27</v>
      </c>
      <c r="DM34"/>
      <c r="DN34"/>
      <c r="DO34"/>
      <c r="DP34"/>
      <c r="DQ34"/>
      <c r="DR34"/>
      <c r="DS34" s="307">
        <v>23</v>
      </c>
      <c r="DT34" s="50">
        <f t="shared" si="66"/>
        <v>0.23000000000000087</v>
      </c>
      <c r="DU34" s="90">
        <f t="shared" si="72"/>
        <v>0.29998074181393403</v>
      </c>
      <c r="DV34" s="90" t="e">
        <f t="shared" si="73"/>
        <v>#N/A</v>
      </c>
      <c r="DW34" s="90">
        <f t="shared" si="74"/>
        <v>0.29998074181393403</v>
      </c>
      <c r="DX34" s="90">
        <f t="shared" si="67"/>
        <v>32</v>
      </c>
      <c r="DY34" s="308">
        <f t="shared" si="65"/>
        <v>8.2000000000000364E-2</v>
      </c>
      <c r="DZ34" s="307">
        <f t="shared" si="68"/>
        <v>0.22999999999999987</v>
      </c>
      <c r="EA34" s="90">
        <f t="shared" si="75"/>
        <v>0.59210859184419296</v>
      </c>
      <c r="EB34" s="90">
        <f t="shared" si="76"/>
        <v>0.59210859184419296</v>
      </c>
      <c r="EC34" s="90">
        <f t="shared" si="77"/>
        <v>33</v>
      </c>
      <c r="ED34" s="308">
        <f t="shared" si="78"/>
        <v>8.1999999999999962E-2</v>
      </c>
      <c r="EE34" s="307">
        <f t="shared" si="69"/>
        <v>0.23000000000000054</v>
      </c>
      <c r="EF34" s="90">
        <f t="shared" si="79"/>
        <v>-0.14762742734986059</v>
      </c>
      <c r="EG34" s="90">
        <f t="shared" si="80"/>
        <v>-0.14762742734986059</v>
      </c>
      <c r="EH34" s="90">
        <f t="shared" si="70"/>
        <v>34</v>
      </c>
      <c r="EI34" s="308">
        <f t="shared" si="71"/>
        <v>8.2000000000000225E-2</v>
      </c>
      <c r="EJ34"/>
    </row>
    <row r="35" spans="1:140" ht="12" customHeight="1" x14ac:dyDescent="0.2">
      <c r="A35" s="50" t="str">
        <f t="shared" si="7"/>
        <v/>
      </c>
      <c r="B35" s="50" t="str">
        <f t="shared" si="8"/>
        <v/>
      </c>
      <c r="C35" s="50" t="str">
        <f t="shared" si="9"/>
        <v/>
      </c>
      <c r="D35" s="50" t="str">
        <f t="shared" si="10"/>
        <v/>
      </c>
      <c r="E35" s="50" t="str">
        <f t="shared" si="11"/>
        <v/>
      </c>
      <c r="F35" s="50" t="str">
        <f t="shared" si="12"/>
        <v/>
      </c>
      <c r="G35" s="66" t="s">
        <v>420</v>
      </c>
      <c r="H35" s="66" t="s">
        <v>420</v>
      </c>
      <c r="I35" s="50" t="e">
        <f t="shared" si="13"/>
        <v>#VALUE!</v>
      </c>
      <c r="J35" s="50" t="e">
        <f t="shared" si="14"/>
        <v>#VALUE!</v>
      </c>
      <c r="K35" s="66">
        <v>0</v>
      </c>
      <c r="L35" s="66">
        <v>0</v>
      </c>
      <c r="M35" s="66">
        <v>0</v>
      </c>
      <c r="N35" s="649">
        <f t="shared" si="15"/>
        <v>0</v>
      </c>
      <c r="O35" s="650">
        <f t="shared" si="16"/>
        <v>0</v>
      </c>
      <c r="P35" s="650">
        <f t="shared" si="17"/>
        <v>0</v>
      </c>
      <c r="Q35" s="90"/>
      <c r="R35" s="662" t="str">
        <f t="shared" si="18"/>
        <v/>
      </c>
      <c r="S35" s="849" t="str">
        <f t="shared" si="19"/>
        <v/>
      </c>
      <c r="T35" s="182" t="str">
        <f t="shared" si="20"/>
        <v/>
      </c>
      <c r="U35" s="204">
        <v>28</v>
      </c>
      <c r="V35" s="186"/>
      <c r="W35" s="663"/>
      <c r="X35" s="653" t="str">
        <f t="shared" si="21"/>
        <v/>
      </c>
      <c r="Y35" s="186"/>
      <c r="Z35" s="186"/>
      <c r="AA35" s="679" t="str">
        <f t="shared" si="22"/>
        <v/>
      </c>
      <c r="AB35" s="186"/>
      <c r="AC35" s="202" t="str">
        <f t="shared" si="23"/>
        <v/>
      </c>
      <c r="AD35" s="665" t="s">
        <v>339</v>
      </c>
      <c r="AE35" s="666" t="str">
        <f t="shared" si="24"/>
        <v/>
      </c>
      <c r="AF35" s="197" t="s">
        <v>261</v>
      </c>
      <c r="AG35" s="666" t="str">
        <f t="shared" si="25"/>
        <v/>
      </c>
      <c r="AH35" s="667" t="s">
        <v>259</v>
      </c>
      <c r="AI35" s="193" t="str">
        <f t="shared" si="53"/>
        <v/>
      </c>
      <c r="AJ35" s="194"/>
      <c r="AK35" s="85">
        <f t="shared" si="1"/>
        <v>9.5000000000000005E-5</v>
      </c>
      <c r="AL35" s="249"/>
      <c r="AM35" s="249"/>
      <c r="AN35" s="165"/>
      <c r="AO35" s="170"/>
      <c r="AP35" s="170"/>
      <c r="AQ35" s="170"/>
      <c r="AR35" s="170"/>
      <c r="AS35" s="170"/>
      <c r="AT35" s="171"/>
      <c r="AU35" s="249"/>
      <c r="AV35" s="668">
        <f t="shared" si="2"/>
        <v>9.5000000000000005E-5</v>
      </c>
      <c r="AW35" s="669" t="str">
        <f t="shared" si="26"/>
        <v/>
      </c>
      <c r="AX35" s="670" t="str">
        <f t="shared" si="27"/>
        <v/>
      </c>
      <c r="AY35" s="671" t="str">
        <f t="shared" si="28"/>
        <v/>
      </c>
      <c r="BT35" s="402">
        <v>-9</v>
      </c>
      <c r="BU35" s="201">
        <f t="shared" si="81"/>
        <v>-1.8</v>
      </c>
      <c r="BV35" s="201">
        <f t="shared" si="82"/>
        <v>-0.98402729376226217</v>
      </c>
      <c r="BW35" s="201" t="e">
        <f t="shared" si="83"/>
        <v>#N/A</v>
      </c>
      <c r="BX35" s="421">
        <f t="shared" si="84"/>
        <v>39</v>
      </c>
      <c r="BY35" s="94">
        <f t="shared" si="29"/>
        <v>-999999999999</v>
      </c>
      <c r="BZ35" s="95" t="str">
        <f t="shared" si="30"/>
        <v>zzzzzzzzzzzz</v>
      </c>
      <c r="CA35" s="424">
        <f t="shared" si="63"/>
        <v>-999999999999</v>
      </c>
      <c r="CB35" s="404">
        <f t="shared" si="31"/>
        <v>999</v>
      </c>
      <c r="CC35" s="405">
        <f t="shared" si="32"/>
        <v>999</v>
      </c>
      <c r="CD35" s="428" t="str">
        <f t="shared" si="54"/>
        <v/>
      </c>
      <c r="CE35" s="206"/>
      <c r="CF35" s="206"/>
      <c r="CG35" s="95" t="b">
        <f t="shared" si="55"/>
        <v>0</v>
      </c>
      <c r="CH35" s="406" t="str">
        <f t="shared" si="56"/>
        <v/>
      </c>
      <c r="CI35" s="50" t="str">
        <f t="shared" si="33"/>
        <v/>
      </c>
      <c r="CJ35" s="50" t="b">
        <f t="shared" si="34"/>
        <v>1</v>
      </c>
      <c r="CK35" s="753" t="b">
        <v>1</v>
      </c>
      <c r="CL35" s="50" t="b">
        <f t="shared" si="35"/>
        <v>0</v>
      </c>
      <c r="CM35" s="50">
        <v>28</v>
      </c>
      <c r="CN35" s="200" t="b">
        <f t="shared" si="36"/>
        <v>0</v>
      </c>
      <c r="CO35" s="90" t="str">
        <f t="shared" si="57"/>
        <v/>
      </c>
      <c r="CP35" s="201" t="str">
        <f t="shared" si="58"/>
        <v/>
      </c>
      <c r="CQ35" s="90" t="e">
        <f t="shared" si="64"/>
        <v>#N/A</v>
      </c>
      <c r="CR35" s="201" t="e">
        <f t="shared" si="37"/>
        <v>#N/A</v>
      </c>
      <c r="CS35" s="50" t="e">
        <f t="shared" si="38"/>
        <v>#N/A</v>
      </c>
      <c r="CT35" s="50" t="e">
        <f t="shared" si="39"/>
        <v>#N/A</v>
      </c>
      <c r="CU35" s="90" t="str">
        <f t="shared" si="59"/>
        <v/>
      </c>
      <c r="CV35" s="90" t="str">
        <f t="shared" si="40"/>
        <v/>
      </c>
      <c r="CW35" s="90" t="str">
        <f t="shared" si="60"/>
        <v/>
      </c>
      <c r="CX35" s="90" t="str">
        <f t="shared" si="61"/>
        <v/>
      </c>
      <c r="CY35" s="90" t="str">
        <f t="shared" si="62"/>
        <v/>
      </c>
      <c r="CZ35" s="90" t="str">
        <f t="shared" si="41"/>
        <v/>
      </c>
      <c r="DA35" s="90" t="str">
        <f t="shared" si="42"/>
        <v/>
      </c>
      <c r="DB35" s="90" t="str">
        <f t="shared" si="43"/>
        <v/>
      </c>
      <c r="DC35" s="106" t="e">
        <f t="shared" si="44"/>
        <v>#N/A</v>
      </c>
      <c r="DD35" s="90" t="e">
        <f t="shared" si="45"/>
        <v>#N/A</v>
      </c>
      <c r="DE35" s="90" t="e">
        <f t="shared" si="46"/>
        <v>#N/A</v>
      </c>
      <c r="DF35" s="90" t="e">
        <f t="shared" si="47"/>
        <v>#N/A</v>
      </c>
      <c r="DG35" s="90" t="e">
        <f t="shared" si="48"/>
        <v>#N/A</v>
      </c>
      <c r="DH35" s="90" t="e">
        <f t="shared" si="49"/>
        <v>#N/A</v>
      </c>
      <c r="DI35" s="90" t="e">
        <f t="shared" si="50"/>
        <v>#N/A</v>
      </c>
      <c r="DJ35" s="90" t="e">
        <f t="shared" si="51"/>
        <v>#N/A</v>
      </c>
      <c r="DK35" s="90" t="e">
        <f t="shared" si="52"/>
        <v>#N/A</v>
      </c>
      <c r="DL35" s="113">
        <v>28</v>
      </c>
      <c r="DM35"/>
      <c r="DN35"/>
      <c r="DO35"/>
      <c r="DP35"/>
      <c r="DQ35"/>
      <c r="DR35"/>
      <c r="DS35" s="307">
        <v>24</v>
      </c>
      <c r="DT35" s="50">
        <f t="shared" si="66"/>
        <v>0.24000000000000099</v>
      </c>
      <c r="DU35" s="90">
        <f t="shared" si="72"/>
        <v>0.30308581341193053</v>
      </c>
      <c r="DV35" s="90" t="e">
        <f t="shared" si="73"/>
        <v>#N/A</v>
      </c>
      <c r="DW35" s="90">
        <f t="shared" si="74"/>
        <v>0.30308581341193053</v>
      </c>
      <c r="DX35" s="90">
        <f t="shared" si="67"/>
        <v>32</v>
      </c>
      <c r="DY35" s="308">
        <f t="shared" si="65"/>
        <v>8.6000000000000409E-2</v>
      </c>
      <c r="DZ35" s="307">
        <f t="shared" si="68"/>
        <v>0.23999999999999977</v>
      </c>
      <c r="EA35" s="90">
        <f t="shared" si="75"/>
        <v>0.59501591800514808</v>
      </c>
      <c r="EB35" s="90">
        <f t="shared" si="76"/>
        <v>0.59501591800514808</v>
      </c>
      <c r="EC35" s="90">
        <f t="shared" si="77"/>
        <v>33</v>
      </c>
      <c r="ED35" s="308">
        <f t="shared" si="78"/>
        <v>8.5999999999999924E-2</v>
      </c>
      <c r="EE35" s="307">
        <f t="shared" si="69"/>
        <v>0.24000000000000066</v>
      </c>
      <c r="EF35" s="90">
        <f t="shared" si="79"/>
        <v>-0.14508338921704006</v>
      </c>
      <c r="EG35" s="90">
        <f t="shared" si="80"/>
        <v>-0.14508338921704006</v>
      </c>
      <c r="EH35" s="90">
        <f t="shared" si="70"/>
        <v>34</v>
      </c>
      <c r="EI35" s="308">
        <f t="shared" si="71"/>
        <v>8.6000000000000271E-2</v>
      </c>
      <c r="EJ35"/>
    </row>
    <row r="36" spans="1:140" ht="12" customHeight="1" x14ac:dyDescent="0.2">
      <c r="A36" s="50" t="str">
        <f t="shared" si="7"/>
        <v/>
      </c>
      <c r="B36" s="50" t="str">
        <f t="shared" si="8"/>
        <v/>
      </c>
      <c r="C36" s="50" t="str">
        <f t="shared" si="9"/>
        <v/>
      </c>
      <c r="D36" s="50" t="str">
        <f t="shared" si="10"/>
        <v/>
      </c>
      <c r="E36" s="50" t="str">
        <f t="shared" si="11"/>
        <v/>
      </c>
      <c r="F36" s="50" t="str">
        <f t="shared" si="12"/>
        <v/>
      </c>
      <c r="G36" s="66" t="s">
        <v>420</v>
      </c>
      <c r="H36" s="66" t="s">
        <v>420</v>
      </c>
      <c r="I36" s="50" t="e">
        <f t="shared" si="13"/>
        <v>#VALUE!</v>
      </c>
      <c r="J36" s="50" t="e">
        <f t="shared" si="14"/>
        <v>#VALUE!</v>
      </c>
      <c r="K36" s="66">
        <v>0</v>
      </c>
      <c r="L36" s="66">
        <v>0</v>
      </c>
      <c r="M36" s="66">
        <v>0</v>
      </c>
      <c r="N36" s="649">
        <f t="shared" si="15"/>
        <v>0</v>
      </c>
      <c r="O36" s="650">
        <f t="shared" si="16"/>
        <v>0</v>
      </c>
      <c r="P36" s="650">
        <f t="shared" si="17"/>
        <v>0</v>
      </c>
      <c r="Q36" s="90"/>
      <c r="R36" s="662" t="str">
        <f t="shared" si="18"/>
        <v/>
      </c>
      <c r="S36" s="849" t="str">
        <f t="shared" si="19"/>
        <v/>
      </c>
      <c r="T36" s="182" t="str">
        <f t="shared" si="20"/>
        <v/>
      </c>
      <c r="U36" s="183">
        <v>29</v>
      </c>
      <c r="V36" s="186"/>
      <c r="W36" s="663"/>
      <c r="X36" s="653" t="str">
        <f t="shared" si="21"/>
        <v/>
      </c>
      <c r="Y36" s="186"/>
      <c r="Z36" s="186"/>
      <c r="AA36" s="679" t="str">
        <f t="shared" si="22"/>
        <v/>
      </c>
      <c r="AB36" s="186"/>
      <c r="AC36" s="202" t="str">
        <f t="shared" si="23"/>
        <v/>
      </c>
      <c r="AD36" s="665" t="s">
        <v>339</v>
      </c>
      <c r="AE36" s="666" t="str">
        <f t="shared" si="24"/>
        <v/>
      </c>
      <c r="AF36" s="197" t="s">
        <v>261</v>
      </c>
      <c r="AG36" s="666" t="str">
        <f t="shared" si="25"/>
        <v/>
      </c>
      <c r="AH36" s="667" t="s">
        <v>259</v>
      </c>
      <c r="AI36" s="193" t="str">
        <f t="shared" si="53"/>
        <v/>
      </c>
      <c r="AJ36" s="194"/>
      <c r="AK36" s="85">
        <f t="shared" si="1"/>
        <v>9.5000000000000005E-5</v>
      </c>
      <c r="AL36" s="249"/>
      <c r="AM36" s="249"/>
      <c r="AN36" s="165"/>
      <c r="AO36" s="170"/>
      <c r="AP36" s="170"/>
      <c r="AQ36" s="170"/>
      <c r="AR36" s="170"/>
      <c r="AS36" s="170"/>
      <c r="AT36" s="171"/>
      <c r="AU36" s="249"/>
      <c r="AV36" s="668">
        <f t="shared" si="2"/>
        <v>9.5000000000000005E-5</v>
      </c>
      <c r="AW36" s="669" t="str">
        <f t="shared" si="26"/>
        <v/>
      </c>
      <c r="AX36" s="670" t="str">
        <f t="shared" si="27"/>
        <v/>
      </c>
      <c r="AY36" s="671" t="str">
        <f t="shared" si="28"/>
        <v/>
      </c>
      <c r="BT36" s="412">
        <v>-10</v>
      </c>
      <c r="BU36" s="226">
        <f t="shared" si="81"/>
        <v>-2</v>
      </c>
      <c r="BV36" s="226">
        <f t="shared" si="82"/>
        <v>-1.184027293762262</v>
      </c>
      <c r="BW36" s="226" t="e">
        <f t="shared" si="83"/>
        <v>#N/A</v>
      </c>
      <c r="BX36" s="436">
        <f t="shared" si="84"/>
        <v>39</v>
      </c>
      <c r="BY36" s="94">
        <f t="shared" si="29"/>
        <v>-999999999999</v>
      </c>
      <c r="BZ36" s="95" t="str">
        <f t="shared" si="30"/>
        <v>zzzzzzzzzzzz</v>
      </c>
      <c r="CA36" s="424">
        <f t="shared" si="63"/>
        <v>-999999999999</v>
      </c>
      <c r="CB36" s="404">
        <f t="shared" si="31"/>
        <v>999</v>
      </c>
      <c r="CC36" s="405">
        <f t="shared" si="32"/>
        <v>999</v>
      </c>
      <c r="CD36" s="428" t="str">
        <f t="shared" si="54"/>
        <v/>
      </c>
      <c r="CE36" s="206"/>
      <c r="CF36" s="206"/>
      <c r="CG36" s="95" t="b">
        <f t="shared" si="55"/>
        <v>0</v>
      </c>
      <c r="CH36" s="406" t="str">
        <f t="shared" si="56"/>
        <v/>
      </c>
      <c r="CI36" s="50" t="str">
        <f t="shared" si="33"/>
        <v/>
      </c>
      <c r="CJ36" s="50" t="b">
        <f t="shared" si="34"/>
        <v>1</v>
      </c>
      <c r="CK36" s="753" t="b">
        <v>1</v>
      </c>
      <c r="CL36" s="50" t="b">
        <f t="shared" si="35"/>
        <v>0</v>
      </c>
      <c r="CM36" s="50">
        <v>29</v>
      </c>
      <c r="CN36" s="200" t="b">
        <f t="shared" si="36"/>
        <v>0</v>
      </c>
      <c r="CO36" s="90" t="str">
        <f t="shared" si="57"/>
        <v/>
      </c>
      <c r="CP36" s="201" t="str">
        <f t="shared" si="58"/>
        <v/>
      </c>
      <c r="CQ36" s="90" t="e">
        <f t="shared" si="64"/>
        <v>#N/A</v>
      </c>
      <c r="CR36" s="201" t="e">
        <f t="shared" si="37"/>
        <v>#N/A</v>
      </c>
      <c r="CS36" s="50" t="e">
        <f t="shared" si="38"/>
        <v>#N/A</v>
      </c>
      <c r="CT36" s="50" t="e">
        <f t="shared" si="39"/>
        <v>#N/A</v>
      </c>
      <c r="CU36" s="90" t="str">
        <f t="shared" si="59"/>
        <v/>
      </c>
      <c r="CV36" s="90" t="str">
        <f t="shared" si="40"/>
        <v/>
      </c>
      <c r="CW36" s="90" t="str">
        <f t="shared" si="60"/>
        <v/>
      </c>
      <c r="CX36" s="90" t="str">
        <f t="shared" si="61"/>
        <v/>
      </c>
      <c r="CY36" s="90" t="str">
        <f t="shared" si="62"/>
        <v/>
      </c>
      <c r="CZ36" s="90" t="str">
        <f t="shared" si="41"/>
        <v/>
      </c>
      <c r="DA36" s="90" t="str">
        <f t="shared" si="42"/>
        <v/>
      </c>
      <c r="DB36" s="90" t="str">
        <f t="shared" si="43"/>
        <v/>
      </c>
      <c r="DC36" s="106" t="e">
        <f t="shared" si="44"/>
        <v>#N/A</v>
      </c>
      <c r="DD36" s="90" t="e">
        <f t="shared" si="45"/>
        <v>#N/A</v>
      </c>
      <c r="DE36" s="90" t="e">
        <f t="shared" si="46"/>
        <v>#N/A</v>
      </c>
      <c r="DF36" s="90" t="e">
        <f t="shared" si="47"/>
        <v>#N/A</v>
      </c>
      <c r="DG36" s="90" t="e">
        <f t="shared" si="48"/>
        <v>#N/A</v>
      </c>
      <c r="DH36" s="90" t="e">
        <f t="shared" si="49"/>
        <v>#N/A</v>
      </c>
      <c r="DI36" s="90" t="e">
        <f t="shared" si="50"/>
        <v>#N/A</v>
      </c>
      <c r="DJ36" s="90" t="e">
        <f t="shared" si="51"/>
        <v>#N/A</v>
      </c>
      <c r="DK36" s="90" t="e">
        <f t="shared" si="52"/>
        <v>#N/A</v>
      </c>
      <c r="DL36" s="113">
        <v>29</v>
      </c>
      <c r="DM36"/>
      <c r="DN36"/>
      <c r="DO36"/>
      <c r="DP36"/>
      <c r="DQ36"/>
      <c r="DR36"/>
      <c r="DS36" s="307">
        <v>25</v>
      </c>
      <c r="DT36" s="50">
        <f t="shared" si="66"/>
        <v>0.250000000000001</v>
      </c>
      <c r="DU36" s="90">
        <f t="shared" si="72"/>
        <v>0.30619088500992703</v>
      </c>
      <c r="DV36" s="90" t="e">
        <f t="shared" si="73"/>
        <v>#N/A</v>
      </c>
      <c r="DW36" s="90">
        <f t="shared" si="74"/>
        <v>0.30619088500992703</v>
      </c>
      <c r="DX36" s="90">
        <f t="shared" si="67"/>
        <v>32</v>
      </c>
      <c r="DY36" s="308">
        <f t="shared" si="65"/>
        <v>9.0000000000000413E-2</v>
      </c>
      <c r="DZ36" s="307">
        <f t="shared" si="68"/>
        <v>0.24999999999999978</v>
      </c>
      <c r="EA36" s="90">
        <f t="shared" si="75"/>
        <v>0.59792324416610321</v>
      </c>
      <c r="EB36" s="90">
        <f t="shared" si="76"/>
        <v>0.59792324416610321</v>
      </c>
      <c r="EC36" s="90">
        <f t="shared" si="77"/>
        <v>33</v>
      </c>
      <c r="ED36" s="308">
        <f t="shared" si="78"/>
        <v>8.9999999999999927E-2</v>
      </c>
      <c r="EE36" s="307">
        <f t="shared" si="69"/>
        <v>0.25000000000000056</v>
      </c>
      <c r="EF36" s="90">
        <f t="shared" si="79"/>
        <v>-0.14253935108421953</v>
      </c>
      <c r="EG36" s="90">
        <f t="shared" si="80"/>
        <v>-0.14253935108421953</v>
      </c>
      <c r="EH36" s="90">
        <f t="shared" si="70"/>
        <v>34</v>
      </c>
      <c r="EI36" s="308">
        <f t="shared" si="71"/>
        <v>9.0000000000000233E-2</v>
      </c>
      <c r="EJ36"/>
    </row>
    <row r="37" spans="1:140" ht="12" customHeight="1" thickBot="1" x14ac:dyDescent="0.25">
      <c r="A37" s="50" t="str">
        <f t="shared" si="7"/>
        <v/>
      </c>
      <c r="B37" s="50" t="str">
        <f t="shared" si="8"/>
        <v/>
      </c>
      <c r="C37" s="50" t="str">
        <f t="shared" si="9"/>
        <v/>
      </c>
      <c r="D37" s="50" t="str">
        <f t="shared" si="10"/>
        <v/>
      </c>
      <c r="E37" s="50" t="str">
        <f t="shared" si="11"/>
        <v/>
      </c>
      <c r="F37" s="50" t="str">
        <f t="shared" si="12"/>
        <v/>
      </c>
      <c r="G37" s="66" t="s">
        <v>420</v>
      </c>
      <c r="H37" s="66" t="s">
        <v>420</v>
      </c>
      <c r="I37" s="50" t="e">
        <f t="shared" si="13"/>
        <v>#VALUE!</v>
      </c>
      <c r="J37" s="50" t="e">
        <f t="shared" si="14"/>
        <v>#VALUE!</v>
      </c>
      <c r="K37" s="66">
        <v>0</v>
      </c>
      <c r="L37" s="66">
        <v>0</v>
      </c>
      <c r="M37" s="66">
        <v>0</v>
      </c>
      <c r="N37" s="649">
        <f t="shared" si="15"/>
        <v>0</v>
      </c>
      <c r="O37" s="650">
        <f t="shared" si="16"/>
        <v>0</v>
      </c>
      <c r="P37" s="650">
        <f t="shared" si="17"/>
        <v>0</v>
      </c>
      <c r="Q37" s="90"/>
      <c r="R37" s="683" t="str">
        <f t="shared" si="18"/>
        <v/>
      </c>
      <c r="S37" s="850" t="str">
        <f t="shared" si="19"/>
        <v/>
      </c>
      <c r="T37" s="209" t="str">
        <f t="shared" si="20"/>
        <v/>
      </c>
      <c r="U37" s="210">
        <v>30</v>
      </c>
      <c r="V37" s="213"/>
      <c r="W37" s="684"/>
      <c r="X37" s="685" t="str">
        <f t="shared" si="21"/>
        <v/>
      </c>
      <c r="Y37" s="213"/>
      <c r="Z37" s="213"/>
      <c r="AA37" s="686" t="str">
        <f t="shared" si="22"/>
        <v/>
      </c>
      <c r="AB37" s="186"/>
      <c r="AC37" s="687" t="str">
        <f t="shared" si="23"/>
        <v/>
      </c>
      <c r="AD37" s="688" t="s">
        <v>339</v>
      </c>
      <c r="AE37" s="689" t="str">
        <f t="shared" si="24"/>
        <v/>
      </c>
      <c r="AF37" s="222" t="s">
        <v>261</v>
      </c>
      <c r="AG37" s="689" t="str">
        <f t="shared" si="25"/>
        <v/>
      </c>
      <c r="AH37" s="690" t="s">
        <v>259</v>
      </c>
      <c r="AI37" s="219" t="str">
        <f t="shared" si="53"/>
        <v/>
      </c>
      <c r="AJ37" s="691"/>
      <c r="AK37" s="85">
        <f t="shared" si="1"/>
        <v>9.5000000000000005E-5</v>
      </c>
      <c r="AL37" s="249"/>
      <c r="AM37" s="170"/>
      <c r="AN37" s="165"/>
      <c r="AO37" s="170"/>
      <c r="AP37" s="170"/>
      <c r="AQ37" s="170"/>
      <c r="AR37" s="170"/>
      <c r="AS37" s="170"/>
      <c r="AT37" s="171"/>
      <c r="AU37" s="249"/>
      <c r="AV37" s="692">
        <f t="shared" si="2"/>
        <v>9.5000000000000005E-5</v>
      </c>
      <c r="AW37" s="693" t="str">
        <f t="shared" si="26"/>
        <v/>
      </c>
      <c r="AX37" s="694" t="str">
        <f t="shared" si="27"/>
        <v/>
      </c>
      <c r="AY37" s="695" t="str">
        <f t="shared" si="28"/>
        <v/>
      </c>
      <c r="BT37" s="102"/>
      <c r="BU37" s="102"/>
      <c r="BV37" s="102"/>
      <c r="BW37" s="102"/>
      <c r="BY37" s="94">
        <f t="shared" si="29"/>
        <v>-999999999999</v>
      </c>
      <c r="BZ37" s="95" t="str">
        <f t="shared" si="30"/>
        <v>zzzzzzzzzzzz</v>
      </c>
      <c r="CA37" s="408">
        <f t="shared" si="63"/>
        <v>-999999999999</v>
      </c>
      <c r="CB37" s="451">
        <f t="shared" si="31"/>
        <v>999</v>
      </c>
      <c r="CC37" s="452">
        <f t="shared" si="32"/>
        <v>999</v>
      </c>
      <c r="CD37" s="757" t="str">
        <f t="shared" si="54"/>
        <v/>
      </c>
      <c r="CE37" s="102"/>
      <c r="CF37" s="102"/>
      <c r="CG37" s="95" t="b">
        <f t="shared" si="55"/>
        <v>0</v>
      </c>
      <c r="CH37" s="453" t="str">
        <f t="shared" si="56"/>
        <v/>
      </c>
      <c r="CI37" s="79" t="str">
        <f t="shared" si="33"/>
        <v/>
      </c>
      <c r="CJ37" s="79" t="b">
        <f t="shared" si="34"/>
        <v>1</v>
      </c>
      <c r="CK37" s="754" t="b">
        <v>1</v>
      </c>
      <c r="CL37" s="79" t="b">
        <f t="shared" si="35"/>
        <v>0</v>
      </c>
      <c r="CM37" s="79">
        <v>30</v>
      </c>
      <c r="CN37" s="224" t="b">
        <f t="shared" si="36"/>
        <v>0</v>
      </c>
      <c r="CO37" s="79" t="str">
        <f t="shared" si="57"/>
        <v/>
      </c>
      <c r="CP37" s="226" t="str">
        <f t="shared" si="58"/>
        <v/>
      </c>
      <c r="CQ37" s="79" t="e">
        <f t="shared" si="64"/>
        <v>#N/A</v>
      </c>
      <c r="CR37" s="226" t="e">
        <f t="shared" si="37"/>
        <v>#N/A</v>
      </c>
      <c r="CS37" s="50" t="e">
        <f t="shared" si="38"/>
        <v>#N/A</v>
      </c>
      <c r="CT37" s="50" t="e">
        <f t="shared" si="39"/>
        <v>#N/A</v>
      </c>
      <c r="CU37" s="79" t="str">
        <f t="shared" si="59"/>
        <v/>
      </c>
      <c r="CV37" s="90" t="str">
        <f t="shared" si="40"/>
        <v/>
      </c>
      <c r="CW37" s="79" t="str">
        <f t="shared" si="60"/>
        <v/>
      </c>
      <c r="CX37" s="79" t="str">
        <f t="shared" si="61"/>
        <v/>
      </c>
      <c r="CY37" s="79" t="str">
        <f t="shared" si="62"/>
        <v/>
      </c>
      <c r="CZ37" s="79" t="str">
        <f t="shared" si="41"/>
        <v/>
      </c>
      <c r="DA37" s="79" t="str">
        <f t="shared" si="42"/>
        <v/>
      </c>
      <c r="DB37" s="79" t="str">
        <f t="shared" si="43"/>
        <v/>
      </c>
      <c r="DC37" s="207" t="e">
        <f t="shared" si="44"/>
        <v>#N/A</v>
      </c>
      <c r="DD37" s="79" t="e">
        <f t="shared" si="45"/>
        <v>#N/A</v>
      </c>
      <c r="DE37" s="79" t="e">
        <f t="shared" si="46"/>
        <v>#N/A</v>
      </c>
      <c r="DF37" s="79" t="e">
        <f t="shared" si="47"/>
        <v>#N/A</v>
      </c>
      <c r="DG37" s="79" t="e">
        <f t="shared" si="48"/>
        <v>#N/A</v>
      </c>
      <c r="DH37" s="79" t="e">
        <f t="shared" si="49"/>
        <v>#N/A</v>
      </c>
      <c r="DI37" s="79" t="e">
        <f t="shared" si="50"/>
        <v>#N/A</v>
      </c>
      <c r="DJ37" s="79" t="e">
        <f t="shared" si="51"/>
        <v>#N/A</v>
      </c>
      <c r="DK37" s="79" t="e">
        <f t="shared" si="52"/>
        <v>#N/A</v>
      </c>
      <c r="DL37" s="109">
        <v>30</v>
      </c>
      <c r="DM37"/>
      <c r="DN37"/>
      <c r="DO37"/>
      <c r="DP37"/>
      <c r="DQ37"/>
      <c r="DR37"/>
      <c r="DS37" s="307">
        <v>26</v>
      </c>
      <c r="DT37" s="50">
        <f t="shared" si="66"/>
        <v>0.26000000000000112</v>
      </c>
      <c r="DU37" s="90">
        <f t="shared" si="72"/>
        <v>0.30929595660792353</v>
      </c>
      <c r="DV37" s="90" t="e">
        <f t="shared" si="73"/>
        <v>#N/A</v>
      </c>
      <c r="DW37" s="90">
        <f t="shared" si="74"/>
        <v>0.30929595660792353</v>
      </c>
      <c r="DX37" s="90">
        <f t="shared" si="67"/>
        <v>32</v>
      </c>
      <c r="DY37" s="308">
        <f t="shared" si="65"/>
        <v>9.4000000000000458E-2</v>
      </c>
      <c r="DZ37" s="307">
        <f t="shared" si="68"/>
        <v>0.25999999999999979</v>
      </c>
      <c r="EA37" s="90">
        <f t="shared" si="75"/>
        <v>0.60083057032705833</v>
      </c>
      <c r="EB37" s="90">
        <f t="shared" si="76"/>
        <v>0.60083057032705833</v>
      </c>
      <c r="EC37" s="90">
        <f t="shared" si="77"/>
        <v>33</v>
      </c>
      <c r="ED37" s="308">
        <f t="shared" si="78"/>
        <v>9.3999999999999931E-2</v>
      </c>
      <c r="EE37" s="307">
        <f t="shared" si="69"/>
        <v>0.26000000000000068</v>
      </c>
      <c r="EF37" s="90">
        <f t="shared" si="79"/>
        <v>-0.139995312951399</v>
      </c>
      <c r="EG37" s="90">
        <f t="shared" si="80"/>
        <v>-0.139995312951399</v>
      </c>
      <c r="EH37" s="90">
        <f t="shared" si="70"/>
        <v>34</v>
      </c>
      <c r="EI37" s="308">
        <f t="shared" si="71"/>
        <v>9.4000000000000278E-2</v>
      </c>
      <c r="EJ37"/>
    </row>
    <row r="38" spans="1:140" ht="13.5" customHeight="1" thickTop="1" thickBot="1" x14ac:dyDescent="0.35">
      <c r="K38" s="66"/>
      <c r="L38" s="697" t="s">
        <v>251</v>
      </c>
      <c r="M38" s="66">
        <v>95</v>
      </c>
      <c r="N38" s="650"/>
      <c r="O38" s="698" t="s">
        <v>251</v>
      </c>
      <c r="P38" s="650">
        <f>AA2</f>
        <v>95</v>
      </c>
      <c r="Q38" s="97"/>
      <c r="R38" s="699"/>
      <c r="S38" s="851"/>
      <c r="T38" s="700"/>
      <c r="U38" s="37">
        <v>13</v>
      </c>
      <c r="V38" s="748" t="s">
        <v>761</v>
      </c>
      <c r="W38" s="751" t="s">
        <v>355</v>
      </c>
      <c r="X38" s="780" t="s">
        <v>594</v>
      </c>
      <c r="Y38" s="701"/>
      <c r="Z38" s="228"/>
      <c r="AA38" s="228"/>
      <c r="AB38" s="227"/>
      <c r="AC38" s="625" t="s">
        <v>317</v>
      </c>
      <c r="AD38" s="232"/>
      <c r="AE38" s="32"/>
      <c r="AF38" s="587"/>
      <c r="AG38" s="749"/>
      <c r="AH38" s="232" t="s">
        <v>222</v>
      </c>
      <c r="AI38" s="230"/>
      <c r="AJ38" s="229"/>
      <c r="AK38" s="85">
        <f t="shared" si="1"/>
        <v>9.5000000000000005E-5</v>
      </c>
      <c r="AL38" s="249"/>
      <c r="AM38" s="170"/>
      <c r="AN38" s="231"/>
      <c r="AO38" s="170"/>
      <c r="AP38" s="170"/>
      <c r="AQ38" s="170"/>
      <c r="AR38" s="170"/>
      <c r="AS38" s="170"/>
      <c r="AT38" s="171"/>
      <c r="AU38" s="249"/>
      <c r="AV38" s="52">
        <f t="shared" si="2"/>
        <v>9.5000000000000005E-5</v>
      </c>
      <c r="AW38" s="229"/>
      <c r="AX38" s="229"/>
      <c r="CD38" s="758">
        <f>SUM(CD8:CD37)</f>
        <v>99.999999999999986</v>
      </c>
      <c r="CI38" s="59" t="s">
        <v>80</v>
      </c>
      <c r="CJ38" s="50">
        <f>IF(CQ40&lt;&gt;"",CF18/(NORMSINV((100+$AA$2)/200)*CS38),NA())</f>
        <v>1.6218350931466146</v>
      </c>
      <c r="CN38" s="90"/>
      <c r="CO38" s="90"/>
      <c r="CQ38" s="702"/>
      <c r="CR38" s="703" t="s">
        <v>316</v>
      </c>
      <c r="CS38" s="704">
        <f>IF($CP$6,SQRT(1/SUM(CU8:CU37)),"")</f>
        <v>9.7682515362190872E-2</v>
      </c>
      <c r="CT38" s="55"/>
      <c r="CU38" s="705">
        <f>SUM(CU8:CU37)</f>
        <v>104.80121831160656</v>
      </c>
      <c r="CV38" s="705">
        <f t="shared" ref="CV38:DB38" si="85">SUM(CV8:CV37)</f>
        <v>39.843083768737571</v>
      </c>
      <c r="CW38" s="705">
        <f t="shared" si="85"/>
        <v>39.948431531838018</v>
      </c>
      <c r="CX38" s="705">
        <f t="shared" si="85"/>
        <v>2119.371936462258</v>
      </c>
      <c r="CY38" s="707">
        <f t="shared" si="85"/>
        <v>31.003550552400032</v>
      </c>
      <c r="CZ38" s="707">
        <f t="shared" si="85"/>
        <v>1.7068820323371441</v>
      </c>
      <c r="DA38" s="705">
        <f t="shared" si="85"/>
        <v>39.843083768737571</v>
      </c>
      <c r="DB38" s="705">
        <f t="shared" si="85"/>
        <v>21.478261164692025</v>
      </c>
      <c r="DC38" s="207"/>
      <c r="DD38" s="79"/>
      <c r="DE38" s="79"/>
      <c r="DF38" s="79"/>
      <c r="DG38" s="79"/>
      <c r="DH38" s="79"/>
      <c r="DI38" s="79"/>
      <c r="DJ38" s="79"/>
      <c r="DK38" s="79"/>
      <c r="DL38" s="79"/>
      <c r="DM38"/>
      <c r="DN38"/>
      <c r="DO38"/>
      <c r="DP38"/>
      <c r="DQ38"/>
      <c r="DR38"/>
      <c r="DS38" s="307">
        <v>27</v>
      </c>
      <c r="DT38" s="50">
        <f t="shared" si="66"/>
        <v>0.27000000000000113</v>
      </c>
      <c r="DU38" s="90">
        <f t="shared" si="72"/>
        <v>0.31240102820592003</v>
      </c>
      <c r="DV38" s="90" t="e">
        <f t="shared" si="73"/>
        <v>#N/A</v>
      </c>
      <c r="DW38" s="90">
        <f t="shared" si="74"/>
        <v>0.31240102820592003</v>
      </c>
      <c r="DX38" s="90">
        <f t="shared" si="67"/>
        <v>32</v>
      </c>
      <c r="DY38" s="308">
        <f t="shared" si="65"/>
        <v>9.8000000000000462E-2</v>
      </c>
      <c r="DZ38" s="307">
        <f t="shared" si="68"/>
        <v>0.2699999999999998</v>
      </c>
      <c r="EA38" s="90">
        <f t="shared" si="75"/>
        <v>0.60373789648801346</v>
      </c>
      <c r="EB38" s="90">
        <f t="shared" si="76"/>
        <v>0.60373789648801346</v>
      </c>
      <c r="EC38" s="90">
        <f t="shared" si="77"/>
        <v>33</v>
      </c>
      <c r="ED38" s="308">
        <f t="shared" si="78"/>
        <v>9.7999999999999934E-2</v>
      </c>
      <c r="EE38" s="307">
        <f t="shared" si="69"/>
        <v>0.27000000000000057</v>
      </c>
      <c r="EF38" s="90">
        <f t="shared" si="79"/>
        <v>-0.13745127481857847</v>
      </c>
      <c r="EG38" s="90">
        <f t="shared" si="80"/>
        <v>-0.13745127481857847</v>
      </c>
      <c r="EH38" s="90">
        <f t="shared" si="70"/>
        <v>34</v>
      </c>
      <c r="EI38" s="308">
        <f t="shared" si="71"/>
        <v>9.800000000000024E-2</v>
      </c>
      <c r="EJ38"/>
    </row>
    <row r="39" spans="1:140" ht="12" customHeight="1" thickTop="1" thickBot="1" x14ac:dyDescent="0.25">
      <c r="M39" s="634"/>
      <c r="O39" s="59"/>
      <c r="Q39" s="239"/>
      <c r="R39" s="709" t="str">
        <f>IF(AND($CQ$2,$CP$6,$CS$5,CQ40&lt;&gt;""), IF(fixedrandom=1,CQ40,CF21),"")</f>
        <v/>
      </c>
      <c r="S39" s="852" t="str">
        <f>IF(R39&lt;&gt;"",2*(1-NORMSDIST(ABS(R39))),"")</f>
        <v/>
      </c>
      <c r="T39" s="710" t="str">
        <f>IF(R39&lt;&gt;"",IF(S39&lt;0.001,"***",(IF(S39&lt;0.01,"**",(IF(S39&lt;0.05,"*",(IF(S39&lt;0.1,"?","ns"))))))),"")</f>
        <v/>
      </c>
      <c r="U39" s="242"/>
      <c r="V39" s="625" t="str">
        <f>IF($CP$6,IF(fixedrandom=1,"Fixed effect","Random effects"),"")</f>
        <v>Random effects</v>
      </c>
      <c r="W39" s="917">
        <f>IF(AND($CP$6,$DB$3),IF(fixedrandom=1,SUMPRODUCT(CO8:CO37,CU8:CU37)/SUM(CU8:CU37),CF15),"")</f>
        <v>0.53907125485966279</v>
      </c>
      <c r="X39" s="918"/>
      <c r="Y39" s="241"/>
      <c r="Z39" s="242"/>
      <c r="AA39" s="242"/>
      <c r="AB39" s="625"/>
      <c r="AC39" s="711">
        <f>IF($DB$3,IF(fixedrandom=1,CS38^2,CF16),"")</f>
        <v>2.5098458889485829E-2</v>
      </c>
      <c r="AD39" s="712" t="s">
        <v>339</v>
      </c>
      <c r="AE39" s="713">
        <f>IF(CQ40&lt;&gt;"",W39-AW39,"")</f>
        <v>0.22856409506001468</v>
      </c>
      <c r="AF39" s="714" t="s">
        <v>261</v>
      </c>
      <c r="AG39" s="713">
        <f>IF(CQ40&lt;&gt;"",W39+AW39,"")</f>
        <v>0.84957841465931083</v>
      </c>
      <c r="AH39" s="715" t="s">
        <v>259</v>
      </c>
      <c r="AI39" s="775" t="s">
        <v>439</v>
      </c>
      <c r="AJ39" s="248"/>
      <c r="AK39" s="85">
        <f t="shared" si="1"/>
        <v>9.5000000000000005E-5</v>
      </c>
      <c r="AL39" s="249"/>
      <c r="AM39" s="170"/>
      <c r="AN39" s="716"/>
      <c r="AO39" s="170"/>
      <c r="AP39" s="170"/>
      <c r="AQ39" s="170"/>
      <c r="AR39" s="170"/>
      <c r="AS39" s="170"/>
      <c r="AT39" s="171"/>
      <c r="AU39" s="249"/>
      <c r="AV39" s="717">
        <f t="shared" si="2"/>
        <v>9.5000000000000005E-5</v>
      </c>
      <c r="AW39" s="718">
        <f>IF(CQ40&lt;&gt;"",CT40,"")</f>
        <v>0.3105071597996481</v>
      </c>
      <c r="AX39" s="719">
        <f>IF(CQ40&lt;&gt;"",CT40,"")</f>
        <v>0.3105071597996481</v>
      </c>
      <c r="AY39" s="250"/>
      <c r="AZ39" s="250"/>
      <c r="BA39" s="250"/>
      <c r="BB39" s="250"/>
      <c r="BC39" s="250"/>
      <c r="BD39" s="250"/>
      <c r="BE39" s="250"/>
      <c r="BF39" s="250"/>
      <c r="BG39" s="250"/>
      <c r="BH39" s="250"/>
      <c r="BI39" s="250"/>
      <c r="BJ39" s="250"/>
      <c r="BK39" s="250"/>
      <c r="BL39" s="250"/>
      <c r="BM39" s="250"/>
      <c r="CQ39" s="251" t="s">
        <v>315</v>
      </c>
      <c r="CS39" s="1"/>
      <c r="CT39" s="63" t="s">
        <v>299</v>
      </c>
      <c r="CU39" s="55"/>
      <c r="CV39" s="720"/>
      <c r="CW39" s="721" t="s">
        <v>296</v>
      </c>
      <c r="CX39" s="722">
        <f>IF(fixedrandom=1,MAX(CU8:CU37),MAX(DA8:DA37))</f>
        <v>7.3656553623856151</v>
      </c>
      <c r="CZ39" s="55"/>
      <c r="DA39" s="255"/>
      <c r="DB39" s="256"/>
      <c r="DS39" s="307">
        <v>28</v>
      </c>
      <c r="DT39" s="50">
        <f t="shared" si="66"/>
        <v>0.28000000000000125</v>
      </c>
      <c r="DU39" s="90">
        <f t="shared" si="72"/>
        <v>0.31550609980391653</v>
      </c>
      <c r="DV39" s="90" t="e">
        <f t="shared" si="73"/>
        <v>#N/A</v>
      </c>
      <c r="DW39" s="90">
        <f t="shared" si="74"/>
        <v>0.31550609980391653</v>
      </c>
      <c r="DX39" s="90">
        <f t="shared" si="67"/>
        <v>32</v>
      </c>
      <c r="DY39" s="308">
        <f t="shared" si="65"/>
        <v>0.10200000000000051</v>
      </c>
      <c r="DZ39" s="307">
        <f t="shared" si="68"/>
        <v>0.2799999999999998</v>
      </c>
      <c r="EA39" s="90">
        <f t="shared" si="75"/>
        <v>0.60664522264896859</v>
      </c>
      <c r="EB39" s="90">
        <f t="shared" si="76"/>
        <v>0.60664522264896859</v>
      </c>
      <c r="EC39" s="90">
        <f t="shared" si="77"/>
        <v>33</v>
      </c>
      <c r="ED39" s="308">
        <f t="shared" si="78"/>
        <v>0.10199999999999994</v>
      </c>
      <c r="EE39" s="307">
        <f t="shared" si="69"/>
        <v>0.28000000000000069</v>
      </c>
      <c r="EF39" s="90">
        <f t="shared" si="79"/>
        <v>-0.13490723668575794</v>
      </c>
      <c r="EG39" s="90">
        <f t="shared" si="80"/>
        <v>-0.13490723668575794</v>
      </c>
      <c r="EH39" s="90">
        <f t="shared" si="70"/>
        <v>34</v>
      </c>
      <c r="EI39" s="308">
        <f t="shared" si="71"/>
        <v>0.10200000000000028</v>
      </c>
    </row>
    <row r="40" spans="1:140" ht="12" customHeight="1" thickTop="1" x14ac:dyDescent="0.2">
      <c r="R40" s="488" t="str">
        <f>IF(AND($CJ$5,$CP$6,$CS$5,$CQ$2,Z40&lt;&gt;""), IF(fixedrandom=1,CP77,CE65),"")</f>
        <v/>
      </c>
      <c r="S40" s="853" t="str">
        <f>IF(R40&lt;&gt;"",2*(1-NORMSDIST(ABS(R40))),"")</f>
        <v/>
      </c>
      <c r="T40" s="489" t="str">
        <f>IF(R40&lt;&gt;"",IF(S40&lt;0.001,"***",(IF(S40&lt;0.01,"**",(IF(S40&lt;0.05,"*",(IF(S40&lt;0.1,"?","ns"))))))),"")</f>
        <v/>
      </c>
      <c r="U40" s="43">
        <v>14</v>
      </c>
      <c r="V40" s="606" t="str">
        <f>IF($CJ$5,"Subset "&amp;CK45&amp;" ","")</f>
        <v xml:space="preserve">Subset Damisch </v>
      </c>
      <c r="W40" s="490"/>
      <c r="X40" s="490"/>
      <c r="Y40" s="490"/>
      <c r="Z40" s="491">
        <f>IF(AND($CJ$5,$CP$6,$CZ$2),IF(fixedrandom=1,SUMPRODUCT(CN46:CN75,CU46:CU75)/SUM(CU46:CU75),CE59),"")</f>
        <v>0.81597270623773788</v>
      </c>
      <c r="AA40" s="492"/>
      <c r="AB40" s="601"/>
      <c r="AC40" s="493">
        <f>IF(AND($CJ$5,$CP$6,$CZ$2),IF(fixedrandom=1,CU77^2,CE60),"")</f>
        <v>2.2003477847113224E-2</v>
      </c>
      <c r="AD40" s="501" t="s">
        <v>339</v>
      </c>
      <c r="AE40" s="502">
        <f>IF(NOT(CJ5),"",IF(CP77&lt;&gt;"",Z40-AW40,""))</f>
        <v>0.52524009014222506</v>
      </c>
      <c r="AF40" s="503" t="s">
        <v>261</v>
      </c>
      <c r="AG40" s="502">
        <f>IF(NOT(CJ5),"",IF(CP77&lt;&gt;"",Z40+AW40,""))</f>
        <v>1.1067053223332506</v>
      </c>
      <c r="AH40" s="504" t="s">
        <v>259</v>
      </c>
      <c r="AI40" s="774" t="str">
        <f>IF($CJ$5,AB8&amp;" ","")</f>
        <v xml:space="preserve">Damisch </v>
      </c>
      <c r="AJ40" s="497"/>
      <c r="AK40" s="85">
        <f t="shared" si="1"/>
        <v>9.5000000000000005E-5</v>
      </c>
      <c r="AL40" s="249"/>
      <c r="AM40" s="170"/>
      <c r="AN40" s="170"/>
      <c r="AO40" s="170"/>
      <c r="AP40" s="169"/>
      <c r="AQ40" s="249"/>
      <c r="AR40" s="249"/>
      <c r="AS40" s="249"/>
      <c r="AT40" s="249"/>
      <c r="AU40" s="249"/>
      <c r="AV40" s="53">
        <f t="shared" si="2"/>
        <v>9.5000000000000005E-5</v>
      </c>
      <c r="AW40" s="770">
        <f>IF(NOT(CJ5),"",IF(CP77&lt;&gt;"",CS77,""))</f>
        <v>0.29073261609551282</v>
      </c>
      <c r="AX40" s="864">
        <f>IF(NOT(CJ5),"",IF(CP77&lt;&gt;"",CS77,""))</f>
        <v>0.29073261609551282</v>
      </c>
      <c r="BY40" s="206"/>
      <c r="CQ40" s="725">
        <f>IF($CP$6,(W39-$CO$4)/CS38,"")</f>
        <v>5.5186053805112847</v>
      </c>
      <c r="CR40" s="264" t="e">
        <f>IF(AND($CP$6,$DB$3),IF(NOT(CY4),W39,NA()),NA())</f>
        <v>#N/A</v>
      </c>
      <c r="CS40" s="265">
        <f>IF(AND(NOT(CY4),CQ40&lt;&gt;""),32,32)</f>
        <v>32</v>
      </c>
      <c r="CT40" s="726">
        <f>IF(CQ40&lt;&gt;"",IF(fixedrandom=1,NORMSINV((100+$AA$2)/200)*CS38,CF18),NA())</f>
        <v>0.3105071597996481</v>
      </c>
      <c r="CU40" s="262"/>
      <c r="CV40" s="262"/>
      <c r="CW40" s="266"/>
      <c r="CX40" s="727"/>
      <c r="DS40" s="307">
        <v>29</v>
      </c>
      <c r="DT40" s="50">
        <f t="shared" si="66"/>
        <v>0.29000000000000126</v>
      </c>
      <c r="DU40" s="90">
        <f t="shared" si="72"/>
        <v>0.31861117140191303</v>
      </c>
      <c r="DV40" s="90" t="e">
        <f t="shared" si="73"/>
        <v>#N/A</v>
      </c>
      <c r="DW40" s="90">
        <f t="shared" si="74"/>
        <v>0.31861117140191303</v>
      </c>
      <c r="DX40" s="90">
        <f t="shared" si="67"/>
        <v>32</v>
      </c>
      <c r="DY40" s="308">
        <f t="shared" si="65"/>
        <v>0.10600000000000051</v>
      </c>
      <c r="DZ40" s="307">
        <f t="shared" si="68"/>
        <v>0.28999999999999981</v>
      </c>
      <c r="EA40" s="90">
        <f t="shared" si="75"/>
        <v>0.60955254880992371</v>
      </c>
      <c r="EB40" s="90">
        <f t="shared" si="76"/>
        <v>0.60955254880992371</v>
      </c>
      <c r="EC40" s="90">
        <f t="shared" si="77"/>
        <v>33</v>
      </c>
      <c r="ED40" s="308">
        <f t="shared" si="78"/>
        <v>0.10599999999999994</v>
      </c>
      <c r="EE40" s="307">
        <f t="shared" si="69"/>
        <v>0.2900000000000007</v>
      </c>
      <c r="EF40" s="90">
        <f t="shared" si="79"/>
        <v>-0.13236319855293741</v>
      </c>
      <c r="EG40" s="90">
        <f t="shared" si="80"/>
        <v>-0.13236319855293741</v>
      </c>
      <c r="EH40" s="90">
        <f t="shared" si="70"/>
        <v>34</v>
      </c>
      <c r="EI40" s="308">
        <f t="shared" si="71"/>
        <v>0.10600000000000029</v>
      </c>
    </row>
    <row r="41" spans="1:140" ht="12" customHeight="1" x14ac:dyDescent="0.2">
      <c r="R41" s="505" t="str">
        <f>IF(AND($CJ$5,$CP$6,$CS$5,$CQ$2,Z41&lt;&gt;""), IF(fixedrandom=1,CP114,CE102),"")</f>
        <v/>
      </c>
      <c r="S41" s="854" t="str">
        <f>IF(R41&lt;&gt;"",2*(1-NORMSDIST(ABS(R41))),"")</f>
        <v/>
      </c>
      <c r="T41" s="506" t="str">
        <f>IF(R41&lt;&gt;"",IF(S41&lt;0.001,"***",(IF(S41&lt;0.01,"**",(IF(S41&lt;0.05,"*",(IF(S41&lt;0.1,"?","ns"))))))),"")</f>
        <v/>
      </c>
      <c r="U41" s="507"/>
      <c r="V41" s="607" t="str">
        <f>IF($CJ$5,"Subset "&amp;CK82&amp;" ","")</f>
        <v xml:space="preserve">Subset Calin </v>
      </c>
      <c r="W41" s="508"/>
      <c r="X41" s="508"/>
      <c r="Y41" s="508"/>
      <c r="Z41" s="509">
        <f>IF(AND($CJ$5,$CP$6,$CZ$2),IF(fixedrandom=1,SUMPRODUCT(CN83:CN112,CU83:CU112)/SUM(CU83:CU112),CE96),"")</f>
        <v>4.826350887731963E-2</v>
      </c>
      <c r="AA41" s="510"/>
      <c r="AB41" s="602"/>
      <c r="AC41" s="511">
        <f>IF(AND($CJ$5,$CP$6,$CZ$2),IF(fixedrandom=1,CU114^2,CE97),"")</f>
        <v>1.6848104648107286E-2</v>
      </c>
      <c r="AD41" s="519" t="s">
        <v>339</v>
      </c>
      <c r="AE41" s="520">
        <f>IF(NOT(CJ5),"",IF(CP114&lt;&gt;"",Z41-AW41,""))</f>
        <v>-0.2061403044047328</v>
      </c>
      <c r="AF41" s="521" t="s">
        <v>261</v>
      </c>
      <c r="AG41" s="520">
        <f>IF(NOT(CJ5),"",IF(CP114&lt;&gt;"",Z41+AW41,""))</f>
        <v>0.30266732215937203</v>
      </c>
      <c r="AH41" s="522" t="s">
        <v>259</v>
      </c>
      <c r="AI41" s="872" t="str">
        <f>IF($CJ$5,CK82&amp;" ","")</f>
        <v xml:space="preserve">Calin </v>
      </c>
      <c r="AJ41" s="515"/>
      <c r="AK41" s="85">
        <f t="shared" si="1"/>
        <v>9.5000000000000005E-5</v>
      </c>
      <c r="AL41" s="249"/>
      <c r="AM41" s="170"/>
      <c r="AN41" s="170"/>
      <c r="AO41" s="170"/>
      <c r="AP41" s="169"/>
      <c r="AQ41" s="249"/>
      <c r="AR41" s="249"/>
      <c r="AS41" s="249"/>
      <c r="AT41" s="249"/>
      <c r="AU41" s="249"/>
      <c r="AV41" s="53">
        <f t="shared" si="2"/>
        <v>9.5000000000000005E-5</v>
      </c>
      <c r="AW41" s="771">
        <f>IF(NOT(CJ5),"",IF(CP114&lt;&gt;"",CS114,""))</f>
        <v>0.25440381328205242</v>
      </c>
      <c r="AX41" s="865">
        <f>IF(NOT(CJ5),"",IF(CP114&lt;&gt;"",CS114,""))</f>
        <v>0.25440381328205242</v>
      </c>
      <c r="BY41" s="102"/>
      <c r="CQ41" s="1"/>
      <c r="CR41" s="672">
        <f>W39</f>
        <v>0.53907125485966279</v>
      </c>
      <c r="CS41" s="1">
        <v>32</v>
      </c>
      <c r="CU41" s="102"/>
      <c r="CV41" s="730"/>
      <c r="CW41" s="102"/>
      <c r="CX41" s="102"/>
      <c r="DA41" s="102"/>
      <c r="DB41" s="102"/>
      <c r="DS41" s="307">
        <v>30</v>
      </c>
      <c r="DT41" s="50">
        <f t="shared" si="66"/>
        <v>0.30000000000000138</v>
      </c>
      <c r="DU41" s="90">
        <f t="shared" si="72"/>
        <v>0.32171624299990953</v>
      </c>
      <c r="DV41" s="90" t="e">
        <f t="shared" si="73"/>
        <v>#N/A</v>
      </c>
      <c r="DW41" s="90">
        <f t="shared" si="74"/>
        <v>0.32171624299990953</v>
      </c>
      <c r="DX41" s="90">
        <f t="shared" si="67"/>
        <v>32</v>
      </c>
      <c r="DY41" s="308">
        <f t="shared" si="65"/>
        <v>0.11000000000000056</v>
      </c>
      <c r="DZ41" s="307">
        <f t="shared" si="68"/>
        <v>0.29999999999999982</v>
      </c>
      <c r="EA41" s="90">
        <f t="shared" si="75"/>
        <v>0.61245987497087884</v>
      </c>
      <c r="EB41" s="90">
        <f t="shared" si="76"/>
        <v>0.61245987497087884</v>
      </c>
      <c r="EC41" s="90">
        <f t="shared" si="77"/>
        <v>33</v>
      </c>
      <c r="ED41" s="308">
        <f t="shared" si="78"/>
        <v>0.10999999999999995</v>
      </c>
      <c r="EE41" s="307">
        <f t="shared" si="69"/>
        <v>0.30000000000000082</v>
      </c>
      <c r="EF41" s="90">
        <f t="shared" si="79"/>
        <v>-0.12981916042011687</v>
      </c>
      <c r="EG41" s="90">
        <f t="shared" si="80"/>
        <v>-0.12981916042011687</v>
      </c>
      <c r="EH41" s="90">
        <f t="shared" si="70"/>
        <v>34</v>
      </c>
      <c r="EI41" s="308">
        <f t="shared" si="71"/>
        <v>0.11000000000000033</v>
      </c>
    </row>
    <row r="42" spans="1:140" ht="12" customHeight="1" x14ac:dyDescent="0.2">
      <c r="R42" s="488"/>
      <c r="S42" s="855"/>
      <c r="T42" s="117"/>
      <c r="U42" s="206"/>
      <c r="V42" s="206"/>
      <c r="W42" s="206"/>
      <c r="X42" s="206"/>
      <c r="Y42" s="206"/>
      <c r="Z42" s="523"/>
      <c r="AA42" s="164"/>
      <c r="AB42" s="164"/>
      <c r="AD42" s="868"/>
      <c r="AE42" s="867"/>
      <c r="AF42" s="869"/>
      <c r="AG42" s="867"/>
      <c r="AH42" s="871"/>
      <c r="AI42" s="524"/>
      <c r="AJ42" s="525"/>
      <c r="AK42" s="85">
        <f t="shared" si="1"/>
        <v>9.5000000000000005E-5</v>
      </c>
      <c r="AL42" s="249"/>
      <c r="AM42" s="170"/>
      <c r="AN42" s="170"/>
      <c r="AO42" s="170"/>
      <c r="AP42" s="170"/>
      <c r="AQ42" s="249"/>
      <c r="AR42" s="249"/>
      <c r="AS42" s="249"/>
      <c r="AT42" s="249"/>
      <c r="AU42" s="249"/>
      <c r="AV42" s="53">
        <f t="shared" si="2"/>
        <v>9.5000000000000005E-5</v>
      </c>
      <c r="AW42" s="867"/>
      <c r="AX42" s="867"/>
      <c r="CQ42" s="1"/>
      <c r="CR42" s="90"/>
      <c r="CS42" s="90"/>
      <c r="CT42" s="90"/>
      <c r="DA42" s="90"/>
      <c r="DB42" s="90"/>
      <c r="DJ42" s="90"/>
      <c r="DK42" s="90"/>
      <c r="DS42" s="307">
        <v>31</v>
      </c>
      <c r="DT42" s="50">
        <f t="shared" si="66"/>
        <v>0.31000000000000139</v>
      </c>
      <c r="DU42" s="90">
        <f t="shared" si="72"/>
        <v>0.32482131459790603</v>
      </c>
      <c r="DV42" s="90" t="e">
        <f t="shared" si="73"/>
        <v>#N/A</v>
      </c>
      <c r="DW42" s="90">
        <f t="shared" si="74"/>
        <v>0.32482131459790603</v>
      </c>
      <c r="DX42" s="90">
        <f t="shared" si="67"/>
        <v>32</v>
      </c>
      <c r="DY42" s="308">
        <f t="shared" si="65"/>
        <v>0.11400000000000056</v>
      </c>
      <c r="DZ42" s="307">
        <f t="shared" si="68"/>
        <v>0.30999999999999972</v>
      </c>
      <c r="EA42" s="90">
        <f t="shared" si="75"/>
        <v>0.61536720113183396</v>
      </c>
      <c r="EB42" s="90">
        <f t="shared" si="76"/>
        <v>0.61536720113183396</v>
      </c>
      <c r="EC42" s="90">
        <f t="shared" si="77"/>
        <v>33</v>
      </c>
      <c r="ED42" s="308">
        <f t="shared" si="78"/>
        <v>0.11399999999999989</v>
      </c>
      <c r="EE42" s="307">
        <f t="shared" si="69"/>
        <v>0.31000000000000072</v>
      </c>
      <c r="EF42" s="90">
        <f t="shared" si="79"/>
        <v>-0.12727512228729634</v>
      </c>
      <c r="EG42" s="90">
        <f t="shared" si="80"/>
        <v>-0.12727512228729634</v>
      </c>
      <c r="EH42" s="90">
        <f t="shared" si="70"/>
        <v>34</v>
      </c>
      <c r="EI42" s="308">
        <f t="shared" si="71"/>
        <v>0.1140000000000003</v>
      </c>
    </row>
    <row r="43" spans="1:140" ht="12" customHeight="1" x14ac:dyDescent="0.2">
      <c r="AD43" s="90"/>
      <c r="AE43" s="90"/>
      <c r="AF43" s="90"/>
      <c r="AG43" s="87"/>
      <c r="AH43" s="87"/>
      <c r="AI43" s="870"/>
      <c r="AJ43" s="525"/>
      <c r="AK43" s="85">
        <f t="shared" si="1"/>
        <v>9.5000000000000005E-5</v>
      </c>
      <c r="AL43" s="249"/>
      <c r="AM43" s="249"/>
      <c r="AN43" s="249"/>
      <c r="AO43" s="249"/>
      <c r="AP43" s="259"/>
      <c r="AQ43" s="249"/>
      <c r="AR43" s="249"/>
      <c r="AS43" s="249"/>
      <c r="AT43" s="249"/>
      <c r="AU43" s="249"/>
      <c r="AV43" s="53">
        <f t="shared" si="2"/>
        <v>9.5000000000000005E-5</v>
      </c>
      <c r="AW43" s="87"/>
      <c r="AX43" s="87"/>
      <c r="CK43" s="526" t="s">
        <v>216</v>
      </c>
      <c r="CL43" s="576"/>
      <c r="CM43" s="331" t="s">
        <v>219</v>
      </c>
      <c r="CN43" s="331"/>
      <c r="CO43" s="331"/>
      <c r="CP43" s="331"/>
      <c r="CQ43" s="331"/>
      <c r="CR43" s="331"/>
      <c r="CS43" s="331"/>
      <c r="CT43" s="331"/>
      <c r="CU43" s="331"/>
      <c r="CV43" s="112" t="s">
        <v>337</v>
      </c>
      <c r="CW43" s="130"/>
      <c r="CX43" s="130"/>
      <c r="CY43" s="331"/>
      <c r="CZ43" s="331"/>
      <c r="DA43" s="331"/>
      <c r="DB43" s="331"/>
      <c r="DC43" s="331"/>
      <c r="DD43" s="331"/>
      <c r="DE43" s="331"/>
      <c r="DF43" s="331"/>
      <c r="DG43" s="331"/>
      <c r="DH43" s="331"/>
      <c r="DI43" s="331"/>
      <c r="DJ43" s="331"/>
      <c r="DK43" s="331"/>
      <c r="DL43" s="331"/>
      <c r="DM43" s="331"/>
      <c r="DS43" s="307">
        <v>32</v>
      </c>
      <c r="DT43" s="50">
        <f t="shared" si="66"/>
        <v>0.32000000000000151</v>
      </c>
      <c r="DU43" s="90">
        <f t="shared" si="72"/>
        <v>0.32792638619590253</v>
      </c>
      <c r="DV43" s="90" t="e">
        <f t="shared" si="73"/>
        <v>#N/A</v>
      </c>
      <c r="DW43" s="90">
        <f t="shared" si="74"/>
        <v>0.32792638619590253</v>
      </c>
      <c r="DX43" s="90">
        <f t="shared" si="67"/>
        <v>32</v>
      </c>
      <c r="DY43" s="308">
        <f t="shared" si="65"/>
        <v>0.11800000000000062</v>
      </c>
      <c r="DZ43" s="307">
        <f t="shared" si="68"/>
        <v>0.31999999999999973</v>
      </c>
      <c r="EA43" s="90">
        <f t="shared" si="75"/>
        <v>0.61827452729278909</v>
      </c>
      <c r="EB43" s="90">
        <f t="shared" si="76"/>
        <v>0.61827452729278909</v>
      </c>
      <c r="EC43" s="90">
        <f t="shared" si="77"/>
        <v>33</v>
      </c>
      <c r="ED43" s="308">
        <f t="shared" si="78"/>
        <v>0.1179999999999999</v>
      </c>
      <c r="EE43" s="307">
        <f t="shared" si="69"/>
        <v>0.32000000000000084</v>
      </c>
      <c r="EF43" s="90">
        <f t="shared" si="79"/>
        <v>-0.12473108415447581</v>
      </c>
      <c r="EG43" s="90">
        <f t="shared" si="80"/>
        <v>-0.12473108415447581</v>
      </c>
      <c r="EH43" s="90">
        <f t="shared" si="70"/>
        <v>34</v>
      </c>
      <c r="EI43" s="308">
        <f t="shared" si="71"/>
        <v>0.11800000000000034</v>
      </c>
    </row>
    <row r="44" spans="1:140" ht="12" customHeight="1" x14ac:dyDescent="0.2">
      <c r="AD44" s="79"/>
      <c r="AE44" s="79"/>
      <c r="AF44" s="79"/>
      <c r="AG44" s="862"/>
      <c r="AH44" s="862"/>
      <c r="AK44" s="85">
        <f t="shared" si="1"/>
        <v>9.5000000000000005E-5</v>
      </c>
      <c r="AV44" s="53">
        <f t="shared" si="2"/>
        <v>9.5000000000000005E-5</v>
      </c>
      <c r="AW44" s="863"/>
      <c r="AX44" s="863"/>
      <c r="CK44" s="546" t="s">
        <v>423</v>
      </c>
      <c r="CL44" s="63" t="s">
        <v>276</v>
      </c>
      <c r="CM44" s="121" t="s">
        <v>216</v>
      </c>
      <c r="CN44" s="122" t="s">
        <v>280</v>
      </c>
      <c r="CO44" s="122" t="s">
        <v>280</v>
      </c>
      <c r="CP44" s="124" t="b">
        <f>IF(OR(CP46="",COUNT(CP46:CP75)=0),FALSE,TRUE)</f>
        <v>1</v>
      </c>
      <c r="CQ44" s="125" t="s">
        <v>281</v>
      </c>
      <c r="CR44" s="90"/>
      <c r="CS44" s="125" t="s">
        <v>282</v>
      </c>
      <c r="CT44" s="147" t="s">
        <v>288</v>
      </c>
      <c r="CU44" s="90"/>
      <c r="CV44" s="128" t="s">
        <v>338</v>
      </c>
      <c r="CW44" s="129" t="s">
        <v>324</v>
      </c>
      <c r="CX44" s="129"/>
      <c r="CY44" s="129"/>
      <c r="CZ44" s="130"/>
      <c r="DA44" s="130"/>
      <c r="DB44" s="130"/>
      <c r="DC44" s="547" t="s">
        <v>424</v>
      </c>
      <c r="DD44" s="547"/>
      <c r="DE44" s="547"/>
      <c r="DF44" s="547"/>
      <c r="DG44" s="547"/>
      <c r="DH44" s="547"/>
      <c r="DI44" s="547"/>
      <c r="DJ44" s="547"/>
      <c r="DK44" s="547"/>
      <c r="DL44" s="547"/>
      <c r="DM44" s="547"/>
      <c r="DS44" s="307">
        <v>33</v>
      </c>
      <c r="DT44" s="50">
        <f t="shared" si="66"/>
        <v>0.33000000000000151</v>
      </c>
      <c r="DU44" s="90">
        <f t="shared" si="72"/>
        <v>0.33103145779389903</v>
      </c>
      <c r="DV44" s="90" t="e">
        <f t="shared" si="73"/>
        <v>#N/A</v>
      </c>
      <c r="DW44" s="90">
        <f t="shared" si="74"/>
        <v>0.33103145779389903</v>
      </c>
      <c r="DX44" s="90">
        <f t="shared" si="67"/>
        <v>32</v>
      </c>
      <c r="DY44" s="308">
        <f t="shared" si="65"/>
        <v>0.12200000000000062</v>
      </c>
      <c r="DZ44" s="307">
        <f t="shared" si="68"/>
        <v>0.32999999999999974</v>
      </c>
      <c r="EA44" s="90">
        <f t="shared" si="75"/>
        <v>0.62118185345374421</v>
      </c>
      <c r="EB44" s="90">
        <f t="shared" si="76"/>
        <v>0.62118185345374421</v>
      </c>
      <c r="EC44" s="90">
        <f t="shared" si="77"/>
        <v>33</v>
      </c>
      <c r="ED44" s="308">
        <f t="shared" si="78"/>
        <v>0.1219999999999999</v>
      </c>
      <c r="EE44" s="307">
        <f t="shared" si="69"/>
        <v>0.33000000000000074</v>
      </c>
      <c r="EF44" s="90">
        <f t="shared" si="79"/>
        <v>-0.12218704602165528</v>
      </c>
      <c r="EG44" s="90">
        <f t="shared" si="80"/>
        <v>-0.12218704602165528</v>
      </c>
      <c r="EH44" s="90">
        <f t="shared" si="70"/>
        <v>34</v>
      </c>
      <c r="EI44" s="308">
        <f t="shared" si="71"/>
        <v>0.12200000000000032</v>
      </c>
    </row>
    <row r="45" spans="1:140" ht="12" customHeight="1" thickBot="1" x14ac:dyDescent="0.25">
      <c r="R45" s="528" t="str">
        <f>IF(AND(CQ2,CS5,Z45&lt;&gt;""),Z45/BX12,"")</f>
        <v/>
      </c>
      <c r="S45" s="856" t="str">
        <f>IF(R45&lt;&gt;"",2*(1-NORMSDIST(ABS(R45))),"")</f>
        <v/>
      </c>
      <c r="T45" s="529" t="str">
        <f>IF(R45&lt;&gt;"",IF(S45&lt;0.001,"***",(IF(S45&lt;0.01,"**",(IF(S45&lt;0.05,"*",(IF(S45&lt;0.1,"?","ns"))))))),"")</f>
        <v/>
      </c>
      <c r="U45" s="44">
        <v>15</v>
      </c>
      <c r="V45" s="530" t="str">
        <f>IF($CJ$5,"Difference ","")</f>
        <v xml:space="preserve">Difference </v>
      </c>
      <c r="W45" s="530"/>
      <c r="X45" s="530"/>
      <c r="Y45" s="530"/>
      <c r="Z45" s="531">
        <f>IF(AND($CJ$5,$CP$6,$CZ$2),Z41-Z40,"")</f>
        <v>-0.76770919736041821</v>
      </c>
      <c r="AA45" s="599"/>
      <c r="AB45" s="532"/>
      <c r="AC45" s="533"/>
      <c r="AD45" s="542" t="s">
        <v>339</v>
      </c>
      <c r="AE45" s="543">
        <f>IF(Z45&lt;&gt;"",Z45-AW45,"")</f>
        <v>-1.1540338720502317</v>
      </c>
      <c r="AF45" s="544" t="s">
        <v>261</v>
      </c>
      <c r="AG45" s="543">
        <f>IF(Z45&lt;&gt;"",Z45+AW45,"")</f>
        <v>-0.38138452267060469</v>
      </c>
      <c r="AH45" s="545" t="s">
        <v>259</v>
      </c>
      <c r="AI45" s="538" t="str">
        <f>IF($CJ$5,"Difference","")</f>
        <v>Difference</v>
      </c>
      <c r="AK45" s="85">
        <f t="shared" si="1"/>
        <v>9.5000000000000005E-5</v>
      </c>
      <c r="AV45" s="53">
        <f t="shared" si="2"/>
        <v>9.5000000000000005E-5</v>
      </c>
      <c r="AW45" s="543">
        <f>IF(Z45&lt;&gt;"",BX10,"")</f>
        <v>0.38632467468981352</v>
      </c>
      <c r="AX45" s="866">
        <f>IF(Z45&lt;&gt;"",BX10,"")</f>
        <v>0.38632467468981352</v>
      </c>
      <c r="CJ45" s="548" t="s">
        <v>441</v>
      </c>
      <c r="CK45" s="549" t="str">
        <f>AB8</f>
        <v>Damisch</v>
      </c>
      <c r="CL45" s="63" t="s">
        <v>779</v>
      </c>
      <c r="CM45" s="121">
        <v>1</v>
      </c>
      <c r="CN45" s="122" t="s">
        <v>257</v>
      </c>
      <c r="CO45" s="380" t="s">
        <v>269</v>
      </c>
      <c r="CP45" s="146" t="s">
        <v>265</v>
      </c>
      <c r="CQ45" s="147" t="s">
        <v>287</v>
      </c>
      <c r="CR45" s="63" t="s">
        <v>268</v>
      </c>
      <c r="CS45" s="80" t="s">
        <v>404</v>
      </c>
      <c r="CT45" s="80" t="s">
        <v>405</v>
      </c>
      <c r="CU45" s="149" t="s">
        <v>291</v>
      </c>
      <c r="CV45" s="150" t="s">
        <v>291</v>
      </c>
      <c r="CW45" s="151" t="s">
        <v>318</v>
      </c>
      <c r="CX45" s="151" t="s">
        <v>319</v>
      </c>
      <c r="CY45" s="151" t="s">
        <v>320</v>
      </c>
      <c r="CZ45" s="153" t="s">
        <v>321</v>
      </c>
      <c r="DA45" s="153" t="s">
        <v>322</v>
      </c>
      <c r="DB45" s="153" t="s">
        <v>323</v>
      </c>
      <c r="DC45" s="76">
        <v>3</v>
      </c>
      <c r="DD45" s="77">
        <v>4</v>
      </c>
      <c r="DE45" s="78">
        <v>6</v>
      </c>
      <c r="DF45" s="76">
        <v>7</v>
      </c>
      <c r="DG45" s="77">
        <v>9</v>
      </c>
      <c r="DH45" s="78">
        <v>10</v>
      </c>
      <c r="DI45" s="76">
        <v>12</v>
      </c>
      <c r="DJ45" s="77">
        <v>13</v>
      </c>
      <c r="DK45" s="78">
        <v>15</v>
      </c>
      <c r="DL45" s="550" t="s">
        <v>268</v>
      </c>
      <c r="DM45" s="551"/>
      <c r="DS45" s="307">
        <v>34</v>
      </c>
      <c r="DT45" s="50">
        <f t="shared" si="66"/>
        <v>0.34000000000000163</v>
      </c>
      <c r="DU45" s="90">
        <f t="shared" si="72"/>
        <v>0.33413652939189553</v>
      </c>
      <c r="DV45" s="90" t="e">
        <f t="shared" si="73"/>
        <v>#N/A</v>
      </c>
      <c r="DW45" s="90">
        <f t="shared" si="74"/>
        <v>0.33413652939189553</v>
      </c>
      <c r="DX45" s="90">
        <f t="shared" si="67"/>
        <v>32</v>
      </c>
      <c r="DY45" s="308">
        <f t="shared" si="65"/>
        <v>0.12600000000000064</v>
      </c>
      <c r="DZ45" s="307">
        <f t="shared" si="68"/>
        <v>0.33999999999999975</v>
      </c>
      <c r="EA45" s="90">
        <f t="shared" si="75"/>
        <v>0.62408917961469934</v>
      </c>
      <c r="EB45" s="90">
        <f t="shared" si="76"/>
        <v>0.62408917961469934</v>
      </c>
      <c r="EC45" s="90">
        <f t="shared" si="77"/>
        <v>33</v>
      </c>
      <c r="ED45" s="308">
        <f t="shared" si="78"/>
        <v>0.12599999999999989</v>
      </c>
      <c r="EE45" s="307">
        <f t="shared" si="69"/>
        <v>0.34000000000000086</v>
      </c>
      <c r="EF45" s="90">
        <f t="shared" si="79"/>
        <v>-0.11964300788883475</v>
      </c>
      <c r="EG45" s="90">
        <f t="shared" si="80"/>
        <v>-0.11964300788883475</v>
      </c>
      <c r="EH45" s="90">
        <f t="shared" si="70"/>
        <v>34</v>
      </c>
      <c r="EI45" s="308">
        <f t="shared" si="71"/>
        <v>0.12600000000000033</v>
      </c>
    </row>
    <row r="46" spans="1:140" ht="12" customHeight="1" thickTop="1" x14ac:dyDescent="0.2">
      <c r="S46" s="249"/>
      <c r="T46" s="249"/>
      <c r="X46" s="249"/>
      <c r="Y46" s="249"/>
      <c r="Z46" s="12"/>
      <c r="AB46" s="9" t="s">
        <v>213</v>
      </c>
      <c r="AC46" s="249"/>
      <c r="AD46" s="249"/>
      <c r="AE46" s="249"/>
      <c r="AF46" s="298"/>
      <c r="AG46"/>
      <c r="AK46" s="85">
        <f t="shared" si="1"/>
        <v>9.5000000000000005E-5</v>
      </c>
      <c r="AV46" s="53">
        <f t="shared" si="2"/>
        <v>9.5000000000000005E-5</v>
      </c>
      <c r="AW46" s="742"/>
      <c r="AX46" s="742"/>
      <c r="CJ46" s="290">
        <f t="shared" ref="CJ46:CJ75" si="86">IF(CV46&lt;&gt;"",100*CV46/$CV$76,"")</f>
        <v>15.046360934565659</v>
      </c>
      <c r="CK46" s="70">
        <v>1</v>
      </c>
      <c r="CL46" s="94"/>
      <c r="CM46" s="94"/>
      <c r="CN46" s="94">
        <f>IF(AND(CO8&lt;&gt;"",$CH8=$CM$45),CO8,"")</f>
        <v>0.80578584465834813</v>
      </c>
      <c r="CO46" s="94"/>
      <c r="CP46" s="94">
        <f>IF(AND(CP8&lt;&gt;"",$CH8=$CM$45),CP8,"")</f>
        <v>2.045649611889147</v>
      </c>
      <c r="CQ46" s="94" t="e">
        <f>IF(AND($CJ$5,$CH8=$CM$45,$CP$6,NOT($CY$3)),CN46,NA())</f>
        <v>#N/A</v>
      </c>
      <c r="CR46" s="94">
        <f>IF(CP46&lt;&gt;"",CK46,NA())</f>
        <v>1</v>
      </c>
      <c r="CS46" s="94">
        <f>IF(AND(CN46&lt;&gt;"",CS8&lt;&gt;""),CS8,NA())</f>
        <v>0.75714067474894498</v>
      </c>
      <c r="CT46" s="94">
        <f>IF(AND(CN46&lt;&gt;"",CT8&lt;&gt;""),CT8,NA())</f>
        <v>0.79098404408774159</v>
      </c>
      <c r="CU46" s="94">
        <f>IF(AND(CU8&lt;&gt;"",$CH8=$CM$45),CU8,"")</f>
        <v>6.8381739646397248</v>
      </c>
      <c r="CV46" s="94">
        <f t="shared" ref="CV46:CV75" si="87">IF(fixedrandom=1,CU46,DA46)</f>
        <v>6.8381739646397248</v>
      </c>
      <c r="CW46" s="94">
        <f t="shared" ref="CW46:CY73" si="88">IF(AND(CW8&lt;&gt;"",$CH8=$CM$45),CW8,"")</f>
        <v>5.5101037840179456</v>
      </c>
      <c r="CX46" s="94">
        <f t="shared" si="88"/>
        <v>46.760623170676574</v>
      </c>
      <c r="CY46" s="94">
        <f t="shared" si="88"/>
        <v>4.4399636317600608</v>
      </c>
      <c r="CZ46" s="94">
        <f>IF(AND(CU46&lt;&gt;""),1/CU46+$CH$57,"")</f>
        <v>0.1462378706904813</v>
      </c>
      <c r="DA46" s="94">
        <f>IF(AND(CU46&lt;&gt;""),1/CZ46,"")</f>
        <v>6.8381739646397248</v>
      </c>
      <c r="DB46" s="94">
        <f t="shared" ref="DB46:DB75" si="89">IF(AND(CU46&lt;&gt;""),DA46*CN46,"")</f>
        <v>5.5101037840179456</v>
      </c>
      <c r="DC46" s="97" t="e">
        <f t="shared" ref="DC46:DC75" si="90">IF(AND(CV46&lt;=$DQ$5,$CY$3,$CJ$5),IF($CL$3,X8,W8),NA())</f>
        <v>#N/A</v>
      </c>
      <c r="DD46" s="94" t="e">
        <f t="shared" ref="DD46:DD75" si="91">IF(AND(CV46&gt;$DQ$5,CV46&lt;=$DQ$6,$CY$3,$CJ$5),IF($CL$3,X8,W8),NA())</f>
        <v>#N/A</v>
      </c>
      <c r="DE46" s="94" t="e">
        <f t="shared" ref="DE46:DE75" si="92">IF(AND(CV46&gt;$DQ$6,CV46&lt;=$DQ$7,$CY$3,$CJ$5),IF($CL$3,X8,W8),NA())</f>
        <v>#N/A</v>
      </c>
      <c r="DF46" s="94" t="e">
        <f t="shared" ref="DF46:DF75" si="93">IF(AND(CV46&gt;$DQ$7,CV46&lt;=$DQ$8,$CY$3,$CJ$5),IF($CL$3,X8,W8),NA())</f>
        <v>#N/A</v>
      </c>
      <c r="DG46" s="94" t="e">
        <f t="shared" ref="DG46:DG75" si="94">IF(AND(CV46&gt;$DQ$8,CV46&lt;=$DQ$9,$CY$3,$CJ$5),IF($CL$3,X8,W8),NA())</f>
        <v>#N/A</v>
      </c>
      <c r="DH46" s="94" t="e">
        <f t="shared" ref="DH46:DH75" si="95">IF(AND(CV46&gt;$DQ$9,CV46&lt;=$DQ$10,$CY$3,$CJ$5),IF($CL$3,X8,W8),NA())</f>
        <v>#N/A</v>
      </c>
      <c r="DI46" s="94">
        <f t="shared" ref="DI46:DI75" si="96">IF(AND(CV46&gt;$DQ$10,CV46&lt;=$DQ$11,$CY$3,$CJ$5),IF($CL$3,X8,W8),NA())</f>
        <v>0.80578584465834813</v>
      </c>
      <c r="DJ46" s="94" t="e">
        <f t="shared" ref="DJ46:DJ75" si="97">IF(AND(CV46&gt;$DQ$11,CV46&lt;=$DQ$12,$CY$3,$CJ$5),IF($CL$3,X8,W8),NA())</f>
        <v>#N/A</v>
      </c>
      <c r="DK46" s="94" t="e">
        <f t="shared" ref="DK46:DK75" si="98">IF(AND(CV46&lt;&gt;"",CV46&gt;$DQ$12,$CY$3,$CJ$5),IF($CL$3,X8,W8),NA())</f>
        <v>#N/A</v>
      </c>
      <c r="DL46" s="97">
        <f>IF(AND($CZ$2,$CY$3),DM46,NA())</f>
        <v>1</v>
      </c>
      <c r="DM46" s="343">
        <v>1</v>
      </c>
      <c r="DS46" s="307">
        <v>35</v>
      </c>
      <c r="DT46" s="50">
        <f t="shared" si="66"/>
        <v>0.35000000000000164</v>
      </c>
      <c r="DU46" s="90">
        <f t="shared" si="72"/>
        <v>0.33724160098989203</v>
      </c>
      <c r="DV46" s="90" t="e">
        <f t="shared" si="73"/>
        <v>#N/A</v>
      </c>
      <c r="DW46" s="90">
        <f t="shared" si="74"/>
        <v>0.33724160098989203</v>
      </c>
      <c r="DX46" s="90">
        <f t="shared" si="67"/>
        <v>32</v>
      </c>
      <c r="DY46" s="308">
        <f t="shared" si="65"/>
        <v>0.13000000000000064</v>
      </c>
      <c r="DZ46" s="307">
        <f t="shared" si="68"/>
        <v>0.34999999999999976</v>
      </c>
      <c r="EA46" s="90">
        <f t="shared" si="75"/>
        <v>0.62699650577565447</v>
      </c>
      <c r="EB46" s="90">
        <f t="shared" si="76"/>
        <v>0.62699650577565447</v>
      </c>
      <c r="EC46" s="90">
        <f t="shared" si="77"/>
        <v>33</v>
      </c>
      <c r="ED46" s="308">
        <f t="shared" si="78"/>
        <v>0.12999999999999989</v>
      </c>
      <c r="EE46" s="307">
        <f t="shared" si="69"/>
        <v>0.35000000000000075</v>
      </c>
      <c r="EF46" s="90">
        <f t="shared" si="79"/>
        <v>-0.11709896975601422</v>
      </c>
      <c r="EG46" s="90">
        <f t="shared" si="80"/>
        <v>-0.11709896975601422</v>
      </c>
      <c r="EH46" s="90">
        <f t="shared" si="70"/>
        <v>34</v>
      </c>
      <c r="EI46" s="308">
        <f t="shared" si="71"/>
        <v>0.13000000000000031</v>
      </c>
    </row>
    <row r="47" spans="1:140" ht="12" customHeight="1" x14ac:dyDescent="0.2">
      <c r="S47" s="249"/>
      <c r="T47" s="249"/>
      <c r="X47" s="249" t="s">
        <v>744</v>
      </c>
      <c r="Y47" s="249"/>
      <c r="Z47" s="728"/>
      <c r="AA47" s="249"/>
      <c r="AB47" s="249"/>
      <c r="AC47" s="272"/>
      <c r="AF47" s="59" t="s">
        <v>521</v>
      </c>
      <c r="AG47" s="626">
        <f>IF(CQ40&lt;&gt;"",CJ38,"")</f>
        <v>1.6218350931466146</v>
      </c>
      <c r="AH47"/>
      <c r="AI47" s="729"/>
      <c r="AK47" s="85">
        <f t="shared" si="1"/>
        <v>9.5000000000000005E-5</v>
      </c>
      <c r="AV47" s="53">
        <f t="shared" si="2"/>
        <v>9.5000000000000005E-5</v>
      </c>
      <c r="AW47" s="742"/>
      <c r="AX47" s="742"/>
      <c r="CJ47" s="290">
        <f t="shared" si="86"/>
        <v>17.494168759064461</v>
      </c>
      <c r="CK47" s="290">
        <v>2</v>
      </c>
      <c r="CL47" s="90"/>
      <c r="CM47" s="90"/>
      <c r="CN47" s="90">
        <f t="shared" ref="CN47:CN75" si="99">IF(AND(CO9&lt;&gt;"",$CH9=$CM$45),CO9,"")</f>
        <v>0.96267790573412426</v>
      </c>
      <c r="CO47" s="90"/>
      <c r="CP47" s="90">
        <f t="shared" ref="CP47:CP75" si="100">IF(AND(CP9&lt;&gt;"",$CH9=$CM$45),CP9,"")</f>
        <v>2.6502453715068466</v>
      </c>
      <c r="CQ47" s="90" t="e">
        <f t="shared" ref="CQ47:CQ75" si="101">IF(AND($CJ$5,$CH9=$CM$45,$CP$6,NOT($CY$3)),CN47,NA())</f>
        <v>#N/A</v>
      </c>
      <c r="CR47" s="90">
        <f t="shared" ref="CR47:CR75" si="102">IF(CP47&lt;&gt;"",CK47,NA())</f>
        <v>2</v>
      </c>
      <c r="CS47" s="90">
        <f t="shared" ref="CS47:CS75" si="103">IF(AND(CN47&lt;&gt;"",CS9&lt;&gt;""),CS9,NA())</f>
        <v>0.69752903673764433</v>
      </c>
      <c r="CT47" s="102">
        <f t="shared" ref="CT47:CT75" si="104">IF(AND(CN47&lt;&gt;"",CT9&lt;&gt;""),CT9,NA())</f>
        <v>0.73051287893668648</v>
      </c>
      <c r="CU47" s="90">
        <f t="shared" ref="CU47:CU75" si="105">IF(AND(CU9&lt;&gt;"",$CH9=$CM$45),CU9,"")</f>
        <v>7.9506380221432282</v>
      </c>
      <c r="CV47" s="90">
        <f t="shared" si="87"/>
        <v>7.9506380221432282</v>
      </c>
      <c r="CW47" s="90">
        <f t="shared" si="88"/>
        <v>7.6539035604069428</v>
      </c>
      <c r="CX47" s="90">
        <f t="shared" si="88"/>
        <v>63.212644959149586</v>
      </c>
      <c r="CY47" s="90">
        <f t="shared" si="88"/>
        <v>7.3682438502235135</v>
      </c>
      <c r="CZ47" s="90">
        <f t="shared" ref="CZ47:CZ75" si="106">IF(AND(CU47&lt;&gt;""),1/CU47+$CH$57,"")</f>
        <v>0.12577606944435299</v>
      </c>
      <c r="DA47" s="90">
        <f t="shared" ref="DA47:DA75" si="107">IF(AND(CU47&lt;&gt;""),1/CZ47,"")</f>
        <v>7.9506380221432282</v>
      </c>
      <c r="DB47" s="113">
        <f t="shared" si="89"/>
        <v>7.6539035604069428</v>
      </c>
      <c r="DC47" s="106" t="e">
        <f t="shared" si="90"/>
        <v>#N/A</v>
      </c>
      <c r="DD47" s="90" t="e">
        <f t="shared" si="91"/>
        <v>#N/A</v>
      </c>
      <c r="DE47" s="90" t="e">
        <f t="shared" si="92"/>
        <v>#N/A</v>
      </c>
      <c r="DF47" s="90" t="e">
        <f t="shared" si="93"/>
        <v>#N/A</v>
      </c>
      <c r="DG47" s="90" t="e">
        <f t="shared" si="94"/>
        <v>#N/A</v>
      </c>
      <c r="DH47" s="90" t="e">
        <f t="shared" si="95"/>
        <v>#N/A</v>
      </c>
      <c r="DI47" s="90" t="e">
        <f t="shared" si="96"/>
        <v>#N/A</v>
      </c>
      <c r="DJ47" s="90">
        <f t="shared" si="97"/>
        <v>0.96267790573412426</v>
      </c>
      <c r="DK47" s="90" t="e">
        <f t="shared" si="98"/>
        <v>#N/A</v>
      </c>
      <c r="DL47" s="106">
        <f t="shared" ref="DL47:DL75" si="108">IF(AND($CZ$2,$CY$3),DM47,NA())</f>
        <v>2</v>
      </c>
      <c r="DM47" s="308">
        <v>2</v>
      </c>
      <c r="DS47" s="307">
        <v>36</v>
      </c>
      <c r="DT47" s="50">
        <f t="shared" si="66"/>
        <v>0.36000000000000176</v>
      </c>
      <c r="DU47" s="90">
        <f t="shared" si="72"/>
        <v>0.34034667258788853</v>
      </c>
      <c r="DV47" s="90" t="e">
        <f t="shared" si="73"/>
        <v>#N/A</v>
      </c>
      <c r="DW47" s="90">
        <f t="shared" si="74"/>
        <v>0.34034667258788853</v>
      </c>
      <c r="DX47" s="90">
        <f t="shared" si="67"/>
        <v>32</v>
      </c>
      <c r="DY47" s="308">
        <f t="shared" si="65"/>
        <v>0.1340000000000007</v>
      </c>
      <c r="DZ47" s="307">
        <f t="shared" si="68"/>
        <v>0.35999999999999976</v>
      </c>
      <c r="EA47" s="90">
        <f t="shared" si="75"/>
        <v>0.62990383193660959</v>
      </c>
      <c r="EB47" s="90">
        <f t="shared" si="76"/>
        <v>0.62990383193660959</v>
      </c>
      <c r="EC47" s="90">
        <f t="shared" si="77"/>
        <v>33</v>
      </c>
      <c r="ED47" s="308">
        <f t="shared" si="78"/>
        <v>0.1339999999999999</v>
      </c>
      <c r="EE47" s="307">
        <f t="shared" si="69"/>
        <v>0.36000000000000099</v>
      </c>
      <c r="EF47" s="90">
        <f t="shared" si="79"/>
        <v>-0.11455493162319369</v>
      </c>
      <c r="EG47" s="90">
        <f t="shared" si="80"/>
        <v>-0.11455493162319369</v>
      </c>
      <c r="EH47" s="90">
        <f t="shared" si="70"/>
        <v>34</v>
      </c>
      <c r="EI47" s="308">
        <f t="shared" si="71"/>
        <v>0.1340000000000004</v>
      </c>
    </row>
    <row r="48" spans="1:140" ht="12" customHeight="1" x14ac:dyDescent="0.2">
      <c r="U48" s="746" t="s">
        <v>212</v>
      </c>
      <c r="V48" s="249" t="s">
        <v>743</v>
      </c>
      <c r="X48" s="249"/>
      <c r="AC48" s="249"/>
      <c r="AF48" s="575" t="s">
        <v>521</v>
      </c>
      <c r="AG48" s="768">
        <f>IF(NOT(CJ5),"",IF(CP77&lt;&gt;"",CR78,""))</f>
        <v>1</v>
      </c>
      <c r="AH48"/>
      <c r="AI48" s="273"/>
      <c r="AK48" s="85">
        <f t="shared" si="1"/>
        <v>9.5000000000000005E-5</v>
      </c>
      <c r="AV48" s="53">
        <f t="shared" si="2"/>
        <v>9.5000000000000005E-5</v>
      </c>
      <c r="AW48" s="742"/>
      <c r="AX48" s="742"/>
      <c r="CJ48" s="290">
        <f t="shared" si="86"/>
        <v>22.22996948783636</v>
      </c>
      <c r="CK48" s="290">
        <v>3</v>
      </c>
      <c r="CL48" s="90"/>
      <c r="CM48" s="90"/>
      <c r="CN48" s="90">
        <f t="shared" si="99"/>
        <v>0.64721199752902403</v>
      </c>
      <c r="CO48" s="90"/>
      <c r="CP48" s="90">
        <f t="shared" si="100"/>
        <v>2.0173114390425986</v>
      </c>
      <c r="CQ48" s="90" t="e">
        <f t="shared" si="101"/>
        <v>#N/A</v>
      </c>
      <c r="CR48" s="90">
        <f t="shared" si="102"/>
        <v>3</v>
      </c>
      <c r="CS48" s="90">
        <f t="shared" si="103"/>
        <v>0.62074466903864589</v>
      </c>
      <c r="CT48" s="102">
        <f t="shared" si="104"/>
        <v>0.63832369582013282</v>
      </c>
      <c r="CU48" s="90">
        <f t="shared" si="105"/>
        <v>10.102934473494086</v>
      </c>
      <c r="CV48" s="90">
        <f t="shared" si="87"/>
        <v>10.102934473494086</v>
      </c>
      <c r="CW48" s="90">
        <f t="shared" si="88"/>
        <v>6.5387404014949464</v>
      </c>
      <c r="CX48" s="90">
        <f t="shared" si="88"/>
        <v>102.06928497571522</v>
      </c>
      <c r="CY48" s="90">
        <f t="shared" si="88"/>
        <v>4.2319512365752763</v>
      </c>
      <c r="CZ48" s="90">
        <f t="shared" si="106"/>
        <v>9.8981142817820472E-2</v>
      </c>
      <c r="DA48" s="90">
        <f t="shared" si="107"/>
        <v>10.102934473494086</v>
      </c>
      <c r="DB48" s="113">
        <f t="shared" si="89"/>
        <v>6.5387404014949464</v>
      </c>
      <c r="DC48" s="106" t="e">
        <f t="shared" si="90"/>
        <v>#N/A</v>
      </c>
      <c r="DD48" s="90" t="e">
        <f t="shared" si="91"/>
        <v>#N/A</v>
      </c>
      <c r="DE48" s="90" t="e">
        <f t="shared" si="92"/>
        <v>#N/A</v>
      </c>
      <c r="DF48" s="90" t="e">
        <f t="shared" si="93"/>
        <v>#N/A</v>
      </c>
      <c r="DG48" s="90" t="e">
        <f t="shared" si="94"/>
        <v>#N/A</v>
      </c>
      <c r="DH48" s="90" t="e">
        <f t="shared" si="95"/>
        <v>#N/A</v>
      </c>
      <c r="DI48" s="90" t="e">
        <f t="shared" si="96"/>
        <v>#N/A</v>
      </c>
      <c r="DJ48" s="90" t="e">
        <f t="shared" si="97"/>
        <v>#N/A</v>
      </c>
      <c r="DK48" s="90">
        <f t="shared" si="98"/>
        <v>0.64721199752902403</v>
      </c>
      <c r="DL48" s="106">
        <f t="shared" si="108"/>
        <v>3</v>
      </c>
      <c r="DM48" s="308">
        <v>3</v>
      </c>
      <c r="DS48" s="307">
        <v>37</v>
      </c>
      <c r="DT48" s="50">
        <f t="shared" si="66"/>
        <v>0.37000000000000177</v>
      </c>
      <c r="DU48" s="90">
        <f t="shared" si="72"/>
        <v>0.34345174418588503</v>
      </c>
      <c r="DV48" s="90" t="e">
        <f t="shared" si="73"/>
        <v>#N/A</v>
      </c>
      <c r="DW48" s="90">
        <f t="shared" si="74"/>
        <v>0.34345174418588503</v>
      </c>
      <c r="DX48" s="90">
        <f t="shared" si="67"/>
        <v>32</v>
      </c>
      <c r="DY48" s="308">
        <f t="shared" si="65"/>
        <v>0.13800000000000071</v>
      </c>
      <c r="DZ48" s="307">
        <f t="shared" si="68"/>
        <v>0.36999999999999966</v>
      </c>
      <c r="EA48" s="90">
        <f t="shared" si="75"/>
        <v>0.63281115809756472</v>
      </c>
      <c r="EB48" s="90">
        <f t="shared" si="76"/>
        <v>0.63281115809756472</v>
      </c>
      <c r="EC48" s="90">
        <f t="shared" si="77"/>
        <v>33</v>
      </c>
      <c r="ED48" s="308">
        <f t="shared" si="78"/>
        <v>0.13799999999999987</v>
      </c>
      <c r="EE48" s="307">
        <f t="shared" si="69"/>
        <v>0.37000000000000088</v>
      </c>
      <c r="EF48" s="90">
        <f t="shared" si="79"/>
        <v>-0.11201089349037316</v>
      </c>
      <c r="EG48" s="90">
        <f t="shared" si="80"/>
        <v>-0.11201089349037316</v>
      </c>
      <c r="EH48" s="90">
        <f t="shared" si="70"/>
        <v>34</v>
      </c>
      <c r="EI48" s="308">
        <f t="shared" si="71"/>
        <v>0.13800000000000034</v>
      </c>
    </row>
    <row r="49" spans="22:139" ht="12" customHeight="1" x14ac:dyDescent="0.2">
      <c r="X49" s="50" t="s">
        <v>745</v>
      </c>
      <c r="AC49" s="249"/>
      <c r="AF49" s="139" t="s">
        <v>521</v>
      </c>
      <c r="AG49" s="769">
        <f>IF(NOT(CJ5),"",IF(CP114&lt;&gt;"",CS115,""))</f>
        <v>1</v>
      </c>
      <c r="AH49"/>
      <c r="AI49" s="733"/>
      <c r="AK49" s="85">
        <f t="shared" si="1"/>
        <v>9.5000000000000005E-5</v>
      </c>
      <c r="AV49" s="53">
        <f t="shared" si="2"/>
        <v>9.5000000000000005E-5</v>
      </c>
      <c r="CJ49" s="290">
        <f t="shared" si="86"/>
        <v>15.676779555774306</v>
      </c>
      <c r="CK49" s="290">
        <v>4</v>
      </c>
      <c r="CL49" s="90"/>
      <c r="CM49" s="90"/>
      <c r="CN49" s="90">
        <f t="shared" si="99"/>
        <v>0.75809653888870754</v>
      </c>
      <c r="CO49" s="90"/>
      <c r="CP49" s="90">
        <f t="shared" si="100"/>
        <v>1.9666957783499774</v>
      </c>
      <c r="CQ49" s="90" t="e">
        <f t="shared" si="101"/>
        <v>#N/A</v>
      </c>
      <c r="CR49" s="90">
        <f t="shared" si="102"/>
        <v>4</v>
      </c>
      <c r="CS49" s="90">
        <f t="shared" si="103"/>
        <v>0.74196758936147489</v>
      </c>
      <c r="CT49" s="102">
        <f t="shared" si="104"/>
        <v>0.77244209851874812</v>
      </c>
      <c r="CU49" s="90">
        <f t="shared" si="105"/>
        <v>7.1246825909527951</v>
      </c>
      <c r="CV49" s="90">
        <f t="shared" si="87"/>
        <v>7.1246825909527951</v>
      </c>
      <c r="CW49" s="90">
        <f t="shared" si="88"/>
        <v>5.401197212881943</v>
      </c>
      <c r="CX49" s="90">
        <f t="shared" si="88"/>
        <v>50.761102021825835</v>
      </c>
      <c r="CY49" s="90">
        <f t="shared" si="88"/>
        <v>4.0946289129411353</v>
      </c>
      <c r="CZ49" s="90">
        <f t="shared" si="106"/>
        <v>0.14035712991198229</v>
      </c>
      <c r="DA49" s="90">
        <f t="shared" si="107"/>
        <v>7.1246825909527951</v>
      </c>
      <c r="DB49" s="113">
        <f t="shared" si="89"/>
        <v>5.401197212881943</v>
      </c>
      <c r="DC49" s="106" t="e">
        <f t="shared" si="90"/>
        <v>#N/A</v>
      </c>
      <c r="DD49" s="90" t="e">
        <f t="shared" si="91"/>
        <v>#N/A</v>
      </c>
      <c r="DE49" s="90" t="e">
        <f t="shared" si="92"/>
        <v>#N/A</v>
      </c>
      <c r="DF49" s="90" t="e">
        <f t="shared" si="93"/>
        <v>#N/A</v>
      </c>
      <c r="DG49" s="90" t="e">
        <f t="shared" si="94"/>
        <v>#N/A</v>
      </c>
      <c r="DH49" s="90" t="e">
        <f t="shared" si="95"/>
        <v>#N/A</v>
      </c>
      <c r="DI49" s="90">
        <f t="shared" si="96"/>
        <v>0.75809653888870754</v>
      </c>
      <c r="DJ49" s="90" t="e">
        <f t="shared" si="97"/>
        <v>#N/A</v>
      </c>
      <c r="DK49" s="90" t="e">
        <f t="shared" si="98"/>
        <v>#N/A</v>
      </c>
      <c r="DL49" s="106">
        <f t="shared" si="108"/>
        <v>4</v>
      </c>
      <c r="DM49" s="308">
        <v>4</v>
      </c>
      <c r="DS49" s="307">
        <v>38</v>
      </c>
      <c r="DT49" s="50">
        <f t="shared" si="66"/>
        <v>0.38000000000000189</v>
      </c>
      <c r="DU49" s="90">
        <f t="shared" si="72"/>
        <v>0.34655681578388153</v>
      </c>
      <c r="DV49" s="90" t="e">
        <f t="shared" si="73"/>
        <v>#N/A</v>
      </c>
      <c r="DW49" s="90">
        <f t="shared" si="74"/>
        <v>0.34655681578388153</v>
      </c>
      <c r="DX49" s="90">
        <f t="shared" si="67"/>
        <v>32</v>
      </c>
      <c r="DY49" s="308">
        <f t="shared" si="65"/>
        <v>0.14200000000000076</v>
      </c>
      <c r="DZ49" s="307">
        <f t="shared" si="68"/>
        <v>0.37999999999999967</v>
      </c>
      <c r="EA49" s="90">
        <f t="shared" si="75"/>
        <v>0.63571848425851984</v>
      </c>
      <c r="EB49" s="90">
        <f t="shared" si="76"/>
        <v>0.63571848425851984</v>
      </c>
      <c r="EC49" s="90">
        <f t="shared" si="77"/>
        <v>33</v>
      </c>
      <c r="ED49" s="308">
        <f t="shared" si="78"/>
        <v>0.14199999999999988</v>
      </c>
      <c r="EE49" s="307">
        <f t="shared" si="69"/>
        <v>0.380000000000001</v>
      </c>
      <c r="EF49" s="90">
        <f t="shared" si="79"/>
        <v>-0.10946685535755263</v>
      </c>
      <c r="EG49" s="90">
        <f t="shared" si="80"/>
        <v>-0.10946685535755263</v>
      </c>
      <c r="EH49" s="90">
        <f t="shared" si="70"/>
        <v>34</v>
      </c>
      <c r="EI49" s="308">
        <f t="shared" si="71"/>
        <v>0.1420000000000004</v>
      </c>
    </row>
    <row r="50" spans="22:139" ht="12" customHeight="1" x14ac:dyDescent="0.2">
      <c r="AI50" s="53"/>
      <c r="AK50" s="85"/>
      <c r="AL50"/>
      <c r="AV50" s="53"/>
      <c r="CJ50" s="290">
        <f t="shared" si="86"/>
        <v>14.593646988839637</v>
      </c>
      <c r="CK50" s="290">
        <v>5</v>
      </c>
      <c r="CL50" s="90"/>
      <c r="CM50" s="90"/>
      <c r="CN50" s="90">
        <f t="shared" si="99"/>
        <v>0.95043896616930468</v>
      </c>
      <c r="CO50" s="90"/>
      <c r="CP50" s="90">
        <f t="shared" si="100"/>
        <v>2.3763041575741646</v>
      </c>
      <c r="CQ50" s="90" t="e">
        <f t="shared" si="101"/>
        <v>#N/A</v>
      </c>
      <c r="CR50" s="90">
        <f t="shared" si="102"/>
        <v>5</v>
      </c>
      <c r="CS50" s="90">
        <f t="shared" si="103"/>
        <v>0.76646971029829769</v>
      </c>
      <c r="CT50" s="102">
        <f t="shared" si="104"/>
        <v>0.80691934502626217</v>
      </c>
      <c r="CU50" s="90">
        <f t="shared" si="105"/>
        <v>6.6324274236285206</v>
      </c>
      <c r="CV50" s="90">
        <f t="shared" si="87"/>
        <v>6.6324274236285206</v>
      </c>
      <c r="CW50" s="90">
        <f t="shared" si="88"/>
        <v>6.3037174637064357</v>
      </c>
      <c r="CX50" s="90">
        <f t="shared" si="88"/>
        <v>43.989093529699652</v>
      </c>
      <c r="CY50" s="90">
        <f t="shared" si="88"/>
        <v>5.9912987092285368</v>
      </c>
      <c r="CZ50" s="90">
        <f t="shared" si="106"/>
        <v>0.15077435999336003</v>
      </c>
      <c r="DA50" s="90">
        <f t="shared" si="107"/>
        <v>6.6324274236285206</v>
      </c>
      <c r="DB50" s="113">
        <f t="shared" si="89"/>
        <v>6.3037174637064357</v>
      </c>
      <c r="DC50" s="106" t="e">
        <f t="shared" si="90"/>
        <v>#N/A</v>
      </c>
      <c r="DD50" s="90" t="e">
        <f t="shared" si="91"/>
        <v>#N/A</v>
      </c>
      <c r="DE50" s="90" t="e">
        <f t="shared" si="92"/>
        <v>#N/A</v>
      </c>
      <c r="DF50" s="90" t="e">
        <f t="shared" si="93"/>
        <v>#N/A</v>
      </c>
      <c r="DG50" s="90" t="e">
        <f t="shared" si="94"/>
        <v>#N/A</v>
      </c>
      <c r="DH50" s="90" t="e">
        <f t="shared" si="95"/>
        <v>#N/A</v>
      </c>
      <c r="DI50" s="90">
        <f t="shared" si="96"/>
        <v>0.95043896616930468</v>
      </c>
      <c r="DJ50" s="90" t="e">
        <f t="shared" si="97"/>
        <v>#N/A</v>
      </c>
      <c r="DK50" s="113" t="e">
        <f t="shared" si="98"/>
        <v>#N/A</v>
      </c>
      <c r="DL50" s="90">
        <f t="shared" si="108"/>
        <v>5</v>
      </c>
      <c r="DM50" s="308">
        <v>5</v>
      </c>
      <c r="DS50" s="307">
        <v>39</v>
      </c>
      <c r="DT50" s="50">
        <f t="shared" si="66"/>
        <v>0.3900000000000019</v>
      </c>
      <c r="DU50" s="90">
        <f t="shared" si="72"/>
        <v>0.34966188738187803</v>
      </c>
      <c r="DV50" s="90" t="e">
        <f t="shared" si="73"/>
        <v>#N/A</v>
      </c>
      <c r="DW50" s="90">
        <f t="shared" si="74"/>
        <v>0.34966188738187803</v>
      </c>
      <c r="DX50" s="90">
        <f t="shared" si="67"/>
        <v>32</v>
      </c>
      <c r="DY50" s="308">
        <f t="shared" si="65"/>
        <v>0.14600000000000077</v>
      </c>
      <c r="DZ50" s="307">
        <f t="shared" si="68"/>
        <v>0.38999999999999968</v>
      </c>
      <c r="EA50" s="90">
        <f t="shared" si="75"/>
        <v>0.63862581041947497</v>
      </c>
      <c r="EB50" s="90">
        <f t="shared" si="76"/>
        <v>0.63862581041947497</v>
      </c>
      <c r="EC50" s="90">
        <f t="shared" si="77"/>
        <v>33</v>
      </c>
      <c r="ED50" s="308">
        <f t="shared" si="78"/>
        <v>0.14599999999999988</v>
      </c>
      <c r="EE50" s="307">
        <f t="shared" si="69"/>
        <v>0.3900000000000009</v>
      </c>
      <c r="EF50" s="90">
        <f t="shared" si="79"/>
        <v>-0.1069228172247321</v>
      </c>
      <c r="EG50" s="90">
        <f t="shared" si="80"/>
        <v>-0.1069228172247321</v>
      </c>
      <c r="EH50" s="90">
        <f t="shared" si="70"/>
        <v>34</v>
      </c>
      <c r="EI50" s="308">
        <f t="shared" si="71"/>
        <v>0.14600000000000035</v>
      </c>
    </row>
    <row r="51" spans="22:139" ht="12" customHeight="1" x14ac:dyDescent="0.2">
      <c r="AK51" s="85"/>
      <c r="AL51"/>
      <c r="CJ51" s="290">
        <f t="shared" si="86"/>
        <v>14.95907427391958</v>
      </c>
      <c r="CK51" s="290">
        <v>6</v>
      </c>
      <c r="CL51" s="90"/>
      <c r="CM51" s="90"/>
      <c r="CN51" s="90">
        <f t="shared" si="99"/>
        <v>0.83491063422431255</v>
      </c>
      <c r="CO51" s="90"/>
      <c r="CP51" s="90">
        <f t="shared" si="100"/>
        <v>2.1134317532028164</v>
      </c>
      <c r="CQ51" s="90" t="e">
        <f t="shared" si="101"/>
        <v>#N/A</v>
      </c>
      <c r="CR51" s="90">
        <f t="shared" si="102"/>
        <v>6</v>
      </c>
      <c r="CS51" s="90">
        <f t="shared" si="103"/>
        <v>0.75887585140977531</v>
      </c>
      <c r="CT51" s="102">
        <f t="shared" si="104"/>
        <v>0.79403249275119714</v>
      </c>
      <c r="CU51" s="90">
        <f t="shared" si="105"/>
        <v>6.7985044809096653</v>
      </c>
      <c r="CV51" s="90">
        <f t="shared" si="87"/>
        <v>6.7985044809096653</v>
      </c>
      <c r="CW51" s="90">
        <f t="shared" si="88"/>
        <v>5.6761436879331191</v>
      </c>
      <c r="CX51" s="90">
        <f t="shared" si="88"/>
        <v>46.219663176948799</v>
      </c>
      <c r="CY51" s="90">
        <f t="shared" si="88"/>
        <v>4.7390727264405692</v>
      </c>
      <c r="CZ51" s="90">
        <f t="shared" si="106"/>
        <v>0.14709117318492909</v>
      </c>
      <c r="DA51" s="90">
        <f t="shared" si="107"/>
        <v>6.7985044809096653</v>
      </c>
      <c r="DB51" s="113">
        <f t="shared" si="89"/>
        <v>5.6761436879331191</v>
      </c>
      <c r="DC51" s="106" t="e">
        <f t="shared" si="90"/>
        <v>#N/A</v>
      </c>
      <c r="DD51" s="90" t="e">
        <f t="shared" si="91"/>
        <v>#N/A</v>
      </c>
      <c r="DE51" s="90" t="e">
        <f t="shared" si="92"/>
        <v>#N/A</v>
      </c>
      <c r="DF51" s="90" t="e">
        <f t="shared" si="93"/>
        <v>#N/A</v>
      </c>
      <c r="DG51" s="90" t="e">
        <f t="shared" si="94"/>
        <v>#N/A</v>
      </c>
      <c r="DH51" s="90" t="e">
        <f t="shared" si="95"/>
        <v>#N/A</v>
      </c>
      <c r="DI51" s="90">
        <f t="shared" si="96"/>
        <v>0.83491063422431255</v>
      </c>
      <c r="DJ51" s="90" t="e">
        <f t="shared" si="97"/>
        <v>#N/A</v>
      </c>
      <c r="DK51" s="113" t="e">
        <f t="shared" si="98"/>
        <v>#N/A</v>
      </c>
      <c r="DL51" s="90">
        <f t="shared" si="108"/>
        <v>6</v>
      </c>
      <c r="DM51" s="308">
        <v>6</v>
      </c>
      <c r="DS51" s="307">
        <v>40</v>
      </c>
      <c r="DT51" s="50">
        <f t="shared" si="66"/>
        <v>0.40000000000000202</v>
      </c>
      <c r="DU51" s="90">
        <f t="shared" si="72"/>
        <v>0.35276695897987453</v>
      </c>
      <c r="DV51" s="90" t="e">
        <f t="shared" si="73"/>
        <v>#N/A</v>
      </c>
      <c r="DW51" s="90">
        <f t="shared" si="74"/>
        <v>0.35276695897987453</v>
      </c>
      <c r="DX51" s="90">
        <f t="shared" si="67"/>
        <v>32</v>
      </c>
      <c r="DY51" s="308">
        <f t="shared" si="65"/>
        <v>0.1500000000000008</v>
      </c>
      <c r="DZ51" s="307">
        <f t="shared" si="68"/>
        <v>0.39999999999999969</v>
      </c>
      <c r="EA51" s="90">
        <f t="shared" si="75"/>
        <v>0.6415331365804301</v>
      </c>
      <c r="EB51" s="90">
        <f t="shared" si="76"/>
        <v>0.6415331365804301</v>
      </c>
      <c r="EC51" s="90">
        <f t="shared" si="77"/>
        <v>33</v>
      </c>
      <c r="ED51" s="308">
        <f t="shared" si="78"/>
        <v>0.14999999999999988</v>
      </c>
      <c r="EE51" s="307">
        <f t="shared" si="69"/>
        <v>0.40000000000000102</v>
      </c>
      <c r="EF51" s="90">
        <f t="shared" si="79"/>
        <v>-0.10437877909191157</v>
      </c>
      <c r="EG51" s="90">
        <f t="shared" si="80"/>
        <v>-0.10437877909191157</v>
      </c>
      <c r="EH51" s="90">
        <f t="shared" si="70"/>
        <v>34</v>
      </c>
      <c r="EI51" s="308">
        <f t="shared" si="71"/>
        <v>0.15000000000000041</v>
      </c>
    </row>
    <row r="52" spans="22:139" ht="12" customHeight="1" x14ac:dyDescent="0.2">
      <c r="CD52" s="558" t="s">
        <v>422</v>
      </c>
      <c r="CE52" s="559" t="s">
        <v>224</v>
      </c>
      <c r="CF52" s="63" t="s">
        <v>461</v>
      </c>
      <c r="CG52" s="63" t="s">
        <v>463</v>
      </c>
      <c r="CJ52" s="560" t="str">
        <f t="shared" si="86"/>
        <v/>
      </c>
      <c r="CK52" s="290">
        <v>7</v>
      </c>
      <c r="CL52" s="90"/>
      <c r="CM52" s="90"/>
      <c r="CN52" s="90" t="str">
        <f t="shared" si="99"/>
        <v/>
      </c>
      <c r="CO52" s="90"/>
      <c r="CP52" s="90" t="str">
        <f t="shared" si="100"/>
        <v/>
      </c>
      <c r="CQ52" s="90" t="e">
        <f t="shared" si="101"/>
        <v>#N/A</v>
      </c>
      <c r="CR52" s="90" t="e">
        <f t="shared" si="102"/>
        <v>#N/A</v>
      </c>
      <c r="CS52" s="90" t="e">
        <f t="shared" si="103"/>
        <v>#N/A</v>
      </c>
      <c r="CT52" s="102" t="e">
        <f t="shared" si="104"/>
        <v>#N/A</v>
      </c>
      <c r="CU52" s="90" t="str">
        <f t="shared" si="105"/>
        <v/>
      </c>
      <c r="CV52" s="90" t="str">
        <f t="shared" si="87"/>
        <v/>
      </c>
      <c r="CW52" s="90" t="str">
        <f t="shared" si="88"/>
        <v/>
      </c>
      <c r="CX52" s="90" t="str">
        <f t="shared" si="88"/>
        <v/>
      </c>
      <c r="CY52" s="90" t="str">
        <f t="shared" si="88"/>
        <v/>
      </c>
      <c r="CZ52" s="90" t="str">
        <f t="shared" si="106"/>
        <v/>
      </c>
      <c r="DA52" s="90" t="str">
        <f t="shared" si="107"/>
        <v/>
      </c>
      <c r="DB52" s="113" t="str">
        <f t="shared" si="89"/>
        <v/>
      </c>
      <c r="DC52" s="106" t="e">
        <f t="shared" si="90"/>
        <v>#N/A</v>
      </c>
      <c r="DD52" s="90" t="e">
        <f t="shared" si="91"/>
        <v>#N/A</v>
      </c>
      <c r="DE52" s="90" t="e">
        <f t="shared" si="92"/>
        <v>#N/A</v>
      </c>
      <c r="DF52" s="90" t="e">
        <f t="shared" si="93"/>
        <v>#N/A</v>
      </c>
      <c r="DG52" s="90" t="e">
        <f t="shared" si="94"/>
        <v>#N/A</v>
      </c>
      <c r="DH52" s="90" t="e">
        <f t="shared" si="95"/>
        <v>#N/A</v>
      </c>
      <c r="DI52" s="90" t="e">
        <f t="shared" si="96"/>
        <v>#N/A</v>
      </c>
      <c r="DJ52" s="90" t="e">
        <f t="shared" si="97"/>
        <v>#N/A</v>
      </c>
      <c r="DK52" s="113" t="e">
        <f t="shared" si="98"/>
        <v>#N/A</v>
      </c>
      <c r="DL52" s="90">
        <f t="shared" si="108"/>
        <v>7</v>
      </c>
      <c r="DM52" s="308">
        <v>7</v>
      </c>
      <c r="DS52" s="307">
        <v>41</v>
      </c>
      <c r="DT52" s="50">
        <f t="shared" si="66"/>
        <v>0.41000000000000203</v>
      </c>
      <c r="DU52" s="90">
        <f t="shared" si="72"/>
        <v>0.35587203057787103</v>
      </c>
      <c r="DV52" s="90" t="e">
        <f t="shared" si="73"/>
        <v>#N/A</v>
      </c>
      <c r="DW52" s="90">
        <f t="shared" si="74"/>
        <v>0.35587203057787103</v>
      </c>
      <c r="DX52" s="90">
        <f t="shared" si="67"/>
        <v>32</v>
      </c>
      <c r="DY52" s="308">
        <f t="shared" si="65"/>
        <v>0.1540000000000008</v>
      </c>
      <c r="DZ52" s="307">
        <f t="shared" si="68"/>
        <v>0.4099999999999997</v>
      </c>
      <c r="EA52" s="90">
        <f t="shared" si="75"/>
        <v>0.64444046274138522</v>
      </c>
      <c r="EB52" s="90">
        <f t="shared" si="76"/>
        <v>0.64444046274138522</v>
      </c>
      <c r="EC52" s="90">
        <f t="shared" si="77"/>
        <v>33</v>
      </c>
      <c r="ED52" s="308">
        <f t="shared" si="78"/>
        <v>0.15399999999999989</v>
      </c>
      <c r="EE52" s="307">
        <f t="shared" si="69"/>
        <v>0.41000000000000092</v>
      </c>
      <c r="EF52" s="90">
        <f t="shared" si="79"/>
        <v>-0.10183474095909104</v>
      </c>
      <c r="EG52" s="90">
        <f t="shared" si="80"/>
        <v>-0.10183474095909104</v>
      </c>
      <c r="EH52" s="90">
        <f t="shared" si="70"/>
        <v>34</v>
      </c>
      <c r="EI52" s="308">
        <f t="shared" si="71"/>
        <v>0.15400000000000036</v>
      </c>
    </row>
    <row r="53" spans="22:139" ht="12" customHeight="1" x14ac:dyDescent="0.2">
      <c r="V53" s="59"/>
      <c r="CD53" s="268" t="s">
        <v>267</v>
      </c>
      <c r="CE53" s="113">
        <f>COUNT(CW46:CW75)-1</f>
        <v>5</v>
      </c>
      <c r="CF53" s="90">
        <f>CE53+CE90</f>
        <v>6</v>
      </c>
      <c r="CG53" s="90"/>
      <c r="CJ53" s="290" t="str">
        <f t="shared" si="86"/>
        <v/>
      </c>
      <c r="CK53" s="290">
        <v>8</v>
      </c>
      <c r="CL53" s="90"/>
      <c r="CM53" s="90"/>
      <c r="CN53" s="90" t="str">
        <f t="shared" si="99"/>
        <v/>
      </c>
      <c r="CO53" s="90"/>
      <c r="CP53" s="90" t="str">
        <f t="shared" si="100"/>
        <v/>
      </c>
      <c r="CQ53" s="90" t="e">
        <f t="shared" si="101"/>
        <v>#N/A</v>
      </c>
      <c r="CR53" s="90" t="e">
        <f t="shared" si="102"/>
        <v>#N/A</v>
      </c>
      <c r="CS53" s="90" t="e">
        <f t="shared" si="103"/>
        <v>#N/A</v>
      </c>
      <c r="CT53" s="102" t="e">
        <f t="shared" si="104"/>
        <v>#N/A</v>
      </c>
      <c r="CU53" s="90" t="str">
        <f t="shared" si="105"/>
        <v/>
      </c>
      <c r="CV53" s="90" t="str">
        <f t="shared" si="87"/>
        <v/>
      </c>
      <c r="CW53" s="90" t="str">
        <f t="shared" si="88"/>
        <v/>
      </c>
      <c r="CX53" s="90" t="str">
        <f t="shared" si="88"/>
        <v/>
      </c>
      <c r="CY53" s="90" t="str">
        <f t="shared" si="88"/>
        <v/>
      </c>
      <c r="CZ53" s="90" t="str">
        <f t="shared" si="106"/>
        <v/>
      </c>
      <c r="DA53" s="90" t="str">
        <f t="shared" si="107"/>
        <v/>
      </c>
      <c r="DB53" s="113" t="str">
        <f t="shared" si="89"/>
        <v/>
      </c>
      <c r="DC53" s="106" t="e">
        <f t="shared" si="90"/>
        <v>#N/A</v>
      </c>
      <c r="DD53" s="90" t="e">
        <f t="shared" si="91"/>
        <v>#N/A</v>
      </c>
      <c r="DE53" s="90" t="e">
        <f t="shared" si="92"/>
        <v>#N/A</v>
      </c>
      <c r="DF53" s="90" t="e">
        <f t="shared" si="93"/>
        <v>#N/A</v>
      </c>
      <c r="DG53" s="90" t="e">
        <f t="shared" si="94"/>
        <v>#N/A</v>
      </c>
      <c r="DH53" s="90" t="e">
        <f t="shared" si="95"/>
        <v>#N/A</v>
      </c>
      <c r="DI53" s="90" t="e">
        <f t="shared" si="96"/>
        <v>#N/A</v>
      </c>
      <c r="DJ53" s="90" t="e">
        <f t="shared" si="97"/>
        <v>#N/A</v>
      </c>
      <c r="DK53" s="113" t="e">
        <f t="shared" si="98"/>
        <v>#N/A</v>
      </c>
      <c r="DL53" s="90">
        <f t="shared" si="108"/>
        <v>8</v>
      </c>
      <c r="DM53" s="308">
        <v>8</v>
      </c>
      <c r="DS53" s="307">
        <v>42</v>
      </c>
      <c r="DT53" s="50">
        <f t="shared" si="66"/>
        <v>0.42000000000000204</v>
      </c>
      <c r="DU53" s="90">
        <f t="shared" si="72"/>
        <v>0.35897710217586754</v>
      </c>
      <c r="DV53" s="90" t="e">
        <f t="shared" si="73"/>
        <v>#N/A</v>
      </c>
      <c r="DW53" s="90">
        <f t="shared" si="74"/>
        <v>0.35897710217586754</v>
      </c>
      <c r="DX53" s="90">
        <f t="shared" si="67"/>
        <v>32</v>
      </c>
      <c r="DY53" s="308">
        <f t="shared" si="65"/>
        <v>0.15800000000000081</v>
      </c>
      <c r="DZ53" s="307">
        <f t="shared" si="68"/>
        <v>0.41999999999999971</v>
      </c>
      <c r="EA53" s="90">
        <f t="shared" si="75"/>
        <v>0.64734778890234035</v>
      </c>
      <c r="EB53" s="90">
        <f t="shared" si="76"/>
        <v>0.64734778890234035</v>
      </c>
      <c r="EC53" s="90">
        <f t="shared" si="77"/>
        <v>33</v>
      </c>
      <c r="ED53" s="308">
        <f t="shared" si="78"/>
        <v>0.15799999999999989</v>
      </c>
      <c r="EE53" s="307">
        <f t="shared" si="69"/>
        <v>0.42000000000000115</v>
      </c>
      <c r="EF53" s="90">
        <f t="shared" si="79"/>
        <v>-9.9290702826270505E-2</v>
      </c>
      <c r="EG53" s="90">
        <f t="shared" si="80"/>
        <v>-9.9290702826270505E-2</v>
      </c>
      <c r="EH53" s="90">
        <f t="shared" si="70"/>
        <v>34</v>
      </c>
      <c r="EI53" s="308">
        <f t="shared" si="71"/>
        <v>0.15800000000000047</v>
      </c>
    </row>
    <row r="54" spans="22:139" ht="12" customHeight="1" x14ac:dyDescent="0.2">
      <c r="V54" s="59"/>
      <c r="CD54" s="268" t="s">
        <v>326</v>
      </c>
      <c r="CE54" s="270">
        <f>IF(CU76=0,"",CY76-CW76^2/CU76)</f>
        <v>0.60578543763671533</v>
      </c>
      <c r="CF54" s="90">
        <f>CE54+CE91</f>
        <v>0.60592004841187974</v>
      </c>
      <c r="CG54" s="102"/>
      <c r="CJ54" s="424" t="str">
        <f t="shared" si="86"/>
        <v/>
      </c>
      <c r="CK54" s="290">
        <v>9</v>
      </c>
      <c r="CL54" s="90"/>
      <c r="CM54" s="90"/>
      <c r="CN54" s="90" t="str">
        <f t="shared" si="99"/>
        <v/>
      </c>
      <c r="CO54" s="90"/>
      <c r="CP54" s="90" t="str">
        <f t="shared" si="100"/>
        <v/>
      </c>
      <c r="CQ54" s="90" t="e">
        <f t="shared" si="101"/>
        <v>#N/A</v>
      </c>
      <c r="CR54" s="90" t="e">
        <f t="shared" si="102"/>
        <v>#N/A</v>
      </c>
      <c r="CS54" s="90" t="e">
        <f t="shared" si="103"/>
        <v>#N/A</v>
      </c>
      <c r="CT54" s="102" t="e">
        <f t="shared" si="104"/>
        <v>#N/A</v>
      </c>
      <c r="CU54" s="90" t="str">
        <f t="shared" si="105"/>
        <v/>
      </c>
      <c r="CV54" s="90" t="str">
        <f t="shared" si="87"/>
        <v/>
      </c>
      <c r="CW54" s="90" t="str">
        <f t="shared" si="88"/>
        <v/>
      </c>
      <c r="CX54" s="90" t="str">
        <f t="shared" si="88"/>
        <v/>
      </c>
      <c r="CY54" s="90" t="str">
        <f t="shared" si="88"/>
        <v/>
      </c>
      <c r="CZ54" s="90" t="str">
        <f t="shared" si="106"/>
        <v/>
      </c>
      <c r="DA54" s="90" t="str">
        <f t="shared" si="107"/>
        <v/>
      </c>
      <c r="DB54" s="113" t="str">
        <f t="shared" si="89"/>
        <v/>
      </c>
      <c r="DC54" s="106" t="e">
        <f t="shared" si="90"/>
        <v>#N/A</v>
      </c>
      <c r="DD54" s="90" t="e">
        <f t="shared" si="91"/>
        <v>#N/A</v>
      </c>
      <c r="DE54" s="90" t="e">
        <f t="shared" si="92"/>
        <v>#N/A</v>
      </c>
      <c r="DF54" s="90" t="e">
        <f t="shared" si="93"/>
        <v>#N/A</v>
      </c>
      <c r="DG54" s="90" t="e">
        <f t="shared" si="94"/>
        <v>#N/A</v>
      </c>
      <c r="DH54" s="90" t="e">
        <f t="shared" si="95"/>
        <v>#N/A</v>
      </c>
      <c r="DI54" s="90" t="e">
        <f t="shared" si="96"/>
        <v>#N/A</v>
      </c>
      <c r="DJ54" s="90" t="e">
        <f t="shared" si="97"/>
        <v>#N/A</v>
      </c>
      <c r="DK54" s="113" t="e">
        <f t="shared" si="98"/>
        <v>#N/A</v>
      </c>
      <c r="DL54" s="90">
        <f t="shared" si="108"/>
        <v>9</v>
      </c>
      <c r="DM54" s="308">
        <v>9</v>
      </c>
      <c r="DS54" s="307">
        <v>43</v>
      </c>
      <c r="DT54" s="50">
        <f t="shared" si="66"/>
        <v>0.43000000000000216</v>
      </c>
      <c r="DU54" s="90">
        <f t="shared" si="72"/>
        <v>0.36208217377386404</v>
      </c>
      <c r="DV54" s="90" t="e">
        <f t="shared" si="73"/>
        <v>#N/A</v>
      </c>
      <c r="DW54" s="90">
        <f t="shared" si="74"/>
        <v>0.36208217377386404</v>
      </c>
      <c r="DX54" s="90">
        <f t="shared" si="67"/>
        <v>32</v>
      </c>
      <c r="DY54" s="308">
        <f t="shared" si="65"/>
        <v>0.16200000000000087</v>
      </c>
      <c r="DZ54" s="307">
        <f t="shared" si="68"/>
        <v>0.42999999999999972</v>
      </c>
      <c r="EA54" s="90">
        <f t="shared" si="75"/>
        <v>0.65025511506329547</v>
      </c>
      <c r="EB54" s="90">
        <f t="shared" si="76"/>
        <v>0.65025511506329547</v>
      </c>
      <c r="EC54" s="90">
        <f t="shared" si="77"/>
        <v>33</v>
      </c>
      <c r="ED54" s="308">
        <f t="shared" si="78"/>
        <v>0.16199999999999989</v>
      </c>
      <c r="EE54" s="307">
        <f t="shared" si="69"/>
        <v>0.43000000000000105</v>
      </c>
      <c r="EF54" s="90">
        <f t="shared" si="79"/>
        <v>-9.6746664693449974E-2</v>
      </c>
      <c r="EG54" s="90">
        <f t="shared" si="80"/>
        <v>-9.6746664693449974E-2</v>
      </c>
      <c r="EH54" s="90">
        <f t="shared" si="70"/>
        <v>34</v>
      </c>
      <c r="EI54" s="308">
        <f t="shared" si="71"/>
        <v>0.16200000000000042</v>
      </c>
    </row>
    <row r="55" spans="22:139" ht="12" customHeight="1" x14ac:dyDescent="0.2">
      <c r="AA55"/>
      <c r="AB55"/>
      <c r="AC55"/>
      <c r="AD55"/>
      <c r="AE55"/>
      <c r="CD55" s="268" t="s">
        <v>352</v>
      </c>
      <c r="CE55" s="113">
        <f>CHIDIST(CE54,CE53)</f>
        <v>0.98773682177222222</v>
      </c>
      <c r="CF55" s="90"/>
      <c r="CG55" s="90"/>
      <c r="CJ55" s="290" t="str">
        <f t="shared" si="86"/>
        <v/>
      </c>
      <c r="CK55" s="290">
        <v>10</v>
      </c>
      <c r="CL55" s="90"/>
      <c r="CM55" s="90"/>
      <c r="CN55" s="90" t="str">
        <f t="shared" si="99"/>
        <v/>
      </c>
      <c r="CO55" s="90"/>
      <c r="CP55" s="90" t="str">
        <f t="shared" si="100"/>
        <v/>
      </c>
      <c r="CQ55" s="90" t="e">
        <f t="shared" si="101"/>
        <v>#N/A</v>
      </c>
      <c r="CR55" s="90" t="e">
        <f t="shared" si="102"/>
        <v>#N/A</v>
      </c>
      <c r="CS55" s="90" t="e">
        <f t="shared" si="103"/>
        <v>#N/A</v>
      </c>
      <c r="CT55" s="102" t="e">
        <f t="shared" si="104"/>
        <v>#N/A</v>
      </c>
      <c r="CU55" s="90" t="str">
        <f t="shared" si="105"/>
        <v/>
      </c>
      <c r="CV55" s="90" t="str">
        <f t="shared" si="87"/>
        <v/>
      </c>
      <c r="CW55" s="90" t="str">
        <f t="shared" si="88"/>
        <v/>
      </c>
      <c r="CX55" s="90" t="str">
        <f t="shared" si="88"/>
        <v/>
      </c>
      <c r="CY55" s="90" t="str">
        <f t="shared" si="88"/>
        <v/>
      </c>
      <c r="CZ55" s="90" t="str">
        <f t="shared" si="106"/>
        <v/>
      </c>
      <c r="DA55" s="90" t="str">
        <f t="shared" si="107"/>
        <v/>
      </c>
      <c r="DB55" s="113" t="str">
        <f t="shared" si="89"/>
        <v/>
      </c>
      <c r="DC55" s="106" t="e">
        <f t="shared" si="90"/>
        <v>#N/A</v>
      </c>
      <c r="DD55" s="90" t="e">
        <f t="shared" si="91"/>
        <v>#N/A</v>
      </c>
      <c r="DE55" s="90" t="e">
        <f t="shared" si="92"/>
        <v>#N/A</v>
      </c>
      <c r="DF55" s="90" t="e">
        <f t="shared" si="93"/>
        <v>#N/A</v>
      </c>
      <c r="DG55" s="90" t="e">
        <f t="shared" si="94"/>
        <v>#N/A</v>
      </c>
      <c r="DH55" s="90" t="e">
        <f t="shared" si="95"/>
        <v>#N/A</v>
      </c>
      <c r="DI55" s="90" t="e">
        <f t="shared" si="96"/>
        <v>#N/A</v>
      </c>
      <c r="DJ55" s="90" t="e">
        <f t="shared" si="97"/>
        <v>#N/A</v>
      </c>
      <c r="DK55" s="113" t="e">
        <f t="shared" si="98"/>
        <v>#N/A</v>
      </c>
      <c r="DL55" s="90">
        <f t="shared" si="108"/>
        <v>10</v>
      </c>
      <c r="DM55" s="308">
        <v>10</v>
      </c>
      <c r="DS55" s="307">
        <v>44</v>
      </c>
      <c r="DT55" s="50">
        <f t="shared" si="66"/>
        <v>0.44000000000000217</v>
      </c>
      <c r="DU55" s="90">
        <f t="shared" si="72"/>
        <v>0.36518724537186054</v>
      </c>
      <c r="DV55" s="90" t="e">
        <f t="shared" si="73"/>
        <v>#N/A</v>
      </c>
      <c r="DW55" s="90">
        <f t="shared" si="74"/>
        <v>0.36518724537186054</v>
      </c>
      <c r="DX55" s="90">
        <f t="shared" si="67"/>
        <v>32</v>
      </c>
      <c r="DY55" s="308">
        <f t="shared" si="65"/>
        <v>0.16600000000000087</v>
      </c>
      <c r="DZ55" s="307">
        <f t="shared" si="68"/>
        <v>0.43999999999999961</v>
      </c>
      <c r="EA55" s="90">
        <f t="shared" si="75"/>
        <v>0.6531624412242506</v>
      </c>
      <c r="EB55" s="90">
        <f t="shared" si="76"/>
        <v>0.6531624412242506</v>
      </c>
      <c r="EC55" s="90">
        <f t="shared" si="77"/>
        <v>33</v>
      </c>
      <c r="ED55" s="308">
        <f t="shared" si="78"/>
        <v>0.16599999999999984</v>
      </c>
      <c r="EE55" s="307">
        <f t="shared" si="69"/>
        <v>0.44000000000000117</v>
      </c>
      <c r="EF55" s="90">
        <f t="shared" si="79"/>
        <v>-9.4202626560629443E-2</v>
      </c>
      <c r="EG55" s="90">
        <f t="shared" si="80"/>
        <v>-9.4202626560629443E-2</v>
      </c>
      <c r="EH55" s="90">
        <f t="shared" si="70"/>
        <v>34</v>
      </c>
      <c r="EI55" s="308">
        <f t="shared" si="71"/>
        <v>0.16600000000000048</v>
      </c>
    </row>
    <row r="56" spans="22:139" ht="12" customHeight="1" x14ac:dyDescent="0.2">
      <c r="CD56" s="268" t="s">
        <v>251</v>
      </c>
      <c r="CE56" s="280">
        <f>CU76-CX76/CU76</f>
        <v>37.679860172222249</v>
      </c>
      <c r="CF56" s="90">
        <f>CE56+CE93</f>
        <v>67.273907410943124</v>
      </c>
      <c r="CG56" s="425"/>
      <c r="CH56" s="63" t="s">
        <v>462</v>
      </c>
      <c r="CJ56" s="428" t="str">
        <f t="shared" si="86"/>
        <v/>
      </c>
      <c r="CK56" s="290">
        <v>11</v>
      </c>
      <c r="CL56" s="90"/>
      <c r="CM56" s="90"/>
      <c r="CN56" s="90" t="str">
        <f t="shared" si="99"/>
        <v/>
      </c>
      <c r="CO56" s="90"/>
      <c r="CP56" s="90" t="str">
        <f t="shared" si="100"/>
        <v/>
      </c>
      <c r="CQ56" s="90" t="e">
        <f t="shared" si="101"/>
        <v>#N/A</v>
      </c>
      <c r="CR56" s="90" t="e">
        <f t="shared" si="102"/>
        <v>#N/A</v>
      </c>
      <c r="CS56" s="90" t="e">
        <f t="shared" si="103"/>
        <v>#N/A</v>
      </c>
      <c r="CT56" s="102" t="e">
        <f t="shared" si="104"/>
        <v>#N/A</v>
      </c>
      <c r="CU56" s="90" t="str">
        <f t="shared" si="105"/>
        <v/>
      </c>
      <c r="CV56" s="90" t="str">
        <f t="shared" si="87"/>
        <v/>
      </c>
      <c r="CW56" s="90" t="str">
        <f t="shared" si="88"/>
        <v/>
      </c>
      <c r="CX56" s="90" t="str">
        <f t="shared" si="88"/>
        <v/>
      </c>
      <c r="CY56" s="90" t="str">
        <f t="shared" si="88"/>
        <v/>
      </c>
      <c r="CZ56" s="90" t="str">
        <f t="shared" si="106"/>
        <v/>
      </c>
      <c r="DA56" s="90" t="str">
        <f t="shared" si="107"/>
        <v/>
      </c>
      <c r="DB56" s="113" t="str">
        <f t="shared" si="89"/>
        <v/>
      </c>
      <c r="DC56" s="106" t="e">
        <f t="shared" si="90"/>
        <v>#N/A</v>
      </c>
      <c r="DD56" s="90" t="e">
        <f t="shared" si="91"/>
        <v>#N/A</v>
      </c>
      <c r="DE56" s="90" t="e">
        <f t="shared" si="92"/>
        <v>#N/A</v>
      </c>
      <c r="DF56" s="90" t="e">
        <f t="shared" si="93"/>
        <v>#N/A</v>
      </c>
      <c r="DG56" s="90" t="e">
        <f t="shared" si="94"/>
        <v>#N/A</v>
      </c>
      <c r="DH56" s="90" t="e">
        <f t="shared" si="95"/>
        <v>#N/A</v>
      </c>
      <c r="DI56" s="90" t="e">
        <f t="shared" si="96"/>
        <v>#N/A</v>
      </c>
      <c r="DJ56" s="90" t="e">
        <f t="shared" si="97"/>
        <v>#N/A</v>
      </c>
      <c r="DK56" s="113" t="e">
        <f t="shared" si="98"/>
        <v>#N/A</v>
      </c>
      <c r="DL56" s="90">
        <f t="shared" si="108"/>
        <v>11</v>
      </c>
      <c r="DM56" s="308">
        <v>11</v>
      </c>
      <c r="DS56" s="307">
        <v>45</v>
      </c>
      <c r="DT56" s="50">
        <f t="shared" si="66"/>
        <v>0.45000000000000229</v>
      </c>
      <c r="DU56" s="90">
        <f t="shared" si="72"/>
        <v>0.36829231696985704</v>
      </c>
      <c r="DV56" s="90" t="e">
        <f t="shared" si="73"/>
        <v>#N/A</v>
      </c>
      <c r="DW56" s="90">
        <f t="shared" si="74"/>
        <v>0.36829231696985704</v>
      </c>
      <c r="DX56" s="90">
        <f t="shared" si="67"/>
        <v>32</v>
      </c>
      <c r="DY56" s="308">
        <f t="shared" si="65"/>
        <v>0.17000000000000093</v>
      </c>
      <c r="DZ56" s="307">
        <f t="shared" si="68"/>
        <v>0.44999999999999962</v>
      </c>
      <c r="EA56" s="90">
        <f t="shared" si="75"/>
        <v>0.65606976738520573</v>
      </c>
      <c r="EB56" s="90">
        <f t="shared" si="76"/>
        <v>0.65606976738520573</v>
      </c>
      <c r="EC56" s="90">
        <f t="shared" si="77"/>
        <v>33</v>
      </c>
      <c r="ED56" s="308">
        <f t="shared" si="78"/>
        <v>0.16999999999999985</v>
      </c>
      <c r="EE56" s="307">
        <f t="shared" si="69"/>
        <v>0.45000000000000107</v>
      </c>
      <c r="EF56" s="90">
        <f t="shared" si="79"/>
        <v>-9.1658588427808912E-2</v>
      </c>
      <c r="EG56" s="90">
        <f t="shared" si="80"/>
        <v>-9.1658588427808912E-2</v>
      </c>
      <c r="EH56" s="90">
        <f t="shared" si="70"/>
        <v>34</v>
      </c>
      <c r="EI56" s="308">
        <f t="shared" si="71"/>
        <v>0.17000000000000043</v>
      </c>
    </row>
    <row r="57" spans="22:139" ht="12" customHeight="1" x14ac:dyDescent="0.2">
      <c r="CD57" s="268" t="s">
        <v>327</v>
      </c>
      <c r="CE57" s="113">
        <f>IF(CE56=0,0,MAX(0,(CE54-CE53)/CE56))</f>
        <v>0</v>
      </c>
      <c r="CF57" s="90"/>
      <c r="CG57" s="90">
        <f>IF(CF56=0,0,MAX(0,(CF54-CF53)/CF56))</f>
        <v>0</v>
      </c>
      <c r="CH57" s="586">
        <f>CG57</f>
        <v>0</v>
      </c>
      <c r="CJ57" s="290" t="str">
        <f t="shared" si="86"/>
        <v/>
      </c>
      <c r="CK57" s="290">
        <v>12</v>
      </c>
      <c r="CL57" s="90"/>
      <c r="CM57" s="90"/>
      <c r="CN57" s="90" t="str">
        <f t="shared" si="99"/>
        <v/>
      </c>
      <c r="CO57" s="90"/>
      <c r="CP57" s="90" t="str">
        <f t="shared" si="100"/>
        <v/>
      </c>
      <c r="CQ57" s="90" t="e">
        <f t="shared" si="101"/>
        <v>#N/A</v>
      </c>
      <c r="CR57" s="90" t="e">
        <f t="shared" si="102"/>
        <v>#N/A</v>
      </c>
      <c r="CS57" s="90" t="e">
        <f t="shared" si="103"/>
        <v>#N/A</v>
      </c>
      <c r="CT57" s="102" t="e">
        <f t="shared" si="104"/>
        <v>#N/A</v>
      </c>
      <c r="CU57" s="90" t="str">
        <f t="shared" si="105"/>
        <v/>
      </c>
      <c r="CV57" s="90" t="str">
        <f t="shared" si="87"/>
        <v/>
      </c>
      <c r="CW57" s="90" t="str">
        <f t="shared" si="88"/>
        <v/>
      </c>
      <c r="CX57" s="90" t="str">
        <f t="shared" si="88"/>
        <v/>
      </c>
      <c r="CY57" s="90" t="str">
        <f t="shared" si="88"/>
        <v/>
      </c>
      <c r="CZ57" s="90" t="str">
        <f t="shared" si="106"/>
        <v/>
      </c>
      <c r="DA57" s="90" t="str">
        <f t="shared" si="107"/>
        <v/>
      </c>
      <c r="DB57" s="113" t="str">
        <f t="shared" si="89"/>
        <v/>
      </c>
      <c r="DC57" s="106" t="e">
        <f t="shared" si="90"/>
        <v>#N/A</v>
      </c>
      <c r="DD57" s="90" t="e">
        <f t="shared" si="91"/>
        <v>#N/A</v>
      </c>
      <c r="DE57" s="90" t="e">
        <f t="shared" si="92"/>
        <v>#N/A</v>
      </c>
      <c r="DF57" s="90" t="e">
        <f t="shared" si="93"/>
        <v>#N/A</v>
      </c>
      <c r="DG57" s="90" t="e">
        <f t="shared" si="94"/>
        <v>#N/A</v>
      </c>
      <c r="DH57" s="90" t="e">
        <f t="shared" si="95"/>
        <v>#N/A</v>
      </c>
      <c r="DI57" s="90" t="e">
        <f t="shared" si="96"/>
        <v>#N/A</v>
      </c>
      <c r="DJ57" s="90" t="e">
        <f t="shared" si="97"/>
        <v>#N/A</v>
      </c>
      <c r="DK57" s="113" t="e">
        <f t="shared" si="98"/>
        <v>#N/A</v>
      </c>
      <c r="DL57" s="90">
        <f t="shared" si="108"/>
        <v>12</v>
      </c>
      <c r="DM57" s="308">
        <v>12</v>
      </c>
      <c r="DS57" s="307">
        <v>46</v>
      </c>
      <c r="DT57" s="50">
        <f t="shared" si="66"/>
        <v>0.4600000000000023</v>
      </c>
      <c r="DU57" s="90">
        <f t="shared" si="72"/>
        <v>0.37139738856785354</v>
      </c>
      <c r="DV57" s="90" t="e">
        <f t="shared" si="73"/>
        <v>#N/A</v>
      </c>
      <c r="DW57" s="90">
        <f t="shared" si="74"/>
        <v>0.37139738856785354</v>
      </c>
      <c r="DX57" s="90">
        <f t="shared" si="67"/>
        <v>32</v>
      </c>
      <c r="DY57" s="308">
        <f t="shared" si="65"/>
        <v>0.17400000000000093</v>
      </c>
      <c r="DZ57" s="307">
        <f t="shared" si="68"/>
        <v>0.45999999999999963</v>
      </c>
      <c r="EA57" s="90">
        <f t="shared" si="75"/>
        <v>0.65897709354616085</v>
      </c>
      <c r="EB57" s="90">
        <f t="shared" si="76"/>
        <v>0.65897709354616085</v>
      </c>
      <c r="EC57" s="90">
        <f t="shared" si="77"/>
        <v>33</v>
      </c>
      <c r="ED57" s="308">
        <f t="shared" si="78"/>
        <v>0.17399999999999985</v>
      </c>
      <c r="EE57" s="307">
        <f t="shared" si="69"/>
        <v>0.46000000000000119</v>
      </c>
      <c r="EF57" s="90">
        <f t="shared" si="79"/>
        <v>-8.9114550294988382E-2</v>
      </c>
      <c r="EG57" s="90">
        <f t="shared" si="80"/>
        <v>-8.9114550294988382E-2</v>
      </c>
      <c r="EH57" s="90">
        <f t="shared" si="70"/>
        <v>34</v>
      </c>
      <c r="EI57" s="308">
        <f t="shared" si="71"/>
        <v>0.17400000000000049</v>
      </c>
    </row>
    <row r="58" spans="22:139" ht="12" customHeight="1" x14ac:dyDescent="0.2">
      <c r="CD58" s="268" t="s">
        <v>340</v>
      </c>
      <c r="CE58" s="113">
        <f>SQRT(CE57)</f>
        <v>0</v>
      </c>
      <c r="CF58" s="90"/>
      <c r="CG58" s="90">
        <f>SQRT(CG57)</f>
        <v>0</v>
      </c>
      <c r="CH58" s="113">
        <f>SQRT(CH57)</f>
        <v>0</v>
      </c>
      <c r="CJ58" s="290" t="str">
        <f t="shared" si="86"/>
        <v/>
      </c>
      <c r="CK58" s="290">
        <v>13</v>
      </c>
      <c r="CL58" s="90"/>
      <c r="CM58" s="90"/>
      <c r="CN58" s="90" t="str">
        <f t="shared" si="99"/>
        <v/>
      </c>
      <c r="CO58" s="90"/>
      <c r="CP58" s="90" t="str">
        <f t="shared" si="100"/>
        <v/>
      </c>
      <c r="CQ58" s="90" t="e">
        <f t="shared" si="101"/>
        <v>#N/A</v>
      </c>
      <c r="CR58" s="90" t="e">
        <f t="shared" si="102"/>
        <v>#N/A</v>
      </c>
      <c r="CS58" s="90" t="e">
        <f t="shared" si="103"/>
        <v>#N/A</v>
      </c>
      <c r="CT58" s="102" t="e">
        <f t="shared" si="104"/>
        <v>#N/A</v>
      </c>
      <c r="CU58" s="90" t="str">
        <f t="shared" si="105"/>
        <v/>
      </c>
      <c r="CV58" s="90" t="str">
        <f t="shared" si="87"/>
        <v/>
      </c>
      <c r="CW58" s="90" t="str">
        <f t="shared" si="88"/>
        <v/>
      </c>
      <c r="CX58" s="90" t="str">
        <f t="shared" si="88"/>
        <v/>
      </c>
      <c r="CY58" s="90" t="str">
        <f t="shared" si="88"/>
        <v/>
      </c>
      <c r="CZ58" s="90" t="str">
        <f t="shared" si="106"/>
        <v/>
      </c>
      <c r="DA58" s="90" t="str">
        <f t="shared" si="107"/>
        <v/>
      </c>
      <c r="DB58" s="113" t="str">
        <f t="shared" si="89"/>
        <v/>
      </c>
      <c r="DC58" s="106" t="e">
        <f t="shared" si="90"/>
        <v>#N/A</v>
      </c>
      <c r="DD58" s="90" t="e">
        <f t="shared" si="91"/>
        <v>#N/A</v>
      </c>
      <c r="DE58" s="90" t="e">
        <f t="shared" si="92"/>
        <v>#N/A</v>
      </c>
      <c r="DF58" s="90" t="e">
        <f t="shared" si="93"/>
        <v>#N/A</v>
      </c>
      <c r="DG58" s="90" t="e">
        <f t="shared" si="94"/>
        <v>#N/A</v>
      </c>
      <c r="DH58" s="90" t="e">
        <f t="shared" si="95"/>
        <v>#N/A</v>
      </c>
      <c r="DI58" s="90" t="e">
        <f t="shared" si="96"/>
        <v>#N/A</v>
      </c>
      <c r="DJ58" s="90" t="e">
        <f t="shared" si="97"/>
        <v>#N/A</v>
      </c>
      <c r="DK58" s="113" t="e">
        <f t="shared" si="98"/>
        <v>#N/A</v>
      </c>
      <c r="DL58" s="90">
        <f t="shared" si="108"/>
        <v>13</v>
      </c>
      <c r="DM58" s="308">
        <v>13</v>
      </c>
      <c r="DS58" s="307">
        <v>47</v>
      </c>
      <c r="DT58" s="50">
        <f t="shared" si="66"/>
        <v>0.47000000000000242</v>
      </c>
      <c r="DU58" s="90">
        <f t="shared" si="72"/>
        <v>0.37450246016585004</v>
      </c>
      <c r="DV58" s="90" t="e">
        <f t="shared" si="73"/>
        <v>#N/A</v>
      </c>
      <c r="DW58" s="90">
        <f t="shared" si="74"/>
        <v>0.37450246016585004</v>
      </c>
      <c r="DX58" s="90">
        <f t="shared" si="67"/>
        <v>32</v>
      </c>
      <c r="DY58" s="308">
        <f t="shared" si="65"/>
        <v>0.17800000000000096</v>
      </c>
      <c r="DZ58" s="307">
        <f t="shared" si="68"/>
        <v>0.46999999999999964</v>
      </c>
      <c r="EA58" s="90">
        <f t="shared" si="75"/>
        <v>0.66188441970711598</v>
      </c>
      <c r="EB58" s="90">
        <f t="shared" si="76"/>
        <v>0.66188441970711598</v>
      </c>
      <c r="EC58" s="90">
        <f t="shared" si="77"/>
        <v>33</v>
      </c>
      <c r="ED58" s="308">
        <f t="shared" si="78"/>
        <v>0.17799999999999985</v>
      </c>
      <c r="EE58" s="307">
        <f t="shared" si="69"/>
        <v>0.47000000000000108</v>
      </c>
      <c r="EF58" s="90">
        <f t="shared" si="79"/>
        <v>-8.6570512162167851E-2</v>
      </c>
      <c r="EG58" s="90">
        <f t="shared" si="80"/>
        <v>-8.6570512162167851E-2</v>
      </c>
      <c r="EH58" s="90">
        <f t="shared" si="70"/>
        <v>34</v>
      </c>
      <c r="EI58" s="308">
        <f t="shared" si="71"/>
        <v>0.17800000000000044</v>
      </c>
    </row>
    <row r="59" spans="22:139" ht="12" customHeight="1" x14ac:dyDescent="0.2">
      <c r="CD59" s="291" t="s">
        <v>328</v>
      </c>
      <c r="CE59" s="113">
        <f>DB76/DA76</f>
        <v>0.81597270623773788</v>
      </c>
      <c r="CF59" s="90"/>
      <c r="CG59" s="90"/>
      <c r="CJ59" s="290" t="str">
        <f t="shared" si="86"/>
        <v/>
      </c>
      <c r="CK59" s="290">
        <v>14</v>
      </c>
      <c r="CL59" s="90"/>
      <c r="CM59" s="90"/>
      <c r="CN59" s="90" t="str">
        <f t="shared" si="99"/>
        <v/>
      </c>
      <c r="CO59" s="90"/>
      <c r="CP59" s="90" t="str">
        <f t="shared" si="100"/>
        <v/>
      </c>
      <c r="CQ59" s="90" t="e">
        <f t="shared" si="101"/>
        <v>#N/A</v>
      </c>
      <c r="CR59" s="90" t="e">
        <f t="shared" si="102"/>
        <v>#N/A</v>
      </c>
      <c r="CS59" s="90" t="e">
        <f t="shared" si="103"/>
        <v>#N/A</v>
      </c>
      <c r="CT59" s="102" t="e">
        <f t="shared" si="104"/>
        <v>#N/A</v>
      </c>
      <c r="CU59" s="90" t="str">
        <f t="shared" si="105"/>
        <v/>
      </c>
      <c r="CV59" s="90" t="str">
        <f t="shared" si="87"/>
        <v/>
      </c>
      <c r="CW59" s="90" t="str">
        <f t="shared" si="88"/>
        <v/>
      </c>
      <c r="CX59" s="90" t="str">
        <f t="shared" si="88"/>
        <v/>
      </c>
      <c r="CY59" s="90" t="str">
        <f t="shared" si="88"/>
        <v/>
      </c>
      <c r="CZ59" s="90" t="str">
        <f t="shared" si="106"/>
        <v/>
      </c>
      <c r="DA59" s="90" t="str">
        <f t="shared" si="107"/>
        <v/>
      </c>
      <c r="DB59" s="113" t="str">
        <f t="shared" si="89"/>
        <v/>
      </c>
      <c r="DC59" s="106" t="e">
        <f t="shared" si="90"/>
        <v>#N/A</v>
      </c>
      <c r="DD59" s="90" t="e">
        <f t="shared" si="91"/>
        <v>#N/A</v>
      </c>
      <c r="DE59" s="90" t="e">
        <f t="shared" si="92"/>
        <v>#N/A</v>
      </c>
      <c r="DF59" s="90" t="e">
        <f t="shared" si="93"/>
        <v>#N/A</v>
      </c>
      <c r="DG59" s="90" t="e">
        <f t="shared" si="94"/>
        <v>#N/A</v>
      </c>
      <c r="DH59" s="90" t="e">
        <f t="shared" si="95"/>
        <v>#N/A</v>
      </c>
      <c r="DI59" s="90" t="e">
        <f t="shared" si="96"/>
        <v>#N/A</v>
      </c>
      <c r="DJ59" s="90" t="e">
        <f t="shared" si="97"/>
        <v>#N/A</v>
      </c>
      <c r="DK59" s="113" t="e">
        <f t="shared" si="98"/>
        <v>#N/A</v>
      </c>
      <c r="DL59" s="90">
        <f t="shared" si="108"/>
        <v>14</v>
      </c>
      <c r="DM59" s="308">
        <v>14</v>
      </c>
      <c r="DS59" s="307">
        <v>48</v>
      </c>
      <c r="DT59" s="50">
        <f t="shared" si="66"/>
        <v>0.48000000000000242</v>
      </c>
      <c r="DU59" s="90">
        <f t="shared" si="72"/>
        <v>0.37760753176384654</v>
      </c>
      <c r="DV59" s="90" t="e">
        <f t="shared" si="73"/>
        <v>#N/A</v>
      </c>
      <c r="DW59" s="90">
        <f t="shared" si="74"/>
        <v>0.37760753176384654</v>
      </c>
      <c r="DX59" s="90">
        <f t="shared" si="67"/>
        <v>32</v>
      </c>
      <c r="DY59" s="308">
        <f t="shared" si="65"/>
        <v>0.18200000000000097</v>
      </c>
      <c r="DZ59" s="307">
        <f t="shared" si="68"/>
        <v>0.47999999999999965</v>
      </c>
      <c r="EA59" s="90">
        <f t="shared" si="75"/>
        <v>0.6647917458680711</v>
      </c>
      <c r="EB59" s="90">
        <f t="shared" si="76"/>
        <v>0.6647917458680711</v>
      </c>
      <c r="EC59" s="90">
        <f t="shared" si="77"/>
        <v>33</v>
      </c>
      <c r="ED59" s="308">
        <f t="shared" si="78"/>
        <v>0.18199999999999986</v>
      </c>
      <c r="EE59" s="307">
        <f t="shared" si="69"/>
        <v>0.4800000000000012</v>
      </c>
      <c r="EF59" s="90">
        <f t="shared" si="79"/>
        <v>-8.402647402934732E-2</v>
      </c>
      <c r="EG59" s="90">
        <f t="shared" si="80"/>
        <v>-8.402647402934732E-2</v>
      </c>
      <c r="EH59" s="90">
        <f t="shared" si="70"/>
        <v>34</v>
      </c>
      <c r="EI59" s="308">
        <f t="shared" si="71"/>
        <v>0.18200000000000049</v>
      </c>
    </row>
    <row r="60" spans="22:139" ht="12" customHeight="1" x14ac:dyDescent="0.2">
      <c r="CD60" s="268" t="s">
        <v>329</v>
      </c>
      <c r="CE60" s="113">
        <f>1/DA76</f>
        <v>2.2003477847113224E-2</v>
      </c>
      <c r="CF60" s="90"/>
      <c r="CG60" s="90"/>
      <c r="CJ60" s="290" t="str">
        <f t="shared" si="86"/>
        <v/>
      </c>
      <c r="CK60" s="290">
        <v>15</v>
      </c>
      <c r="CL60" s="90"/>
      <c r="CM60" s="90"/>
      <c r="CN60" s="90" t="str">
        <f t="shared" si="99"/>
        <v/>
      </c>
      <c r="CO60" s="90"/>
      <c r="CP60" s="90" t="str">
        <f t="shared" si="100"/>
        <v/>
      </c>
      <c r="CQ60" s="90" t="e">
        <f t="shared" si="101"/>
        <v>#N/A</v>
      </c>
      <c r="CR60" s="90" t="e">
        <f t="shared" si="102"/>
        <v>#N/A</v>
      </c>
      <c r="CS60" s="90" t="e">
        <f t="shared" si="103"/>
        <v>#N/A</v>
      </c>
      <c r="CT60" s="102" t="e">
        <f t="shared" si="104"/>
        <v>#N/A</v>
      </c>
      <c r="CU60" s="90" t="str">
        <f t="shared" si="105"/>
        <v/>
      </c>
      <c r="CV60" s="90" t="str">
        <f t="shared" si="87"/>
        <v/>
      </c>
      <c r="CW60" s="90" t="str">
        <f t="shared" si="88"/>
        <v/>
      </c>
      <c r="CX60" s="90" t="str">
        <f t="shared" si="88"/>
        <v/>
      </c>
      <c r="CY60" s="90" t="str">
        <f t="shared" si="88"/>
        <v/>
      </c>
      <c r="CZ60" s="90" t="str">
        <f t="shared" si="106"/>
        <v/>
      </c>
      <c r="DA60" s="90" t="str">
        <f t="shared" si="107"/>
        <v/>
      </c>
      <c r="DB60" s="113" t="str">
        <f t="shared" si="89"/>
        <v/>
      </c>
      <c r="DC60" s="106" t="e">
        <f t="shared" si="90"/>
        <v>#N/A</v>
      </c>
      <c r="DD60" s="90" t="e">
        <f t="shared" si="91"/>
        <v>#N/A</v>
      </c>
      <c r="DE60" s="90" t="e">
        <f t="shared" si="92"/>
        <v>#N/A</v>
      </c>
      <c r="DF60" s="90" t="e">
        <f t="shared" si="93"/>
        <v>#N/A</v>
      </c>
      <c r="DG60" s="90" t="e">
        <f t="shared" si="94"/>
        <v>#N/A</v>
      </c>
      <c r="DH60" s="90" t="e">
        <f t="shared" si="95"/>
        <v>#N/A</v>
      </c>
      <c r="DI60" s="90" t="e">
        <f t="shared" si="96"/>
        <v>#N/A</v>
      </c>
      <c r="DJ60" s="90" t="e">
        <f t="shared" si="97"/>
        <v>#N/A</v>
      </c>
      <c r="DK60" s="113" t="e">
        <f t="shared" si="98"/>
        <v>#N/A</v>
      </c>
      <c r="DL60" s="90">
        <f t="shared" si="108"/>
        <v>15</v>
      </c>
      <c r="DM60" s="308">
        <v>15</v>
      </c>
      <c r="DS60" s="307">
        <v>49</v>
      </c>
      <c r="DT60" s="50">
        <f t="shared" si="66"/>
        <v>0.49000000000000254</v>
      </c>
      <c r="DU60" s="90">
        <f t="shared" si="72"/>
        <v>0.38071260336184304</v>
      </c>
      <c r="DV60" s="90" t="e">
        <f t="shared" si="73"/>
        <v>#N/A</v>
      </c>
      <c r="DW60" s="90">
        <f t="shared" si="74"/>
        <v>0.38071260336184304</v>
      </c>
      <c r="DX60" s="90">
        <f t="shared" si="67"/>
        <v>32</v>
      </c>
      <c r="DY60" s="308">
        <f t="shared" si="65"/>
        <v>0.18600000000000103</v>
      </c>
      <c r="DZ60" s="307">
        <f t="shared" si="68"/>
        <v>0.48999999999999966</v>
      </c>
      <c r="EA60" s="90">
        <f t="shared" si="75"/>
        <v>0.66769907202902623</v>
      </c>
      <c r="EB60" s="90">
        <f t="shared" si="76"/>
        <v>0.66769907202902623</v>
      </c>
      <c r="EC60" s="90">
        <f t="shared" si="77"/>
        <v>33</v>
      </c>
      <c r="ED60" s="308">
        <f t="shared" si="78"/>
        <v>0.18599999999999986</v>
      </c>
      <c r="EE60" s="307">
        <f t="shared" si="69"/>
        <v>0.49000000000000121</v>
      </c>
      <c r="EF60" s="90">
        <f t="shared" si="79"/>
        <v>-8.1482435896526789E-2</v>
      </c>
      <c r="EG60" s="90">
        <f t="shared" si="80"/>
        <v>-8.1482435896526789E-2</v>
      </c>
      <c r="EH60" s="90">
        <f t="shared" si="70"/>
        <v>34</v>
      </c>
      <c r="EI60" s="308">
        <f t="shared" si="71"/>
        <v>0.1860000000000005</v>
      </c>
    </row>
    <row r="61" spans="22:139" ht="12" customHeight="1" x14ac:dyDescent="0.2">
      <c r="CD61" s="268" t="s">
        <v>330</v>
      </c>
      <c r="CE61" s="113">
        <f>SQRT(CE60)</f>
        <v>0.14833569309883993</v>
      </c>
      <c r="CF61" s="90"/>
      <c r="CG61" s="90"/>
      <c r="CJ61" s="290" t="str">
        <f t="shared" si="86"/>
        <v/>
      </c>
      <c r="CK61" s="290">
        <v>16</v>
      </c>
      <c r="CL61" s="90"/>
      <c r="CM61" s="90"/>
      <c r="CN61" s="90" t="str">
        <f t="shared" si="99"/>
        <v/>
      </c>
      <c r="CO61" s="90"/>
      <c r="CP61" s="90" t="str">
        <f t="shared" si="100"/>
        <v/>
      </c>
      <c r="CQ61" s="90" t="e">
        <f t="shared" si="101"/>
        <v>#N/A</v>
      </c>
      <c r="CR61" s="90" t="e">
        <f t="shared" si="102"/>
        <v>#N/A</v>
      </c>
      <c r="CS61" s="90" t="e">
        <f t="shared" si="103"/>
        <v>#N/A</v>
      </c>
      <c r="CT61" s="102" t="e">
        <f t="shared" si="104"/>
        <v>#N/A</v>
      </c>
      <c r="CU61" s="90" t="str">
        <f t="shared" si="105"/>
        <v/>
      </c>
      <c r="CV61" s="90" t="str">
        <f t="shared" si="87"/>
        <v/>
      </c>
      <c r="CW61" s="90" t="str">
        <f t="shared" si="88"/>
        <v/>
      </c>
      <c r="CX61" s="90" t="str">
        <f t="shared" si="88"/>
        <v/>
      </c>
      <c r="CY61" s="90" t="str">
        <f t="shared" si="88"/>
        <v/>
      </c>
      <c r="CZ61" s="90" t="str">
        <f t="shared" si="106"/>
        <v/>
      </c>
      <c r="DA61" s="90" t="str">
        <f t="shared" si="107"/>
        <v/>
      </c>
      <c r="DB61" s="113" t="str">
        <f t="shared" si="89"/>
        <v/>
      </c>
      <c r="DC61" s="106" t="e">
        <f t="shared" si="90"/>
        <v>#N/A</v>
      </c>
      <c r="DD61" s="90" t="e">
        <f t="shared" si="91"/>
        <v>#N/A</v>
      </c>
      <c r="DE61" s="90" t="e">
        <f t="shared" si="92"/>
        <v>#N/A</v>
      </c>
      <c r="DF61" s="90" t="e">
        <f t="shared" si="93"/>
        <v>#N/A</v>
      </c>
      <c r="DG61" s="90" t="e">
        <f t="shared" si="94"/>
        <v>#N/A</v>
      </c>
      <c r="DH61" s="90" t="e">
        <f t="shared" si="95"/>
        <v>#N/A</v>
      </c>
      <c r="DI61" s="90" t="e">
        <f t="shared" si="96"/>
        <v>#N/A</v>
      </c>
      <c r="DJ61" s="90" t="e">
        <f t="shared" si="97"/>
        <v>#N/A</v>
      </c>
      <c r="DK61" s="113" t="e">
        <f t="shared" si="98"/>
        <v>#N/A</v>
      </c>
      <c r="DL61" s="90">
        <f t="shared" si="108"/>
        <v>16</v>
      </c>
      <c r="DM61" s="308">
        <v>16</v>
      </c>
      <c r="DS61" s="307">
        <v>50</v>
      </c>
      <c r="DT61" s="50">
        <f t="shared" si="66"/>
        <v>0.50000000000000266</v>
      </c>
      <c r="DU61" s="90">
        <f t="shared" si="72"/>
        <v>0.38381767495983954</v>
      </c>
      <c r="DV61" s="90" t="e">
        <f t="shared" si="73"/>
        <v>#N/A</v>
      </c>
      <c r="DW61" s="90">
        <f t="shared" si="74"/>
        <v>0.38381767495983954</v>
      </c>
      <c r="DX61" s="90">
        <f t="shared" si="67"/>
        <v>32</v>
      </c>
      <c r="DY61" s="308">
        <f t="shared" si="65"/>
        <v>0.19000000000000106</v>
      </c>
      <c r="DZ61" s="307">
        <f t="shared" si="68"/>
        <v>0.49999999999999967</v>
      </c>
      <c r="EA61" s="90">
        <f t="shared" si="75"/>
        <v>0.67060639818998136</v>
      </c>
      <c r="EB61" s="90">
        <f t="shared" si="76"/>
        <v>0.67060639818998136</v>
      </c>
      <c r="EC61" s="90">
        <f t="shared" si="77"/>
        <v>33</v>
      </c>
      <c r="ED61" s="308">
        <f t="shared" si="78"/>
        <v>0.18999999999999986</v>
      </c>
      <c r="EE61" s="307">
        <f t="shared" si="69"/>
        <v>0.50000000000000133</v>
      </c>
      <c r="EF61" s="90">
        <f t="shared" si="79"/>
        <v>-7.8938397763706258E-2</v>
      </c>
      <c r="EG61" s="90">
        <f t="shared" si="80"/>
        <v>-7.8938397763706258E-2</v>
      </c>
      <c r="EH61" s="90">
        <f t="shared" si="70"/>
        <v>34</v>
      </c>
      <c r="EI61" s="308">
        <f t="shared" si="71"/>
        <v>0.19000000000000053</v>
      </c>
    </row>
    <row r="62" spans="22:139" ht="12" customHeight="1" x14ac:dyDescent="0.2">
      <c r="CD62" s="268" t="s">
        <v>331</v>
      </c>
      <c r="CE62" s="113">
        <f>NORMSINV((100+AA2)/200)*CE61</f>
        <v>0.29073261609551282</v>
      </c>
      <c r="CF62" s="90"/>
      <c r="CG62" s="90"/>
      <c r="CJ62" s="290" t="str">
        <f t="shared" si="86"/>
        <v/>
      </c>
      <c r="CK62" s="290">
        <v>17</v>
      </c>
      <c r="CL62" s="90"/>
      <c r="CM62" s="90"/>
      <c r="CN62" s="90" t="str">
        <f t="shared" si="99"/>
        <v/>
      </c>
      <c r="CO62" s="90"/>
      <c r="CP62" s="90" t="str">
        <f t="shared" si="100"/>
        <v/>
      </c>
      <c r="CQ62" s="90" t="e">
        <f t="shared" si="101"/>
        <v>#N/A</v>
      </c>
      <c r="CR62" s="90" t="e">
        <f t="shared" si="102"/>
        <v>#N/A</v>
      </c>
      <c r="CS62" s="90" t="e">
        <f t="shared" si="103"/>
        <v>#N/A</v>
      </c>
      <c r="CT62" s="102" t="e">
        <f t="shared" si="104"/>
        <v>#N/A</v>
      </c>
      <c r="CU62" s="90" t="str">
        <f t="shared" si="105"/>
        <v/>
      </c>
      <c r="CV62" s="90" t="str">
        <f t="shared" si="87"/>
        <v/>
      </c>
      <c r="CW62" s="90" t="str">
        <f t="shared" si="88"/>
        <v/>
      </c>
      <c r="CX62" s="90" t="str">
        <f t="shared" si="88"/>
        <v/>
      </c>
      <c r="CY62" s="90" t="str">
        <f t="shared" si="88"/>
        <v/>
      </c>
      <c r="CZ62" s="90" t="str">
        <f t="shared" si="106"/>
        <v/>
      </c>
      <c r="DA62" s="90" t="str">
        <f t="shared" si="107"/>
        <v/>
      </c>
      <c r="DB62" s="113" t="str">
        <f t="shared" si="89"/>
        <v/>
      </c>
      <c r="DC62" s="106" t="e">
        <f t="shared" si="90"/>
        <v>#N/A</v>
      </c>
      <c r="DD62" s="90" t="e">
        <f t="shared" si="91"/>
        <v>#N/A</v>
      </c>
      <c r="DE62" s="90" t="e">
        <f t="shared" si="92"/>
        <v>#N/A</v>
      </c>
      <c r="DF62" s="90" t="e">
        <f t="shared" si="93"/>
        <v>#N/A</v>
      </c>
      <c r="DG62" s="90" t="e">
        <f t="shared" si="94"/>
        <v>#N/A</v>
      </c>
      <c r="DH62" s="90" t="e">
        <f t="shared" si="95"/>
        <v>#N/A</v>
      </c>
      <c r="DI62" s="90" t="e">
        <f t="shared" si="96"/>
        <v>#N/A</v>
      </c>
      <c r="DJ62" s="90" t="e">
        <f t="shared" si="97"/>
        <v>#N/A</v>
      </c>
      <c r="DK62" s="113" t="e">
        <f t="shared" si="98"/>
        <v>#N/A</v>
      </c>
      <c r="DL62" s="90">
        <f t="shared" si="108"/>
        <v>17</v>
      </c>
      <c r="DM62" s="308">
        <v>17</v>
      </c>
      <c r="DS62" s="307">
        <v>51</v>
      </c>
      <c r="DT62" s="50">
        <f t="shared" si="66"/>
        <v>0.51000000000000267</v>
      </c>
      <c r="DU62" s="90">
        <f t="shared" si="72"/>
        <v>0.38692274655783604</v>
      </c>
      <c r="DV62" s="90" t="e">
        <f t="shared" si="73"/>
        <v>#N/A</v>
      </c>
      <c r="DW62" s="90">
        <f t="shared" si="74"/>
        <v>0.38692274655783604</v>
      </c>
      <c r="DX62" s="90">
        <f t="shared" si="67"/>
        <v>32</v>
      </c>
      <c r="DY62" s="308">
        <f t="shared" si="65"/>
        <v>0.19400000000000106</v>
      </c>
      <c r="DZ62" s="307">
        <f t="shared" si="68"/>
        <v>0.50999999999999956</v>
      </c>
      <c r="EA62" s="90">
        <f t="shared" si="75"/>
        <v>0.67351372435093648</v>
      </c>
      <c r="EB62" s="90">
        <f t="shared" si="76"/>
        <v>0.67351372435093648</v>
      </c>
      <c r="EC62" s="90">
        <f t="shared" si="77"/>
        <v>33</v>
      </c>
      <c r="ED62" s="308">
        <f t="shared" si="78"/>
        <v>0.19399999999999984</v>
      </c>
      <c r="EE62" s="307">
        <f t="shared" si="69"/>
        <v>0.51000000000000134</v>
      </c>
      <c r="EF62" s="90">
        <f t="shared" si="79"/>
        <v>-7.6394359630885728E-2</v>
      </c>
      <c r="EG62" s="90">
        <f t="shared" si="80"/>
        <v>-7.6394359630885728E-2</v>
      </c>
      <c r="EH62" s="90">
        <f t="shared" si="70"/>
        <v>34</v>
      </c>
      <c r="EI62" s="308">
        <f t="shared" si="71"/>
        <v>0.19400000000000053</v>
      </c>
    </row>
    <row r="63" spans="22:139" ht="12" customHeight="1" x14ac:dyDescent="0.2">
      <c r="CD63" s="268" t="s">
        <v>332</v>
      </c>
      <c r="CE63" s="113">
        <f>CE59-CE62</f>
        <v>0.52524009014222506</v>
      </c>
      <c r="CF63" s="90"/>
      <c r="CG63" s="90"/>
      <c r="CJ63" s="290" t="str">
        <f t="shared" si="86"/>
        <v/>
      </c>
      <c r="CK63" s="290">
        <v>18</v>
      </c>
      <c r="CL63" s="90"/>
      <c r="CM63" s="90"/>
      <c r="CN63" s="90" t="str">
        <f t="shared" si="99"/>
        <v/>
      </c>
      <c r="CO63" s="90"/>
      <c r="CP63" s="90" t="str">
        <f t="shared" si="100"/>
        <v/>
      </c>
      <c r="CQ63" s="90" t="e">
        <f t="shared" si="101"/>
        <v>#N/A</v>
      </c>
      <c r="CR63" s="90" t="e">
        <f t="shared" si="102"/>
        <v>#N/A</v>
      </c>
      <c r="CS63" s="90" t="e">
        <f t="shared" si="103"/>
        <v>#N/A</v>
      </c>
      <c r="CT63" s="102" t="e">
        <f t="shared" si="104"/>
        <v>#N/A</v>
      </c>
      <c r="CU63" s="90" t="str">
        <f t="shared" si="105"/>
        <v/>
      </c>
      <c r="CV63" s="90" t="str">
        <f t="shared" si="87"/>
        <v/>
      </c>
      <c r="CW63" s="90" t="str">
        <f t="shared" si="88"/>
        <v/>
      </c>
      <c r="CX63" s="90" t="str">
        <f t="shared" si="88"/>
        <v/>
      </c>
      <c r="CY63" s="90" t="str">
        <f t="shared" si="88"/>
        <v/>
      </c>
      <c r="CZ63" s="90" t="str">
        <f t="shared" si="106"/>
        <v/>
      </c>
      <c r="DA63" s="90" t="str">
        <f t="shared" si="107"/>
        <v/>
      </c>
      <c r="DB63" s="113" t="str">
        <f t="shared" si="89"/>
        <v/>
      </c>
      <c r="DC63" s="106" t="e">
        <f t="shared" si="90"/>
        <v>#N/A</v>
      </c>
      <c r="DD63" s="90" t="e">
        <f t="shared" si="91"/>
        <v>#N/A</v>
      </c>
      <c r="DE63" s="90" t="e">
        <f t="shared" si="92"/>
        <v>#N/A</v>
      </c>
      <c r="DF63" s="90" t="e">
        <f t="shared" si="93"/>
        <v>#N/A</v>
      </c>
      <c r="DG63" s="90" t="e">
        <f t="shared" si="94"/>
        <v>#N/A</v>
      </c>
      <c r="DH63" s="90" t="e">
        <f t="shared" si="95"/>
        <v>#N/A</v>
      </c>
      <c r="DI63" s="90" t="e">
        <f t="shared" si="96"/>
        <v>#N/A</v>
      </c>
      <c r="DJ63" s="90" t="e">
        <f t="shared" si="97"/>
        <v>#N/A</v>
      </c>
      <c r="DK63" s="113" t="e">
        <f t="shared" si="98"/>
        <v>#N/A</v>
      </c>
      <c r="DL63" s="90">
        <f t="shared" si="108"/>
        <v>18</v>
      </c>
      <c r="DM63" s="308">
        <v>18</v>
      </c>
      <c r="DS63" s="307">
        <v>52</v>
      </c>
      <c r="DT63" s="50">
        <f t="shared" si="66"/>
        <v>0.52000000000000268</v>
      </c>
      <c r="DU63" s="90">
        <f t="shared" si="72"/>
        <v>0.39002781815583254</v>
      </c>
      <c r="DV63" s="90" t="e">
        <f t="shared" si="73"/>
        <v>#N/A</v>
      </c>
      <c r="DW63" s="90">
        <f t="shared" si="74"/>
        <v>0.39002781815583254</v>
      </c>
      <c r="DX63" s="90">
        <f t="shared" si="67"/>
        <v>32</v>
      </c>
      <c r="DY63" s="308">
        <f t="shared" si="65"/>
        <v>0.19800000000000106</v>
      </c>
      <c r="DZ63" s="307">
        <f t="shared" si="68"/>
        <v>0.51999999999999957</v>
      </c>
      <c r="EA63" s="90">
        <f t="shared" si="75"/>
        <v>0.67642105051189161</v>
      </c>
      <c r="EB63" s="90">
        <f t="shared" si="76"/>
        <v>0.67642105051189161</v>
      </c>
      <c r="EC63" s="90">
        <f t="shared" si="77"/>
        <v>33</v>
      </c>
      <c r="ED63" s="308">
        <f t="shared" si="78"/>
        <v>0.19799999999999984</v>
      </c>
      <c r="EE63" s="307">
        <f t="shared" si="69"/>
        <v>0.52000000000000135</v>
      </c>
      <c r="EF63" s="90">
        <f t="shared" si="79"/>
        <v>-7.3850321498065197E-2</v>
      </c>
      <c r="EG63" s="90">
        <f t="shared" si="80"/>
        <v>-7.3850321498065197E-2</v>
      </c>
      <c r="EH63" s="90">
        <f t="shared" si="70"/>
        <v>34</v>
      </c>
      <c r="EI63" s="308">
        <f t="shared" si="71"/>
        <v>0.19800000000000054</v>
      </c>
    </row>
    <row r="64" spans="22:139" ht="12" customHeight="1" x14ac:dyDescent="0.2">
      <c r="CD64" s="268" t="s">
        <v>333</v>
      </c>
      <c r="CE64" s="113">
        <f>CE59+CE62</f>
        <v>1.1067053223332506</v>
      </c>
      <c r="CF64" s="90"/>
      <c r="CG64" s="90"/>
      <c r="CJ64" s="290" t="str">
        <f t="shared" si="86"/>
        <v/>
      </c>
      <c r="CK64" s="290">
        <v>19</v>
      </c>
      <c r="CL64" s="90"/>
      <c r="CM64" s="90"/>
      <c r="CN64" s="90" t="str">
        <f t="shared" si="99"/>
        <v/>
      </c>
      <c r="CO64" s="90"/>
      <c r="CP64" s="90" t="str">
        <f t="shared" si="100"/>
        <v/>
      </c>
      <c r="CQ64" s="90" t="e">
        <f t="shared" si="101"/>
        <v>#N/A</v>
      </c>
      <c r="CR64" s="90" t="e">
        <f t="shared" si="102"/>
        <v>#N/A</v>
      </c>
      <c r="CS64" s="90" t="e">
        <f t="shared" si="103"/>
        <v>#N/A</v>
      </c>
      <c r="CT64" s="102" t="e">
        <f t="shared" si="104"/>
        <v>#N/A</v>
      </c>
      <c r="CU64" s="90" t="str">
        <f t="shared" si="105"/>
        <v/>
      </c>
      <c r="CV64" s="90" t="str">
        <f t="shared" si="87"/>
        <v/>
      </c>
      <c r="CW64" s="90" t="str">
        <f t="shared" si="88"/>
        <v/>
      </c>
      <c r="CX64" s="90" t="str">
        <f t="shared" si="88"/>
        <v/>
      </c>
      <c r="CY64" s="90" t="str">
        <f t="shared" si="88"/>
        <v/>
      </c>
      <c r="CZ64" s="90" t="str">
        <f t="shared" si="106"/>
        <v/>
      </c>
      <c r="DA64" s="90" t="str">
        <f t="shared" si="107"/>
        <v/>
      </c>
      <c r="DB64" s="113" t="str">
        <f t="shared" si="89"/>
        <v/>
      </c>
      <c r="DC64" s="106" t="e">
        <f t="shared" si="90"/>
        <v>#N/A</v>
      </c>
      <c r="DD64" s="90" t="e">
        <f t="shared" si="91"/>
        <v>#N/A</v>
      </c>
      <c r="DE64" s="90" t="e">
        <f t="shared" si="92"/>
        <v>#N/A</v>
      </c>
      <c r="DF64" s="90" t="e">
        <f t="shared" si="93"/>
        <v>#N/A</v>
      </c>
      <c r="DG64" s="90" t="e">
        <f t="shared" si="94"/>
        <v>#N/A</v>
      </c>
      <c r="DH64" s="90" t="e">
        <f t="shared" si="95"/>
        <v>#N/A</v>
      </c>
      <c r="DI64" s="90" t="e">
        <f t="shared" si="96"/>
        <v>#N/A</v>
      </c>
      <c r="DJ64" s="90" t="e">
        <f t="shared" si="97"/>
        <v>#N/A</v>
      </c>
      <c r="DK64" s="113" t="e">
        <f t="shared" si="98"/>
        <v>#N/A</v>
      </c>
      <c r="DL64" s="90">
        <f t="shared" si="108"/>
        <v>19</v>
      </c>
      <c r="DM64" s="308">
        <v>19</v>
      </c>
      <c r="DS64" s="307">
        <v>53</v>
      </c>
      <c r="DT64" s="50">
        <f t="shared" si="66"/>
        <v>0.5300000000000028</v>
      </c>
      <c r="DU64" s="90">
        <f t="shared" si="72"/>
        <v>0.39313288975382904</v>
      </c>
      <c r="DV64" s="90" t="e">
        <f t="shared" si="73"/>
        <v>#N/A</v>
      </c>
      <c r="DW64" s="90">
        <f t="shared" si="74"/>
        <v>0.39313288975382904</v>
      </c>
      <c r="DX64" s="90">
        <f t="shared" si="67"/>
        <v>32</v>
      </c>
      <c r="DY64" s="308">
        <f t="shared" si="65"/>
        <v>0.20200000000000112</v>
      </c>
      <c r="DZ64" s="307">
        <f t="shared" si="68"/>
        <v>0.52999999999999958</v>
      </c>
      <c r="EA64" s="90">
        <f t="shared" si="75"/>
        <v>0.67932837667284673</v>
      </c>
      <c r="EB64" s="90">
        <f t="shared" si="76"/>
        <v>0.67932837667284673</v>
      </c>
      <c r="EC64" s="90">
        <f t="shared" si="77"/>
        <v>33</v>
      </c>
      <c r="ED64" s="308">
        <f t="shared" si="78"/>
        <v>0.20199999999999985</v>
      </c>
      <c r="EE64" s="307">
        <f t="shared" si="69"/>
        <v>0.53000000000000136</v>
      </c>
      <c r="EF64" s="90">
        <f t="shared" si="79"/>
        <v>-7.1306283365244666E-2</v>
      </c>
      <c r="EG64" s="90">
        <f t="shared" si="80"/>
        <v>-7.1306283365244666E-2</v>
      </c>
      <c r="EH64" s="90">
        <f t="shared" si="70"/>
        <v>34</v>
      </c>
      <c r="EI64" s="308">
        <f t="shared" si="71"/>
        <v>0.20200000000000054</v>
      </c>
    </row>
    <row r="65" spans="82:139" ht="12" customHeight="1" x14ac:dyDescent="0.2">
      <c r="CD65" s="268" t="s">
        <v>315</v>
      </c>
      <c r="CE65" s="113">
        <f>(CE59)/CE61</f>
        <v>5.5008520821353093</v>
      </c>
      <c r="CF65" s="90"/>
      <c r="CG65" s="90"/>
      <c r="CJ65" s="290" t="str">
        <f t="shared" si="86"/>
        <v/>
      </c>
      <c r="CK65" s="290">
        <v>20</v>
      </c>
      <c r="CL65" s="90"/>
      <c r="CM65" s="90"/>
      <c r="CN65" s="90" t="str">
        <f t="shared" si="99"/>
        <v/>
      </c>
      <c r="CO65" s="90"/>
      <c r="CP65" s="90" t="str">
        <f t="shared" si="100"/>
        <v/>
      </c>
      <c r="CQ65" s="90" t="e">
        <f t="shared" si="101"/>
        <v>#N/A</v>
      </c>
      <c r="CR65" s="90" t="e">
        <f t="shared" si="102"/>
        <v>#N/A</v>
      </c>
      <c r="CS65" s="90" t="e">
        <f t="shared" si="103"/>
        <v>#N/A</v>
      </c>
      <c r="CT65" s="102" t="e">
        <f t="shared" si="104"/>
        <v>#N/A</v>
      </c>
      <c r="CU65" s="90" t="str">
        <f t="shared" si="105"/>
        <v/>
      </c>
      <c r="CV65" s="90" t="str">
        <f t="shared" si="87"/>
        <v/>
      </c>
      <c r="CW65" s="90" t="str">
        <f t="shared" si="88"/>
        <v/>
      </c>
      <c r="CX65" s="90" t="str">
        <f t="shared" si="88"/>
        <v/>
      </c>
      <c r="CY65" s="90" t="str">
        <f t="shared" si="88"/>
        <v/>
      </c>
      <c r="CZ65" s="90" t="str">
        <f t="shared" si="106"/>
        <v/>
      </c>
      <c r="DA65" s="90" t="str">
        <f t="shared" si="107"/>
        <v/>
      </c>
      <c r="DB65" s="113" t="str">
        <f t="shared" si="89"/>
        <v/>
      </c>
      <c r="DC65" s="106" t="e">
        <f t="shared" si="90"/>
        <v>#N/A</v>
      </c>
      <c r="DD65" s="90" t="e">
        <f t="shared" si="91"/>
        <v>#N/A</v>
      </c>
      <c r="DE65" s="90" t="e">
        <f t="shared" si="92"/>
        <v>#N/A</v>
      </c>
      <c r="DF65" s="90" t="e">
        <f t="shared" si="93"/>
        <v>#N/A</v>
      </c>
      <c r="DG65" s="90" t="e">
        <f t="shared" si="94"/>
        <v>#N/A</v>
      </c>
      <c r="DH65" s="90" t="e">
        <f t="shared" si="95"/>
        <v>#N/A</v>
      </c>
      <c r="DI65" s="90" t="e">
        <f t="shared" si="96"/>
        <v>#N/A</v>
      </c>
      <c r="DJ65" s="90" t="e">
        <f t="shared" si="97"/>
        <v>#N/A</v>
      </c>
      <c r="DK65" s="113" t="e">
        <f t="shared" si="98"/>
        <v>#N/A</v>
      </c>
      <c r="DL65" s="90">
        <f t="shared" si="108"/>
        <v>20</v>
      </c>
      <c r="DM65" s="308">
        <v>20</v>
      </c>
      <c r="DS65" s="307">
        <v>54</v>
      </c>
      <c r="DT65" s="50">
        <f t="shared" si="66"/>
        <v>0.54000000000000292</v>
      </c>
      <c r="DU65" s="90">
        <f t="shared" si="72"/>
        <v>0.39623796135182554</v>
      </c>
      <c r="DV65" s="90" t="e">
        <f t="shared" si="73"/>
        <v>#N/A</v>
      </c>
      <c r="DW65" s="90">
        <f t="shared" si="74"/>
        <v>0.39623796135182554</v>
      </c>
      <c r="DX65" s="90">
        <f t="shared" si="67"/>
        <v>32</v>
      </c>
      <c r="DY65" s="308">
        <f t="shared" si="65"/>
        <v>0.20600000000000118</v>
      </c>
      <c r="DZ65" s="307">
        <f t="shared" si="68"/>
        <v>0.53999999999999959</v>
      </c>
      <c r="EA65" s="90">
        <f t="shared" si="75"/>
        <v>0.68223570283380186</v>
      </c>
      <c r="EB65" s="90">
        <f t="shared" si="76"/>
        <v>0.68223570283380186</v>
      </c>
      <c r="EC65" s="90">
        <f t="shared" si="77"/>
        <v>33</v>
      </c>
      <c r="ED65" s="308">
        <f t="shared" si="78"/>
        <v>0.20599999999999985</v>
      </c>
      <c r="EE65" s="307">
        <f t="shared" si="69"/>
        <v>0.54000000000000137</v>
      </c>
      <c r="EF65" s="90">
        <f t="shared" si="79"/>
        <v>-6.8762245232424135E-2</v>
      </c>
      <c r="EG65" s="90">
        <f t="shared" si="80"/>
        <v>-6.8762245232424135E-2</v>
      </c>
      <c r="EH65" s="90">
        <f t="shared" si="70"/>
        <v>34</v>
      </c>
      <c r="EI65" s="308">
        <f t="shared" si="71"/>
        <v>0.20600000000000054</v>
      </c>
    </row>
    <row r="66" spans="82:139" ht="12" customHeight="1" x14ac:dyDescent="0.2">
      <c r="CD66" s="268" t="s">
        <v>266</v>
      </c>
      <c r="CE66" s="113">
        <f>2*(1-NORMSDIST(ABS(CE65)))</f>
        <v>3.7796019869418274E-8</v>
      </c>
      <c r="CF66" s="90"/>
      <c r="CG66" s="90"/>
      <c r="CJ66" s="290" t="str">
        <f t="shared" si="86"/>
        <v/>
      </c>
      <c r="CK66" s="290">
        <v>21</v>
      </c>
      <c r="CL66" s="90"/>
      <c r="CM66" s="90"/>
      <c r="CN66" s="90" t="str">
        <f t="shared" si="99"/>
        <v/>
      </c>
      <c r="CO66" s="90"/>
      <c r="CP66" s="90" t="str">
        <f t="shared" si="100"/>
        <v/>
      </c>
      <c r="CQ66" s="90" t="e">
        <f t="shared" si="101"/>
        <v>#N/A</v>
      </c>
      <c r="CR66" s="90" t="e">
        <f t="shared" si="102"/>
        <v>#N/A</v>
      </c>
      <c r="CS66" s="90" t="e">
        <f t="shared" si="103"/>
        <v>#N/A</v>
      </c>
      <c r="CT66" s="102" t="e">
        <f t="shared" si="104"/>
        <v>#N/A</v>
      </c>
      <c r="CU66" s="90" t="str">
        <f t="shared" si="105"/>
        <v/>
      </c>
      <c r="CV66" s="90" t="str">
        <f t="shared" si="87"/>
        <v/>
      </c>
      <c r="CW66" s="90" t="str">
        <f t="shared" si="88"/>
        <v/>
      </c>
      <c r="CX66" s="90" t="str">
        <f t="shared" si="88"/>
        <v/>
      </c>
      <c r="CY66" s="90" t="str">
        <f t="shared" si="88"/>
        <v/>
      </c>
      <c r="CZ66" s="90" t="str">
        <f t="shared" si="106"/>
        <v/>
      </c>
      <c r="DA66" s="90" t="str">
        <f t="shared" si="107"/>
        <v/>
      </c>
      <c r="DB66" s="113" t="str">
        <f t="shared" si="89"/>
        <v/>
      </c>
      <c r="DC66" s="106" t="e">
        <f t="shared" si="90"/>
        <v>#N/A</v>
      </c>
      <c r="DD66" s="90" t="e">
        <f t="shared" si="91"/>
        <v>#N/A</v>
      </c>
      <c r="DE66" s="90" t="e">
        <f t="shared" si="92"/>
        <v>#N/A</v>
      </c>
      <c r="DF66" s="90" t="e">
        <f t="shared" si="93"/>
        <v>#N/A</v>
      </c>
      <c r="DG66" s="90" t="e">
        <f t="shared" si="94"/>
        <v>#N/A</v>
      </c>
      <c r="DH66" s="90" t="e">
        <f t="shared" si="95"/>
        <v>#N/A</v>
      </c>
      <c r="DI66" s="90" t="e">
        <f t="shared" si="96"/>
        <v>#N/A</v>
      </c>
      <c r="DJ66" s="90" t="e">
        <f t="shared" si="97"/>
        <v>#N/A</v>
      </c>
      <c r="DK66" s="113" t="e">
        <f t="shared" si="98"/>
        <v>#N/A</v>
      </c>
      <c r="DL66" s="90">
        <f t="shared" si="108"/>
        <v>21</v>
      </c>
      <c r="DM66" s="308">
        <v>21</v>
      </c>
      <c r="DS66" s="307">
        <v>55</v>
      </c>
      <c r="DT66" s="50">
        <f t="shared" si="66"/>
        <v>0.55000000000000293</v>
      </c>
      <c r="DU66" s="90">
        <f t="shared" si="72"/>
        <v>0.39934303294982204</v>
      </c>
      <c r="DV66" s="90" t="e">
        <f t="shared" si="73"/>
        <v>#N/A</v>
      </c>
      <c r="DW66" s="90">
        <f t="shared" si="74"/>
        <v>0.39934303294982204</v>
      </c>
      <c r="DX66" s="90">
        <f t="shared" si="67"/>
        <v>32</v>
      </c>
      <c r="DY66" s="308">
        <f t="shared" si="65"/>
        <v>0.21000000000000119</v>
      </c>
      <c r="DZ66" s="307">
        <f t="shared" si="68"/>
        <v>0.5499999999999996</v>
      </c>
      <c r="EA66" s="90">
        <f t="shared" si="75"/>
        <v>0.68514302899475699</v>
      </c>
      <c r="EB66" s="90">
        <f t="shared" si="76"/>
        <v>0.68514302899475699</v>
      </c>
      <c r="EC66" s="90">
        <f t="shared" si="77"/>
        <v>33</v>
      </c>
      <c r="ED66" s="308">
        <f t="shared" si="78"/>
        <v>0.20999999999999985</v>
      </c>
      <c r="EE66" s="307">
        <f t="shared" si="69"/>
        <v>0.55000000000000138</v>
      </c>
      <c r="EF66" s="90">
        <f t="shared" si="79"/>
        <v>-6.6218207099603604E-2</v>
      </c>
      <c r="EG66" s="90">
        <f t="shared" si="80"/>
        <v>-6.6218207099603604E-2</v>
      </c>
      <c r="EH66" s="90">
        <f t="shared" si="70"/>
        <v>34</v>
      </c>
      <c r="EI66" s="308">
        <f t="shared" si="71"/>
        <v>0.21000000000000055</v>
      </c>
    </row>
    <row r="67" spans="82:139" ht="12" customHeight="1" x14ac:dyDescent="0.2">
      <c r="CD67" s="303" t="s">
        <v>341</v>
      </c>
      <c r="CE67" s="304">
        <f>MAX(0,(CE54-CE53)/CE54)</f>
        <v>0</v>
      </c>
      <c r="CF67" s="431"/>
      <c r="CG67" s="431"/>
      <c r="CJ67" s="434" t="str">
        <f t="shared" si="86"/>
        <v/>
      </c>
      <c r="CK67" s="290">
        <v>22</v>
      </c>
      <c r="CL67" s="90"/>
      <c r="CM67" s="90"/>
      <c r="CN67" s="90" t="str">
        <f t="shared" si="99"/>
        <v/>
      </c>
      <c r="CO67" s="90"/>
      <c r="CP67" s="90" t="str">
        <f t="shared" si="100"/>
        <v/>
      </c>
      <c r="CQ67" s="90" t="e">
        <f t="shared" si="101"/>
        <v>#N/A</v>
      </c>
      <c r="CR67" s="90" t="e">
        <f t="shared" si="102"/>
        <v>#N/A</v>
      </c>
      <c r="CS67" s="90" t="e">
        <f t="shared" si="103"/>
        <v>#N/A</v>
      </c>
      <c r="CT67" s="102" t="e">
        <f t="shared" si="104"/>
        <v>#N/A</v>
      </c>
      <c r="CU67" s="90" t="str">
        <f t="shared" si="105"/>
        <v/>
      </c>
      <c r="CV67" s="90" t="str">
        <f t="shared" si="87"/>
        <v/>
      </c>
      <c r="CW67" s="90" t="str">
        <f t="shared" si="88"/>
        <v/>
      </c>
      <c r="CX67" s="90" t="str">
        <f t="shared" si="88"/>
        <v/>
      </c>
      <c r="CY67" s="90" t="str">
        <f t="shared" si="88"/>
        <v/>
      </c>
      <c r="CZ67" s="90" t="str">
        <f t="shared" si="106"/>
        <v/>
      </c>
      <c r="DA67" s="90" t="str">
        <f t="shared" si="107"/>
        <v/>
      </c>
      <c r="DB67" s="113" t="str">
        <f t="shared" si="89"/>
        <v/>
      </c>
      <c r="DC67" s="106" t="e">
        <f t="shared" si="90"/>
        <v>#N/A</v>
      </c>
      <c r="DD67" s="90" t="e">
        <f t="shared" si="91"/>
        <v>#N/A</v>
      </c>
      <c r="DE67" s="90" t="e">
        <f t="shared" si="92"/>
        <v>#N/A</v>
      </c>
      <c r="DF67" s="90" t="e">
        <f t="shared" si="93"/>
        <v>#N/A</v>
      </c>
      <c r="DG67" s="90" t="e">
        <f t="shared" si="94"/>
        <v>#N/A</v>
      </c>
      <c r="DH67" s="90" t="e">
        <f t="shared" si="95"/>
        <v>#N/A</v>
      </c>
      <c r="DI67" s="90" t="e">
        <f t="shared" si="96"/>
        <v>#N/A</v>
      </c>
      <c r="DJ67" s="90" t="e">
        <f t="shared" si="97"/>
        <v>#N/A</v>
      </c>
      <c r="DK67" s="113" t="e">
        <f t="shared" si="98"/>
        <v>#N/A</v>
      </c>
      <c r="DL67" s="90">
        <f t="shared" si="108"/>
        <v>22</v>
      </c>
      <c r="DM67" s="308">
        <v>22</v>
      </c>
      <c r="DS67" s="307">
        <v>56</v>
      </c>
      <c r="DT67" s="50">
        <f t="shared" si="66"/>
        <v>0.56000000000000294</v>
      </c>
      <c r="DU67" s="90">
        <f t="shared" si="72"/>
        <v>0.40244810454781854</v>
      </c>
      <c r="DV67" s="90" t="e">
        <f t="shared" si="73"/>
        <v>#N/A</v>
      </c>
      <c r="DW67" s="90">
        <f t="shared" si="74"/>
        <v>0.40244810454781854</v>
      </c>
      <c r="DX67" s="90">
        <f t="shared" si="67"/>
        <v>32</v>
      </c>
      <c r="DY67" s="308">
        <f t="shared" si="65"/>
        <v>0.21400000000000119</v>
      </c>
      <c r="DZ67" s="307">
        <f t="shared" si="68"/>
        <v>0.55999999999999961</v>
      </c>
      <c r="EA67" s="90">
        <f t="shared" si="75"/>
        <v>0.68805035515571211</v>
      </c>
      <c r="EB67" s="90">
        <f t="shared" si="76"/>
        <v>0.68805035515571211</v>
      </c>
      <c r="EC67" s="90">
        <f t="shared" si="77"/>
        <v>33</v>
      </c>
      <c r="ED67" s="308">
        <f t="shared" si="78"/>
        <v>0.21399999999999986</v>
      </c>
      <c r="EE67" s="307">
        <f t="shared" si="69"/>
        <v>0.56000000000000139</v>
      </c>
      <c r="EF67" s="90">
        <f t="shared" si="79"/>
        <v>-6.3674168966783073E-2</v>
      </c>
      <c r="EG67" s="90">
        <f t="shared" si="80"/>
        <v>-6.3674168966783073E-2</v>
      </c>
      <c r="EH67" s="90">
        <f t="shared" si="70"/>
        <v>34</v>
      </c>
      <c r="EI67" s="308">
        <f t="shared" si="71"/>
        <v>0.21400000000000055</v>
      </c>
    </row>
    <row r="68" spans="82:139" ht="12" customHeight="1" x14ac:dyDescent="0.2">
      <c r="CD68" s="106" t="s">
        <v>342</v>
      </c>
      <c r="CE68" s="113"/>
      <c r="CF68" s="90"/>
      <c r="CG68" s="90"/>
      <c r="CJ68" s="290" t="str">
        <f t="shared" si="86"/>
        <v/>
      </c>
      <c r="CK68" s="290">
        <v>23</v>
      </c>
      <c r="CL68" s="90"/>
      <c r="CM68" s="90"/>
      <c r="CN68" s="90" t="str">
        <f t="shared" si="99"/>
        <v/>
      </c>
      <c r="CO68" s="90"/>
      <c r="CP68" s="90" t="str">
        <f t="shared" si="100"/>
        <v/>
      </c>
      <c r="CQ68" s="90" t="e">
        <f t="shared" si="101"/>
        <v>#N/A</v>
      </c>
      <c r="CR68" s="90" t="e">
        <f t="shared" si="102"/>
        <v>#N/A</v>
      </c>
      <c r="CS68" s="90" t="e">
        <f t="shared" si="103"/>
        <v>#N/A</v>
      </c>
      <c r="CT68" s="102" t="e">
        <f t="shared" si="104"/>
        <v>#N/A</v>
      </c>
      <c r="CU68" s="90" t="str">
        <f t="shared" si="105"/>
        <v/>
      </c>
      <c r="CV68" s="90" t="str">
        <f t="shared" si="87"/>
        <v/>
      </c>
      <c r="CW68" s="90" t="str">
        <f t="shared" si="88"/>
        <v/>
      </c>
      <c r="CX68" s="90" t="str">
        <f t="shared" si="88"/>
        <v/>
      </c>
      <c r="CY68" s="90" t="str">
        <f t="shared" si="88"/>
        <v/>
      </c>
      <c r="CZ68" s="90" t="str">
        <f t="shared" si="106"/>
        <v/>
      </c>
      <c r="DA68" s="90" t="str">
        <f t="shared" si="107"/>
        <v/>
      </c>
      <c r="DB68" s="113" t="str">
        <f t="shared" si="89"/>
        <v/>
      </c>
      <c r="DC68" s="106" t="e">
        <f t="shared" si="90"/>
        <v>#N/A</v>
      </c>
      <c r="DD68" s="90" t="e">
        <f t="shared" si="91"/>
        <v>#N/A</v>
      </c>
      <c r="DE68" s="90" t="e">
        <f t="shared" si="92"/>
        <v>#N/A</v>
      </c>
      <c r="DF68" s="90" t="e">
        <f t="shared" si="93"/>
        <v>#N/A</v>
      </c>
      <c r="DG68" s="90" t="e">
        <f t="shared" si="94"/>
        <v>#N/A</v>
      </c>
      <c r="DH68" s="90" t="e">
        <f t="shared" si="95"/>
        <v>#N/A</v>
      </c>
      <c r="DI68" s="90" t="e">
        <f t="shared" si="96"/>
        <v>#N/A</v>
      </c>
      <c r="DJ68" s="90" t="e">
        <f t="shared" si="97"/>
        <v>#N/A</v>
      </c>
      <c r="DK68" s="113" t="e">
        <f t="shared" si="98"/>
        <v>#N/A</v>
      </c>
      <c r="DL68" s="90">
        <f t="shared" si="108"/>
        <v>23</v>
      </c>
      <c r="DM68" s="308">
        <v>23</v>
      </c>
      <c r="DS68" s="307">
        <v>57</v>
      </c>
      <c r="DT68" s="50">
        <f t="shared" si="66"/>
        <v>0.57000000000000295</v>
      </c>
      <c r="DU68" s="90">
        <f t="shared" si="72"/>
        <v>0.40555317614581504</v>
      </c>
      <c r="DV68" s="90" t="e">
        <f t="shared" si="73"/>
        <v>#N/A</v>
      </c>
      <c r="DW68" s="90">
        <f t="shared" si="74"/>
        <v>0.40555317614581504</v>
      </c>
      <c r="DX68" s="90">
        <f t="shared" si="67"/>
        <v>32</v>
      </c>
      <c r="DY68" s="308">
        <f t="shared" si="65"/>
        <v>0.21800000000000119</v>
      </c>
      <c r="DZ68" s="307">
        <f t="shared" si="68"/>
        <v>0.56999999999999962</v>
      </c>
      <c r="EA68" s="90">
        <f t="shared" si="75"/>
        <v>0.69095768131666724</v>
      </c>
      <c r="EB68" s="90">
        <f t="shared" si="76"/>
        <v>0.69095768131666724</v>
      </c>
      <c r="EC68" s="90">
        <f t="shared" si="77"/>
        <v>33</v>
      </c>
      <c r="ED68" s="308">
        <f t="shared" si="78"/>
        <v>0.21799999999999986</v>
      </c>
      <c r="EE68" s="307">
        <f t="shared" si="69"/>
        <v>0.57000000000000139</v>
      </c>
      <c r="EF68" s="90">
        <f t="shared" si="79"/>
        <v>-6.113013083396255E-2</v>
      </c>
      <c r="EG68" s="90">
        <f t="shared" si="80"/>
        <v>-6.113013083396255E-2</v>
      </c>
      <c r="EH68" s="90">
        <f t="shared" si="70"/>
        <v>34</v>
      </c>
      <c r="EI68" s="308">
        <f t="shared" si="71"/>
        <v>0.21800000000000055</v>
      </c>
    </row>
    <row r="69" spans="82:139" ht="12" customHeight="1" x14ac:dyDescent="0.2">
      <c r="CD69" s="268" t="s">
        <v>343</v>
      </c>
      <c r="CE69" s="113">
        <f>0.5*(LN(CE54)-LN(CE53))/(SQRT(2*CE54)-SQRT(2*CE53-1))</f>
        <v>0.55564752017286279</v>
      </c>
      <c r="CG69" s="90">
        <f>0.5*(LN(CF54)-LN(CF53))/(SQRT(2*CF54)-SQRT(2*CF53-1))</f>
        <v>0.51737033943853672</v>
      </c>
      <c r="CJ69" s="290" t="str">
        <f t="shared" si="86"/>
        <v/>
      </c>
      <c r="CK69" s="290">
        <v>24</v>
      </c>
      <c r="CL69" s="90"/>
      <c r="CM69" s="90"/>
      <c r="CN69" s="90" t="str">
        <f t="shared" si="99"/>
        <v/>
      </c>
      <c r="CO69" s="90"/>
      <c r="CP69" s="90" t="str">
        <f t="shared" si="100"/>
        <v/>
      </c>
      <c r="CQ69" s="90" t="e">
        <f t="shared" si="101"/>
        <v>#N/A</v>
      </c>
      <c r="CR69" s="90" t="e">
        <f t="shared" si="102"/>
        <v>#N/A</v>
      </c>
      <c r="CS69" s="90" t="e">
        <f t="shared" si="103"/>
        <v>#N/A</v>
      </c>
      <c r="CT69" s="102" t="e">
        <f t="shared" si="104"/>
        <v>#N/A</v>
      </c>
      <c r="CU69" s="90" t="str">
        <f t="shared" si="105"/>
        <v/>
      </c>
      <c r="CV69" s="90" t="str">
        <f t="shared" si="87"/>
        <v/>
      </c>
      <c r="CW69" s="90" t="str">
        <f t="shared" si="88"/>
        <v/>
      </c>
      <c r="CX69" s="90" t="str">
        <f t="shared" si="88"/>
        <v/>
      </c>
      <c r="CY69" s="90" t="str">
        <f t="shared" si="88"/>
        <v/>
      </c>
      <c r="CZ69" s="90" t="str">
        <f t="shared" si="106"/>
        <v/>
      </c>
      <c r="DA69" s="90" t="str">
        <f t="shared" si="107"/>
        <v/>
      </c>
      <c r="DB69" s="113" t="str">
        <f t="shared" si="89"/>
        <v/>
      </c>
      <c r="DC69" s="106" t="e">
        <f t="shared" si="90"/>
        <v>#N/A</v>
      </c>
      <c r="DD69" s="90" t="e">
        <f t="shared" si="91"/>
        <v>#N/A</v>
      </c>
      <c r="DE69" s="90" t="e">
        <f t="shared" si="92"/>
        <v>#N/A</v>
      </c>
      <c r="DF69" s="90" t="e">
        <f t="shared" si="93"/>
        <v>#N/A</v>
      </c>
      <c r="DG69" s="90" t="e">
        <f t="shared" si="94"/>
        <v>#N/A</v>
      </c>
      <c r="DH69" s="90" t="e">
        <f t="shared" si="95"/>
        <v>#N/A</v>
      </c>
      <c r="DI69" s="90" t="e">
        <f t="shared" si="96"/>
        <v>#N/A</v>
      </c>
      <c r="DJ69" s="90" t="e">
        <f t="shared" si="97"/>
        <v>#N/A</v>
      </c>
      <c r="DK69" s="113" t="e">
        <f t="shared" si="98"/>
        <v>#N/A</v>
      </c>
      <c r="DL69" s="90">
        <f t="shared" si="108"/>
        <v>24</v>
      </c>
      <c r="DM69" s="308">
        <v>24</v>
      </c>
      <c r="DS69" s="307">
        <v>58</v>
      </c>
      <c r="DT69" s="50">
        <f t="shared" si="66"/>
        <v>0.58000000000000307</v>
      </c>
      <c r="DU69" s="90">
        <f t="shared" si="72"/>
        <v>0.40865824774381154</v>
      </c>
      <c r="DV69" s="90" t="e">
        <f t="shared" si="73"/>
        <v>#N/A</v>
      </c>
      <c r="DW69" s="90">
        <f t="shared" si="74"/>
        <v>0.40865824774381154</v>
      </c>
      <c r="DX69" s="90">
        <f t="shared" si="67"/>
        <v>32</v>
      </c>
      <c r="DY69" s="308">
        <f t="shared" si="65"/>
        <v>0.22200000000000122</v>
      </c>
      <c r="DZ69" s="307">
        <f t="shared" si="68"/>
        <v>0.57999999999999963</v>
      </c>
      <c r="EA69" s="90">
        <f t="shared" si="75"/>
        <v>0.69386500747762236</v>
      </c>
      <c r="EB69" s="90">
        <f t="shared" si="76"/>
        <v>0.69386500747762236</v>
      </c>
      <c r="EC69" s="90">
        <f t="shared" si="77"/>
        <v>33</v>
      </c>
      <c r="ED69" s="308">
        <f t="shared" si="78"/>
        <v>0.22199999999999986</v>
      </c>
      <c r="EE69" s="307">
        <f t="shared" si="69"/>
        <v>0.5800000000000014</v>
      </c>
      <c r="EF69" s="90">
        <f t="shared" si="79"/>
        <v>-5.8586092701142026E-2</v>
      </c>
      <c r="EG69" s="90">
        <f t="shared" si="80"/>
        <v>-5.8586092701142026E-2</v>
      </c>
      <c r="EH69" s="90">
        <f t="shared" si="70"/>
        <v>34</v>
      </c>
      <c r="EI69" s="308">
        <f t="shared" si="71"/>
        <v>0.22200000000000056</v>
      </c>
    </row>
    <row r="70" spans="82:139" ht="12" customHeight="1" x14ac:dyDescent="0.2">
      <c r="CD70" s="268" t="s">
        <v>344</v>
      </c>
      <c r="CE70" s="305">
        <f>SQRT(1/(2*(CE53-1)*(1-(1/(3*(CE53-1)^2)))))</f>
        <v>0.3572948005052482</v>
      </c>
      <c r="CG70" s="154">
        <f>SQRT(1/(2*(CF53-1)*(1-(1/(3*(CF53-1)^2)))))</f>
        <v>0.31835726998350666</v>
      </c>
      <c r="CJ70" s="435" t="str">
        <f t="shared" si="86"/>
        <v/>
      </c>
      <c r="CK70" s="290">
        <v>25</v>
      </c>
      <c r="CL70" s="90"/>
      <c r="CM70" s="90"/>
      <c r="CN70" s="90" t="str">
        <f t="shared" si="99"/>
        <v/>
      </c>
      <c r="CO70" s="90"/>
      <c r="CP70" s="90" t="str">
        <f t="shared" si="100"/>
        <v/>
      </c>
      <c r="CQ70" s="90" t="e">
        <f t="shared" si="101"/>
        <v>#N/A</v>
      </c>
      <c r="CR70" s="90" t="e">
        <f t="shared" si="102"/>
        <v>#N/A</v>
      </c>
      <c r="CS70" s="90" t="e">
        <f t="shared" si="103"/>
        <v>#N/A</v>
      </c>
      <c r="CT70" s="102" t="e">
        <f t="shared" si="104"/>
        <v>#N/A</v>
      </c>
      <c r="CU70" s="90" t="str">
        <f t="shared" si="105"/>
        <v/>
      </c>
      <c r="CV70" s="90" t="str">
        <f t="shared" si="87"/>
        <v/>
      </c>
      <c r="CW70" s="90" t="str">
        <f t="shared" si="88"/>
        <v/>
      </c>
      <c r="CX70" s="90" t="str">
        <f t="shared" si="88"/>
        <v/>
      </c>
      <c r="CY70" s="90" t="str">
        <f t="shared" si="88"/>
        <v/>
      </c>
      <c r="CZ70" s="90" t="str">
        <f t="shared" si="106"/>
        <v/>
      </c>
      <c r="DA70" s="90" t="str">
        <f t="shared" si="107"/>
        <v/>
      </c>
      <c r="DB70" s="113" t="str">
        <f t="shared" si="89"/>
        <v/>
      </c>
      <c r="DC70" s="106" t="e">
        <f t="shared" si="90"/>
        <v>#N/A</v>
      </c>
      <c r="DD70" s="90" t="e">
        <f t="shared" si="91"/>
        <v>#N/A</v>
      </c>
      <c r="DE70" s="90" t="e">
        <f t="shared" si="92"/>
        <v>#N/A</v>
      </c>
      <c r="DF70" s="90" t="e">
        <f t="shared" si="93"/>
        <v>#N/A</v>
      </c>
      <c r="DG70" s="90" t="e">
        <f t="shared" si="94"/>
        <v>#N/A</v>
      </c>
      <c r="DH70" s="90" t="e">
        <f t="shared" si="95"/>
        <v>#N/A</v>
      </c>
      <c r="DI70" s="90" t="e">
        <f t="shared" si="96"/>
        <v>#N/A</v>
      </c>
      <c r="DJ70" s="90" t="e">
        <f t="shared" si="97"/>
        <v>#N/A</v>
      </c>
      <c r="DK70" s="113" t="e">
        <f t="shared" si="98"/>
        <v>#N/A</v>
      </c>
      <c r="DL70" s="90">
        <f t="shared" si="108"/>
        <v>25</v>
      </c>
      <c r="DM70" s="308">
        <v>25</v>
      </c>
      <c r="DS70" s="307">
        <v>59</v>
      </c>
      <c r="DT70" s="50">
        <f t="shared" si="66"/>
        <v>0.59000000000000319</v>
      </c>
      <c r="DU70" s="90">
        <f t="shared" si="72"/>
        <v>0.41176331934180804</v>
      </c>
      <c r="DV70" s="90" t="e">
        <f t="shared" si="73"/>
        <v>#N/A</v>
      </c>
      <c r="DW70" s="90">
        <f t="shared" si="74"/>
        <v>0.41176331934180804</v>
      </c>
      <c r="DX70" s="90">
        <f t="shared" si="67"/>
        <v>32</v>
      </c>
      <c r="DY70" s="308">
        <f t="shared" si="65"/>
        <v>0.22600000000000128</v>
      </c>
      <c r="DZ70" s="307">
        <f t="shared" si="68"/>
        <v>0.58999999999999952</v>
      </c>
      <c r="EA70" s="90">
        <f t="shared" si="75"/>
        <v>0.69677233363857749</v>
      </c>
      <c r="EB70" s="90">
        <f t="shared" si="76"/>
        <v>0.69677233363857749</v>
      </c>
      <c r="EC70" s="90">
        <f t="shared" si="77"/>
        <v>33</v>
      </c>
      <c r="ED70" s="308">
        <f t="shared" si="78"/>
        <v>0.22599999999999981</v>
      </c>
      <c r="EE70" s="307">
        <f t="shared" si="69"/>
        <v>0.59000000000000141</v>
      </c>
      <c r="EF70" s="90">
        <f t="shared" si="79"/>
        <v>-5.6042054568321502E-2</v>
      </c>
      <c r="EG70" s="90">
        <f t="shared" si="80"/>
        <v>-5.6042054568321502E-2</v>
      </c>
      <c r="EH70" s="90">
        <f t="shared" si="70"/>
        <v>34</v>
      </c>
      <c r="EI70" s="308">
        <f t="shared" si="71"/>
        <v>0.22600000000000056</v>
      </c>
    </row>
    <row r="71" spans="82:139" ht="12" customHeight="1" x14ac:dyDescent="0.2">
      <c r="CD71" s="268" t="s">
        <v>258</v>
      </c>
      <c r="CE71" s="305">
        <f>IF(CE54&gt;(CE53+1),CE69,CE70)</f>
        <v>0.3572948005052482</v>
      </c>
      <c r="CG71" s="154">
        <f>IF(CF54&gt;(CF53+1),CG69,CG70)</f>
        <v>0.31835726998350666</v>
      </c>
      <c r="CJ71" s="435" t="str">
        <f t="shared" si="86"/>
        <v/>
      </c>
      <c r="CK71" s="290">
        <v>26</v>
      </c>
      <c r="CL71" s="90"/>
      <c r="CM71" s="90"/>
      <c r="CN71" s="90" t="str">
        <f t="shared" si="99"/>
        <v/>
      </c>
      <c r="CO71" s="90"/>
      <c r="CP71" s="90" t="str">
        <f t="shared" si="100"/>
        <v/>
      </c>
      <c r="CQ71" s="90" t="e">
        <f t="shared" si="101"/>
        <v>#N/A</v>
      </c>
      <c r="CR71" s="90" t="e">
        <f t="shared" si="102"/>
        <v>#N/A</v>
      </c>
      <c r="CS71" s="90" t="e">
        <f t="shared" si="103"/>
        <v>#N/A</v>
      </c>
      <c r="CT71" s="102" t="e">
        <f t="shared" si="104"/>
        <v>#N/A</v>
      </c>
      <c r="CU71" s="90" t="str">
        <f t="shared" si="105"/>
        <v/>
      </c>
      <c r="CV71" s="90" t="str">
        <f t="shared" si="87"/>
        <v/>
      </c>
      <c r="CW71" s="90" t="str">
        <f t="shared" si="88"/>
        <v/>
      </c>
      <c r="CX71" s="90" t="str">
        <f t="shared" si="88"/>
        <v/>
      </c>
      <c r="CY71" s="90" t="str">
        <f t="shared" si="88"/>
        <v/>
      </c>
      <c r="CZ71" s="90" t="str">
        <f t="shared" si="106"/>
        <v/>
      </c>
      <c r="DA71" s="90" t="str">
        <f t="shared" si="107"/>
        <v/>
      </c>
      <c r="DB71" s="113" t="str">
        <f t="shared" si="89"/>
        <v/>
      </c>
      <c r="DC71" s="106" t="e">
        <f t="shared" si="90"/>
        <v>#N/A</v>
      </c>
      <c r="DD71" s="90" t="e">
        <f t="shared" si="91"/>
        <v>#N/A</v>
      </c>
      <c r="DE71" s="90" t="e">
        <f t="shared" si="92"/>
        <v>#N/A</v>
      </c>
      <c r="DF71" s="90" t="e">
        <f t="shared" si="93"/>
        <v>#N/A</v>
      </c>
      <c r="DG71" s="90" t="e">
        <f t="shared" si="94"/>
        <v>#N/A</v>
      </c>
      <c r="DH71" s="90" t="e">
        <f t="shared" si="95"/>
        <v>#N/A</v>
      </c>
      <c r="DI71" s="90" t="e">
        <f t="shared" si="96"/>
        <v>#N/A</v>
      </c>
      <c r="DJ71" s="90" t="e">
        <f t="shared" si="97"/>
        <v>#N/A</v>
      </c>
      <c r="DK71" s="113" t="e">
        <f t="shared" si="98"/>
        <v>#N/A</v>
      </c>
      <c r="DL71" s="90">
        <f t="shared" si="108"/>
        <v>26</v>
      </c>
      <c r="DM71" s="308">
        <v>26</v>
      </c>
      <c r="DS71" s="307">
        <v>60</v>
      </c>
      <c r="DT71" s="50">
        <f t="shared" si="66"/>
        <v>0.6000000000000032</v>
      </c>
      <c r="DU71" s="90">
        <f t="shared" si="72"/>
        <v>0.41486839093980454</v>
      </c>
      <c r="DV71" s="90" t="e">
        <f t="shared" si="73"/>
        <v>#N/A</v>
      </c>
      <c r="DW71" s="90">
        <f t="shared" si="74"/>
        <v>0.41486839093980454</v>
      </c>
      <c r="DX71" s="90">
        <f t="shared" si="67"/>
        <v>32</v>
      </c>
      <c r="DY71" s="308">
        <f t="shared" si="65"/>
        <v>0.23000000000000129</v>
      </c>
      <c r="DZ71" s="307">
        <f t="shared" si="68"/>
        <v>0.59999999999999953</v>
      </c>
      <c r="EA71" s="90">
        <f t="shared" si="75"/>
        <v>0.69967965979953262</v>
      </c>
      <c r="EB71" s="90">
        <f t="shared" si="76"/>
        <v>0.69967965979953262</v>
      </c>
      <c r="EC71" s="90">
        <f t="shared" si="77"/>
        <v>33</v>
      </c>
      <c r="ED71" s="308">
        <f t="shared" si="78"/>
        <v>0.22999999999999982</v>
      </c>
      <c r="EE71" s="307">
        <f t="shared" si="69"/>
        <v>0.60000000000000142</v>
      </c>
      <c r="EF71" s="90">
        <f t="shared" si="79"/>
        <v>-5.3498016435500978E-2</v>
      </c>
      <c r="EG71" s="90">
        <f t="shared" si="80"/>
        <v>-5.3498016435500978E-2</v>
      </c>
      <c r="EH71" s="90">
        <f t="shared" si="70"/>
        <v>34</v>
      </c>
      <c r="EI71" s="308">
        <f t="shared" si="71"/>
        <v>0.23000000000000057</v>
      </c>
    </row>
    <row r="72" spans="82:139" ht="12" customHeight="1" x14ac:dyDescent="0.2">
      <c r="CD72" s="268" t="s">
        <v>345</v>
      </c>
      <c r="CE72" s="113">
        <f>EXP(0.5*LN(CE54/CE53)-NORMSINV((100+AA2)/200)*CE71)</f>
        <v>0.17280031381969169</v>
      </c>
      <c r="CG72" s="90">
        <f>EXP(0.5*LN(CF54/CF53)-NORMSINV((100+AA2)/200)*CG71)</f>
        <v>0.17027301909880135</v>
      </c>
      <c r="CJ72" s="290" t="str">
        <f t="shared" si="86"/>
        <v/>
      </c>
      <c r="CK72" s="290">
        <v>27</v>
      </c>
      <c r="CL72" s="90"/>
      <c r="CM72" s="90"/>
      <c r="CN72" s="90" t="str">
        <f t="shared" si="99"/>
        <v/>
      </c>
      <c r="CO72" s="90"/>
      <c r="CP72" s="90" t="str">
        <f t="shared" si="100"/>
        <v/>
      </c>
      <c r="CQ72" s="90" t="e">
        <f t="shared" si="101"/>
        <v>#N/A</v>
      </c>
      <c r="CR72" s="90" t="e">
        <f t="shared" si="102"/>
        <v>#N/A</v>
      </c>
      <c r="CS72" s="90" t="e">
        <f t="shared" si="103"/>
        <v>#N/A</v>
      </c>
      <c r="CT72" s="102" t="e">
        <f t="shared" si="104"/>
        <v>#N/A</v>
      </c>
      <c r="CU72" s="90" t="str">
        <f t="shared" si="105"/>
        <v/>
      </c>
      <c r="CV72" s="90" t="str">
        <f t="shared" si="87"/>
        <v/>
      </c>
      <c r="CW72" s="90" t="str">
        <f t="shared" si="88"/>
        <v/>
      </c>
      <c r="CX72" s="90" t="str">
        <f t="shared" si="88"/>
        <v/>
      </c>
      <c r="CY72" s="90" t="str">
        <f t="shared" si="88"/>
        <v/>
      </c>
      <c r="CZ72" s="90" t="str">
        <f t="shared" si="106"/>
        <v/>
      </c>
      <c r="DA72" s="90" t="str">
        <f t="shared" si="107"/>
        <v/>
      </c>
      <c r="DB72" s="113" t="str">
        <f t="shared" si="89"/>
        <v/>
      </c>
      <c r="DC72" s="106" t="e">
        <f t="shared" si="90"/>
        <v>#N/A</v>
      </c>
      <c r="DD72" s="90" t="e">
        <f t="shared" si="91"/>
        <v>#N/A</v>
      </c>
      <c r="DE72" s="90" t="e">
        <f t="shared" si="92"/>
        <v>#N/A</v>
      </c>
      <c r="DF72" s="90" t="e">
        <f t="shared" si="93"/>
        <v>#N/A</v>
      </c>
      <c r="DG72" s="90" t="e">
        <f t="shared" si="94"/>
        <v>#N/A</v>
      </c>
      <c r="DH72" s="90" t="e">
        <f t="shared" si="95"/>
        <v>#N/A</v>
      </c>
      <c r="DI72" s="90" t="e">
        <f t="shared" si="96"/>
        <v>#N/A</v>
      </c>
      <c r="DJ72" s="90" t="e">
        <f t="shared" si="97"/>
        <v>#N/A</v>
      </c>
      <c r="DK72" s="113" t="e">
        <f t="shared" si="98"/>
        <v>#N/A</v>
      </c>
      <c r="DL72" s="90">
        <f t="shared" si="108"/>
        <v>27</v>
      </c>
      <c r="DM72" s="308">
        <v>27</v>
      </c>
      <c r="DS72" s="307">
        <v>61</v>
      </c>
      <c r="DT72" s="50">
        <f t="shared" si="66"/>
        <v>0.61000000000000321</v>
      </c>
      <c r="DU72" s="90">
        <f t="shared" si="72"/>
        <v>0.41797346253780104</v>
      </c>
      <c r="DV72" s="90" t="e">
        <f t="shared" si="73"/>
        <v>#N/A</v>
      </c>
      <c r="DW72" s="90">
        <f t="shared" si="74"/>
        <v>0.41797346253780104</v>
      </c>
      <c r="DX72" s="90">
        <f t="shared" si="67"/>
        <v>32</v>
      </c>
      <c r="DY72" s="308">
        <f t="shared" si="65"/>
        <v>0.23400000000000129</v>
      </c>
      <c r="DZ72" s="307">
        <f t="shared" si="68"/>
        <v>0.60999999999999954</v>
      </c>
      <c r="EA72" s="90">
        <f t="shared" si="75"/>
        <v>0.70258698596048774</v>
      </c>
      <c r="EB72" s="90">
        <f t="shared" si="76"/>
        <v>0.70258698596048774</v>
      </c>
      <c r="EC72" s="90">
        <f t="shared" si="77"/>
        <v>33</v>
      </c>
      <c r="ED72" s="308">
        <f t="shared" si="78"/>
        <v>0.23399999999999982</v>
      </c>
      <c r="EE72" s="307">
        <f t="shared" si="69"/>
        <v>0.61000000000000143</v>
      </c>
      <c r="EF72" s="90">
        <f t="shared" si="79"/>
        <v>-5.0953978302680454E-2</v>
      </c>
      <c r="EG72" s="90">
        <f t="shared" si="80"/>
        <v>-5.0953978302680454E-2</v>
      </c>
      <c r="EH72" s="90">
        <f t="shared" si="70"/>
        <v>34</v>
      </c>
      <c r="EI72" s="308">
        <f t="shared" si="71"/>
        <v>0.23400000000000057</v>
      </c>
    </row>
    <row r="73" spans="82:139" ht="12" customHeight="1" x14ac:dyDescent="0.2">
      <c r="CD73" s="268" t="s">
        <v>346</v>
      </c>
      <c r="CE73" s="113">
        <f>EXP(0.5*LN(CE54/CE53)+NORMSINV((100+AA2)/200)*CE71)</f>
        <v>0.70113927949091759</v>
      </c>
      <c r="CG73" s="90">
        <f>EXP(0.5*LN(CF54/CF53)+NORMSINV((100+AA2)/200)*CG71)</f>
        <v>0.5930867689420336</v>
      </c>
      <c r="CJ73" s="290" t="str">
        <f t="shared" si="86"/>
        <v/>
      </c>
      <c r="CK73" s="290">
        <v>28</v>
      </c>
      <c r="CL73" s="90"/>
      <c r="CM73" s="90"/>
      <c r="CN73" s="90" t="str">
        <f t="shared" si="99"/>
        <v/>
      </c>
      <c r="CO73" s="90"/>
      <c r="CP73" s="90" t="str">
        <f t="shared" si="100"/>
        <v/>
      </c>
      <c r="CQ73" s="90" t="e">
        <f t="shared" si="101"/>
        <v>#N/A</v>
      </c>
      <c r="CR73" s="90" t="e">
        <f t="shared" si="102"/>
        <v>#N/A</v>
      </c>
      <c r="CS73" s="90" t="e">
        <f t="shared" si="103"/>
        <v>#N/A</v>
      </c>
      <c r="CT73" s="102" t="e">
        <f t="shared" si="104"/>
        <v>#N/A</v>
      </c>
      <c r="CU73" s="90" t="str">
        <f t="shared" si="105"/>
        <v/>
      </c>
      <c r="CV73" s="90" t="str">
        <f t="shared" si="87"/>
        <v/>
      </c>
      <c r="CW73" s="90" t="str">
        <f t="shared" si="88"/>
        <v/>
      </c>
      <c r="CX73" s="90" t="str">
        <f t="shared" si="88"/>
        <v/>
      </c>
      <c r="CY73" s="90" t="str">
        <f t="shared" si="88"/>
        <v/>
      </c>
      <c r="CZ73" s="90" t="str">
        <f t="shared" si="106"/>
        <v/>
      </c>
      <c r="DA73" s="90" t="str">
        <f t="shared" si="107"/>
        <v/>
      </c>
      <c r="DB73" s="113" t="str">
        <f t="shared" si="89"/>
        <v/>
      </c>
      <c r="DC73" s="106" t="e">
        <f t="shared" si="90"/>
        <v>#N/A</v>
      </c>
      <c r="DD73" s="90" t="e">
        <f t="shared" si="91"/>
        <v>#N/A</v>
      </c>
      <c r="DE73" s="90" t="e">
        <f t="shared" si="92"/>
        <v>#N/A</v>
      </c>
      <c r="DF73" s="90" t="e">
        <f t="shared" si="93"/>
        <v>#N/A</v>
      </c>
      <c r="DG73" s="90" t="e">
        <f t="shared" si="94"/>
        <v>#N/A</v>
      </c>
      <c r="DH73" s="90" t="e">
        <f t="shared" si="95"/>
        <v>#N/A</v>
      </c>
      <c r="DI73" s="90" t="e">
        <f t="shared" si="96"/>
        <v>#N/A</v>
      </c>
      <c r="DJ73" s="90" t="e">
        <f t="shared" si="97"/>
        <v>#N/A</v>
      </c>
      <c r="DK73" s="113" t="e">
        <f t="shared" si="98"/>
        <v>#N/A</v>
      </c>
      <c r="DL73" s="90">
        <f t="shared" si="108"/>
        <v>28</v>
      </c>
      <c r="DM73" s="308">
        <v>28</v>
      </c>
      <c r="DS73" s="307">
        <v>62</v>
      </c>
      <c r="DT73" s="50">
        <f t="shared" si="66"/>
        <v>0.62000000000000333</v>
      </c>
      <c r="DU73" s="90">
        <f t="shared" si="72"/>
        <v>0.42107853413579754</v>
      </c>
      <c r="DV73" s="90" t="e">
        <f t="shared" si="73"/>
        <v>#N/A</v>
      </c>
      <c r="DW73" s="90">
        <f t="shared" si="74"/>
        <v>0.42107853413579754</v>
      </c>
      <c r="DX73" s="90">
        <f t="shared" si="67"/>
        <v>32</v>
      </c>
      <c r="DY73" s="308">
        <f t="shared" si="65"/>
        <v>0.23800000000000132</v>
      </c>
      <c r="DZ73" s="307">
        <f t="shared" si="68"/>
        <v>0.61999999999999955</v>
      </c>
      <c r="EA73" s="90">
        <f t="shared" si="75"/>
        <v>0.70549431212144287</v>
      </c>
      <c r="EB73" s="90">
        <f t="shared" si="76"/>
        <v>0.70549431212144287</v>
      </c>
      <c r="EC73" s="90">
        <f t="shared" si="77"/>
        <v>33</v>
      </c>
      <c r="ED73" s="308">
        <f t="shared" si="78"/>
        <v>0.23799999999999982</v>
      </c>
      <c r="EE73" s="307">
        <f t="shared" si="69"/>
        <v>0.62000000000000144</v>
      </c>
      <c r="EF73" s="90">
        <f t="shared" si="79"/>
        <v>-4.840994016985993E-2</v>
      </c>
      <c r="EG73" s="90">
        <f t="shared" si="80"/>
        <v>-4.840994016985993E-2</v>
      </c>
      <c r="EH73" s="90">
        <f t="shared" si="70"/>
        <v>34</v>
      </c>
      <c r="EI73" s="308">
        <f t="shared" si="71"/>
        <v>0.23800000000000057</v>
      </c>
    </row>
    <row r="74" spans="82:139" ht="12" customHeight="1" x14ac:dyDescent="0.2">
      <c r="CD74" s="268" t="s">
        <v>347</v>
      </c>
      <c r="CE74" s="113">
        <f>MAX(0,CE53*(CE72^2-1)/CE56)</f>
        <v>0</v>
      </c>
      <c r="CG74" s="90">
        <f>MAX(0,CF53*(CG72^2-1)/CF56)</f>
        <v>0</v>
      </c>
      <c r="CJ74" s="290" t="str">
        <f t="shared" si="86"/>
        <v/>
      </c>
      <c r="CK74" s="290">
        <v>29</v>
      </c>
      <c r="CL74" s="90"/>
      <c r="CM74" s="90"/>
      <c r="CN74" s="90" t="str">
        <f t="shared" si="99"/>
        <v/>
      </c>
      <c r="CO74" s="90"/>
      <c r="CP74" s="90" t="str">
        <f t="shared" si="100"/>
        <v/>
      </c>
      <c r="CQ74" s="90" t="e">
        <f t="shared" si="101"/>
        <v>#N/A</v>
      </c>
      <c r="CR74" s="90" t="e">
        <f t="shared" si="102"/>
        <v>#N/A</v>
      </c>
      <c r="CS74" s="90" t="e">
        <f t="shared" si="103"/>
        <v>#N/A</v>
      </c>
      <c r="CT74" s="102" t="e">
        <f t="shared" si="104"/>
        <v>#N/A</v>
      </c>
      <c r="CU74" s="90" t="str">
        <f t="shared" si="105"/>
        <v/>
      </c>
      <c r="CV74" s="90" t="str">
        <f t="shared" si="87"/>
        <v/>
      </c>
      <c r="CW74" s="90" t="str">
        <f t="shared" ref="CW74:CY75" si="109">IF(AND(CW36&lt;&gt;"",$CH36=$CM$45),CW36,"")</f>
        <v/>
      </c>
      <c r="CX74" s="90" t="str">
        <f t="shared" si="109"/>
        <v/>
      </c>
      <c r="CY74" s="90" t="str">
        <f t="shared" si="109"/>
        <v/>
      </c>
      <c r="CZ74" s="90" t="str">
        <f t="shared" si="106"/>
        <v/>
      </c>
      <c r="DA74" s="90" t="str">
        <f t="shared" si="107"/>
        <v/>
      </c>
      <c r="DB74" s="113" t="str">
        <f t="shared" si="89"/>
        <v/>
      </c>
      <c r="DC74" s="106" t="e">
        <f t="shared" si="90"/>
        <v>#N/A</v>
      </c>
      <c r="DD74" s="90" t="e">
        <f t="shared" si="91"/>
        <v>#N/A</v>
      </c>
      <c r="DE74" s="90" t="e">
        <f t="shared" si="92"/>
        <v>#N/A</v>
      </c>
      <c r="DF74" s="90" t="e">
        <f t="shared" si="93"/>
        <v>#N/A</v>
      </c>
      <c r="DG74" s="90" t="e">
        <f t="shared" si="94"/>
        <v>#N/A</v>
      </c>
      <c r="DH74" s="90" t="e">
        <f t="shared" si="95"/>
        <v>#N/A</v>
      </c>
      <c r="DI74" s="90" t="e">
        <f t="shared" si="96"/>
        <v>#N/A</v>
      </c>
      <c r="DJ74" s="90" t="e">
        <f t="shared" si="97"/>
        <v>#N/A</v>
      </c>
      <c r="DK74" s="113" t="e">
        <f t="shared" si="98"/>
        <v>#N/A</v>
      </c>
      <c r="DL74" s="90">
        <f t="shared" si="108"/>
        <v>29</v>
      </c>
      <c r="DM74" s="308">
        <v>29</v>
      </c>
      <c r="DS74" s="307">
        <v>63</v>
      </c>
      <c r="DT74" s="50">
        <f t="shared" si="66"/>
        <v>0.63000000000000345</v>
      </c>
      <c r="DU74" s="90">
        <f t="shared" si="72"/>
        <v>0.42418360573379404</v>
      </c>
      <c r="DV74" s="90" t="e">
        <f t="shared" si="73"/>
        <v>#N/A</v>
      </c>
      <c r="DW74" s="90">
        <f t="shared" si="74"/>
        <v>0.42418360573379404</v>
      </c>
      <c r="DX74" s="90">
        <f t="shared" si="67"/>
        <v>32</v>
      </c>
      <c r="DY74" s="308">
        <f t="shared" si="65"/>
        <v>0.24200000000000138</v>
      </c>
      <c r="DZ74" s="307">
        <f t="shared" si="68"/>
        <v>0.62999999999999945</v>
      </c>
      <c r="EA74" s="90">
        <f t="shared" si="75"/>
        <v>0.70840163828239799</v>
      </c>
      <c r="EB74" s="90">
        <f t="shared" si="76"/>
        <v>0.70840163828239799</v>
      </c>
      <c r="EC74" s="90">
        <f t="shared" si="77"/>
        <v>33</v>
      </c>
      <c r="ED74" s="308">
        <f t="shared" si="78"/>
        <v>0.24199999999999977</v>
      </c>
      <c r="EE74" s="307">
        <f t="shared" si="69"/>
        <v>0.63000000000000145</v>
      </c>
      <c r="EF74" s="90">
        <f t="shared" si="79"/>
        <v>-4.5865902037039406E-2</v>
      </c>
      <c r="EG74" s="90">
        <f t="shared" si="80"/>
        <v>-4.5865902037039406E-2</v>
      </c>
      <c r="EH74" s="90">
        <f t="shared" si="70"/>
        <v>34</v>
      </c>
      <c r="EI74" s="308">
        <f t="shared" si="71"/>
        <v>0.2420000000000006</v>
      </c>
    </row>
    <row r="75" spans="82:139" ht="12" customHeight="1" x14ac:dyDescent="0.2">
      <c r="CD75" s="268" t="s">
        <v>348</v>
      </c>
      <c r="CE75" s="113">
        <f>MAX(0,CE53*(CE73^2-1)/CE56)</f>
        <v>0</v>
      </c>
      <c r="CG75" s="90">
        <f>MAX(0,CF53*(CG73^2-1)/CF56)</f>
        <v>0</v>
      </c>
      <c r="CJ75" s="124" t="str">
        <f t="shared" si="86"/>
        <v/>
      </c>
      <c r="CK75" s="124">
        <v>30</v>
      </c>
      <c r="CL75" s="79"/>
      <c r="CM75" s="79"/>
      <c r="CN75" s="79" t="str">
        <f t="shared" si="99"/>
        <v/>
      </c>
      <c r="CO75" s="79"/>
      <c r="CP75" s="79" t="str">
        <f t="shared" si="100"/>
        <v/>
      </c>
      <c r="CQ75" s="79" t="e">
        <f t="shared" si="101"/>
        <v>#N/A</v>
      </c>
      <c r="CR75" s="79" t="e">
        <f t="shared" si="102"/>
        <v>#N/A</v>
      </c>
      <c r="CS75" s="79" t="e">
        <f t="shared" si="103"/>
        <v>#N/A</v>
      </c>
      <c r="CT75" s="271" t="e">
        <f t="shared" si="104"/>
        <v>#N/A</v>
      </c>
      <c r="CU75" s="79" t="str">
        <f t="shared" si="105"/>
        <v/>
      </c>
      <c r="CV75" s="79" t="str">
        <f t="shared" si="87"/>
        <v/>
      </c>
      <c r="CW75" s="79" t="str">
        <f t="shared" si="109"/>
        <v/>
      </c>
      <c r="CX75" s="79" t="str">
        <f t="shared" si="109"/>
        <v/>
      </c>
      <c r="CY75" s="79" t="str">
        <f t="shared" si="109"/>
        <v/>
      </c>
      <c r="CZ75" s="79" t="str">
        <f t="shared" si="106"/>
        <v/>
      </c>
      <c r="DA75" s="79" t="str">
        <f t="shared" si="107"/>
        <v/>
      </c>
      <c r="DB75" s="109" t="str">
        <f t="shared" si="89"/>
        <v/>
      </c>
      <c r="DC75" s="207" t="e">
        <f t="shared" si="90"/>
        <v>#N/A</v>
      </c>
      <c r="DD75" s="79" t="e">
        <f t="shared" si="91"/>
        <v>#N/A</v>
      </c>
      <c r="DE75" s="79" t="e">
        <f t="shared" si="92"/>
        <v>#N/A</v>
      </c>
      <c r="DF75" s="79" t="e">
        <f t="shared" si="93"/>
        <v>#N/A</v>
      </c>
      <c r="DG75" s="79" t="e">
        <f t="shared" si="94"/>
        <v>#N/A</v>
      </c>
      <c r="DH75" s="79" t="e">
        <f t="shared" si="95"/>
        <v>#N/A</v>
      </c>
      <c r="DI75" s="79" t="e">
        <f t="shared" si="96"/>
        <v>#N/A</v>
      </c>
      <c r="DJ75" s="79" t="e">
        <f t="shared" si="97"/>
        <v>#N/A</v>
      </c>
      <c r="DK75" s="109" t="e">
        <f t="shared" si="98"/>
        <v>#N/A</v>
      </c>
      <c r="DL75" s="79">
        <f t="shared" si="108"/>
        <v>30</v>
      </c>
      <c r="DM75" s="551">
        <v>30</v>
      </c>
      <c r="DS75" s="307">
        <v>64</v>
      </c>
      <c r="DT75" s="50">
        <f t="shared" si="66"/>
        <v>0.64000000000000346</v>
      </c>
      <c r="DU75" s="90">
        <f t="shared" si="72"/>
        <v>0.42728867733179055</v>
      </c>
      <c r="DV75" s="90" t="e">
        <f t="shared" si="73"/>
        <v>#N/A</v>
      </c>
      <c r="DW75" s="90">
        <f t="shared" si="74"/>
        <v>0.42728867733179055</v>
      </c>
      <c r="DX75" s="90">
        <f t="shared" si="67"/>
        <v>32</v>
      </c>
      <c r="DY75" s="308">
        <f t="shared" ref="DY75:DY138" si="110">MAX($DV$3*DT75-$DV$9,0)</f>
        <v>0.24600000000000138</v>
      </c>
      <c r="DZ75" s="307">
        <f t="shared" si="68"/>
        <v>0.63999999999999946</v>
      </c>
      <c r="EA75" s="90">
        <f t="shared" si="75"/>
        <v>0.71130896444335312</v>
      </c>
      <c r="EB75" s="90">
        <f t="shared" si="76"/>
        <v>0.71130896444335312</v>
      </c>
      <c r="EC75" s="90">
        <f t="shared" si="77"/>
        <v>33</v>
      </c>
      <c r="ED75" s="308">
        <f t="shared" si="78"/>
        <v>0.24599999999999977</v>
      </c>
      <c r="EE75" s="307">
        <f t="shared" si="69"/>
        <v>0.64000000000000146</v>
      </c>
      <c r="EF75" s="90">
        <f t="shared" si="79"/>
        <v>-4.3321863904218882E-2</v>
      </c>
      <c r="EG75" s="90">
        <f t="shared" si="80"/>
        <v>-4.3321863904218882E-2</v>
      </c>
      <c r="EH75" s="90">
        <f t="shared" si="70"/>
        <v>34</v>
      </c>
      <c r="EI75" s="308">
        <f t="shared" si="71"/>
        <v>0.24600000000000061</v>
      </c>
    </row>
    <row r="76" spans="82:139" ht="12" customHeight="1" x14ac:dyDescent="0.2">
      <c r="CD76" s="268" t="s">
        <v>349</v>
      </c>
      <c r="CE76" s="113">
        <f>SQRT(CE74)</f>
        <v>0</v>
      </c>
      <c r="CG76" s="50">
        <f>SQRT(CG74)</f>
        <v>0</v>
      </c>
      <c r="CJ76" s="465">
        <f>SUM(CJ46:CJ75)</f>
        <v>100</v>
      </c>
      <c r="CM76" s="766"/>
      <c r="CN76" s="706"/>
      <c r="CO76" s="767"/>
      <c r="CP76" s="562" t="s">
        <v>315</v>
      </c>
      <c r="CQ76" s="50">
        <f>J41</f>
        <v>0</v>
      </c>
      <c r="CR76" s="1">
        <v>33</v>
      </c>
      <c r="CS76" s="435" t="s">
        <v>299</v>
      </c>
      <c r="CU76" s="408">
        <f t="shared" ref="CU76:DB76" si="111">SUM(CU46:CU75)</f>
        <v>45.447360955768019</v>
      </c>
      <c r="CV76" s="408">
        <f t="shared" si="111"/>
        <v>45.447360955768019</v>
      </c>
      <c r="CW76" s="271">
        <f t="shared" si="111"/>
        <v>37.083806110441337</v>
      </c>
      <c r="CX76" s="271">
        <f t="shared" si="111"/>
        <v>353.01241183401567</v>
      </c>
      <c r="CY76" s="271">
        <f t="shared" si="111"/>
        <v>30.865159067169092</v>
      </c>
      <c r="CZ76" s="271">
        <f t="shared" si="111"/>
        <v>0.80921774604292618</v>
      </c>
      <c r="DA76" s="271">
        <f t="shared" si="111"/>
        <v>45.447360955768019</v>
      </c>
      <c r="DB76" s="564">
        <f t="shared" si="111"/>
        <v>37.083806110441337</v>
      </c>
      <c r="DS76" s="307">
        <v>65</v>
      </c>
      <c r="DT76" s="50">
        <f t="shared" ref="DT76:DT139" si="112">1-ABS($CR$41-DW76)/$CT$40</f>
        <v>0.65000000000000346</v>
      </c>
      <c r="DU76" s="90">
        <f t="shared" si="72"/>
        <v>0.43039374892978705</v>
      </c>
      <c r="DV76" s="90" t="e">
        <f t="shared" si="73"/>
        <v>#N/A</v>
      </c>
      <c r="DW76" s="90">
        <f t="shared" si="74"/>
        <v>0.43039374892978705</v>
      </c>
      <c r="DX76" s="90">
        <f t="shared" ref="DX76:DX139" si="113">DX75</f>
        <v>32</v>
      </c>
      <c r="DY76" s="308">
        <f t="shared" si="110"/>
        <v>0.25000000000000139</v>
      </c>
      <c r="DZ76" s="307">
        <f t="shared" ref="DZ76:DZ139" si="114">1-ABS($CN$77-EB76)/$CS$77</f>
        <v>0.64999999999999947</v>
      </c>
      <c r="EA76" s="90">
        <f t="shared" si="75"/>
        <v>0.71421629060430825</v>
      </c>
      <c r="EB76" s="90">
        <f t="shared" si="76"/>
        <v>0.71421629060430825</v>
      </c>
      <c r="EC76" s="90">
        <f t="shared" si="77"/>
        <v>33</v>
      </c>
      <c r="ED76" s="308">
        <f t="shared" si="78"/>
        <v>0.24999999999999978</v>
      </c>
      <c r="EE76" s="307">
        <f t="shared" ref="EE76:EE139" si="115">1-ABS($CN$114-EG76)/$CS$114</f>
        <v>0.65000000000000135</v>
      </c>
      <c r="EF76" s="90">
        <f t="shared" si="79"/>
        <v>-4.0777825771398359E-2</v>
      </c>
      <c r="EG76" s="90">
        <f t="shared" si="80"/>
        <v>-4.0777825771398359E-2</v>
      </c>
      <c r="EH76" s="90">
        <f t="shared" ref="EH76:EH139" si="116">EH75</f>
        <v>34</v>
      </c>
      <c r="EI76" s="308">
        <f t="shared" ref="EI76:EI139" si="117">MAX($EH$3*EE76-$EF$9,0)</f>
        <v>0.25000000000000056</v>
      </c>
    </row>
    <row r="77" spans="82:139" ht="12" customHeight="1" x14ac:dyDescent="0.2">
      <c r="CD77" s="107" t="s">
        <v>350</v>
      </c>
      <c r="CE77" s="109">
        <f>SQRT(CE75)</f>
        <v>0</v>
      </c>
      <c r="CG77" s="90">
        <f>SQRT(CG75)</f>
        <v>0</v>
      </c>
      <c r="CJ77" s="90"/>
      <c r="CN77" s="581">
        <f>IF($CP77&lt;&gt;"",Z40,"")</f>
        <v>0.81597270623773788</v>
      </c>
      <c r="CO77" s="582">
        <f>IF($CP77&lt;&gt;"",L41,"")</f>
        <v>0</v>
      </c>
      <c r="CP77" s="484">
        <f>IF(AND(CZ2,$CP$6),(Z40-$CO$4)/CU77,"")</f>
        <v>5.5008520821353093</v>
      </c>
      <c r="CQ77" s="264">
        <f>IF(AND($CN$6,$CO$7,$CY$3),IF(NOT($CW$5),J41,NA()),NA())</f>
        <v>0</v>
      </c>
      <c r="CR77" s="264">
        <v>33</v>
      </c>
      <c r="CS77" s="485">
        <f>IF(CP77&lt;&gt;"",IF(fixedrandom=1,NORMSINV((100+AA2)/200)*CU77,CE62),NA())</f>
        <v>0.29073261609551282</v>
      </c>
      <c r="CT77" s="764" t="s">
        <v>262</v>
      </c>
      <c r="CU77" s="238">
        <f>IF($CP$6,SQRT(1/SUM(CU46:CU75)),"")</f>
        <v>0.14833569309883993</v>
      </c>
      <c r="CV77" s="486">
        <f>IF(fixedrandom=1,MAX(CU46:CU75),MAX(DA46:DA75))</f>
        <v>10.102934473494086</v>
      </c>
      <c r="CW77" s="487" t="s">
        <v>296</v>
      </c>
      <c r="DS77" s="307">
        <v>66</v>
      </c>
      <c r="DT77" s="50">
        <f t="shared" si="112"/>
        <v>0.66000000000000358</v>
      </c>
      <c r="DU77" s="90">
        <f t="shared" ref="DU77:DU140" si="118">IF(AND($CJ$5,$CY$4,$CZ$2),DW76+$DV$8,NA())</f>
        <v>0.43349882052778355</v>
      </c>
      <c r="DV77" s="90" t="e">
        <f t="shared" ref="DV77:DV140" si="119">IF(AND(NOT($CJ$5),$CY$4),DW76+$DV$8,NA())</f>
        <v>#N/A</v>
      </c>
      <c r="DW77" s="90">
        <f t="shared" ref="DW77:DW140" si="120">IF($CY$4,DW76+$DV$8,NA())</f>
        <v>0.43349882052778355</v>
      </c>
      <c r="DX77" s="90">
        <f t="shared" si="113"/>
        <v>32</v>
      </c>
      <c r="DY77" s="308">
        <f t="shared" si="110"/>
        <v>0.25400000000000145</v>
      </c>
      <c r="DZ77" s="307">
        <f t="shared" si="114"/>
        <v>0.65999999999999948</v>
      </c>
      <c r="EA77" s="90">
        <f t="shared" ref="EA77:EA140" si="121">IF(AND($CJ$5,$CY$4),EB76+$EA$8,NA())</f>
        <v>0.71712361676526337</v>
      </c>
      <c r="EB77" s="90">
        <f t="shared" ref="EB77:EB140" si="122">IF($CY$4,EB76+$EA$8,NA())</f>
        <v>0.71712361676526337</v>
      </c>
      <c r="EC77" s="90">
        <f t="shared" ref="EC77:EC140" si="123">EC76</f>
        <v>33</v>
      </c>
      <c r="ED77" s="308">
        <f t="shared" ref="ED77:ED140" si="124">MAX($EC$3*DZ77-$EA$9,0)</f>
        <v>0.25399999999999978</v>
      </c>
      <c r="EE77" s="307">
        <f t="shared" si="115"/>
        <v>0.66000000000000147</v>
      </c>
      <c r="EF77" s="90">
        <f t="shared" ref="EF77:EF140" si="125">IF(AND($CJ$5,$CY$4),EG76+$EF$8,NA())</f>
        <v>-3.8233787638577835E-2</v>
      </c>
      <c r="EG77" s="90">
        <f t="shared" ref="EG77:EG140" si="126">IF($CY$4,EG76+$EF$8,NA())</f>
        <v>-3.8233787638577835E-2</v>
      </c>
      <c r="EH77" s="90">
        <f t="shared" si="116"/>
        <v>34</v>
      </c>
      <c r="EI77" s="308">
        <f t="shared" si="117"/>
        <v>0.25400000000000061</v>
      </c>
    </row>
    <row r="78" spans="82:139" ht="12" customHeight="1" x14ac:dyDescent="0.2">
      <c r="CQ78" s="59" t="s">
        <v>81</v>
      </c>
      <c r="CR78" s="50">
        <f>IF(CP77&lt;&gt;"",CE62/(NORMSINV((100+AA2)/200)*CU77),NA())</f>
        <v>1</v>
      </c>
      <c r="DS78" s="307">
        <v>67</v>
      </c>
      <c r="DT78" s="50">
        <f t="shared" si="112"/>
        <v>0.6700000000000037</v>
      </c>
      <c r="DU78" s="90">
        <f t="shared" si="118"/>
        <v>0.43660389212578005</v>
      </c>
      <c r="DV78" s="90" t="e">
        <f t="shared" si="119"/>
        <v>#N/A</v>
      </c>
      <c r="DW78" s="90">
        <f t="shared" si="120"/>
        <v>0.43660389212578005</v>
      </c>
      <c r="DX78" s="90">
        <f t="shared" si="113"/>
        <v>32</v>
      </c>
      <c r="DY78" s="308">
        <f t="shared" si="110"/>
        <v>0.25800000000000151</v>
      </c>
      <c r="DZ78" s="307">
        <f t="shared" si="114"/>
        <v>0.66999999999999948</v>
      </c>
      <c r="EA78" s="90">
        <f t="shared" si="121"/>
        <v>0.7200309429262185</v>
      </c>
      <c r="EB78" s="90">
        <f t="shared" si="122"/>
        <v>0.7200309429262185</v>
      </c>
      <c r="EC78" s="90">
        <f t="shared" si="123"/>
        <v>33</v>
      </c>
      <c r="ED78" s="308">
        <f t="shared" si="124"/>
        <v>0.25799999999999979</v>
      </c>
      <c r="EE78" s="307">
        <f t="shared" si="115"/>
        <v>0.67000000000000148</v>
      </c>
      <c r="EF78" s="90">
        <f t="shared" si="125"/>
        <v>-3.5689749505757311E-2</v>
      </c>
      <c r="EG78" s="90">
        <f t="shared" si="126"/>
        <v>-3.5689749505757311E-2</v>
      </c>
      <c r="EH78" s="90">
        <f t="shared" si="116"/>
        <v>34</v>
      </c>
      <c r="EI78" s="308">
        <f t="shared" si="117"/>
        <v>0.25800000000000062</v>
      </c>
    </row>
    <row r="79" spans="82:139" ht="12" customHeight="1" x14ac:dyDescent="0.2">
      <c r="DS79" s="307">
        <v>68</v>
      </c>
      <c r="DT79" s="50">
        <f t="shared" si="112"/>
        <v>0.68000000000000371</v>
      </c>
      <c r="DU79" s="90">
        <f t="shared" si="118"/>
        <v>0.43970896372377655</v>
      </c>
      <c r="DV79" s="90" t="e">
        <f t="shared" si="119"/>
        <v>#N/A</v>
      </c>
      <c r="DW79" s="90">
        <f t="shared" si="120"/>
        <v>0.43970896372377655</v>
      </c>
      <c r="DX79" s="90">
        <f t="shared" si="113"/>
        <v>32</v>
      </c>
      <c r="DY79" s="308">
        <f t="shared" si="110"/>
        <v>0.26200000000000151</v>
      </c>
      <c r="DZ79" s="307">
        <f t="shared" si="114"/>
        <v>0.67999999999999949</v>
      </c>
      <c r="EA79" s="90">
        <f t="shared" si="121"/>
        <v>0.72293826908717362</v>
      </c>
      <c r="EB79" s="90">
        <f t="shared" si="122"/>
        <v>0.72293826908717362</v>
      </c>
      <c r="EC79" s="90">
        <f t="shared" si="123"/>
        <v>33</v>
      </c>
      <c r="ED79" s="308">
        <f t="shared" si="124"/>
        <v>0.26199999999999979</v>
      </c>
      <c r="EE79" s="307">
        <f t="shared" si="115"/>
        <v>0.68000000000000138</v>
      </c>
      <c r="EF79" s="90">
        <f t="shared" si="125"/>
        <v>-3.3145711372936787E-2</v>
      </c>
      <c r="EG79" s="90">
        <f t="shared" si="126"/>
        <v>-3.3145711372936787E-2</v>
      </c>
      <c r="EH79" s="90">
        <f t="shared" si="116"/>
        <v>34</v>
      </c>
      <c r="EI79" s="308">
        <f t="shared" si="117"/>
        <v>0.26200000000000057</v>
      </c>
    </row>
    <row r="80" spans="82:139" ht="12" customHeight="1" x14ac:dyDescent="0.2">
      <c r="CK80" s="565" t="s">
        <v>216</v>
      </c>
      <c r="CL80" s="577"/>
      <c r="CM80" s="566" t="s">
        <v>220</v>
      </c>
      <c r="CN80" s="566"/>
      <c r="CO80" s="566"/>
      <c r="CP80" s="566"/>
      <c r="CQ80" s="566"/>
      <c r="CR80" s="566"/>
      <c r="CS80" s="566"/>
      <c r="CT80" s="566"/>
      <c r="CU80" s="566"/>
      <c r="CV80" s="567" t="s">
        <v>337</v>
      </c>
      <c r="CW80" s="568"/>
      <c r="CX80" s="568"/>
      <c r="CY80" s="566"/>
      <c r="CZ80" s="566"/>
      <c r="DA80" s="566"/>
      <c r="DB80" s="566"/>
      <c r="DC80" s="566"/>
      <c r="DD80" s="566"/>
      <c r="DE80" s="566"/>
      <c r="DF80" s="566"/>
      <c r="DG80" s="566"/>
      <c r="DH80" s="566"/>
      <c r="DI80" s="566"/>
      <c r="DJ80" s="566"/>
      <c r="DK80" s="566"/>
      <c r="DL80" s="566"/>
      <c r="DM80" s="566"/>
      <c r="DS80" s="307">
        <v>69</v>
      </c>
      <c r="DT80" s="50">
        <f t="shared" si="112"/>
        <v>0.69000000000000372</v>
      </c>
      <c r="DU80" s="90">
        <f t="shared" si="118"/>
        <v>0.44281403532177305</v>
      </c>
      <c r="DV80" s="90" t="e">
        <f t="shared" si="119"/>
        <v>#N/A</v>
      </c>
      <c r="DW80" s="90">
        <f t="shared" si="120"/>
        <v>0.44281403532177305</v>
      </c>
      <c r="DX80" s="90">
        <f t="shared" si="113"/>
        <v>32</v>
      </c>
      <c r="DY80" s="308">
        <f t="shared" si="110"/>
        <v>0.26600000000000151</v>
      </c>
      <c r="DZ80" s="307">
        <f t="shared" si="114"/>
        <v>0.6899999999999995</v>
      </c>
      <c r="EA80" s="90">
        <f t="shared" si="121"/>
        <v>0.72584559524812875</v>
      </c>
      <c r="EB80" s="90">
        <f t="shared" si="122"/>
        <v>0.72584559524812875</v>
      </c>
      <c r="EC80" s="90">
        <f t="shared" si="123"/>
        <v>33</v>
      </c>
      <c r="ED80" s="308">
        <f t="shared" si="124"/>
        <v>0.26599999999999979</v>
      </c>
      <c r="EE80" s="307">
        <f t="shared" si="115"/>
        <v>0.69000000000000139</v>
      </c>
      <c r="EF80" s="90">
        <f t="shared" si="125"/>
        <v>-3.0601673240116263E-2</v>
      </c>
      <c r="EG80" s="90">
        <f t="shared" si="126"/>
        <v>-3.0601673240116263E-2</v>
      </c>
      <c r="EH80" s="90">
        <f t="shared" si="116"/>
        <v>34</v>
      </c>
      <c r="EI80" s="308">
        <f t="shared" si="117"/>
        <v>0.26600000000000057</v>
      </c>
    </row>
    <row r="81" spans="82:139" ht="12" customHeight="1" x14ac:dyDescent="0.2">
      <c r="CK81" s="569" t="s">
        <v>423</v>
      </c>
      <c r="CL81" s="63" t="s">
        <v>276</v>
      </c>
      <c r="CM81" s="121" t="s">
        <v>216</v>
      </c>
      <c r="CN81" s="122" t="s">
        <v>280</v>
      </c>
      <c r="CO81" s="122" t="s">
        <v>280</v>
      </c>
      <c r="CP81" s="124" t="b">
        <f>IF(OR(CP83="",COUNT(CP83:CP112)=0),FALSE,TRUE)</f>
        <v>0</v>
      </c>
      <c r="CQ81" s="125" t="s">
        <v>281</v>
      </c>
      <c r="CR81" s="90"/>
      <c r="CS81" s="125" t="s">
        <v>282</v>
      </c>
      <c r="CT81" s="147" t="s">
        <v>288</v>
      </c>
      <c r="CU81" s="90"/>
      <c r="CV81" s="128" t="s">
        <v>338</v>
      </c>
      <c r="CW81" s="129" t="s">
        <v>324</v>
      </c>
      <c r="CX81" s="129"/>
      <c r="CY81" s="129"/>
      <c r="CZ81" s="130"/>
      <c r="DA81" s="130"/>
      <c r="DB81" s="130"/>
      <c r="DC81" s="570" t="s">
        <v>425</v>
      </c>
      <c r="DD81" s="571"/>
      <c r="DE81" s="571"/>
      <c r="DF81" s="571"/>
      <c r="DG81" s="571"/>
      <c r="DH81" s="571"/>
      <c r="DI81" s="571"/>
      <c r="DJ81" s="571"/>
      <c r="DK81" s="571"/>
      <c r="DL81" s="571"/>
      <c r="DM81" s="571"/>
      <c r="DS81" s="307">
        <v>70</v>
      </c>
      <c r="DT81" s="50">
        <f t="shared" si="112"/>
        <v>0.70000000000000384</v>
      </c>
      <c r="DU81" s="90">
        <f t="shared" si="118"/>
        <v>0.44591910691976955</v>
      </c>
      <c r="DV81" s="90" t="e">
        <f t="shared" si="119"/>
        <v>#N/A</v>
      </c>
      <c r="DW81" s="90">
        <f t="shared" si="120"/>
        <v>0.44591910691976955</v>
      </c>
      <c r="DX81" s="90">
        <f t="shared" si="113"/>
        <v>32</v>
      </c>
      <c r="DY81" s="308">
        <f t="shared" si="110"/>
        <v>0.27000000000000152</v>
      </c>
      <c r="DZ81" s="307">
        <f t="shared" si="114"/>
        <v>0.69999999999999951</v>
      </c>
      <c r="EA81" s="90">
        <f t="shared" si="121"/>
        <v>0.72875292140908388</v>
      </c>
      <c r="EB81" s="90">
        <f t="shared" si="122"/>
        <v>0.72875292140908388</v>
      </c>
      <c r="EC81" s="90">
        <f t="shared" si="123"/>
        <v>33</v>
      </c>
      <c r="ED81" s="308">
        <f t="shared" si="124"/>
        <v>0.2699999999999998</v>
      </c>
      <c r="EE81" s="307">
        <f t="shared" si="115"/>
        <v>0.7000000000000014</v>
      </c>
      <c r="EF81" s="90">
        <f t="shared" si="125"/>
        <v>-2.8057635107295739E-2</v>
      </c>
      <c r="EG81" s="90">
        <f t="shared" si="126"/>
        <v>-2.8057635107295739E-2</v>
      </c>
      <c r="EH81" s="90">
        <f t="shared" si="116"/>
        <v>34</v>
      </c>
      <c r="EI81" s="308">
        <f t="shared" si="117"/>
        <v>0.27000000000000057</v>
      </c>
    </row>
    <row r="82" spans="82:139" ht="12" customHeight="1" x14ac:dyDescent="0.2">
      <c r="CJ82" s="572" t="s">
        <v>441</v>
      </c>
      <c r="CK82" s="124" t="str">
        <f>INDEX(AB8:AB37,MATCH(2,CM83:CM112,0))</f>
        <v>Calin</v>
      </c>
      <c r="CL82" s="63" t="s">
        <v>779</v>
      </c>
      <c r="CM82" s="121">
        <v>2</v>
      </c>
      <c r="CN82" s="122" t="s">
        <v>257</v>
      </c>
      <c r="CO82" s="380" t="s">
        <v>269</v>
      </c>
      <c r="CP82" s="146" t="s">
        <v>265</v>
      </c>
      <c r="CQ82" s="147" t="s">
        <v>287</v>
      </c>
      <c r="CR82" s="63" t="s">
        <v>268</v>
      </c>
      <c r="CS82" s="80" t="s">
        <v>404</v>
      </c>
      <c r="CT82" s="80" t="s">
        <v>405</v>
      </c>
      <c r="CU82" s="149" t="s">
        <v>291</v>
      </c>
      <c r="CV82" s="150" t="s">
        <v>291</v>
      </c>
      <c r="CW82" s="151" t="s">
        <v>318</v>
      </c>
      <c r="CX82" s="151" t="s">
        <v>319</v>
      </c>
      <c r="CY82" s="151" t="s">
        <v>320</v>
      </c>
      <c r="CZ82" s="153" t="s">
        <v>321</v>
      </c>
      <c r="DA82" s="153" t="s">
        <v>322</v>
      </c>
      <c r="DB82" s="153" t="s">
        <v>323</v>
      </c>
      <c r="DC82" s="76">
        <v>3</v>
      </c>
      <c r="DD82" s="77">
        <v>4</v>
      </c>
      <c r="DE82" s="78">
        <v>6</v>
      </c>
      <c r="DF82" s="76">
        <v>7</v>
      </c>
      <c r="DG82" s="77">
        <v>9</v>
      </c>
      <c r="DH82" s="78">
        <v>10</v>
      </c>
      <c r="DI82" s="76">
        <v>12</v>
      </c>
      <c r="DJ82" s="77">
        <v>13</v>
      </c>
      <c r="DK82" s="78">
        <v>15</v>
      </c>
      <c r="DL82" s="207"/>
      <c r="DS82" s="307">
        <v>71</v>
      </c>
      <c r="DT82" s="50">
        <f t="shared" si="112"/>
        <v>0.71000000000000396</v>
      </c>
      <c r="DU82" s="90">
        <f t="shared" si="118"/>
        <v>0.44902417851776605</v>
      </c>
      <c r="DV82" s="90" t="e">
        <f t="shared" si="119"/>
        <v>#N/A</v>
      </c>
      <c r="DW82" s="90">
        <f t="shared" si="120"/>
        <v>0.44902417851776605</v>
      </c>
      <c r="DX82" s="90">
        <f t="shared" si="113"/>
        <v>32</v>
      </c>
      <c r="DY82" s="308">
        <f t="shared" si="110"/>
        <v>0.27400000000000158</v>
      </c>
      <c r="DZ82" s="307">
        <f t="shared" si="114"/>
        <v>0.70999999999999952</v>
      </c>
      <c r="EA82" s="90">
        <f t="shared" si="121"/>
        <v>0.731660247570039</v>
      </c>
      <c r="EB82" s="90">
        <f t="shared" si="122"/>
        <v>0.731660247570039</v>
      </c>
      <c r="EC82" s="90">
        <f t="shared" si="123"/>
        <v>33</v>
      </c>
      <c r="ED82" s="308">
        <f t="shared" si="124"/>
        <v>0.2739999999999998</v>
      </c>
      <c r="EE82" s="307">
        <f t="shared" si="115"/>
        <v>0.71000000000000141</v>
      </c>
      <c r="EF82" s="90">
        <f t="shared" si="125"/>
        <v>-2.5513596974475215E-2</v>
      </c>
      <c r="EG82" s="90">
        <f t="shared" si="126"/>
        <v>-2.5513596974475215E-2</v>
      </c>
      <c r="EH82" s="90">
        <f t="shared" si="116"/>
        <v>34</v>
      </c>
      <c r="EI82" s="308">
        <f t="shared" si="117"/>
        <v>0.27400000000000058</v>
      </c>
    </row>
    <row r="83" spans="82:139" ht="12" customHeight="1" x14ac:dyDescent="0.2">
      <c r="CJ83" s="290" t="str">
        <f t="shared" ref="CJ83:CJ112" si="127">IF(CV83&lt;&gt;"",100*CV83/$CV$113,"")</f>
        <v/>
      </c>
      <c r="CK83" s="70">
        <v>1</v>
      </c>
      <c r="CL83" s="94"/>
      <c r="CM83" s="94" t="str">
        <f t="shared" ref="CM83:CM112" si="128">IF(AB8&lt;&gt;"",IF(AB8=$AB$8,"",2),"")</f>
        <v/>
      </c>
      <c r="CN83" s="94" t="str">
        <f t="shared" ref="CN83:CN112" si="129">IF(AND(CO8&lt;&gt;"",$CH8=$CM$82),CO8,"")</f>
        <v/>
      </c>
      <c r="CO83" s="94"/>
      <c r="CP83" s="94" t="str">
        <f t="shared" ref="CP83:CP112" si="130">IF(AND(CP8&lt;&gt;"",$CH8=$CM$82),CP8,"")</f>
        <v/>
      </c>
      <c r="CQ83" s="94" t="e">
        <f>IF(AND($CJ$5,$CH8=$CM$82,$CP$6,NOT($CY$3)),CN83,NA())</f>
        <v>#N/A</v>
      </c>
      <c r="CR83" s="94" t="e">
        <f>IF(CP83&lt;&gt;"",CK83,NA())</f>
        <v>#N/A</v>
      </c>
      <c r="CS83" s="759" t="e">
        <f>IF(AND(CN83&lt;&gt;"",CS8&lt;&gt;""),CS8,NA())</f>
        <v>#N/A</v>
      </c>
      <c r="CT83" s="759" t="e">
        <f>IF(AND(CN83&lt;&gt;"",CT8&lt;&gt;""),CT8,NA())</f>
        <v>#N/A</v>
      </c>
      <c r="CU83" s="94" t="str">
        <f>IF(AND(CU8&lt;&gt;"",$CH8=$CM$82),CU8,"")</f>
        <v/>
      </c>
      <c r="CV83" s="94" t="str">
        <f t="shared" ref="CV83:CV112" si="131">IF(fixedrandom=1,CU83,DA83)</f>
        <v/>
      </c>
      <c r="CW83" s="94" t="str">
        <f t="shared" ref="CW83:CY110" si="132">IF(AND(CW8&lt;&gt;"",$CH8=$CM$82),CW8,"")</f>
        <v/>
      </c>
      <c r="CX83" s="94" t="str">
        <f t="shared" si="132"/>
        <v/>
      </c>
      <c r="CY83" s="94" t="str">
        <f t="shared" si="132"/>
        <v/>
      </c>
      <c r="CZ83" s="94" t="str">
        <f>IF(AND(CU83&lt;&gt;""),1/CU83+$CH$94,"")</f>
        <v/>
      </c>
      <c r="DA83" s="94" t="str">
        <f>IF(AND(CU83&lt;&gt;""),1/CZ83,"")</f>
        <v/>
      </c>
      <c r="DB83" s="94" t="str">
        <f t="shared" ref="DB83:DB112" si="133">IF(AND(CU83&lt;&gt;""),DA83*CN83,"")</f>
        <v/>
      </c>
      <c r="DC83" s="97" t="e">
        <f t="shared" ref="DC83:DC112" si="134">IF(AND(CV83&lt;=$DR$5,$CY$3,$CJ$5),IF($CL$3,X8,W8),NA())</f>
        <v>#N/A</v>
      </c>
      <c r="DD83" s="94" t="e">
        <f t="shared" ref="DD83:DD112" si="135">IF(AND(CV83&gt;$DR$5,CV83&lt;=$DR$6,$CY$3,$CJ$5),IF($CL$3,X8,W8),NA())</f>
        <v>#N/A</v>
      </c>
      <c r="DE83" s="94" t="e">
        <f t="shared" ref="DE83:DE112" si="136">IF(AND(CV83&gt;$DR$6,CV83&lt;=$DR$7,$CY$3,$CJ$5),IF($CL$3,X8,W8),NA())</f>
        <v>#N/A</v>
      </c>
      <c r="DF83" s="94" t="e">
        <f t="shared" ref="DF83:DF112" si="137">IF(AND(CV83&gt;$DR$7,CV83&lt;=$DR$8,$CY$3,$CJ$5),IF($CL$3,X8,W8),NA())</f>
        <v>#N/A</v>
      </c>
      <c r="DG83" s="94" t="e">
        <f t="shared" ref="DG83:DG112" si="138">IF(AND(CV83&gt;$DR$8,CV83&lt;=$DR$9,$CY$3,$CJ$5),IF($CL$3,X8,W8),NA())</f>
        <v>#N/A</v>
      </c>
      <c r="DH83" s="94" t="e">
        <f t="shared" ref="DH83:DH112" si="139">IF(AND(CV83&gt;$DR$9,CV83&lt;=$DR$10,$CY$3,$CJ$5),IF($CL$3,X8,W8),NA())</f>
        <v>#N/A</v>
      </c>
      <c r="DI83" s="94" t="e">
        <f t="shared" ref="DI83:DI112" si="140">IF(AND(CV83&gt;$DR$10,CV83&lt;=$DR$11,$CY$3,$CJ$5),IF($CL$3,X8,W8),NA())</f>
        <v>#N/A</v>
      </c>
      <c r="DJ83" s="94" t="e">
        <f t="shared" ref="DJ83:DJ112" si="141">IF(AND(CV83&gt;$DR$11,CV83&lt;=$DR$12,$CY$3,$CJ$5),IF($CL$3,X8,W8),NA())</f>
        <v>#N/A</v>
      </c>
      <c r="DK83" s="94" t="e">
        <f t="shared" ref="DK83:DK112" si="142">IF(AND(CV83&lt;&gt;"",CV83&gt;$DR$12,$CY$3,$CJ$5),IF($CL$3,X8,W8),NA())</f>
        <v>#N/A</v>
      </c>
      <c r="DL83" s="106">
        <f t="shared" ref="DL83:DL112" si="143">IF(AND($CZ$2,$CY$3),DM83,NA())</f>
        <v>1</v>
      </c>
      <c r="DM83" s="343">
        <v>1</v>
      </c>
      <c r="DS83" s="307">
        <v>72</v>
      </c>
      <c r="DT83" s="50">
        <f t="shared" si="112"/>
        <v>0.72000000000000397</v>
      </c>
      <c r="DU83" s="90">
        <f t="shared" si="118"/>
        <v>0.45212925011576255</v>
      </c>
      <c r="DV83" s="90" t="e">
        <f t="shared" si="119"/>
        <v>#N/A</v>
      </c>
      <c r="DW83" s="90">
        <f t="shared" si="120"/>
        <v>0.45212925011576255</v>
      </c>
      <c r="DX83" s="90">
        <f t="shared" si="113"/>
        <v>32</v>
      </c>
      <c r="DY83" s="308">
        <f t="shared" si="110"/>
        <v>0.27800000000000158</v>
      </c>
      <c r="DZ83" s="307">
        <f t="shared" si="114"/>
        <v>0.71999999999999953</v>
      </c>
      <c r="EA83" s="90">
        <f t="shared" si="121"/>
        <v>0.73456757373099413</v>
      </c>
      <c r="EB83" s="90">
        <f t="shared" si="122"/>
        <v>0.73456757373099413</v>
      </c>
      <c r="EC83" s="90">
        <f t="shared" si="123"/>
        <v>33</v>
      </c>
      <c r="ED83" s="308">
        <f t="shared" si="124"/>
        <v>0.2779999999999998</v>
      </c>
      <c r="EE83" s="307">
        <f t="shared" si="115"/>
        <v>0.72000000000000142</v>
      </c>
      <c r="EF83" s="90">
        <f t="shared" si="125"/>
        <v>-2.2969558841654691E-2</v>
      </c>
      <c r="EG83" s="90">
        <f t="shared" si="126"/>
        <v>-2.2969558841654691E-2</v>
      </c>
      <c r="EH83" s="90">
        <f t="shared" si="116"/>
        <v>34</v>
      </c>
      <c r="EI83" s="308">
        <f t="shared" si="117"/>
        <v>0.27800000000000058</v>
      </c>
    </row>
    <row r="84" spans="82:139" ht="12" customHeight="1" x14ac:dyDescent="0.2">
      <c r="CJ84" s="290" t="str">
        <f t="shared" si="127"/>
        <v/>
      </c>
      <c r="CK84" s="290">
        <v>2</v>
      </c>
      <c r="CL84" s="90"/>
      <c r="CM84" s="90" t="str">
        <f t="shared" si="128"/>
        <v/>
      </c>
      <c r="CN84" s="90" t="str">
        <f t="shared" si="129"/>
        <v/>
      </c>
      <c r="CO84" s="90"/>
      <c r="CP84" s="90" t="str">
        <f t="shared" si="130"/>
        <v/>
      </c>
      <c r="CQ84" s="90" t="e">
        <f t="shared" ref="CQ84:CQ112" si="144">IF(AND($CJ$5,$CH9=$CM$82,$CP$6,NOT($CY$3)),CN84,NA())</f>
        <v>#N/A</v>
      </c>
      <c r="CR84" s="90" t="e">
        <f t="shared" ref="CR84:CR112" si="145">IF(CP84&lt;&gt;"",CK84,NA())</f>
        <v>#N/A</v>
      </c>
      <c r="CS84" s="102" t="e">
        <f t="shared" ref="CS84:CS112" si="146">IF(AND(CN84&lt;&gt;"",CS9&lt;&gt;""),CS9,NA())</f>
        <v>#N/A</v>
      </c>
      <c r="CT84" s="102" t="e">
        <f t="shared" ref="CT84:CT112" si="147">IF(AND(CN84&lt;&gt;"",CT9&lt;&gt;""),CT9,NA())</f>
        <v>#N/A</v>
      </c>
      <c r="CU84" s="90" t="str">
        <f t="shared" ref="CU84:CU112" si="148">IF(AND(CU9&lt;&gt;"",$CH9=$CM$82),CU9,"")</f>
        <v/>
      </c>
      <c r="CV84" s="90" t="str">
        <f t="shared" si="131"/>
        <v/>
      </c>
      <c r="CW84" s="90" t="str">
        <f t="shared" si="132"/>
        <v/>
      </c>
      <c r="CX84" s="90" t="str">
        <f t="shared" si="132"/>
        <v/>
      </c>
      <c r="CY84" s="90" t="str">
        <f t="shared" si="132"/>
        <v/>
      </c>
      <c r="CZ84" s="90" t="str">
        <f t="shared" ref="CZ84:CZ112" si="149">IF(AND(CU84&lt;&gt;""),1/CU84+$CH$94,"")</f>
        <v/>
      </c>
      <c r="DA84" s="90" t="str">
        <f t="shared" ref="DA84:DA112" si="150">IF(AND(CU84&lt;&gt;""),1/CZ84,"")</f>
        <v/>
      </c>
      <c r="DB84" s="113" t="str">
        <f t="shared" si="133"/>
        <v/>
      </c>
      <c r="DC84" s="106" t="e">
        <f t="shared" si="134"/>
        <v>#N/A</v>
      </c>
      <c r="DD84" s="90" t="e">
        <f t="shared" si="135"/>
        <v>#N/A</v>
      </c>
      <c r="DE84" s="90" t="e">
        <f t="shared" si="136"/>
        <v>#N/A</v>
      </c>
      <c r="DF84" s="90" t="e">
        <f t="shared" si="137"/>
        <v>#N/A</v>
      </c>
      <c r="DG84" s="90" t="e">
        <f t="shared" si="138"/>
        <v>#N/A</v>
      </c>
      <c r="DH84" s="90" t="e">
        <f t="shared" si="139"/>
        <v>#N/A</v>
      </c>
      <c r="DI84" s="90" t="e">
        <f t="shared" si="140"/>
        <v>#N/A</v>
      </c>
      <c r="DJ84" s="90" t="e">
        <f t="shared" si="141"/>
        <v>#N/A</v>
      </c>
      <c r="DK84" s="113" t="e">
        <f t="shared" si="142"/>
        <v>#N/A</v>
      </c>
      <c r="DL84" s="90">
        <f t="shared" si="143"/>
        <v>2</v>
      </c>
      <c r="DM84" s="308">
        <v>2</v>
      </c>
      <c r="DS84" s="307">
        <v>73</v>
      </c>
      <c r="DT84" s="50">
        <f t="shared" si="112"/>
        <v>0.73000000000000398</v>
      </c>
      <c r="DU84" s="90">
        <f t="shared" si="118"/>
        <v>0.45523432171375905</v>
      </c>
      <c r="DV84" s="90" t="e">
        <f t="shared" si="119"/>
        <v>#N/A</v>
      </c>
      <c r="DW84" s="90">
        <f t="shared" si="120"/>
        <v>0.45523432171375905</v>
      </c>
      <c r="DX84" s="90">
        <f t="shared" si="113"/>
        <v>32</v>
      </c>
      <c r="DY84" s="308">
        <f t="shared" si="110"/>
        <v>0.28200000000000158</v>
      </c>
      <c r="DZ84" s="307">
        <f t="shared" si="114"/>
        <v>0.72999999999999943</v>
      </c>
      <c r="EA84" s="90">
        <f t="shared" si="121"/>
        <v>0.73747489989194925</v>
      </c>
      <c r="EB84" s="90">
        <f t="shared" si="122"/>
        <v>0.73747489989194925</v>
      </c>
      <c r="EC84" s="90">
        <f t="shared" si="123"/>
        <v>33</v>
      </c>
      <c r="ED84" s="308">
        <f t="shared" si="124"/>
        <v>0.28199999999999975</v>
      </c>
      <c r="EE84" s="307">
        <f t="shared" si="115"/>
        <v>0.73000000000000131</v>
      </c>
      <c r="EF84" s="90">
        <f t="shared" si="125"/>
        <v>-2.0425520708834168E-2</v>
      </c>
      <c r="EG84" s="90">
        <f t="shared" si="126"/>
        <v>-2.0425520708834168E-2</v>
      </c>
      <c r="EH84" s="90">
        <f t="shared" si="116"/>
        <v>34</v>
      </c>
      <c r="EI84" s="308">
        <f t="shared" si="117"/>
        <v>0.28200000000000053</v>
      </c>
    </row>
    <row r="85" spans="82:139" ht="12" customHeight="1" x14ac:dyDescent="0.2">
      <c r="CJ85" s="290" t="str">
        <f t="shared" si="127"/>
        <v/>
      </c>
      <c r="CK85" s="290">
        <v>3</v>
      </c>
      <c r="CL85" s="90"/>
      <c r="CM85" s="90" t="str">
        <f t="shared" si="128"/>
        <v/>
      </c>
      <c r="CN85" s="90" t="str">
        <f t="shared" si="129"/>
        <v/>
      </c>
      <c r="CO85" s="90"/>
      <c r="CP85" s="90" t="str">
        <f t="shared" si="130"/>
        <v/>
      </c>
      <c r="CQ85" s="90" t="e">
        <f t="shared" si="144"/>
        <v>#N/A</v>
      </c>
      <c r="CR85" s="90" t="e">
        <f t="shared" si="145"/>
        <v>#N/A</v>
      </c>
      <c r="CS85" s="102" t="e">
        <f t="shared" si="146"/>
        <v>#N/A</v>
      </c>
      <c r="CT85" s="102" t="e">
        <f t="shared" si="147"/>
        <v>#N/A</v>
      </c>
      <c r="CU85" s="90" t="str">
        <f t="shared" si="148"/>
        <v/>
      </c>
      <c r="CV85" s="90" t="str">
        <f t="shared" si="131"/>
        <v/>
      </c>
      <c r="CW85" s="90" t="str">
        <f t="shared" si="132"/>
        <v/>
      </c>
      <c r="CX85" s="90" t="str">
        <f t="shared" si="132"/>
        <v/>
      </c>
      <c r="CY85" s="90" t="str">
        <f t="shared" si="132"/>
        <v/>
      </c>
      <c r="CZ85" s="90" t="str">
        <f t="shared" si="149"/>
        <v/>
      </c>
      <c r="DA85" s="90" t="str">
        <f t="shared" si="150"/>
        <v/>
      </c>
      <c r="DB85" s="113" t="str">
        <f t="shared" si="133"/>
        <v/>
      </c>
      <c r="DC85" s="106" t="e">
        <f t="shared" si="134"/>
        <v>#N/A</v>
      </c>
      <c r="DD85" s="90" t="e">
        <f t="shared" si="135"/>
        <v>#N/A</v>
      </c>
      <c r="DE85" s="90" t="e">
        <f t="shared" si="136"/>
        <v>#N/A</v>
      </c>
      <c r="DF85" s="90" t="e">
        <f t="shared" si="137"/>
        <v>#N/A</v>
      </c>
      <c r="DG85" s="90" t="e">
        <f t="shared" si="138"/>
        <v>#N/A</v>
      </c>
      <c r="DH85" s="90" t="e">
        <f t="shared" si="139"/>
        <v>#N/A</v>
      </c>
      <c r="DI85" s="90" t="e">
        <f t="shared" si="140"/>
        <v>#N/A</v>
      </c>
      <c r="DJ85" s="90" t="e">
        <f t="shared" si="141"/>
        <v>#N/A</v>
      </c>
      <c r="DK85" s="113" t="e">
        <f t="shared" si="142"/>
        <v>#N/A</v>
      </c>
      <c r="DL85" s="90">
        <f t="shared" si="143"/>
        <v>3</v>
      </c>
      <c r="DM85" s="308">
        <v>3</v>
      </c>
      <c r="DS85" s="307">
        <v>74</v>
      </c>
      <c r="DT85" s="50">
        <f t="shared" si="112"/>
        <v>0.7400000000000041</v>
      </c>
      <c r="DU85" s="90">
        <f t="shared" si="118"/>
        <v>0.45833939331175555</v>
      </c>
      <c r="DV85" s="90" t="e">
        <f t="shared" si="119"/>
        <v>#N/A</v>
      </c>
      <c r="DW85" s="90">
        <f t="shared" si="120"/>
        <v>0.45833939331175555</v>
      </c>
      <c r="DX85" s="90">
        <f t="shared" si="113"/>
        <v>32</v>
      </c>
      <c r="DY85" s="308">
        <f t="shared" si="110"/>
        <v>0.28600000000000164</v>
      </c>
      <c r="DZ85" s="307">
        <f t="shared" si="114"/>
        <v>0.73999999999999944</v>
      </c>
      <c r="EA85" s="90">
        <f t="shared" si="121"/>
        <v>0.74038222605290438</v>
      </c>
      <c r="EB85" s="90">
        <f t="shared" si="122"/>
        <v>0.74038222605290438</v>
      </c>
      <c r="EC85" s="90">
        <f t="shared" si="123"/>
        <v>33</v>
      </c>
      <c r="ED85" s="308">
        <f t="shared" si="124"/>
        <v>0.28599999999999975</v>
      </c>
      <c r="EE85" s="307">
        <f t="shared" si="115"/>
        <v>0.74000000000000132</v>
      </c>
      <c r="EF85" s="90">
        <f t="shared" si="125"/>
        <v>-1.7881482576013644E-2</v>
      </c>
      <c r="EG85" s="90">
        <f t="shared" si="126"/>
        <v>-1.7881482576013644E-2</v>
      </c>
      <c r="EH85" s="90">
        <f t="shared" si="116"/>
        <v>34</v>
      </c>
      <c r="EI85" s="308">
        <f t="shared" si="117"/>
        <v>0.28600000000000053</v>
      </c>
    </row>
    <row r="86" spans="82:139" ht="12" customHeight="1" x14ac:dyDescent="0.2">
      <c r="CJ86" s="290" t="str">
        <f t="shared" si="127"/>
        <v/>
      </c>
      <c r="CK86" s="290">
        <v>4</v>
      </c>
      <c r="CL86" s="90"/>
      <c r="CM86" s="90" t="str">
        <f t="shared" si="128"/>
        <v/>
      </c>
      <c r="CN86" s="90" t="str">
        <f t="shared" si="129"/>
        <v/>
      </c>
      <c r="CO86" s="90"/>
      <c r="CP86" s="90" t="str">
        <f t="shared" si="130"/>
        <v/>
      </c>
      <c r="CQ86" s="90" t="e">
        <f t="shared" si="144"/>
        <v>#N/A</v>
      </c>
      <c r="CR86" s="90" t="e">
        <f t="shared" si="145"/>
        <v>#N/A</v>
      </c>
      <c r="CS86" s="102" t="e">
        <f t="shared" si="146"/>
        <v>#N/A</v>
      </c>
      <c r="CT86" s="102" t="e">
        <f t="shared" si="147"/>
        <v>#N/A</v>
      </c>
      <c r="CU86" s="90" t="str">
        <f t="shared" si="148"/>
        <v/>
      </c>
      <c r="CV86" s="90" t="str">
        <f t="shared" si="131"/>
        <v/>
      </c>
      <c r="CW86" s="90" t="str">
        <f t="shared" si="132"/>
        <v/>
      </c>
      <c r="CX86" s="90" t="str">
        <f t="shared" si="132"/>
        <v/>
      </c>
      <c r="CY86" s="90" t="str">
        <f t="shared" si="132"/>
        <v/>
      </c>
      <c r="CZ86" s="90" t="str">
        <f t="shared" si="149"/>
        <v/>
      </c>
      <c r="DA86" s="90" t="str">
        <f t="shared" si="150"/>
        <v/>
      </c>
      <c r="DB86" s="113" t="str">
        <f t="shared" si="133"/>
        <v/>
      </c>
      <c r="DC86" s="106" t="e">
        <f t="shared" si="134"/>
        <v>#N/A</v>
      </c>
      <c r="DD86" s="90" t="e">
        <f t="shared" si="135"/>
        <v>#N/A</v>
      </c>
      <c r="DE86" s="90" t="e">
        <f t="shared" si="136"/>
        <v>#N/A</v>
      </c>
      <c r="DF86" s="90" t="e">
        <f t="shared" si="137"/>
        <v>#N/A</v>
      </c>
      <c r="DG86" s="90" t="e">
        <f t="shared" si="138"/>
        <v>#N/A</v>
      </c>
      <c r="DH86" s="90" t="e">
        <f t="shared" si="139"/>
        <v>#N/A</v>
      </c>
      <c r="DI86" s="90" t="e">
        <f t="shared" si="140"/>
        <v>#N/A</v>
      </c>
      <c r="DJ86" s="90" t="e">
        <f t="shared" si="141"/>
        <v>#N/A</v>
      </c>
      <c r="DK86" s="113" t="e">
        <f t="shared" si="142"/>
        <v>#N/A</v>
      </c>
      <c r="DL86" s="90">
        <f t="shared" si="143"/>
        <v>4</v>
      </c>
      <c r="DM86" s="308">
        <v>4</v>
      </c>
      <c r="DS86" s="307">
        <v>75</v>
      </c>
      <c r="DT86" s="50">
        <f t="shared" si="112"/>
        <v>0.75000000000000422</v>
      </c>
      <c r="DU86" s="90">
        <f t="shared" si="118"/>
        <v>0.46144446490975205</v>
      </c>
      <c r="DV86" s="90" t="e">
        <f t="shared" si="119"/>
        <v>#N/A</v>
      </c>
      <c r="DW86" s="90">
        <f t="shared" si="120"/>
        <v>0.46144446490975205</v>
      </c>
      <c r="DX86" s="90">
        <f t="shared" si="113"/>
        <v>32</v>
      </c>
      <c r="DY86" s="308">
        <f t="shared" si="110"/>
        <v>0.2900000000000017</v>
      </c>
      <c r="DZ86" s="307">
        <f t="shared" si="114"/>
        <v>0.74999999999999944</v>
      </c>
      <c r="EA86" s="90">
        <f t="shared" si="121"/>
        <v>0.74328955221385951</v>
      </c>
      <c r="EB86" s="90">
        <f t="shared" si="122"/>
        <v>0.74328955221385951</v>
      </c>
      <c r="EC86" s="90">
        <f t="shared" si="123"/>
        <v>33</v>
      </c>
      <c r="ED86" s="308">
        <f t="shared" si="124"/>
        <v>0.28999999999999981</v>
      </c>
      <c r="EE86" s="307">
        <f t="shared" si="115"/>
        <v>0.75000000000000144</v>
      </c>
      <c r="EF86" s="90">
        <f t="shared" si="125"/>
        <v>-1.533744444319312E-2</v>
      </c>
      <c r="EG86" s="90">
        <f t="shared" si="126"/>
        <v>-1.533744444319312E-2</v>
      </c>
      <c r="EH86" s="90">
        <f t="shared" si="116"/>
        <v>34</v>
      </c>
      <c r="EI86" s="308">
        <f t="shared" si="117"/>
        <v>0.29000000000000059</v>
      </c>
    </row>
    <row r="87" spans="82:139" ht="12" customHeight="1" x14ac:dyDescent="0.2">
      <c r="CJ87" s="290" t="str">
        <f t="shared" si="127"/>
        <v/>
      </c>
      <c r="CK87" s="290">
        <v>5</v>
      </c>
      <c r="CL87" s="90"/>
      <c r="CM87" s="90" t="str">
        <f t="shared" si="128"/>
        <v/>
      </c>
      <c r="CN87" s="90" t="str">
        <f t="shared" si="129"/>
        <v/>
      </c>
      <c r="CO87" s="90"/>
      <c r="CP87" s="90" t="str">
        <f t="shared" si="130"/>
        <v/>
      </c>
      <c r="CQ87" s="90" t="e">
        <f t="shared" si="144"/>
        <v>#N/A</v>
      </c>
      <c r="CR87" s="90" t="e">
        <f t="shared" si="145"/>
        <v>#N/A</v>
      </c>
      <c r="CS87" s="102" t="e">
        <f t="shared" si="146"/>
        <v>#N/A</v>
      </c>
      <c r="CT87" s="102" t="e">
        <f t="shared" si="147"/>
        <v>#N/A</v>
      </c>
      <c r="CU87" s="90" t="str">
        <f t="shared" si="148"/>
        <v/>
      </c>
      <c r="CV87" s="90" t="str">
        <f t="shared" si="131"/>
        <v/>
      </c>
      <c r="CW87" s="90" t="str">
        <f t="shared" si="132"/>
        <v/>
      </c>
      <c r="CX87" s="90" t="str">
        <f t="shared" si="132"/>
        <v/>
      </c>
      <c r="CY87" s="90" t="str">
        <f t="shared" si="132"/>
        <v/>
      </c>
      <c r="CZ87" s="90" t="str">
        <f t="shared" si="149"/>
        <v/>
      </c>
      <c r="DA87" s="90" t="str">
        <f t="shared" si="150"/>
        <v/>
      </c>
      <c r="DB87" s="113" t="str">
        <f t="shared" si="133"/>
        <v/>
      </c>
      <c r="DC87" s="106" t="e">
        <f t="shared" si="134"/>
        <v>#N/A</v>
      </c>
      <c r="DD87" s="90" t="e">
        <f t="shared" si="135"/>
        <v>#N/A</v>
      </c>
      <c r="DE87" s="90" t="e">
        <f t="shared" si="136"/>
        <v>#N/A</v>
      </c>
      <c r="DF87" s="90" t="e">
        <f t="shared" si="137"/>
        <v>#N/A</v>
      </c>
      <c r="DG87" s="90" t="e">
        <f t="shared" si="138"/>
        <v>#N/A</v>
      </c>
      <c r="DH87" s="90" t="e">
        <f t="shared" si="139"/>
        <v>#N/A</v>
      </c>
      <c r="DI87" s="90" t="e">
        <f t="shared" si="140"/>
        <v>#N/A</v>
      </c>
      <c r="DJ87" s="90" t="e">
        <f t="shared" si="141"/>
        <v>#N/A</v>
      </c>
      <c r="DK87" s="113" t="e">
        <f t="shared" si="142"/>
        <v>#N/A</v>
      </c>
      <c r="DL87" s="90">
        <f t="shared" si="143"/>
        <v>5</v>
      </c>
      <c r="DM87" s="308">
        <v>5</v>
      </c>
      <c r="DS87" s="307">
        <v>76</v>
      </c>
      <c r="DT87" s="50">
        <f t="shared" si="112"/>
        <v>0.76000000000000423</v>
      </c>
      <c r="DU87" s="90">
        <f t="shared" si="118"/>
        <v>0.46454953650774855</v>
      </c>
      <c r="DV87" s="90" t="e">
        <f t="shared" si="119"/>
        <v>#N/A</v>
      </c>
      <c r="DW87" s="90">
        <f t="shared" si="120"/>
        <v>0.46454953650774855</v>
      </c>
      <c r="DX87" s="90">
        <f t="shared" si="113"/>
        <v>32</v>
      </c>
      <c r="DY87" s="308">
        <f t="shared" si="110"/>
        <v>0.2940000000000017</v>
      </c>
      <c r="DZ87" s="307">
        <f t="shared" si="114"/>
        <v>0.75999999999999945</v>
      </c>
      <c r="EA87" s="90">
        <f t="shared" si="121"/>
        <v>0.74619687837481463</v>
      </c>
      <c r="EB87" s="90">
        <f t="shared" si="122"/>
        <v>0.74619687837481463</v>
      </c>
      <c r="EC87" s="90">
        <f t="shared" si="123"/>
        <v>33</v>
      </c>
      <c r="ED87" s="308">
        <f t="shared" si="124"/>
        <v>0.29399999999999982</v>
      </c>
      <c r="EE87" s="307">
        <f t="shared" si="115"/>
        <v>0.76000000000000134</v>
      </c>
      <c r="EF87" s="90">
        <f t="shared" si="125"/>
        <v>-1.2793406310372596E-2</v>
      </c>
      <c r="EG87" s="90">
        <f t="shared" si="126"/>
        <v>-1.2793406310372596E-2</v>
      </c>
      <c r="EH87" s="90">
        <f t="shared" si="116"/>
        <v>34</v>
      </c>
      <c r="EI87" s="308">
        <f t="shared" si="117"/>
        <v>0.29400000000000054</v>
      </c>
    </row>
    <row r="88" spans="82:139" ht="12" customHeight="1" x14ac:dyDescent="0.2">
      <c r="CJ88" s="290" t="str">
        <f t="shared" si="127"/>
        <v/>
      </c>
      <c r="CK88" s="290">
        <v>6</v>
      </c>
      <c r="CL88" s="90"/>
      <c r="CM88" s="90" t="str">
        <f t="shared" si="128"/>
        <v/>
      </c>
      <c r="CN88" s="90" t="str">
        <f t="shared" si="129"/>
        <v/>
      </c>
      <c r="CO88" s="90"/>
      <c r="CP88" s="90" t="str">
        <f t="shared" si="130"/>
        <v/>
      </c>
      <c r="CQ88" s="90" t="e">
        <f t="shared" si="144"/>
        <v>#N/A</v>
      </c>
      <c r="CR88" s="90" t="e">
        <f t="shared" si="145"/>
        <v>#N/A</v>
      </c>
      <c r="CS88" s="102" t="e">
        <f t="shared" si="146"/>
        <v>#N/A</v>
      </c>
      <c r="CT88" s="102" t="e">
        <f t="shared" si="147"/>
        <v>#N/A</v>
      </c>
      <c r="CU88" s="90" t="str">
        <f t="shared" si="148"/>
        <v/>
      </c>
      <c r="CV88" s="90" t="str">
        <f t="shared" si="131"/>
        <v/>
      </c>
      <c r="CW88" s="90" t="str">
        <f t="shared" si="132"/>
        <v/>
      </c>
      <c r="CX88" s="90" t="str">
        <f t="shared" si="132"/>
        <v/>
      </c>
      <c r="CY88" s="90" t="str">
        <f t="shared" si="132"/>
        <v/>
      </c>
      <c r="CZ88" s="90" t="str">
        <f t="shared" si="149"/>
        <v/>
      </c>
      <c r="DA88" s="90" t="str">
        <f t="shared" si="150"/>
        <v/>
      </c>
      <c r="DB88" s="113" t="str">
        <f t="shared" si="133"/>
        <v/>
      </c>
      <c r="DC88" s="106" t="e">
        <f t="shared" si="134"/>
        <v>#N/A</v>
      </c>
      <c r="DD88" s="90" t="e">
        <f t="shared" si="135"/>
        <v>#N/A</v>
      </c>
      <c r="DE88" s="90" t="e">
        <f t="shared" si="136"/>
        <v>#N/A</v>
      </c>
      <c r="DF88" s="90" t="e">
        <f t="shared" si="137"/>
        <v>#N/A</v>
      </c>
      <c r="DG88" s="90" t="e">
        <f t="shared" si="138"/>
        <v>#N/A</v>
      </c>
      <c r="DH88" s="90" t="e">
        <f t="shared" si="139"/>
        <v>#N/A</v>
      </c>
      <c r="DI88" s="90" t="e">
        <f t="shared" si="140"/>
        <v>#N/A</v>
      </c>
      <c r="DJ88" s="90" t="e">
        <f t="shared" si="141"/>
        <v>#N/A</v>
      </c>
      <c r="DK88" s="113" t="e">
        <f t="shared" si="142"/>
        <v>#N/A</v>
      </c>
      <c r="DL88" s="90">
        <f t="shared" si="143"/>
        <v>6</v>
      </c>
      <c r="DM88" s="308">
        <v>6</v>
      </c>
      <c r="DS88" s="307">
        <v>77</v>
      </c>
      <c r="DT88" s="50">
        <f t="shared" si="112"/>
        <v>0.77000000000000424</v>
      </c>
      <c r="DU88" s="90">
        <f t="shared" si="118"/>
        <v>0.46765460810574505</v>
      </c>
      <c r="DV88" s="90" t="e">
        <f t="shared" si="119"/>
        <v>#N/A</v>
      </c>
      <c r="DW88" s="90">
        <f t="shared" si="120"/>
        <v>0.46765460810574505</v>
      </c>
      <c r="DX88" s="90">
        <f t="shared" si="113"/>
        <v>32</v>
      </c>
      <c r="DY88" s="308">
        <f t="shared" si="110"/>
        <v>0.29800000000000171</v>
      </c>
      <c r="DZ88" s="307">
        <f t="shared" si="114"/>
        <v>0.76999999999999935</v>
      </c>
      <c r="EA88" s="90">
        <f t="shared" si="121"/>
        <v>0.74910420453576976</v>
      </c>
      <c r="EB88" s="90">
        <f t="shared" si="122"/>
        <v>0.74910420453576976</v>
      </c>
      <c r="EC88" s="90">
        <f t="shared" si="123"/>
        <v>33</v>
      </c>
      <c r="ED88" s="308">
        <f t="shared" si="124"/>
        <v>0.29799999999999977</v>
      </c>
      <c r="EE88" s="307">
        <f t="shared" si="115"/>
        <v>0.77000000000000135</v>
      </c>
      <c r="EF88" s="90">
        <f t="shared" si="125"/>
        <v>-1.0249368177552072E-2</v>
      </c>
      <c r="EG88" s="90">
        <f t="shared" si="126"/>
        <v>-1.0249368177552072E-2</v>
      </c>
      <c r="EH88" s="90">
        <f t="shared" si="116"/>
        <v>34</v>
      </c>
      <c r="EI88" s="308">
        <f t="shared" si="117"/>
        <v>0.29800000000000054</v>
      </c>
    </row>
    <row r="89" spans="82:139" ht="12" customHeight="1" x14ac:dyDescent="0.2">
      <c r="CD89" s="573" t="s">
        <v>422</v>
      </c>
      <c r="CE89" s="574" t="s">
        <v>225</v>
      </c>
      <c r="CG89" s="63"/>
      <c r="CJ89" s="290">
        <f t="shared" si="127"/>
        <v>52.642342862877861</v>
      </c>
      <c r="CK89" s="290">
        <v>7</v>
      </c>
      <c r="CL89" s="90"/>
      <c r="CM89" s="90">
        <f t="shared" si="128"/>
        <v>2</v>
      </c>
      <c r="CN89" s="90">
        <f t="shared" si="129"/>
        <v>4.9691886171849511E-2</v>
      </c>
      <c r="CO89" s="90"/>
      <c r="CP89" s="90">
        <f t="shared" si="130"/>
        <v>0.27605336037697237</v>
      </c>
      <c r="CQ89" s="90" t="e">
        <f t="shared" si="144"/>
        <v>#N/A</v>
      </c>
      <c r="CR89" s="90">
        <f t="shared" si="145"/>
        <v>7</v>
      </c>
      <c r="CS89" s="102">
        <f t="shared" si="146"/>
        <v>0.35260470722595816</v>
      </c>
      <c r="CT89" s="102">
        <f t="shared" si="147"/>
        <v>0.35301629087560638</v>
      </c>
      <c r="CU89" s="90">
        <f t="shared" si="148"/>
        <v>31.245261091603975</v>
      </c>
      <c r="CV89" s="90">
        <f t="shared" si="131"/>
        <v>31.245261091603975</v>
      </c>
      <c r="CW89" s="90">
        <f t="shared" si="132"/>
        <v>1.5526359575737032</v>
      </c>
      <c r="CX89" s="90">
        <f t="shared" si="132"/>
        <v>976.26634068250121</v>
      </c>
      <c r="CY89" s="90">
        <f t="shared" si="132"/>
        <v>7.7153409270073026E-2</v>
      </c>
      <c r="CZ89" s="90">
        <f t="shared" si="149"/>
        <v>3.2004853378188397E-2</v>
      </c>
      <c r="DA89" s="90">
        <f t="shared" si="150"/>
        <v>31.245261091603975</v>
      </c>
      <c r="DB89" s="113">
        <f t="shared" si="133"/>
        <v>1.5526359575737032</v>
      </c>
      <c r="DC89" s="106" t="e">
        <f t="shared" si="134"/>
        <v>#N/A</v>
      </c>
      <c r="DD89" s="90" t="e">
        <f t="shared" si="135"/>
        <v>#N/A</v>
      </c>
      <c r="DE89" s="90" t="e">
        <f t="shared" si="136"/>
        <v>#N/A</v>
      </c>
      <c r="DF89" s="90" t="e">
        <f t="shared" si="137"/>
        <v>#N/A</v>
      </c>
      <c r="DG89" s="90" t="e">
        <f t="shared" si="138"/>
        <v>#N/A</v>
      </c>
      <c r="DH89" s="90" t="e">
        <f t="shared" si="139"/>
        <v>#N/A</v>
      </c>
      <c r="DI89" s="90" t="e">
        <f t="shared" si="140"/>
        <v>#N/A</v>
      </c>
      <c r="DJ89" s="90" t="e">
        <f t="shared" si="141"/>
        <v>#N/A</v>
      </c>
      <c r="DK89" s="113">
        <f t="shared" si="142"/>
        <v>4.9691886171849511E-2</v>
      </c>
      <c r="DL89" s="90">
        <f t="shared" si="143"/>
        <v>7</v>
      </c>
      <c r="DM89" s="308">
        <v>7</v>
      </c>
      <c r="DS89" s="307">
        <v>78</v>
      </c>
      <c r="DT89" s="50">
        <f t="shared" si="112"/>
        <v>0.78000000000000436</v>
      </c>
      <c r="DU89" s="90">
        <f t="shared" si="118"/>
        <v>0.47075967970374155</v>
      </c>
      <c r="DV89" s="90" t="e">
        <f t="shared" si="119"/>
        <v>#N/A</v>
      </c>
      <c r="DW89" s="90">
        <f t="shared" si="120"/>
        <v>0.47075967970374155</v>
      </c>
      <c r="DX89" s="90">
        <f t="shared" si="113"/>
        <v>32</v>
      </c>
      <c r="DY89" s="308">
        <f t="shared" si="110"/>
        <v>0.30200000000000177</v>
      </c>
      <c r="DZ89" s="307">
        <f t="shared" si="114"/>
        <v>0.77999999999999936</v>
      </c>
      <c r="EA89" s="90">
        <f t="shared" si="121"/>
        <v>0.75201153069672488</v>
      </c>
      <c r="EB89" s="90">
        <f t="shared" si="122"/>
        <v>0.75201153069672488</v>
      </c>
      <c r="EC89" s="90">
        <f t="shared" si="123"/>
        <v>33</v>
      </c>
      <c r="ED89" s="308">
        <f t="shared" si="124"/>
        <v>0.30199999999999977</v>
      </c>
      <c r="EE89" s="307">
        <f t="shared" si="115"/>
        <v>0.78000000000000136</v>
      </c>
      <c r="EF89" s="90">
        <f t="shared" si="125"/>
        <v>-7.7053300447315481E-3</v>
      </c>
      <c r="EG89" s="90">
        <f t="shared" si="126"/>
        <v>-7.7053300447315481E-3</v>
      </c>
      <c r="EH89" s="90">
        <f t="shared" si="116"/>
        <v>34</v>
      </c>
      <c r="EI89" s="308">
        <f t="shared" si="117"/>
        <v>0.30200000000000055</v>
      </c>
    </row>
    <row r="90" spans="82:139" ht="12" customHeight="1" x14ac:dyDescent="0.2">
      <c r="CD90" s="268" t="s">
        <v>267</v>
      </c>
      <c r="CE90" s="113">
        <f>COUNT(CW83:CW112)-1</f>
        <v>1</v>
      </c>
      <c r="CG90" s="90"/>
      <c r="CH90" s="90"/>
      <c r="CJ90" s="290">
        <f t="shared" si="127"/>
        <v>47.357657137122139</v>
      </c>
      <c r="CK90" s="290">
        <v>8</v>
      </c>
      <c r="CL90" s="90"/>
      <c r="CM90" s="90">
        <f t="shared" si="128"/>
        <v>2</v>
      </c>
      <c r="CN90" s="90">
        <f t="shared" si="129"/>
        <v>4.6675737610289383E-2</v>
      </c>
      <c r="CO90" s="90"/>
      <c r="CP90" s="90">
        <f t="shared" si="130"/>
        <v>0.24575598342445726</v>
      </c>
      <c r="CQ90" s="90" t="e">
        <f t="shared" si="144"/>
        <v>#N/A</v>
      </c>
      <c r="CR90" s="90">
        <f t="shared" si="145"/>
        <v>8</v>
      </c>
      <c r="CS90" s="102">
        <f t="shared" si="146"/>
        <v>0.37203460936773602</v>
      </c>
      <c r="CT90" s="102">
        <f t="shared" si="147"/>
        <v>0.37246784585950427</v>
      </c>
      <c r="CU90" s="90">
        <f t="shared" si="148"/>
        <v>28.10859626423456</v>
      </c>
      <c r="CV90" s="90">
        <f t="shared" si="131"/>
        <v>28.10859626423456</v>
      </c>
      <c r="CW90" s="90">
        <f t="shared" si="132"/>
        <v>1.3119894638229728</v>
      </c>
      <c r="CX90" s="90">
        <f t="shared" si="132"/>
        <v>790.09318394574109</v>
      </c>
      <c r="CY90" s="90">
        <f t="shared" si="132"/>
        <v>6.1238075960865328E-2</v>
      </c>
      <c r="CZ90" s="90">
        <f t="shared" si="149"/>
        <v>3.5576305219923138E-2</v>
      </c>
      <c r="DA90" s="90">
        <f t="shared" si="150"/>
        <v>28.10859626423456</v>
      </c>
      <c r="DB90" s="113">
        <f t="shared" si="133"/>
        <v>1.3119894638229728</v>
      </c>
      <c r="DC90" s="106" t="e">
        <f t="shared" si="134"/>
        <v>#N/A</v>
      </c>
      <c r="DD90" s="90" t="e">
        <f t="shared" si="135"/>
        <v>#N/A</v>
      </c>
      <c r="DE90" s="90" t="e">
        <f t="shared" si="136"/>
        <v>#N/A</v>
      </c>
      <c r="DF90" s="90" t="e">
        <f t="shared" si="137"/>
        <v>#N/A</v>
      </c>
      <c r="DG90" s="90" t="e">
        <f t="shared" si="138"/>
        <v>#N/A</v>
      </c>
      <c r="DH90" s="90" t="e">
        <f t="shared" si="139"/>
        <v>#N/A</v>
      </c>
      <c r="DI90" s="90" t="e">
        <f t="shared" si="140"/>
        <v>#N/A</v>
      </c>
      <c r="DJ90" s="90">
        <f t="shared" si="141"/>
        <v>4.6675737610289383E-2</v>
      </c>
      <c r="DK90" s="113" t="e">
        <f t="shared" si="142"/>
        <v>#N/A</v>
      </c>
      <c r="DL90" s="90">
        <f t="shared" si="143"/>
        <v>8</v>
      </c>
      <c r="DM90" s="308">
        <v>8</v>
      </c>
      <c r="DS90" s="307">
        <v>79</v>
      </c>
      <c r="DT90" s="50">
        <f t="shared" si="112"/>
        <v>0.79000000000000437</v>
      </c>
      <c r="DU90" s="90">
        <f t="shared" si="118"/>
        <v>0.47386475130173805</v>
      </c>
      <c r="DV90" s="90" t="e">
        <f t="shared" si="119"/>
        <v>#N/A</v>
      </c>
      <c r="DW90" s="90">
        <f t="shared" si="120"/>
        <v>0.47386475130173805</v>
      </c>
      <c r="DX90" s="90">
        <f t="shared" si="113"/>
        <v>32</v>
      </c>
      <c r="DY90" s="308">
        <f t="shared" si="110"/>
        <v>0.30600000000000177</v>
      </c>
      <c r="DZ90" s="307">
        <f t="shared" si="114"/>
        <v>0.78999999999999937</v>
      </c>
      <c r="EA90" s="90">
        <f t="shared" si="121"/>
        <v>0.75491885685768001</v>
      </c>
      <c r="EB90" s="90">
        <f t="shared" si="122"/>
        <v>0.75491885685768001</v>
      </c>
      <c r="EC90" s="90">
        <f t="shared" si="123"/>
        <v>33</v>
      </c>
      <c r="ED90" s="308">
        <f t="shared" si="124"/>
        <v>0.30599999999999977</v>
      </c>
      <c r="EE90" s="307">
        <f t="shared" si="115"/>
        <v>0.79000000000000137</v>
      </c>
      <c r="EF90" s="90">
        <f t="shared" si="125"/>
        <v>-5.1612919119110243E-3</v>
      </c>
      <c r="EG90" s="90">
        <f t="shared" si="126"/>
        <v>-5.1612919119110243E-3</v>
      </c>
      <c r="EH90" s="90">
        <f t="shared" si="116"/>
        <v>34</v>
      </c>
      <c r="EI90" s="308">
        <f t="shared" si="117"/>
        <v>0.30600000000000055</v>
      </c>
    </row>
    <row r="91" spans="82:139" ht="12" customHeight="1" x14ac:dyDescent="0.2">
      <c r="CD91" s="268" t="s">
        <v>326</v>
      </c>
      <c r="CE91" s="270">
        <f>IF(CU113=0,"",CY113-CW113^2/CU113)</f>
        <v>1.3461077516441211E-4</v>
      </c>
      <c r="CG91" s="102"/>
      <c r="CH91" s="102"/>
      <c r="CJ91" s="424" t="str">
        <f t="shared" si="127"/>
        <v/>
      </c>
      <c r="CK91" s="290">
        <v>9</v>
      </c>
      <c r="CL91" s="90"/>
      <c r="CM91" s="90" t="str">
        <f t="shared" si="128"/>
        <v/>
      </c>
      <c r="CN91" s="90" t="str">
        <f t="shared" si="129"/>
        <v/>
      </c>
      <c r="CO91" s="90"/>
      <c r="CP91" s="90" t="str">
        <f t="shared" si="130"/>
        <v/>
      </c>
      <c r="CQ91" s="90" t="e">
        <f t="shared" si="144"/>
        <v>#N/A</v>
      </c>
      <c r="CR91" s="90" t="e">
        <f t="shared" si="145"/>
        <v>#N/A</v>
      </c>
      <c r="CS91" s="102" t="e">
        <f t="shared" si="146"/>
        <v>#N/A</v>
      </c>
      <c r="CT91" s="102" t="e">
        <f t="shared" si="147"/>
        <v>#N/A</v>
      </c>
      <c r="CU91" s="90" t="str">
        <f t="shared" si="148"/>
        <v/>
      </c>
      <c r="CV91" s="90" t="str">
        <f t="shared" si="131"/>
        <v/>
      </c>
      <c r="CW91" s="90" t="str">
        <f t="shared" si="132"/>
        <v/>
      </c>
      <c r="CX91" s="90" t="str">
        <f t="shared" si="132"/>
        <v/>
      </c>
      <c r="CY91" s="90" t="str">
        <f t="shared" si="132"/>
        <v/>
      </c>
      <c r="CZ91" s="90" t="str">
        <f t="shared" si="149"/>
        <v/>
      </c>
      <c r="DA91" s="90" t="str">
        <f t="shared" si="150"/>
        <v/>
      </c>
      <c r="DB91" s="113" t="str">
        <f t="shared" si="133"/>
        <v/>
      </c>
      <c r="DC91" s="106" t="e">
        <f t="shared" si="134"/>
        <v>#N/A</v>
      </c>
      <c r="DD91" s="90" t="e">
        <f t="shared" si="135"/>
        <v>#N/A</v>
      </c>
      <c r="DE91" s="90" t="e">
        <f t="shared" si="136"/>
        <v>#N/A</v>
      </c>
      <c r="DF91" s="90" t="e">
        <f t="shared" si="137"/>
        <v>#N/A</v>
      </c>
      <c r="DG91" s="90" t="e">
        <f t="shared" si="138"/>
        <v>#N/A</v>
      </c>
      <c r="DH91" s="90" t="e">
        <f t="shared" si="139"/>
        <v>#N/A</v>
      </c>
      <c r="DI91" s="90" t="e">
        <f t="shared" si="140"/>
        <v>#N/A</v>
      </c>
      <c r="DJ91" s="90" t="e">
        <f t="shared" si="141"/>
        <v>#N/A</v>
      </c>
      <c r="DK91" s="113" t="e">
        <f t="shared" si="142"/>
        <v>#N/A</v>
      </c>
      <c r="DL91" s="90">
        <f t="shared" si="143"/>
        <v>9</v>
      </c>
      <c r="DM91" s="308">
        <v>9</v>
      </c>
      <c r="DS91" s="307">
        <v>80</v>
      </c>
      <c r="DT91" s="50">
        <f t="shared" si="112"/>
        <v>0.80000000000000449</v>
      </c>
      <c r="DU91" s="90">
        <f t="shared" si="118"/>
        <v>0.47696982289973455</v>
      </c>
      <c r="DV91" s="90" t="e">
        <f t="shared" si="119"/>
        <v>#N/A</v>
      </c>
      <c r="DW91" s="90">
        <f t="shared" si="120"/>
        <v>0.47696982289973455</v>
      </c>
      <c r="DX91" s="90">
        <f t="shared" si="113"/>
        <v>32</v>
      </c>
      <c r="DY91" s="308">
        <f t="shared" si="110"/>
        <v>0.31000000000000183</v>
      </c>
      <c r="DZ91" s="307">
        <f t="shared" si="114"/>
        <v>0.79999999999999938</v>
      </c>
      <c r="EA91" s="90">
        <f t="shared" si="121"/>
        <v>0.75782618301863514</v>
      </c>
      <c r="EB91" s="90">
        <f t="shared" si="122"/>
        <v>0.75782618301863514</v>
      </c>
      <c r="EC91" s="90">
        <f t="shared" si="123"/>
        <v>33</v>
      </c>
      <c r="ED91" s="308">
        <f t="shared" si="124"/>
        <v>0.30999999999999978</v>
      </c>
      <c r="EE91" s="307">
        <f t="shared" si="115"/>
        <v>0.80000000000000138</v>
      </c>
      <c r="EF91" s="90">
        <f t="shared" si="125"/>
        <v>-2.6172537790905E-3</v>
      </c>
      <c r="EG91" s="90">
        <f t="shared" si="126"/>
        <v>-2.6172537790905E-3</v>
      </c>
      <c r="EH91" s="90">
        <f t="shared" si="116"/>
        <v>34</v>
      </c>
      <c r="EI91" s="308">
        <f t="shared" si="117"/>
        <v>0.31000000000000055</v>
      </c>
    </row>
    <row r="92" spans="82:139" ht="12" customHeight="1" x14ac:dyDescent="0.2">
      <c r="CD92" s="268" t="s">
        <v>352</v>
      </c>
      <c r="CE92" s="113">
        <f>CHIDIST(CE91,CE90)</f>
        <v>0.99074300070390853</v>
      </c>
      <c r="CG92" s="90"/>
      <c r="CH92" s="90"/>
      <c r="CJ92" s="290" t="str">
        <f t="shared" si="127"/>
        <v/>
      </c>
      <c r="CK92" s="290">
        <v>10</v>
      </c>
      <c r="CL92" s="90"/>
      <c r="CM92" s="90" t="str">
        <f t="shared" si="128"/>
        <v/>
      </c>
      <c r="CN92" s="90" t="str">
        <f t="shared" si="129"/>
        <v/>
      </c>
      <c r="CO92" s="90"/>
      <c r="CP92" s="90" t="str">
        <f t="shared" si="130"/>
        <v/>
      </c>
      <c r="CQ92" s="90" t="e">
        <f t="shared" si="144"/>
        <v>#N/A</v>
      </c>
      <c r="CR92" s="90" t="e">
        <f t="shared" si="145"/>
        <v>#N/A</v>
      </c>
      <c r="CS92" s="102" t="e">
        <f t="shared" si="146"/>
        <v>#N/A</v>
      </c>
      <c r="CT92" s="102" t="e">
        <f t="shared" si="147"/>
        <v>#N/A</v>
      </c>
      <c r="CU92" s="90" t="str">
        <f t="shared" si="148"/>
        <v/>
      </c>
      <c r="CV92" s="90" t="str">
        <f t="shared" si="131"/>
        <v/>
      </c>
      <c r="CW92" s="90" t="str">
        <f t="shared" si="132"/>
        <v/>
      </c>
      <c r="CX92" s="90" t="str">
        <f t="shared" si="132"/>
        <v/>
      </c>
      <c r="CY92" s="90" t="str">
        <f t="shared" si="132"/>
        <v/>
      </c>
      <c r="CZ92" s="90" t="str">
        <f t="shared" si="149"/>
        <v/>
      </c>
      <c r="DA92" s="90" t="str">
        <f t="shared" si="150"/>
        <v/>
      </c>
      <c r="DB92" s="113" t="str">
        <f t="shared" si="133"/>
        <v/>
      </c>
      <c r="DC92" s="106" t="e">
        <f t="shared" si="134"/>
        <v>#N/A</v>
      </c>
      <c r="DD92" s="90" t="e">
        <f t="shared" si="135"/>
        <v>#N/A</v>
      </c>
      <c r="DE92" s="90" t="e">
        <f t="shared" si="136"/>
        <v>#N/A</v>
      </c>
      <c r="DF92" s="90" t="e">
        <f t="shared" si="137"/>
        <v>#N/A</v>
      </c>
      <c r="DG92" s="90" t="e">
        <f t="shared" si="138"/>
        <v>#N/A</v>
      </c>
      <c r="DH92" s="90" t="e">
        <f t="shared" si="139"/>
        <v>#N/A</v>
      </c>
      <c r="DI92" s="90" t="e">
        <f t="shared" si="140"/>
        <v>#N/A</v>
      </c>
      <c r="DJ92" s="90" t="e">
        <f t="shared" si="141"/>
        <v>#N/A</v>
      </c>
      <c r="DK92" s="113" t="e">
        <f t="shared" si="142"/>
        <v>#N/A</v>
      </c>
      <c r="DL92" s="90">
        <f t="shared" si="143"/>
        <v>10</v>
      </c>
      <c r="DM92" s="308">
        <v>10</v>
      </c>
      <c r="DS92" s="307">
        <v>81</v>
      </c>
      <c r="DT92" s="50">
        <f t="shared" si="112"/>
        <v>0.81000000000000449</v>
      </c>
      <c r="DU92" s="90">
        <f t="shared" si="118"/>
        <v>0.48007489449773105</v>
      </c>
      <c r="DV92" s="90" t="e">
        <f t="shared" si="119"/>
        <v>#N/A</v>
      </c>
      <c r="DW92" s="90">
        <f t="shared" si="120"/>
        <v>0.48007489449773105</v>
      </c>
      <c r="DX92" s="90">
        <f t="shared" si="113"/>
        <v>32</v>
      </c>
      <c r="DY92" s="308">
        <f t="shared" si="110"/>
        <v>0.31400000000000183</v>
      </c>
      <c r="DZ92" s="307">
        <f t="shared" si="114"/>
        <v>0.80999999999999939</v>
      </c>
      <c r="EA92" s="90">
        <f t="shared" si="121"/>
        <v>0.76073350917959026</v>
      </c>
      <c r="EB92" s="90">
        <f t="shared" si="122"/>
        <v>0.76073350917959026</v>
      </c>
      <c r="EC92" s="90">
        <f t="shared" si="123"/>
        <v>33</v>
      </c>
      <c r="ED92" s="308">
        <f t="shared" si="124"/>
        <v>0.31399999999999978</v>
      </c>
      <c r="EE92" s="307">
        <f t="shared" si="115"/>
        <v>0.81000000000000139</v>
      </c>
      <c r="EF92" s="90">
        <f t="shared" si="125"/>
        <v>-7.3215646269975641E-5</v>
      </c>
      <c r="EG92" s="90">
        <f t="shared" si="126"/>
        <v>-7.3215646269975641E-5</v>
      </c>
      <c r="EH92" s="90">
        <f t="shared" si="116"/>
        <v>34</v>
      </c>
      <c r="EI92" s="308">
        <f t="shared" si="117"/>
        <v>0.31400000000000056</v>
      </c>
    </row>
    <row r="93" spans="82:139" ht="12" customHeight="1" x14ac:dyDescent="0.2">
      <c r="CD93" s="268" t="s">
        <v>251</v>
      </c>
      <c r="CE93" s="280">
        <f>CU113-CX113/CU113</f>
        <v>29.594047238720872</v>
      </c>
      <c r="CG93" s="425"/>
      <c r="CH93" s="63" t="s">
        <v>462</v>
      </c>
      <c r="CJ93" s="428" t="str">
        <f t="shared" si="127"/>
        <v/>
      </c>
      <c r="CK93" s="290">
        <v>11</v>
      </c>
      <c r="CL93" s="90"/>
      <c r="CM93" s="90" t="str">
        <f t="shared" si="128"/>
        <v/>
      </c>
      <c r="CN93" s="90" t="str">
        <f t="shared" si="129"/>
        <v/>
      </c>
      <c r="CO93" s="90"/>
      <c r="CP93" s="90" t="str">
        <f t="shared" si="130"/>
        <v/>
      </c>
      <c r="CQ93" s="90" t="e">
        <f t="shared" si="144"/>
        <v>#N/A</v>
      </c>
      <c r="CR93" s="90" t="e">
        <f t="shared" si="145"/>
        <v>#N/A</v>
      </c>
      <c r="CS93" s="102" t="e">
        <f t="shared" si="146"/>
        <v>#N/A</v>
      </c>
      <c r="CT93" s="102" t="e">
        <f t="shared" si="147"/>
        <v>#N/A</v>
      </c>
      <c r="CU93" s="90" t="str">
        <f t="shared" si="148"/>
        <v/>
      </c>
      <c r="CV93" s="90" t="str">
        <f t="shared" si="131"/>
        <v/>
      </c>
      <c r="CW93" s="90" t="str">
        <f t="shared" si="132"/>
        <v/>
      </c>
      <c r="CX93" s="90" t="str">
        <f t="shared" si="132"/>
        <v/>
      </c>
      <c r="CY93" s="90" t="str">
        <f t="shared" si="132"/>
        <v/>
      </c>
      <c r="CZ93" s="90" t="str">
        <f t="shared" si="149"/>
        <v/>
      </c>
      <c r="DA93" s="90" t="str">
        <f t="shared" si="150"/>
        <v/>
      </c>
      <c r="DB93" s="113" t="str">
        <f t="shared" si="133"/>
        <v/>
      </c>
      <c r="DC93" s="106" t="e">
        <f t="shared" si="134"/>
        <v>#N/A</v>
      </c>
      <c r="DD93" s="90" t="e">
        <f t="shared" si="135"/>
        <v>#N/A</v>
      </c>
      <c r="DE93" s="90" t="e">
        <f t="shared" si="136"/>
        <v>#N/A</v>
      </c>
      <c r="DF93" s="90" t="e">
        <f t="shared" si="137"/>
        <v>#N/A</v>
      </c>
      <c r="DG93" s="90" t="e">
        <f t="shared" si="138"/>
        <v>#N/A</v>
      </c>
      <c r="DH93" s="90" t="e">
        <f t="shared" si="139"/>
        <v>#N/A</v>
      </c>
      <c r="DI93" s="90" t="e">
        <f t="shared" si="140"/>
        <v>#N/A</v>
      </c>
      <c r="DJ93" s="90" t="e">
        <f t="shared" si="141"/>
        <v>#N/A</v>
      </c>
      <c r="DK93" s="113" t="e">
        <f t="shared" si="142"/>
        <v>#N/A</v>
      </c>
      <c r="DL93" s="90">
        <f t="shared" si="143"/>
        <v>11</v>
      </c>
      <c r="DM93" s="308">
        <v>11</v>
      </c>
      <c r="DS93" s="307">
        <v>82</v>
      </c>
      <c r="DT93" s="50">
        <f t="shared" si="112"/>
        <v>0.82000000000000461</v>
      </c>
      <c r="DU93" s="90">
        <f t="shared" si="118"/>
        <v>0.48317996609572755</v>
      </c>
      <c r="DV93" s="90" t="e">
        <f t="shared" si="119"/>
        <v>#N/A</v>
      </c>
      <c r="DW93" s="90">
        <f t="shared" si="120"/>
        <v>0.48317996609572755</v>
      </c>
      <c r="DX93" s="90">
        <f t="shared" si="113"/>
        <v>32</v>
      </c>
      <c r="DY93" s="308">
        <f t="shared" si="110"/>
        <v>0.31800000000000184</v>
      </c>
      <c r="DZ93" s="307">
        <f t="shared" si="114"/>
        <v>0.8199999999999994</v>
      </c>
      <c r="EA93" s="90">
        <f t="shared" si="121"/>
        <v>0.76364083534054539</v>
      </c>
      <c r="EB93" s="90">
        <f t="shared" si="122"/>
        <v>0.76364083534054539</v>
      </c>
      <c r="EC93" s="90">
        <f t="shared" si="123"/>
        <v>33</v>
      </c>
      <c r="ED93" s="308">
        <f t="shared" si="124"/>
        <v>0.31799999999999978</v>
      </c>
      <c r="EE93" s="307">
        <f t="shared" si="115"/>
        <v>0.82000000000000139</v>
      </c>
      <c r="EF93" s="90">
        <f t="shared" si="125"/>
        <v>2.4708224865505487E-3</v>
      </c>
      <c r="EG93" s="90">
        <f t="shared" si="126"/>
        <v>2.4708224865505487E-3</v>
      </c>
      <c r="EH93" s="90">
        <f t="shared" si="116"/>
        <v>34</v>
      </c>
      <c r="EI93" s="308">
        <f t="shared" si="117"/>
        <v>0.31800000000000056</v>
      </c>
    </row>
    <row r="94" spans="82:139" ht="12" customHeight="1" x14ac:dyDescent="0.2">
      <c r="CD94" s="268" t="s">
        <v>327</v>
      </c>
      <c r="CE94" s="113">
        <f>IF(CE93=0,0,MAX(0,(CE91-CE90)/CE93))</f>
        <v>0</v>
      </c>
      <c r="CG94" s="90"/>
      <c r="CH94" s="586">
        <f>CG57</f>
        <v>0</v>
      </c>
      <c r="CJ94" s="290" t="str">
        <f t="shared" si="127"/>
        <v/>
      </c>
      <c r="CK94" s="290">
        <v>12</v>
      </c>
      <c r="CL94" s="90"/>
      <c r="CM94" s="90" t="str">
        <f t="shared" si="128"/>
        <v/>
      </c>
      <c r="CN94" s="90" t="str">
        <f t="shared" si="129"/>
        <v/>
      </c>
      <c r="CO94" s="90"/>
      <c r="CP94" s="90" t="str">
        <f t="shared" si="130"/>
        <v/>
      </c>
      <c r="CQ94" s="90" t="e">
        <f t="shared" si="144"/>
        <v>#N/A</v>
      </c>
      <c r="CR94" s="90" t="e">
        <f t="shared" si="145"/>
        <v>#N/A</v>
      </c>
      <c r="CS94" s="102" t="e">
        <f t="shared" si="146"/>
        <v>#N/A</v>
      </c>
      <c r="CT94" s="102" t="e">
        <f t="shared" si="147"/>
        <v>#N/A</v>
      </c>
      <c r="CU94" s="90" t="str">
        <f t="shared" si="148"/>
        <v/>
      </c>
      <c r="CV94" s="90" t="str">
        <f t="shared" si="131"/>
        <v/>
      </c>
      <c r="CW94" s="90" t="str">
        <f t="shared" si="132"/>
        <v/>
      </c>
      <c r="CX94" s="90" t="str">
        <f t="shared" si="132"/>
        <v/>
      </c>
      <c r="CY94" s="90" t="str">
        <f t="shared" si="132"/>
        <v/>
      </c>
      <c r="CZ94" s="90" t="str">
        <f t="shared" si="149"/>
        <v/>
      </c>
      <c r="DA94" s="90" t="str">
        <f t="shared" si="150"/>
        <v/>
      </c>
      <c r="DB94" s="113" t="str">
        <f t="shared" si="133"/>
        <v/>
      </c>
      <c r="DC94" s="106" t="e">
        <f t="shared" si="134"/>
        <v>#N/A</v>
      </c>
      <c r="DD94" s="90" t="e">
        <f t="shared" si="135"/>
        <v>#N/A</v>
      </c>
      <c r="DE94" s="90" t="e">
        <f t="shared" si="136"/>
        <v>#N/A</v>
      </c>
      <c r="DF94" s="90" t="e">
        <f t="shared" si="137"/>
        <v>#N/A</v>
      </c>
      <c r="DG94" s="90" t="e">
        <f t="shared" si="138"/>
        <v>#N/A</v>
      </c>
      <c r="DH94" s="90" t="e">
        <f t="shared" si="139"/>
        <v>#N/A</v>
      </c>
      <c r="DI94" s="90" t="e">
        <f t="shared" si="140"/>
        <v>#N/A</v>
      </c>
      <c r="DJ94" s="90" t="e">
        <f t="shared" si="141"/>
        <v>#N/A</v>
      </c>
      <c r="DK94" s="113" t="e">
        <f t="shared" si="142"/>
        <v>#N/A</v>
      </c>
      <c r="DL94" s="90">
        <f t="shared" si="143"/>
        <v>12</v>
      </c>
      <c r="DM94" s="308">
        <v>12</v>
      </c>
      <c r="DS94" s="307">
        <v>83</v>
      </c>
      <c r="DT94" s="50">
        <f t="shared" si="112"/>
        <v>0.83000000000000462</v>
      </c>
      <c r="DU94" s="90">
        <f t="shared" si="118"/>
        <v>0.48628503769372405</v>
      </c>
      <c r="DV94" s="90" t="e">
        <f t="shared" si="119"/>
        <v>#N/A</v>
      </c>
      <c r="DW94" s="90">
        <f t="shared" si="120"/>
        <v>0.48628503769372405</v>
      </c>
      <c r="DX94" s="90">
        <f t="shared" si="113"/>
        <v>32</v>
      </c>
      <c r="DY94" s="308">
        <f t="shared" si="110"/>
        <v>0.32200000000000184</v>
      </c>
      <c r="DZ94" s="307">
        <f t="shared" si="114"/>
        <v>0.8299999999999994</v>
      </c>
      <c r="EA94" s="90">
        <f t="shared" si="121"/>
        <v>0.76654816150150051</v>
      </c>
      <c r="EB94" s="90">
        <f t="shared" si="122"/>
        <v>0.76654816150150051</v>
      </c>
      <c r="EC94" s="90">
        <f t="shared" si="123"/>
        <v>33</v>
      </c>
      <c r="ED94" s="308">
        <f t="shared" si="124"/>
        <v>0.32199999999999979</v>
      </c>
      <c r="EE94" s="307">
        <f t="shared" si="115"/>
        <v>0.8300000000000014</v>
      </c>
      <c r="EF94" s="90">
        <f t="shared" si="125"/>
        <v>5.014860619371073E-3</v>
      </c>
      <c r="EG94" s="90">
        <f t="shared" si="126"/>
        <v>5.014860619371073E-3</v>
      </c>
      <c r="EH94" s="90">
        <f t="shared" si="116"/>
        <v>34</v>
      </c>
      <c r="EI94" s="308">
        <f t="shared" si="117"/>
        <v>0.32200000000000056</v>
      </c>
    </row>
    <row r="95" spans="82:139" ht="12" customHeight="1" x14ac:dyDescent="0.2">
      <c r="CD95" s="268" t="s">
        <v>340</v>
      </c>
      <c r="CE95" s="113">
        <f>SQRT(CE94)</f>
        <v>0</v>
      </c>
      <c r="CG95" s="90"/>
      <c r="CH95" s="113">
        <f>SQRT(CH94)</f>
        <v>0</v>
      </c>
      <c r="CJ95" s="290" t="str">
        <f t="shared" si="127"/>
        <v/>
      </c>
      <c r="CK95" s="290">
        <v>13</v>
      </c>
      <c r="CL95" s="90"/>
      <c r="CM95" s="90" t="str">
        <f t="shared" si="128"/>
        <v/>
      </c>
      <c r="CN95" s="90" t="str">
        <f t="shared" si="129"/>
        <v/>
      </c>
      <c r="CO95" s="90"/>
      <c r="CP95" s="90" t="str">
        <f t="shared" si="130"/>
        <v/>
      </c>
      <c r="CQ95" s="90" t="e">
        <f t="shared" si="144"/>
        <v>#N/A</v>
      </c>
      <c r="CR95" s="90" t="e">
        <f t="shared" si="145"/>
        <v>#N/A</v>
      </c>
      <c r="CS95" s="102" t="e">
        <f t="shared" si="146"/>
        <v>#N/A</v>
      </c>
      <c r="CT95" s="102" t="e">
        <f t="shared" si="147"/>
        <v>#N/A</v>
      </c>
      <c r="CU95" s="90" t="str">
        <f t="shared" si="148"/>
        <v/>
      </c>
      <c r="CV95" s="90" t="str">
        <f t="shared" si="131"/>
        <v/>
      </c>
      <c r="CW95" s="90" t="str">
        <f t="shared" si="132"/>
        <v/>
      </c>
      <c r="CX95" s="90" t="str">
        <f t="shared" si="132"/>
        <v/>
      </c>
      <c r="CY95" s="90" t="str">
        <f t="shared" si="132"/>
        <v/>
      </c>
      <c r="CZ95" s="90" t="str">
        <f t="shared" si="149"/>
        <v/>
      </c>
      <c r="DA95" s="90" t="str">
        <f t="shared" si="150"/>
        <v/>
      </c>
      <c r="DB95" s="113" t="str">
        <f t="shared" si="133"/>
        <v/>
      </c>
      <c r="DC95" s="106" t="e">
        <f t="shared" si="134"/>
        <v>#N/A</v>
      </c>
      <c r="DD95" s="90" t="e">
        <f t="shared" si="135"/>
        <v>#N/A</v>
      </c>
      <c r="DE95" s="90" t="e">
        <f t="shared" si="136"/>
        <v>#N/A</v>
      </c>
      <c r="DF95" s="90" t="e">
        <f t="shared" si="137"/>
        <v>#N/A</v>
      </c>
      <c r="DG95" s="90" t="e">
        <f t="shared" si="138"/>
        <v>#N/A</v>
      </c>
      <c r="DH95" s="90" t="e">
        <f t="shared" si="139"/>
        <v>#N/A</v>
      </c>
      <c r="DI95" s="90" t="e">
        <f t="shared" si="140"/>
        <v>#N/A</v>
      </c>
      <c r="DJ95" s="90" t="e">
        <f t="shared" si="141"/>
        <v>#N/A</v>
      </c>
      <c r="DK95" s="113" t="e">
        <f t="shared" si="142"/>
        <v>#N/A</v>
      </c>
      <c r="DL95" s="90">
        <f t="shared" si="143"/>
        <v>13</v>
      </c>
      <c r="DM95" s="308">
        <v>13</v>
      </c>
      <c r="DS95" s="307">
        <v>84</v>
      </c>
      <c r="DT95" s="50">
        <f t="shared" si="112"/>
        <v>0.84000000000000474</v>
      </c>
      <c r="DU95" s="90">
        <f t="shared" si="118"/>
        <v>0.48939010929172055</v>
      </c>
      <c r="DV95" s="90" t="e">
        <f t="shared" si="119"/>
        <v>#N/A</v>
      </c>
      <c r="DW95" s="90">
        <f t="shared" si="120"/>
        <v>0.48939010929172055</v>
      </c>
      <c r="DX95" s="90">
        <f t="shared" si="113"/>
        <v>32</v>
      </c>
      <c r="DY95" s="308">
        <f t="shared" si="110"/>
        <v>0.3260000000000019</v>
      </c>
      <c r="DZ95" s="307">
        <f t="shared" si="114"/>
        <v>0.83999999999999941</v>
      </c>
      <c r="EA95" s="90">
        <f t="shared" si="121"/>
        <v>0.76945548766245564</v>
      </c>
      <c r="EB95" s="90">
        <f t="shared" si="122"/>
        <v>0.76945548766245564</v>
      </c>
      <c r="EC95" s="90">
        <f t="shared" si="123"/>
        <v>33</v>
      </c>
      <c r="ED95" s="308">
        <f t="shared" si="124"/>
        <v>0.32599999999999979</v>
      </c>
      <c r="EE95" s="307">
        <f t="shared" si="115"/>
        <v>0.84000000000000141</v>
      </c>
      <c r="EF95" s="90">
        <f t="shared" si="125"/>
        <v>7.5588987521915969E-3</v>
      </c>
      <c r="EG95" s="90">
        <f t="shared" si="126"/>
        <v>7.5588987521915969E-3</v>
      </c>
      <c r="EH95" s="90">
        <f t="shared" si="116"/>
        <v>34</v>
      </c>
      <c r="EI95" s="308">
        <f t="shared" si="117"/>
        <v>0.32600000000000057</v>
      </c>
    </row>
    <row r="96" spans="82:139" ht="12" customHeight="1" x14ac:dyDescent="0.2">
      <c r="CD96" s="291" t="s">
        <v>328</v>
      </c>
      <c r="CE96" s="113">
        <f>DB113/DA113</f>
        <v>4.826350887731963E-2</v>
      </c>
      <c r="CG96" s="90"/>
      <c r="CH96" s="90"/>
      <c r="CJ96" s="290" t="str">
        <f t="shared" si="127"/>
        <v/>
      </c>
      <c r="CK96" s="290">
        <v>14</v>
      </c>
      <c r="CL96" s="90"/>
      <c r="CM96" s="90" t="str">
        <f t="shared" si="128"/>
        <v/>
      </c>
      <c r="CN96" s="90" t="str">
        <f t="shared" si="129"/>
        <v/>
      </c>
      <c r="CO96" s="90"/>
      <c r="CP96" s="90" t="str">
        <f t="shared" si="130"/>
        <v/>
      </c>
      <c r="CQ96" s="90" t="e">
        <f t="shared" si="144"/>
        <v>#N/A</v>
      </c>
      <c r="CR96" s="90" t="e">
        <f t="shared" si="145"/>
        <v>#N/A</v>
      </c>
      <c r="CS96" s="102" t="e">
        <f t="shared" si="146"/>
        <v>#N/A</v>
      </c>
      <c r="CT96" s="102" t="e">
        <f t="shared" si="147"/>
        <v>#N/A</v>
      </c>
      <c r="CU96" s="90" t="str">
        <f t="shared" si="148"/>
        <v/>
      </c>
      <c r="CV96" s="90" t="str">
        <f t="shared" si="131"/>
        <v/>
      </c>
      <c r="CW96" s="90" t="str">
        <f t="shared" si="132"/>
        <v/>
      </c>
      <c r="CX96" s="90" t="str">
        <f t="shared" si="132"/>
        <v/>
      </c>
      <c r="CY96" s="90" t="str">
        <f t="shared" si="132"/>
        <v/>
      </c>
      <c r="CZ96" s="90" t="str">
        <f t="shared" si="149"/>
        <v/>
      </c>
      <c r="DA96" s="90" t="str">
        <f t="shared" si="150"/>
        <v/>
      </c>
      <c r="DB96" s="113" t="str">
        <f t="shared" si="133"/>
        <v/>
      </c>
      <c r="DC96" s="106" t="e">
        <f t="shared" si="134"/>
        <v>#N/A</v>
      </c>
      <c r="DD96" s="90" t="e">
        <f t="shared" si="135"/>
        <v>#N/A</v>
      </c>
      <c r="DE96" s="90" t="e">
        <f t="shared" si="136"/>
        <v>#N/A</v>
      </c>
      <c r="DF96" s="90" t="e">
        <f t="shared" si="137"/>
        <v>#N/A</v>
      </c>
      <c r="DG96" s="90" t="e">
        <f t="shared" si="138"/>
        <v>#N/A</v>
      </c>
      <c r="DH96" s="90" t="e">
        <f t="shared" si="139"/>
        <v>#N/A</v>
      </c>
      <c r="DI96" s="90" t="e">
        <f t="shared" si="140"/>
        <v>#N/A</v>
      </c>
      <c r="DJ96" s="90" t="e">
        <f t="shared" si="141"/>
        <v>#N/A</v>
      </c>
      <c r="DK96" s="113" t="e">
        <f t="shared" si="142"/>
        <v>#N/A</v>
      </c>
      <c r="DL96" s="90">
        <f t="shared" si="143"/>
        <v>14</v>
      </c>
      <c r="DM96" s="308">
        <v>14</v>
      </c>
      <c r="DS96" s="307">
        <v>85</v>
      </c>
      <c r="DT96" s="50">
        <f t="shared" si="112"/>
        <v>0.85000000000000475</v>
      </c>
      <c r="DU96" s="90">
        <f t="shared" si="118"/>
        <v>0.49249518088971705</v>
      </c>
      <c r="DV96" s="90" t="e">
        <f t="shared" si="119"/>
        <v>#N/A</v>
      </c>
      <c r="DW96" s="90">
        <f t="shared" si="120"/>
        <v>0.49249518088971705</v>
      </c>
      <c r="DX96" s="90">
        <f t="shared" si="113"/>
        <v>32</v>
      </c>
      <c r="DY96" s="308">
        <f t="shared" si="110"/>
        <v>0.3300000000000019</v>
      </c>
      <c r="DZ96" s="307">
        <f t="shared" si="114"/>
        <v>0.84999999999999931</v>
      </c>
      <c r="EA96" s="90">
        <f t="shared" si="121"/>
        <v>0.77236281382341077</v>
      </c>
      <c r="EB96" s="90">
        <f t="shared" si="122"/>
        <v>0.77236281382341077</v>
      </c>
      <c r="EC96" s="90">
        <f t="shared" si="123"/>
        <v>33</v>
      </c>
      <c r="ED96" s="308">
        <f t="shared" si="124"/>
        <v>0.32999999999999974</v>
      </c>
      <c r="EE96" s="307">
        <f t="shared" si="115"/>
        <v>0.85000000000000142</v>
      </c>
      <c r="EF96" s="90">
        <f t="shared" si="125"/>
        <v>1.0102936885012121E-2</v>
      </c>
      <c r="EG96" s="90">
        <f t="shared" si="126"/>
        <v>1.0102936885012121E-2</v>
      </c>
      <c r="EH96" s="90">
        <f t="shared" si="116"/>
        <v>34</v>
      </c>
      <c r="EI96" s="308">
        <f t="shared" si="117"/>
        <v>0.33000000000000057</v>
      </c>
    </row>
    <row r="97" spans="82:139" ht="12" customHeight="1" x14ac:dyDescent="0.2">
      <c r="CD97" s="268" t="s">
        <v>329</v>
      </c>
      <c r="CE97" s="113">
        <f>1/DA113</f>
        <v>1.6848104648107286E-2</v>
      </c>
      <c r="CG97" s="90"/>
      <c r="CH97" s="90"/>
      <c r="CJ97" s="290" t="str">
        <f t="shared" si="127"/>
        <v/>
      </c>
      <c r="CK97" s="290">
        <v>15</v>
      </c>
      <c r="CL97" s="90"/>
      <c r="CM97" s="90" t="str">
        <f t="shared" si="128"/>
        <v/>
      </c>
      <c r="CN97" s="90" t="str">
        <f t="shared" si="129"/>
        <v/>
      </c>
      <c r="CO97" s="90"/>
      <c r="CP97" s="90" t="str">
        <f t="shared" si="130"/>
        <v/>
      </c>
      <c r="CQ97" s="90" t="e">
        <f t="shared" si="144"/>
        <v>#N/A</v>
      </c>
      <c r="CR97" s="90" t="e">
        <f t="shared" si="145"/>
        <v>#N/A</v>
      </c>
      <c r="CS97" s="102" t="e">
        <f t="shared" si="146"/>
        <v>#N/A</v>
      </c>
      <c r="CT97" s="102" t="e">
        <f t="shared" si="147"/>
        <v>#N/A</v>
      </c>
      <c r="CU97" s="90" t="str">
        <f t="shared" si="148"/>
        <v/>
      </c>
      <c r="CV97" s="90" t="str">
        <f t="shared" si="131"/>
        <v/>
      </c>
      <c r="CW97" s="90" t="str">
        <f t="shared" si="132"/>
        <v/>
      </c>
      <c r="CX97" s="90" t="str">
        <f t="shared" si="132"/>
        <v/>
      </c>
      <c r="CY97" s="90" t="str">
        <f t="shared" si="132"/>
        <v/>
      </c>
      <c r="CZ97" s="90" t="str">
        <f t="shared" si="149"/>
        <v/>
      </c>
      <c r="DA97" s="90" t="str">
        <f t="shared" si="150"/>
        <v/>
      </c>
      <c r="DB97" s="113" t="str">
        <f t="shared" si="133"/>
        <v/>
      </c>
      <c r="DC97" s="106" t="e">
        <f t="shared" si="134"/>
        <v>#N/A</v>
      </c>
      <c r="DD97" s="90" t="e">
        <f t="shared" si="135"/>
        <v>#N/A</v>
      </c>
      <c r="DE97" s="90" t="e">
        <f t="shared" si="136"/>
        <v>#N/A</v>
      </c>
      <c r="DF97" s="90" t="e">
        <f t="shared" si="137"/>
        <v>#N/A</v>
      </c>
      <c r="DG97" s="90" t="e">
        <f t="shared" si="138"/>
        <v>#N/A</v>
      </c>
      <c r="DH97" s="90" t="e">
        <f t="shared" si="139"/>
        <v>#N/A</v>
      </c>
      <c r="DI97" s="90" t="e">
        <f t="shared" si="140"/>
        <v>#N/A</v>
      </c>
      <c r="DJ97" s="90" t="e">
        <f t="shared" si="141"/>
        <v>#N/A</v>
      </c>
      <c r="DK97" s="113" t="e">
        <f t="shared" si="142"/>
        <v>#N/A</v>
      </c>
      <c r="DL97" s="90">
        <f t="shared" si="143"/>
        <v>15</v>
      </c>
      <c r="DM97" s="308">
        <v>15</v>
      </c>
      <c r="DS97" s="307">
        <v>86</v>
      </c>
      <c r="DT97" s="50">
        <f t="shared" si="112"/>
        <v>0.86000000000000487</v>
      </c>
      <c r="DU97" s="90">
        <f t="shared" si="118"/>
        <v>0.49560025248771356</v>
      </c>
      <c r="DV97" s="90" t="e">
        <f t="shared" si="119"/>
        <v>#N/A</v>
      </c>
      <c r="DW97" s="90">
        <f t="shared" si="120"/>
        <v>0.49560025248771356</v>
      </c>
      <c r="DX97" s="90">
        <f t="shared" si="113"/>
        <v>32</v>
      </c>
      <c r="DY97" s="308">
        <f t="shared" si="110"/>
        <v>0.33400000000000196</v>
      </c>
      <c r="DZ97" s="307">
        <f t="shared" si="114"/>
        <v>0.85999999999999932</v>
      </c>
      <c r="EA97" s="90">
        <f t="shared" si="121"/>
        <v>0.77527013998436589</v>
      </c>
      <c r="EB97" s="90">
        <f t="shared" si="122"/>
        <v>0.77527013998436589</v>
      </c>
      <c r="EC97" s="90">
        <f t="shared" si="123"/>
        <v>33</v>
      </c>
      <c r="ED97" s="308">
        <f t="shared" si="124"/>
        <v>0.33399999999999974</v>
      </c>
      <c r="EE97" s="307">
        <f t="shared" si="115"/>
        <v>0.86000000000000143</v>
      </c>
      <c r="EF97" s="90">
        <f t="shared" si="125"/>
        <v>1.2646975017832645E-2</v>
      </c>
      <c r="EG97" s="90">
        <f t="shared" si="126"/>
        <v>1.2646975017832645E-2</v>
      </c>
      <c r="EH97" s="90">
        <f t="shared" si="116"/>
        <v>34</v>
      </c>
      <c r="EI97" s="308">
        <f t="shared" si="117"/>
        <v>0.33400000000000057</v>
      </c>
    </row>
    <row r="98" spans="82:139" ht="12" customHeight="1" x14ac:dyDescent="0.2">
      <c r="CD98" s="268" t="s">
        <v>330</v>
      </c>
      <c r="CE98" s="113">
        <f>SQRT(CE97)</f>
        <v>0.1298002490294502</v>
      </c>
      <c r="CG98" s="90"/>
      <c r="CH98" s="90"/>
      <c r="CJ98" s="290" t="str">
        <f t="shared" si="127"/>
        <v/>
      </c>
      <c r="CK98" s="290">
        <v>16</v>
      </c>
      <c r="CL98" s="90"/>
      <c r="CM98" s="90" t="str">
        <f t="shared" si="128"/>
        <v/>
      </c>
      <c r="CN98" s="90" t="str">
        <f t="shared" si="129"/>
        <v/>
      </c>
      <c r="CO98" s="90"/>
      <c r="CP98" s="90" t="str">
        <f t="shared" si="130"/>
        <v/>
      </c>
      <c r="CQ98" s="90" t="e">
        <f t="shared" si="144"/>
        <v>#N/A</v>
      </c>
      <c r="CR98" s="90" t="e">
        <f t="shared" si="145"/>
        <v>#N/A</v>
      </c>
      <c r="CS98" s="102" t="e">
        <f t="shared" si="146"/>
        <v>#N/A</v>
      </c>
      <c r="CT98" s="102" t="e">
        <f t="shared" si="147"/>
        <v>#N/A</v>
      </c>
      <c r="CU98" s="90" t="str">
        <f t="shared" si="148"/>
        <v/>
      </c>
      <c r="CV98" s="90" t="str">
        <f t="shared" si="131"/>
        <v/>
      </c>
      <c r="CW98" s="90" t="str">
        <f t="shared" si="132"/>
        <v/>
      </c>
      <c r="CX98" s="90" t="str">
        <f t="shared" si="132"/>
        <v/>
      </c>
      <c r="CY98" s="90" t="str">
        <f t="shared" si="132"/>
        <v/>
      </c>
      <c r="CZ98" s="90" t="str">
        <f t="shared" si="149"/>
        <v/>
      </c>
      <c r="DA98" s="90" t="str">
        <f t="shared" si="150"/>
        <v/>
      </c>
      <c r="DB98" s="113" t="str">
        <f t="shared" si="133"/>
        <v/>
      </c>
      <c r="DC98" s="106" t="e">
        <f t="shared" si="134"/>
        <v>#N/A</v>
      </c>
      <c r="DD98" s="90" t="e">
        <f t="shared" si="135"/>
        <v>#N/A</v>
      </c>
      <c r="DE98" s="90" t="e">
        <f t="shared" si="136"/>
        <v>#N/A</v>
      </c>
      <c r="DF98" s="90" t="e">
        <f t="shared" si="137"/>
        <v>#N/A</v>
      </c>
      <c r="DG98" s="90" t="e">
        <f t="shared" si="138"/>
        <v>#N/A</v>
      </c>
      <c r="DH98" s="90" t="e">
        <f t="shared" si="139"/>
        <v>#N/A</v>
      </c>
      <c r="DI98" s="90" t="e">
        <f t="shared" si="140"/>
        <v>#N/A</v>
      </c>
      <c r="DJ98" s="90" t="e">
        <f t="shared" si="141"/>
        <v>#N/A</v>
      </c>
      <c r="DK98" s="113" t="e">
        <f t="shared" si="142"/>
        <v>#N/A</v>
      </c>
      <c r="DL98" s="90">
        <f t="shared" si="143"/>
        <v>16</v>
      </c>
      <c r="DM98" s="308">
        <v>16</v>
      </c>
      <c r="DS98" s="307">
        <v>87</v>
      </c>
      <c r="DT98" s="50">
        <f t="shared" si="112"/>
        <v>0.87000000000000488</v>
      </c>
      <c r="DU98" s="90">
        <f t="shared" si="118"/>
        <v>0.49870532408571006</v>
      </c>
      <c r="DV98" s="90" t="e">
        <f t="shared" si="119"/>
        <v>#N/A</v>
      </c>
      <c r="DW98" s="90">
        <f t="shared" si="120"/>
        <v>0.49870532408571006</v>
      </c>
      <c r="DX98" s="90">
        <f t="shared" si="113"/>
        <v>32</v>
      </c>
      <c r="DY98" s="308">
        <f t="shared" si="110"/>
        <v>0.33800000000000197</v>
      </c>
      <c r="DZ98" s="307">
        <f t="shared" si="114"/>
        <v>0.86999999999999933</v>
      </c>
      <c r="EA98" s="90">
        <f t="shared" si="121"/>
        <v>0.77817746614532102</v>
      </c>
      <c r="EB98" s="90">
        <f t="shared" si="122"/>
        <v>0.77817746614532102</v>
      </c>
      <c r="EC98" s="90">
        <f t="shared" si="123"/>
        <v>33</v>
      </c>
      <c r="ED98" s="308">
        <f t="shared" si="124"/>
        <v>0.33799999999999975</v>
      </c>
      <c r="EE98" s="307">
        <f t="shared" si="115"/>
        <v>0.87000000000000144</v>
      </c>
      <c r="EF98" s="90">
        <f t="shared" si="125"/>
        <v>1.5191013150653168E-2</v>
      </c>
      <c r="EG98" s="90">
        <f t="shared" si="126"/>
        <v>1.5191013150653168E-2</v>
      </c>
      <c r="EH98" s="90">
        <f t="shared" si="116"/>
        <v>34</v>
      </c>
      <c r="EI98" s="308">
        <f t="shared" si="117"/>
        <v>0.33800000000000058</v>
      </c>
    </row>
    <row r="99" spans="82:139" ht="12" customHeight="1" x14ac:dyDescent="0.2">
      <c r="CD99" s="268" t="s">
        <v>331</v>
      </c>
      <c r="CE99" s="113">
        <f>NORMSINV((100+AA2)/200)*CE98</f>
        <v>0.25440381328205242</v>
      </c>
      <c r="CG99" s="90"/>
      <c r="CH99" s="90"/>
      <c r="CJ99" s="290" t="str">
        <f t="shared" si="127"/>
        <v/>
      </c>
      <c r="CK99" s="290">
        <v>17</v>
      </c>
      <c r="CL99" s="90"/>
      <c r="CM99" s="90" t="str">
        <f t="shared" si="128"/>
        <v/>
      </c>
      <c r="CN99" s="90" t="str">
        <f t="shared" si="129"/>
        <v/>
      </c>
      <c r="CO99" s="90"/>
      <c r="CP99" s="90" t="str">
        <f t="shared" si="130"/>
        <v/>
      </c>
      <c r="CQ99" s="90" t="e">
        <f t="shared" si="144"/>
        <v>#N/A</v>
      </c>
      <c r="CR99" s="90" t="e">
        <f t="shared" si="145"/>
        <v>#N/A</v>
      </c>
      <c r="CS99" s="102" t="e">
        <f t="shared" si="146"/>
        <v>#N/A</v>
      </c>
      <c r="CT99" s="102" t="e">
        <f t="shared" si="147"/>
        <v>#N/A</v>
      </c>
      <c r="CU99" s="90" t="str">
        <f t="shared" si="148"/>
        <v/>
      </c>
      <c r="CV99" s="90" t="str">
        <f t="shared" si="131"/>
        <v/>
      </c>
      <c r="CW99" s="90" t="str">
        <f t="shared" si="132"/>
        <v/>
      </c>
      <c r="CX99" s="90" t="str">
        <f t="shared" si="132"/>
        <v/>
      </c>
      <c r="CY99" s="90" t="str">
        <f t="shared" si="132"/>
        <v/>
      </c>
      <c r="CZ99" s="90" t="str">
        <f t="shared" si="149"/>
        <v/>
      </c>
      <c r="DA99" s="90" t="str">
        <f t="shared" si="150"/>
        <v/>
      </c>
      <c r="DB99" s="113" t="str">
        <f t="shared" si="133"/>
        <v/>
      </c>
      <c r="DC99" s="106" t="e">
        <f t="shared" si="134"/>
        <v>#N/A</v>
      </c>
      <c r="DD99" s="90" t="e">
        <f t="shared" si="135"/>
        <v>#N/A</v>
      </c>
      <c r="DE99" s="90" t="e">
        <f t="shared" si="136"/>
        <v>#N/A</v>
      </c>
      <c r="DF99" s="90" t="e">
        <f t="shared" si="137"/>
        <v>#N/A</v>
      </c>
      <c r="DG99" s="90" t="e">
        <f t="shared" si="138"/>
        <v>#N/A</v>
      </c>
      <c r="DH99" s="90" t="e">
        <f t="shared" si="139"/>
        <v>#N/A</v>
      </c>
      <c r="DI99" s="90" t="e">
        <f t="shared" si="140"/>
        <v>#N/A</v>
      </c>
      <c r="DJ99" s="90" t="e">
        <f t="shared" si="141"/>
        <v>#N/A</v>
      </c>
      <c r="DK99" s="113" t="e">
        <f t="shared" si="142"/>
        <v>#N/A</v>
      </c>
      <c r="DL99" s="90">
        <f t="shared" si="143"/>
        <v>17</v>
      </c>
      <c r="DM99" s="308">
        <v>17</v>
      </c>
      <c r="DS99" s="307">
        <v>88</v>
      </c>
      <c r="DT99" s="50">
        <f t="shared" si="112"/>
        <v>0.880000000000005</v>
      </c>
      <c r="DU99" s="90">
        <f t="shared" si="118"/>
        <v>0.50181039568370656</v>
      </c>
      <c r="DV99" s="90" t="e">
        <f t="shared" si="119"/>
        <v>#N/A</v>
      </c>
      <c r="DW99" s="90">
        <f t="shared" si="120"/>
        <v>0.50181039568370656</v>
      </c>
      <c r="DX99" s="90">
        <f t="shared" si="113"/>
        <v>32</v>
      </c>
      <c r="DY99" s="308">
        <f t="shared" si="110"/>
        <v>0.34200000000000202</v>
      </c>
      <c r="DZ99" s="307">
        <f t="shared" si="114"/>
        <v>0.87999999999999934</v>
      </c>
      <c r="EA99" s="90">
        <f t="shared" si="121"/>
        <v>0.78108479230627614</v>
      </c>
      <c r="EB99" s="90">
        <f t="shared" si="122"/>
        <v>0.78108479230627614</v>
      </c>
      <c r="EC99" s="90">
        <f t="shared" si="123"/>
        <v>33</v>
      </c>
      <c r="ED99" s="308">
        <f t="shared" si="124"/>
        <v>0.34199999999999975</v>
      </c>
      <c r="EE99" s="307">
        <f t="shared" si="115"/>
        <v>0.88000000000000145</v>
      </c>
      <c r="EF99" s="90">
        <f t="shared" si="125"/>
        <v>1.7735051283473694E-2</v>
      </c>
      <c r="EG99" s="90">
        <f t="shared" si="126"/>
        <v>1.7735051283473694E-2</v>
      </c>
      <c r="EH99" s="90">
        <f t="shared" si="116"/>
        <v>34</v>
      </c>
      <c r="EI99" s="308">
        <f t="shared" si="117"/>
        <v>0.34200000000000058</v>
      </c>
    </row>
    <row r="100" spans="82:139" ht="12" customHeight="1" x14ac:dyDescent="0.2">
      <c r="CD100" s="268" t="s">
        <v>332</v>
      </c>
      <c r="CE100" s="113">
        <f>CE96-CE99</f>
        <v>-0.2061403044047328</v>
      </c>
      <c r="CG100" s="90"/>
      <c r="CH100" s="90"/>
      <c r="CJ100" s="290" t="str">
        <f t="shared" si="127"/>
        <v/>
      </c>
      <c r="CK100" s="290">
        <v>18</v>
      </c>
      <c r="CL100" s="90"/>
      <c r="CM100" s="90" t="str">
        <f t="shared" si="128"/>
        <v/>
      </c>
      <c r="CN100" s="90" t="str">
        <f t="shared" si="129"/>
        <v/>
      </c>
      <c r="CO100" s="90"/>
      <c r="CP100" s="90" t="str">
        <f t="shared" si="130"/>
        <v/>
      </c>
      <c r="CQ100" s="90" t="e">
        <f t="shared" si="144"/>
        <v>#N/A</v>
      </c>
      <c r="CR100" s="90" t="e">
        <f t="shared" si="145"/>
        <v>#N/A</v>
      </c>
      <c r="CS100" s="102" t="e">
        <f t="shared" si="146"/>
        <v>#N/A</v>
      </c>
      <c r="CT100" s="102" t="e">
        <f t="shared" si="147"/>
        <v>#N/A</v>
      </c>
      <c r="CU100" s="90" t="str">
        <f t="shared" si="148"/>
        <v/>
      </c>
      <c r="CV100" s="90" t="str">
        <f t="shared" si="131"/>
        <v/>
      </c>
      <c r="CW100" s="90" t="str">
        <f t="shared" si="132"/>
        <v/>
      </c>
      <c r="CX100" s="90" t="str">
        <f t="shared" si="132"/>
        <v/>
      </c>
      <c r="CY100" s="90" t="str">
        <f t="shared" si="132"/>
        <v/>
      </c>
      <c r="CZ100" s="90" t="str">
        <f t="shared" si="149"/>
        <v/>
      </c>
      <c r="DA100" s="90" t="str">
        <f t="shared" si="150"/>
        <v/>
      </c>
      <c r="DB100" s="113" t="str">
        <f t="shared" si="133"/>
        <v/>
      </c>
      <c r="DC100" s="106" t="e">
        <f t="shared" si="134"/>
        <v>#N/A</v>
      </c>
      <c r="DD100" s="90" t="e">
        <f t="shared" si="135"/>
        <v>#N/A</v>
      </c>
      <c r="DE100" s="90" t="e">
        <f t="shared" si="136"/>
        <v>#N/A</v>
      </c>
      <c r="DF100" s="90" t="e">
        <f t="shared" si="137"/>
        <v>#N/A</v>
      </c>
      <c r="DG100" s="90" t="e">
        <f t="shared" si="138"/>
        <v>#N/A</v>
      </c>
      <c r="DH100" s="90" t="e">
        <f t="shared" si="139"/>
        <v>#N/A</v>
      </c>
      <c r="DI100" s="90" t="e">
        <f t="shared" si="140"/>
        <v>#N/A</v>
      </c>
      <c r="DJ100" s="90" t="e">
        <f t="shared" si="141"/>
        <v>#N/A</v>
      </c>
      <c r="DK100" s="113" t="e">
        <f t="shared" si="142"/>
        <v>#N/A</v>
      </c>
      <c r="DL100" s="90">
        <f t="shared" si="143"/>
        <v>18</v>
      </c>
      <c r="DM100" s="308">
        <v>18</v>
      </c>
      <c r="DS100" s="307">
        <v>89</v>
      </c>
      <c r="DT100" s="50">
        <f t="shared" si="112"/>
        <v>0.8900000000000049</v>
      </c>
      <c r="DU100" s="90">
        <f t="shared" si="118"/>
        <v>0.504915467281703</v>
      </c>
      <c r="DV100" s="90" t="e">
        <f t="shared" si="119"/>
        <v>#N/A</v>
      </c>
      <c r="DW100" s="90">
        <f t="shared" si="120"/>
        <v>0.504915467281703</v>
      </c>
      <c r="DX100" s="90">
        <f t="shared" si="113"/>
        <v>32</v>
      </c>
      <c r="DY100" s="308">
        <f t="shared" si="110"/>
        <v>0.34600000000000197</v>
      </c>
      <c r="DZ100" s="307">
        <f t="shared" si="114"/>
        <v>0.88999999999999935</v>
      </c>
      <c r="EA100" s="90">
        <f t="shared" si="121"/>
        <v>0.78399211846723127</v>
      </c>
      <c r="EB100" s="90">
        <f t="shared" si="122"/>
        <v>0.78399211846723127</v>
      </c>
      <c r="EC100" s="90">
        <f t="shared" si="123"/>
        <v>33</v>
      </c>
      <c r="ED100" s="308">
        <f t="shared" si="124"/>
        <v>0.34599999999999975</v>
      </c>
      <c r="EE100" s="307">
        <f t="shared" si="115"/>
        <v>0.89000000000000135</v>
      </c>
      <c r="EF100" s="90">
        <f t="shared" si="125"/>
        <v>2.0279089416294218E-2</v>
      </c>
      <c r="EG100" s="90">
        <f t="shared" si="126"/>
        <v>2.0279089416294218E-2</v>
      </c>
      <c r="EH100" s="90">
        <f t="shared" si="116"/>
        <v>34</v>
      </c>
      <c r="EI100" s="308">
        <f t="shared" si="117"/>
        <v>0.34600000000000053</v>
      </c>
    </row>
    <row r="101" spans="82:139" ht="12" customHeight="1" x14ac:dyDescent="0.2">
      <c r="CD101" s="268" t="s">
        <v>333</v>
      </c>
      <c r="CE101" s="113">
        <f>CE96+CE99</f>
        <v>0.30266732215937203</v>
      </c>
      <c r="CG101" s="90"/>
      <c r="CH101" s="90"/>
      <c r="CJ101" s="290" t="str">
        <f t="shared" si="127"/>
        <v/>
      </c>
      <c r="CK101" s="290">
        <v>19</v>
      </c>
      <c r="CL101" s="90"/>
      <c r="CM101" s="90" t="str">
        <f t="shared" si="128"/>
        <v/>
      </c>
      <c r="CN101" s="90" t="str">
        <f t="shared" si="129"/>
        <v/>
      </c>
      <c r="CO101" s="90"/>
      <c r="CP101" s="90" t="str">
        <f t="shared" si="130"/>
        <v/>
      </c>
      <c r="CQ101" s="90" t="e">
        <f t="shared" si="144"/>
        <v>#N/A</v>
      </c>
      <c r="CR101" s="90" t="e">
        <f t="shared" si="145"/>
        <v>#N/A</v>
      </c>
      <c r="CS101" s="102" t="e">
        <f t="shared" si="146"/>
        <v>#N/A</v>
      </c>
      <c r="CT101" s="102" t="e">
        <f t="shared" si="147"/>
        <v>#N/A</v>
      </c>
      <c r="CU101" s="90" t="str">
        <f t="shared" si="148"/>
        <v/>
      </c>
      <c r="CV101" s="90" t="str">
        <f t="shared" si="131"/>
        <v/>
      </c>
      <c r="CW101" s="90" t="str">
        <f t="shared" si="132"/>
        <v/>
      </c>
      <c r="CX101" s="90" t="str">
        <f t="shared" si="132"/>
        <v/>
      </c>
      <c r="CY101" s="90" t="str">
        <f t="shared" si="132"/>
        <v/>
      </c>
      <c r="CZ101" s="90" t="str">
        <f t="shared" si="149"/>
        <v/>
      </c>
      <c r="DA101" s="90" t="str">
        <f t="shared" si="150"/>
        <v/>
      </c>
      <c r="DB101" s="113" t="str">
        <f t="shared" si="133"/>
        <v/>
      </c>
      <c r="DC101" s="106" t="e">
        <f t="shared" si="134"/>
        <v>#N/A</v>
      </c>
      <c r="DD101" s="90" t="e">
        <f t="shared" si="135"/>
        <v>#N/A</v>
      </c>
      <c r="DE101" s="90" t="e">
        <f t="shared" si="136"/>
        <v>#N/A</v>
      </c>
      <c r="DF101" s="90" t="e">
        <f t="shared" si="137"/>
        <v>#N/A</v>
      </c>
      <c r="DG101" s="90" t="e">
        <f t="shared" si="138"/>
        <v>#N/A</v>
      </c>
      <c r="DH101" s="90" t="e">
        <f t="shared" si="139"/>
        <v>#N/A</v>
      </c>
      <c r="DI101" s="90" t="e">
        <f t="shared" si="140"/>
        <v>#N/A</v>
      </c>
      <c r="DJ101" s="90" t="e">
        <f t="shared" si="141"/>
        <v>#N/A</v>
      </c>
      <c r="DK101" s="113" t="e">
        <f t="shared" si="142"/>
        <v>#N/A</v>
      </c>
      <c r="DL101" s="90">
        <f t="shared" si="143"/>
        <v>19</v>
      </c>
      <c r="DM101" s="308">
        <v>19</v>
      </c>
      <c r="DS101" s="307">
        <v>90</v>
      </c>
      <c r="DT101" s="50">
        <f t="shared" si="112"/>
        <v>0.9000000000000048</v>
      </c>
      <c r="DU101" s="90">
        <f t="shared" si="118"/>
        <v>0.50802053887969945</v>
      </c>
      <c r="DV101" s="90" t="e">
        <f t="shared" si="119"/>
        <v>#N/A</v>
      </c>
      <c r="DW101" s="90">
        <f t="shared" si="120"/>
        <v>0.50802053887969945</v>
      </c>
      <c r="DX101" s="90">
        <f t="shared" si="113"/>
        <v>32</v>
      </c>
      <c r="DY101" s="308">
        <f t="shared" si="110"/>
        <v>0.35000000000000192</v>
      </c>
      <c r="DZ101" s="307">
        <f t="shared" si="114"/>
        <v>0.89999999999999936</v>
      </c>
      <c r="EA101" s="90">
        <f t="shared" si="121"/>
        <v>0.7868994446281864</v>
      </c>
      <c r="EB101" s="90">
        <f t="shared" si="122"/>
        <v>0.7868994446281864</v>
      </c>
      <c r="EC101" s="90">
        <f t="shared" si="123"/>
        <v>33</v>
      </c>
      <c r="ED101" s="308">
        <f t="shared" si="124"/>
        <v>0.34999999999999976</v>
      </c>
      <c r="EE101" s="307">
        <f t="shared" si="115"/>
        <v>0.90000000000000135</v>
      </c>
      <c r="EF101" s="90">
        <f t="shared" si="125"/>
        <v>2.2823127549114742E-2</v>
      </c>
      <c r="EG101" s="90">
        <f t="shared" si="126"/>
        <v>2.2823127549114742E-2</v>
      </c>
      <c r="EH101" s="90">
        <f t="shared" si="116"/>
        <v>34</v>
      </c>
      <c r="EI101" s="308">
        <f t="shared" si="117"/>
        <v>0.35000000000000053</v>
      </c>
    </row>
    <row r="102" spans="82:139" ht="12" customHeight="1" x14ac:dyDescent="0.2">
      <c r="CD102" s="268" t="s">
        <v>315</v>
      </c>
      <c r="CE102" s="113">
        <f>(CE96)/CE98</f>
        <v>0.37182909307338224</v>
      </c>
      <c r="CG102" s="90"/>
      <c r="CH102" s="90"/>
      <c r="CJ102" s="290" t="str">
        <f t="shared" si="127"/>
        <v/>
      </c>
      <c r="CK102" s="290">
        <v>20</v>
      </c>
      <c r="CL102" s="90"/>
      <c r="CM102" s="90" t="str">
        <f t="shared" si="128"/>
        <v/>
      </c>
      <c r="CN102" s="90" t="str">
        <f t="shared" si="129"/>
        <v/>
      </c>
      <c r="CO102" s="90"/>
      <c r="CP102" s="90" t="str">
        <f t="shared" si="130"/>
        <v/>
      </c>
      <c r="CQ102" s="90" t="e">
        <f t="shared" si="144"/>
        <v>#N/A</v>
      </c>
      <c r="CR102" s="90" t="e">
        <f t="shared" si="145"/>
        <v>#N/A</v>
      </c>
      <c r="CS102" s="102" t="e">
        <f t="shared" si="146"/>
        <v>#N/A</v>
      </c>
      <c r="CT102" s="102" t="e">
        <f t="shared" si="147"/>
        <v>#N/A</v>
      </c>
      <c r="CU102" s="90" t="str">
        <f t="shared" si="148"/>
        <v/>
      </c>
      <c r="CV102" s="90" t="str">
        <f t="shared" si="131"/>
        <v/>
      </c>
      <c r="CW102" s="90" t="str">
        <f t="shared" si="132"/>
        <v/>
      </c>
      <c r="CX102" s="90" t="str">
        <f t="shared" si="132"/>
        <v/>
      </c>
      <c r="CY102" s="90" t="str">
        <f t="shared" si="132"/>
        <v/>
      </c>
      <c r="CZ102" s="90" t="str">
        <f t="shared" si="149"/>
        <v/>
      </c>
      <c r="DA102" s="90" t="str">
        <f t="shared" si="150"/>
        <v/>
      </c>
      <c r="DB102" s="113" t="str">
        <f t="shared" si="133"/>
        <v/>
      </c>
      <c r="DC102" s="106" t="e">
        <f t="shared" si="134"/>
        <v>#N/A</v>
      </c>
      <c r="DD102" s="90" t="e">
        <f t="shared" si="135"/>
        <v>#N/A</v>
      </c>
      <c r="DE102" s="90" t="e">
        <f t="shared" si="136"/>
        <v>#N/A</v>
      </c>
      <c r="DF102" s="90" t="e">
        <f t="shared" si="137"/>
        <v>#N/A</v>
      </c>
      <c r="DG102" s="90" t="e">
        <f t="shared" si="138"/>
        <v>#N/A</v>
      </c>
      <c r="DH102" s="90" t="e">
        <f t="shared" si="139"/>
        <v>#N/A</v>
      </c>
      <c r="DI102" s="90" t="e">
        <f t="shared" si="140"/>
        <v>#N/A</v>
      </c>
      <c r="DJ102" s="90" t="e">
        <f t="shared" si="141"/>
        <v>#N/A</v>
      </c>
      <c r="DK102" s="113" t="e">
        <f t="shared" si="142"/>
        <v>#N/A</v>
      </c>
      <c r="DL102" s="90">
        <f t="shared" si="143"/>
        <v>20</v>
      </c>
      <c r="DM102" s="308">
        <v>20</v>
      </c>
      <c r="DS102" s="307">
        <v>91</v>
      </c>
      <c r="DT102" s="50">
        <f t="shared" si="112"/>
        <v>0.91000000000000458</v>
      </c>
      <c r="DU102" s="90">
        <f t="shared" si="118"/>
        <v>0.51112561047769589</v>
      </c>
      <c r="DV102" s="90" t="e">
        <f t="shared" si="119"/>
        <v>#N/A</v>
      </c>
      <c r="DW102" s="90">
        <f t="shared" si="120"/>
        <v>0.51112561047769589</v>
      </c>
      <c r="DX102" s="90">
        <f t="shared" si="113"/>
        <v>32</v>
      </c>
      <c r="DY102" s="308">
        <f t="shared" si="110"/>
        <v>0.35400000000000187</v>
      </c>
      <c r="DZ102" s="307">
        <f t="shared" si="114"/>
        <v>0.90999999999999925</v>
      </c>
      <c r="EA102" s="90">
        <f t="shared" si="121"/>
        <v>0.78980677078914152</v>
      </c>
      <c r="EB102" s="90">
        <f t="shared" si="122"/>
        <v>0.78980677078914152</v>
      </c>
      <c r="EC102" s="90">
        <f t="shared" si="123"/>
        <v>33</v>
      </c>
      <c r="ED102" s="308">
        <f t="shared" si="124"/>
        <v>0.3539999999999997</v>
      </c>
      <c r="EE102" s="307">
        <f t="shared" si="115"/>
        <v>0.91000000000000136</v>
      </c>
      <c r="EF102" s="90">
        <f t="shared" si="125"/>
        <v>2.5367165681935266E-2</v>
      </c>
      <c r="EG102" s="90">
        <f t="shared" si="126"/>
        <v>2.5367165681935266E-2</v>
      </c>
      <c r="EH102" s="90">
        <f t="shared" si="116"/>
        <v>34</v>
      </c>
      <c r="EI102" s="308">
        <f t="shared" si="117"/>
        <v>0.35400000000000054</v>
      </c>
    </row>
    <row r="103" spans="82:139" ht="12" customHeight="1" x14ac:dyDescent="0.2">
      <c r="CD103" s="268" t="s">
        <v>266</v>
      </c>
      <c r="CE103" s="113">
        <f>2*(1-NORMSDIST(ABS(CE102)))</f>
        <v>0.71002010111816638</v>
      </c>
      <c r="CG103" s="90"/>
      <c r="CH103" s="90"/>
      <c r="CJ103" s="290" t="str">
        <f t="shared" si="127"/>
        <v/>
      </c>
      <c r="CK103" s="290">
        <v>21</v>
      </c>
      <c r="CL103" s="90"/>
      <c r="CM103" s="90" t="str">
        <f t="shared" si="128"/>
        <v/>
      </c>
      <c r="CN103" s="90" t="str">
        <f t="shared" si="129"/>
        <v/>
      </c>
      <c r="CO103" s="90"/>
      <c r="CP103" s="90" t="str">
        <f t="shared" si="130"/>
        <v/>
      </c>
      <c r="CQ103" s="90" t="e">
        <f t="shared" si="144"/>
        <v>#N/A</v>
      </c>
      <c r="CR103" s="90" t="e">
        <f t="shared" si="145"/>
        <v>#N/A</v>
      </c>
      <c r="CS103" s="102" t="e">
        <f t="shared" si="146"/>
        <v>#N/A</v>
      </c>
      <c r="CT103" s="102" t="e">
        <f t="shared" si="147"/>
        <v>#N/A</v>
      </c>
      <c r="CU103" s="90" t="str">
        <f t="shared" si="148"/>
        <v/>
      </c>
      <c r="CV103" s="90" t="str">
        <f t="shared" si="131"/>
        <v/>
      </c>
      <c r="CW103" s="90" t="str">
        <f t="shared" si="132"/>
        <v/>
      </c>
      <c r="CX103" s="90" t="str">
        <f t="shared" si="132"/>
        <v/>
      </c>
      <c r="CY103" s="90" t="str">
        <f t="shared" si="132"/>
        <v/>
      </c>
      <c r="CZ103" s="90" t="str">
        <f t="shared" si="149"/>
        <v/>
      </c>
      <c r="DA103" s="90" t="str">
        <f t="shared" si="150"/>
        <v/>
      </c>
      <c r="DB103" s="113" t="str">
        <f t="shared" si="133"/>
        <v/>
      </c>
      <c r="DC103" s="106" t="e">
        <f t="shared" si="134"/>
        <v>#N/A</v>
      </c>
      <c r="DD103" s="90" t="e">
        <f t="shared" si="135"/>
        <v>#N/A</v>
      </c>
      <c r="DE103" s="90" t="e">
        <f t="shared" si="136"/>
        <v>#N/A</v>
      </c>
      <c r="DF103" s="90" t="e">
        <f t="shared" si="137"/>
        <v>#N/A</v>
      </c>
      <c r="DG103" s="90" t="e">
        <f t="shared" si="138"/>
        <v>#N/A</v>
      </c>
      <c r="DH103" s="90" t="e">
        <f t="shared" si="139"/>
        <v>#N/A</v>
      </c>
      <c r="DI103" s="90" t="e">
        <f t="shared" si="140"/>
        <v>#N/A</v>
      </c>
      <c r="DJ103" s="90" t="e">
        <f t="shared" si="141"/>
        <v>#N/A</v>
      </c>
      <c r="DK103" s="113" t="e">
        <f t="shared" si="142"/>
        <v>#N/A</v>
      </c>
      <c r="DL103" s="90">
        <f t="shared" si="143"/>
        <v>21</v>
      </c>
      <c r="DM103" s="308">
        <v>21</v>
      </c>
      <c r="DS103" s="307">
        <v>92</v>
      </c>
      <c r="DT103" s="50">
        <f t="shared" si="112"/>
        <v>0.92000000000000448</v>
      </c>
      <c r="DU103" s="90">
        <f t="shared" si="118"/>
        <v>0.51423068207569234</v>
      </c>
      <c r="DV103" s="90" t="e">
        <f t="shared" si="119"/>
        <v>#N/A</v>
      </c>
      <c r="DW103" s="90">
        <f t="shared" si="120"/>
        <v>0.51423068207569234</v>
      </c>
      <c r="DX103" s="90">
        <f t="shared" si="113"/>
        <v>32</v>
      </c>
      <c r="DY103" s="308">
        <f t="shared" si="110"/>
        <v>0.35800000000000182</v>
      </c>
      <c r="DZ103" s="307">
        <f t="shared" si="114"/>
        <v>0.91999999999999926</v>
      </c>
      <c r="EA103" s="90">
        <f t="shared" si="121"/>
        <v>0.79271409695009665</v>
      </c>
      <c r="EB103" s="90">
        <f t="shared" si="122"/>
        <v>0.79271409695009665</v>
      </c>
      <c r="EC103" s="90">
        <f t="shared" si="123"/>
        <v>33</v>
      </c>
      <c r="ED103" s="308">
        <f t="shared" si="124"/>
        <v>0.35799999999999971</v>
      </c>
      <c r="EE103" s="307">
        <f t="shared" si="115"/>
        <v>0.92000000000000137</v>
      </c>
      <c r="EF103" s="90">
        <f t="shared" si="125"/>
        <v>2.791120381475579E-2</v>
      </c>
      <c r="EG103" s="90">
        <f t="shared" si="126"/>
        <v>2.791120381475579E-2</v>
      </c>
      <c r="EH103" s="90">
        <f t="shared" si="116"/>
        <v>34</v>
      </c>
      <c r="EI103" s="308">
        <f t="shared" si="117"/>
        <v>0.35800000000000054</v>
      </c>
    </row>
    <row r="104" spans="82:139" ht="12" customHeight="1" x14ac:dyDescent="0.2">
      <c r="CD104" s="303" t="s">
        <v>341</v>
      </c>
      <c r="CE104" s="304">
        <f>MAX(0,(CE91-CE90)/CE91)</f>
        <v>0</v>
      </c>
      <c r="CG104" s="431"/>
      <c r="CH104" s="431"/>
      <c r="CJ104" s="434" t="str">
        <f t="shared" si="127"/>
        <v/>
      </c>
      <c r="CK104" s="290">
        <v>22</v>
      </c>
      <c r="CL104" s="90"/>
      <c r="CM104" s="90" t="str">
        <f t="shared" si="128"/>
        <v/>
      </c>
      <c r="CN104" s="90" t="str">
        <f t="shared" si="129"/>
        <v/>
      </c>
      <c r="CO104" s="90"/>
      <c r="CP104" s="90" t="str">
        <f t="shared" si="130"/>
        <v/>
      </c>
      <c r="CQ104" s="90" t="e">
        <f t="shared" si="144"/>
        <v>#N/A</v>
      </c>
      <c r="CR104" s="90" t="e">
        <f t="shared" si="145"/>
        <v>#N/A</v>
      </c>
      <c r="CS104" s="102" t="e">
        <f t="shared" si="146"/>
        <v>#N/A</v>
      </c>
      <c r="CT104" s="102" t="e">
        <f t="shared" si="147"/>
        <v>#N/A</v>
      </c>
      <c r="CU104" s="90" t="str">
        <f t="shared" si="148"/>
        <v/>
      </c>
      <c r="CV104" s="90" t="str">
        <f t="shared" si="131"/>
        <v/>
      </c>
      <c r="CW104" s="90" t="str">
        <f t="shared" si="132"/>
        <v/>
      </c>
      <c r="CX104" s="90" t="str">
        <f t="shared" si="132"/>
        <v/>
      </c>
      <c r="CY104" s="90" t="str">
        <f t="shared" si="132"/>
        <v/>
      </c>
      <c r="CZ104" s="90" t="str">
        <f t="shared" si="149"/>
        <v/>
      </c>
      <c r="DA104" s="90" t="str">
        <f t="shared" si="150"/>
        <v/>
      </c>
      <c r="DB104" s="113" t="str">
        <f t="shared" si="133"/>
        <v/>
      </c>
      <c r="DC104" s="106" t="e">
        <f t="shared" si="134"/>
        <v>#N/A</v>
      </c>
      <c r="DD104" s="90" t="e">
        <f t="shared" si="135"/>
        <v>#N/A</v>
      </c>
      <c r="DE104" s="90" t="e">
        <f t="shared" si="136"/>
        <v>#N/A</v>
      </c>
      <c r="DF104" s="90" t="e">
        <f t="shared" si="137"/>
        <v>#N/A</v>
      </c>
      <c r="DG104" s="90" t="e">
        <f t="shared" si="138"/>
        <v>#N/A</v>
      </c>
      <c r="DH104" s="90" t="e">
        <f t="shared" si="139"/>
        <v>#N/A</v>
      </c>
      <c r="DI104" s="90" t="e">
        <f t="shared" si="140"/>
        <v>#N/A</v>
      </c>
      <c r="DJ104" s="90" t="e">
        <f t="shared" si="141"/>
        <v>#N/A</v>
      </c>
      <c r="DK104" s="113" t="e">
        <f t="shared" si="142"/>
        <v>#N/A</v>
      </c>
      <c r="DL104" s="90">
        <f t="shared" si="143"/>
        <v>22</v>
      </c>
      <c r="DM104" s="308">
        <v>22</v>
      </c>
      <c r="DS104" s="307">
        <v>93</v>
      </c>
      <c r="DT104" s="50">
        <f t="shared" si="112"/>
        <v>0.93000000000000438</v>
      </c>
      <c r="DU104" s="90">
        <f t="shared" si="118"/>
        <v>0.51733575367368878</v>
      </c>
      <c r="DV104" s="90" t="e">
        <f t="shared" si="119"/>
        <v>#N/A</v>
      </c>
      <c r="DW104" s="90">
        <f t="shared" si="120"/>
        <v>0.51733575367368878</v>
      </c>
      <c r="DX104" s="90">
        <f t="shared" si="113"/>
        <v>32</v>
      </c>
      <c r="DY104" s="308">
        <f t="shared" si="110"/>
        <v>0.36200000000000176</v>
      </c>
      <c r="DZ104" s="307">
        <f t="shared" si="114"/>
        <v>0.92999999999999927</v>
      </c>
      <c r="EA104" s="90">
        <f t="shared" si="121"/>
        <v>0.79562142311105177</v>
      </c>
      <c r="EB104" s="90">
        <f t="shared" si="122"/>
        <v>0.79562142311105177</v>
      </c>
      <c r="EC104" s="90">
        <f t="shared" si="123"/>
        <v>33</v>
      </c>
      <c r="ED104" s="308">
        <f t="shared" si="124"/>
        <v>0.36199999999999971</v>
      </c>
      <c r="EE104" s="307">
        <f t="shared" si="115"/>
        <v>0.93000000000000138</v>
      </c>
      <c r="EF104" s="90">
        <f t="shared" si="125"/>
        <v>3.0455241947576314E-2</v>
      </c>
      <c r="EG104" s="90">
        <f t="shared" si="126"/>
        <v>3.0455241947576314E-2</v>
      </c>
      <c r="EH104" s="90">
        <f t="shared" si="116"/>
        <v>34</v>
      </c>
      <c r="EI104" s="308">
        <f t="shared" si="117"/>
        <v>0.36200000000000054</v>
      </c>
    </row>
    <row r="105" spans="82:139" ht="12" customHeight="1" x14ac:dyDescent="0.2">
      <c r="CD105" s="106" t="s">
        <v>342</v>
      </c>
      <c r="CE105" s="113"/>
      <c r="CG105" s="90"/>
      <c r="CH105" s="90"/>
      <c r="CJ105" s="290" t="str">
        <f t="shared" si="127"/>
        <v/>
      </c>
      <c r="CK105" s="290">
        <v>23</v>
      </c>
      <c r="CL105" s="90"/>
      <c r="CM105" s="90" t="str">
        <f t="shared" si="128"/>
        <v/>
      </c>
      <c r="CN105" s="90" t="str">
        <f t="shared" si="129"/>
        <v/>
      </c>
      <c r="CO105" s="90"/>
      <c r="CP105" s="90" t="str">
        <f t="shared" si="130"/>
        <v/>
      </c>
      <c r="CQ105" s="90" t="e">
        <f t="shared" si="144"/>
        <v>#N/A</v>
      </c>
      <c r="CR105" s="90" t="e">
        <f t="shared" si="145"/>
        <v>#N/A</v>
      </c>
      <c r="CS105" s="102" t="e">
        <f t="shared" si="146"/>
        <v>#N/A</v>
      </c>
      <c r="CT105" s="102" t="e">
        <f t="shared" si="147"/>
        <v>#N/A</v>
      </c>
      <c r="CU105" s="90" t="str">
        <f t="shared" si="148"/>
        <v/>
      </c>
      <c r="CV105" s="90" t="str">
        <f t="shared" si="131"/>
        <v/>
      </c>
      <c r="CW105" s="90" t="str">
        <f t="shared" si="132"/>
        <v/>
      </c>
      <c r="CX105" s="90" t="str">
        <f t="shared" si="132"/>
        <v/>
      </c>
      <c r="CY105" s="90" t="str">
        <f t="shared" si="132"/>
        <v/>
      </c>
      <c r="CZ105" s="90" t="str">
        <f t="shared" si="149"/>
        <v/>
      </c>
      <c r="DA105" s="90" t="str">
        <f t="shared" si="150"/>
        <v/>
      </c>
      <c r="DB105" s="113" t="str">
        <f t="shared" si="133"/>
        <v/>
      </c>
      <c r="DC105" s="106" t="e">
        <f t="shared" si="134"/>
        <v>#N/A</v>
      </c>
      <c r="DD105" s="90" t="e">
        <f t="shared" si="135"/>
        <v>#N/A</v>
      </c>
      <c r="DE105" s="90" t="e">
        <f t="shared" si="136"/>
        <v>#N/A</v>
      </c>
      <c r="DF105" s="90" t="e">
        <f t="shared" si="137"/>
        <v>#N/A</v>
      </c>
      <c r="DG105" s="90" t="e">
        <f t="shared" si="138"/>
        <v>#N/A</v>
      </c>
      <c r="DH105" s="90" t="e">
        <f t="shared" si="139"/>
        <v>#N/A</v>
      </c>
      <c r="DI105" s="90" t="e">
        <f t="shared" si="140"/>
        <v>#N/A</v>
      </c>
      <c r="DJ105" s="90" t="e">
        <f t="shared" si="141"/>
        <v>#N/A</v>
      </c>
      <c r="DK105" s="113" t="e">
        <f t="shared" si="142"/>
        <v>#N/A</v>
      </c>
      <c r="DL105" s="90">
        <f t="shared" si="143"/>
        <v>23</v>
      </c>
      <c r="DM105" s="308">
        <v>23</v>
      </c>
      <c r="DS105" s="307">
        <v>94</v>
      </c>
      <c r="DT105" s="50">
        <f t="shared" si="112"/>
        <v>0.94000000000000428</v>
      </c>
      <c r="DU105" s="90">
        <f t="shared" si="118"/>
        <v>0.52044082527168523</v>
      </c>
      <c r="DV105" s="90" t="e">
        <f t="shared" si="119"/>
        <v>#N/A</v>
      </c>
      <c r="DW105" s="90">
        <f t="shared" si="120"/>
        <v>0.52044082527168523</v>
      </c>
      <c r="DX105" s="90">
        <f t="shared" si="113"/>
        <v>32</v>
      </c>
      <c r="DY105" s="308">
        <f t="shared" si="110"/>
        <v>0.36600000000000171</v>
      </c>
      <c r="DZ105" s="307">
        <f t="shared" si="114"/>
        <v>0.93999999999999928</v>
      </c>
      <c r="EA105" s="90">
        <f t="shared" si="121"/>
        <v>0.7985287492720069</v>
      </c>
      <c r="EB105" s="90">
        <f t="shared" si="122"/>
        <v>0.7985287492720069</v>
      </c>
      <c r="EC105" s="90">
        <f t="shared" si="123"/>
        <v>33</v>
      </c>
      <c r="ED105" s="308">
        <f t="shared" si="124"/>
        <v>0.36599999999999971</v>
      </c>
      <c r="EE105" s="307">
        <f t="shared" si="115"/>
        <v>0.94000000000000139</v>
      </c>
      <c r="EF105" s="90">
        <f t="shared" si="125"/>
        <v>3.2999280080396841E-2</v>
      </c>
      <c r="EG105" s="90">
        <f t="shared" si="126"/>
        <v>3.2999280080396841E-2</v>
      </c>
      <c r="EH105" s="90">
        <f t="shared" si="116"/>
        <v>34</v>
      </c>
      <c r="EI105" s="308">
        <f t="shared" si="117"/>
        <v>0.36600000000000055</v>
      </c>
    </row>
    <row r="106" spans="82:139" ht="12" customHeight="1" x14ac:dyDescent="0.2">
      <c r="CD106" s="268" t="s">
        <v>343</v>
      </c>
      <c r="CE106" s="113">
        <f>0.5*(LN(CE91)-LN(CE90))/(SQRT(2*CE91)-SQRT(2*CE90-1))</f>
        <v>4.5309045002546622</v>
      </c>
      <c r="CG106" s="90"/>
      <c r="CH106" s="90"/>
      <c r="CJ106" s="290" t="str">
        <f t="shared" si="127"/>
        <v/>
      </c>
      <c r="CK106" s="290">
        <v>24</v>
      </c>
      <c r="CL106" s="90"/>
      <c r="CM106" s="90" t="str">
        <f t="shared" si="128"/>
        <v/>
      </c>
      <c r="CN106" s="90" t="str">
        <f t="shared" si="129"/>
        <v/>
      </c>
      <c r="CO106" s="90"/>
      <c r="CP106" s="90" t="str">
        <f t="shared" si="130"/>
        <v/>
      </c>
      <c r="CQ106" s="90" t="e">
        <f t="shared" si="144"/>
        <v>#N/A</v>
      </c>
      <c r="CR106" s="90" t="e">
        <f t="shared" si="145"/>
        <v>#N/A</v>
      </c>
      <c r="CS106" s="102" t="e">
        <f t="shared" si="146"/>
        <v>#N/A</v>
      </c>
      <c r="CT106" s="102" t="e">
        <f t="shared" si="147"/>
        <v>#N/A</v>
      </c>
      <c r="CU106" s="90" t="str">
        <f t="shared" si="148"/>
        <v/>
      </c>
      <c r="CV106" s="90" t="str">
        <f t="shared" si="131"/>
        <v/>
      </c>
      <c r="CW106" s="90" t="str">
        <f t="shared" si="132"/>
        <v/>
      </c>
      <c r="CX106" s="90" t="str">
        <f t="shared" si="132"/>
        <v/>
      </c>
      <c r="CY106" s="90" t="str">
        <f t="shared" si="132"/>
        <v/>
      </c>
      <c r="CZ106" s="90" t="str">
        <f t="shared" si="149"/>
        <v/>
      </c>
      <c r="DA106" s="90" t="str">
        <f t="shared" si="150"/>
        <v/>
      </c>
      <c r="DB106" s="113" t="str">
        <f t="shared" si="133"/>
        <v/>
      </c>
      <c r="DC106" s="106" t="e">
        <f t="shared" si="134"/>
        <v>#N/A</v>
      </c>
      <c r="DD106" s="90" t="e">
        <f t="shared" si="135"/>
        <v>#N/A</v>
      </c>
      <c r="DE106" s="90" t="e">
        <f t="shared" si="136"/>
        <v>#N/A</v>
      </c>
      <c r="DF106" s="90" t="e">
        <f t="shared" si="137"/>
        <v>#N/A</v>
      </c>
      <c r="DG106" s="90" t="e">
        <f t="shared" si="138"/>
        <v>#N/A</v>
      </c>
      <c r="DH106" s="90" t="e">
        <f t="shared" si="139"/>
        <v>#N/A</v>
      </c>
      <c r="DI106" s="90" t="e">
        <f t="shared" si="140"/>
        <v>#N/A</v>
      </c>
      <c r="DJ106" s="90" t="e">
        <f t="shared" si="141"/>
        <v>#N/A</v>
      </c>
      <c r="DK106" s="113" t="e">
        <f t="shared" si="142"/>
        <v>#N/A</v>
      </c>
      <c r="DL106" s="90">
        <f t="shared" si="143"/>
        <v>24</v>
      </c>
      <c r="DM106" s="308">
        <v>24</v>
      </c>
      <c r="DS106" s="307">
        <v>95</v>
      </c>
      <c r="DT106" s="50">
        <f t="shared" si="112"/>
        <v>0.95000000000000417</v>
      </c>
      <c r="DU106" s="90">
        <f t="shared" si="118"/>
        <v>0.52354589686968167</v>
      </c>
      <c r="DV106" s="90" t="e">
        <f t="shared" si="119"/>
        <v>#N/A</v>
      </c>
      <c r="DW106" s="90">
        <f t="shared" si="120"/>
        <v>0.52354589686968167</v>
      </c>
      <c r="DX106" s="90">
        <f t="shared" si="113"/>
        <v>32</v>
      </c>
      <c r="DY106" s="308">
        <f t="shared" si="110"/>
        <v>0.37000000000000166</v>
      </c>
      <c r="DZ106" s="307">
        <f t="shared" si="114"/>
        <v>0.94999999999999929</v>
      </c>
      <c r="EA106" s="90">
        <f t="shared" si="121"/>
        <v>0.80143607543296203</v>
      </c>
      <c r="EB106" s="90">
        <f t="shared" si="122"/>
        <v>0.80143607543296203</v>
      </c>
      <c r="EC106" s="90">
        <f t="shared" si="123"/>
        <v>33</v>
      </c>
      <c r="ED106" s="308">
        <f t="shared" si="124"/>
        <v>0.36999999999999972</v>
      </c>
      <c r="EE106" s="307">
        <f t="shared" si="115"/>
        <v>0.9500000000000014</v>
      </c>
      <c r="EF106" s="90">
        <f t="shared" si="125"/>
        <v>3.5543318213217365E-2</v>
      </c>
      <c r="EG106" s="90">
        <f t="shared" si="126"/>
        <v>3.5543318213217365E-2</v>
      </c>
      <c r="EH106" s="90">
        <f t="shared" si="116"/>
        <v>34</v>
      </c>
      <c r="EI106" s="308">
        <f t="shared" si="117"/>
        <v>0.37000000000000055</v>
      </c>
    </row>
    <row r="107" spans="82:139" ht="12" customHeight="1" x14ac:dyDescent="0.2">
      <c r="CD107" s="268" t="s">
        <v>344</v>
      </c>
      <c r="CE107" s="305" t="e">
        <f>SQRT(1/(2*(CE90-1)*(1-(1/(3*(CE90-1)^2)))))</f>
        <v>#DIV/0!</v>
      </c>
      <c r="CG107" s="154"/>
      <c r="CH107" s="154"/>
      <c r="CJ107" s="435" t="str">
        <f t="shared" si="127"/>
        <v/>
      </c>
      <c r="CK107" s="290">
        <v>25</v>
      </c>
      <c r="CL107" s="90"/>
      <c r="CM107" s="90" t="str">
        <f t="shared" si="128"/>
        <v/>
      </c>
      <c r="CN107" s="90" t="str">
        <f t="shared" si="129"/>
        <v/>
      </c>
      <c r="CO107" s="90"/>
      <c r="CP107" s="90" t="str">
        <f t="shared" si="130"/>
        <v/>
      </c>
      <c r="CQ107" s="90" t="e">
        <f t="shared" si="144"/>
        <v>#N/A</v>
      </c>
      <c r="CR107" s="90" t="e">
        <f t="shared" si="145"/>
        <v>#N/A</v>
      </c>
      <c r="CS107" s="102" t="e">
        <f t="shared" si="146"/>
        <v>#N/A</v>
      </c>
      <c r="CT107" s="102" t="e">
        <f t="shared" si="147"/>
        <v>#N/A</v>
      </c>
      <c r="CU107" s="90" t="str">
        <f t="shared" si="148"/>
        <v/>
      </c>
      <c r="CV107" s="90" t="str">
        <f t="shared" si="131"/>
        <v/>
      </c>
      <c r="CW107" s="90" t="str">
        <f t="shared" si="132"/>
        <v/>
      </c>
      <c r="CX107" s="90" t="str">
        <f t="shared" si="132"/>
        <v/>
      </c>
      <c r="CY107" s="90" t="str">
        <f t="shared" si="132"/>
        <v/>
      </c>
      <c r="CZ107" s="90" t="str">
        <f t="shared" si="149"/>
        <v/>
      </c>
      <c r="DA107" s="90" t="str">
        <f t="shared" si="150"/>
        <v/>
      </c>
      <c r="DB107" s="113" t="str">
        <f t="shared" si="133"/>
        <v/>
      </c>
      <c r="DC107" s="106" t="e">
        <f t="shared" si="134"/>
        <v>#N/A</v>
      </c>
      <c r="DD107" s="90" t="e">
        <f t="shared" si="135"/>
        <v>#N/A</v>
      </c>
      <c r="DE107" s="90" t="e">
        <f t="shared" si="136"/>
        <v>#N/A</v>
      </c>
      <c r="DF107" s="90" t="e">
        <f t="shared" si="137"/>
        <v>#N/A</v>
      </c>
      <c r="DG107" s="90" t="e">
        <f t="shared" si="138"/>
        <v>#N/A</v>
      </c>
      <c r="DH107" s="90" t="e">
        <f t="shared" si="139"/>
        <v>#N/A</v>
      </c>
      <c r="DI107" s="90" t="e">
        <f t="shared" si="140"/>
        <v>#N/A</v>
      </c>
      <c r="DJ107" s="90" t="e">
        <f t="shared" si="141"/>
        <v>#N/A</v>
      </c>
      <c r="DK107" s="113" t="e">
        <f t="shared" si="142"/>
        <v>#N/A</v>
      </c>
      <c r="DL107" s="90">
        <f t="shared" si="143"/>
        <v>25</v>
      </c>
      <c r="DM107" s="308">
        <v>25</v>
      </c>
      <c r="DS107" s="307">
        <v>96</v>
      </c>
      <c r="DT107" s="50">
        <f t="shared" si="112"/>
        <v>0.96000000000000407</v>
      </c>
      <c r="DU107" s="90">
        <f t="shared" si="118"/>
        <v>0.52665096846767812</v>
      </c>
      <c r="DV107" s="90" t="e">
        <f t="shared" si="119"/>
        <v>#N/A</v>
      </c>
      <c r="DW107" s="90">
        <f t="shared" si="120"/>
        <v>0.52665096846767812</v>
      </c>
      <c r="DX107" s="90">
        <f t="shared" si="113"/>
        <v>32</v>
      </c>
      <c r="DY107" s="308">
        <f t="shared" si="110"/>
        <v>0.37400000000000166</v>
      </c>
      <c r="DZ107" s="307">
        <f t="shared" si="114"/>
        <v>0.9599999999999993</v>
      </c>
      <c r="EA107" s="90">
        <f t="shared" si="121"/>
        <v>0.80434340159391715</v>
      </c>
      <c r="EB107" s="90">
        <f t="shared" si="122"/>
        <v>0.80434340159391715</v>
      </c>
      <c r="EC107" s="90">
        <f t="shared" si="123"/>
        <v>33</v>
      </c>
      <c r="ED107" s="308">
        <f t="shared" si="124"/>
        <v>0.37399999999999972</v>
      </c>
      <c r="EE107" s="307">
        <f t="shared" si="115"/>
        <v>0.96000000000000141</v>
      </c>
      <c r="EF107" s="90">
        <f t="shared" si="125"/>
        <v>3.8087356346037889E-2</v>
      </c>
      <c r="EG107" s="90">
        <f t="shared" si="126"/>
        <v>3.8087356346037889E-2</v>
      </c>
      <c r="EH107" s="90">
        <f t="shared" si="116"/>
        <v>34</v>
      </c>
      <c r="EI107" s="308">
        <f t="shared" si="117"/>
        <v>0.37400000000000055</v>
      </c>
    </row>
    <row r="108" spans="82:139" ht="12" customHeight="1" x14ac:dyDescent="0.2">
      <c r="CD108" s="268" t="s">
        <v>258</v>
      </c>
      <c r="CE108" s="305" t="e">
        <f>IF(CE91&gt;(CE90+1),CE106,CE107)</f>
        <v>#DIV/0!</v>
      </c>
      <c r="CG108" s="154"/>
      <c r="CH108" s="154"/>
      <c r="CJ108" s="435" t="str">
        <f t="shared" si="127"/>
        <v/>
      </c>
      <c r="CK108" s="290">
        <v>26</v>
      </c>
      <c r="CL108" s="90"/>
      <c r="CM108" s="90" t="str">
        <f t="shared" si="128"/>
        <v/>
      </c>
      <c r="CN108" s="90" t="str">
        <f t="shared" si="129"/>
        <v/>
      </c>
      <c r="CO108" s="90"/>
      <c r="CP108" s="90" t="str">
        <f t="shared" si="130"/>
        <v/>
      </c>
      <c r="CQ108" s="90" t="e">
        <f t="shared" si="144"/>
        <v>#N/A</v>
      </c>
      <c r="CR108" s="90" t="e">
        <f t="shared" si="145"/>
        <v>#N/A</v>
      </c>
      <c r="CS108" s="102" t="e">
        <f t="shared" si="146"/>
        <v>#N/A</v>
      </c>
      <c r="CT108" s="102" t="e">
        <f t="shared" si="147"/>
        <v>#N/A</v>
      </c>
      <c r="CU108" s="90" t="str">
        <f t="shared" si="148"/>
        <v/>
      </c>
      <c r="CV108" s="90" t="str">
        <f t="shared" si="131"/>
        <v/>
      </c>
      <c r="CW108" s="90" t="str">
        <f t="shared" si="132"/>
        <v/>
      </c>
      <c r="CX108" s="90" t="str">
        <f t="shared" si="132"/>
        <v/>
      </c>
      <c r="CY108" s="90" t="str">
        <f t="shared" si="132"/>
        <v/>
      </c>
      <c r="CZ108" s="90" t="str">
        <f t="shared" si="149"/>
        <v/>
      </c>
      <c r="DA108" s="90" t="str">
        <f t="shared" si="150"/>
        <v/>
      </c>
      <c r="DB108" s="113" t="str">
        <f t="shared" si="133"/>
        <v/>
      </c>
      <c r="DC108" s="106" t="e">
        <f t="shared" si="134"/>
        <v>#N/A</v>
      </c>
      <c r="DD108" s="90" t="e">
        <f t="shared" si="135"/>
        <v>#N/A</v>
      </c>
      <c r="DE108" s="90" t="e">
        <f t="shared" si="136"/>
        <v>#N/A</v>
      </c>
      <c r="DF108" s="90" t="e">
        <f t="shared" si="137"/>
        <v>#N/A</v>
      </c>
      <c r="DG108" s="90" t="e">
        <f t="shared" si="138"/>
        <v>#N/A</v>
      </c>
      <c r="DH108" s="90" t="e">
        <f t="shared" si="139"/>
        <v>#N/A</v>
      </c>
      <c r="DI108" s="90" t="e">
        <f t="shared" si="140"/>
        <v>#N/A</v>
      </c>
      <c r="DJ108" s="90" t="e">
        <f t="shared" si="141"/>
        <v>#N/A</v>
      </c>
      <c r="DK108" s="113" t="e">
        <f t="shared" si="142"/>
        <v>#N/A</v>
      </c>
      <c r="DL108" s="90">
        <f t="shared" si="143"/>
        <v>26</v>
      </c>
      <c r="DM108" s="308">
        <v>26</v>
      </c>
      <c r="DS108" s="307">
        <v>97</v>
      </c>
      <c r="DT108" s="50">
        <f t="shared" si="112"/>
        <v>0.97000000000000397</v>
      </c>
      <c r="DU108" s="90">
        <f t="shared" si="118"/>
        <v>0.52975604006567456</v>
      </c>
      <c r="DV108" s="90" t="e">
        <f t="shared" si="119"/>
        <v>#N/A</v>
      </c>
      <c r="DW108" s="90">
        <f t="shared" si="120"/>
        <v>0.52975604006567456</v>
      </c>
      <c r="DX108" s="90">
        <f t="shared" si="113"/>
        <v>32</v>
      </c>
      <c r="DY108" s="308">
        <f t="shared" si="110"/>
        <v>0.37800000000000161</v>
      </c>
      <c r="DZ108" s="307">
        <f t="shared" si="114"/>
        <v>0.96999999999999931</v>
      </c>
      <c r="EA108" s="90">
        <f t="shared" si="121"/>
        <v>0.80725072775487228</v>
      </c>
      <c r="EB108" s="90">
        <f t="shared" si="122"/>
        <v>0.80725072775487228</v>
      </c>
      <c r="EC108" s="90">
        <f t="shared" si="123"/>
        <v>33</v>
      </c>
      <c r="ED108" s="308">
        <f t="shared" si="124"/>
        <v>0.37799999999999973</v>
      </c>
      <c r="EE108" s="307">
        <f t="shared" si="115"/>
        <v>0.97000000000000142</v>
      </c>
      <c r="EF108" s="90">
        <f t="shared" si="125"/>
        <v>4.0631394478858412E-2</v>
      </c>
      <c r="EG108" s="90">
        <f t="shared" si="126"/>
        <v>4.0631394478858412E-2</v>
      </c>
      <c r="EH108" s="90">
        <f t="shared" si="116"/>
        <v>34</v>
      </c>
      <c r="EI108" s="308">
        <f t="shared" si="117"/>
        <v>0.37800000000000056</v>
      </c>
    </row>
    <row r="109" spans="82:139" ht="12" customHeight="1" x14ac:dyDescent="0.2">
      <c r="CD109" s="268" t="s">
        <v>345</v>
      </c>
      <c r="CE109" s="113" t="e">
        <f>EXP(0.5*LN(CE91/CE90)-NORMSINV((100+AA2)/200)*CE108)</f>
        <v>#DIV/0!</v>
      </c>
      <c r="CG109" s="90"/>
      <c r="CH109" s="90"/>
      <c r="CJ109" s="290" t="str">
        <f t="shared" si="127"/>
        <v/>
      </c>
      <c r="CK109" s="290">
        <v>27</v>
      </c>
      <c r="CL109" s="90"/>
      <c r="CM109" s="90" t="str">
        <f t="shared" si="128"/>
        <v/>
      </c>
      <c r="CN109" s="90" t="str">
        <f t="shared" si="129"/>
        <v/>
      </c>
      <c r="CO109" s="90"/>
      <c r="CP109" s="90" t="str">
        <f t="shared" si="130"/>
        <v/>
      </c>
      <c r="CQ109" s="90" t="e">
        <f t="shared" si="144"/>
        <v>#N/A</v>
      </c>
      <c r="CR109" s="90" t="e">
        <f t="shared" si="145"/>
        <v>#N/A</v>
      </c>
      <c r="CS109" s="102" t="e">
        <f t="shared" si="146"/>
        <v>#N/A</v>
      </c>
      <c r="CT109" s="102" t="e">
        <f t="shared" si="147"/>
        <v>#N/A</v>
      </c>
      <c r="CU109" s="90" t="str">
        <f t="shared" si="148"/>
        <v/>
      </c>
      <c r="CV109" s="90" t="str">
        <f t="shared" si="131"/>
        <v/>
      </c>
      <c r="CW109" s="90" t="str">
        <f t="shared" si="132"/>
        <v/>
      </c>
      <c r="CX109" s="90" t="str">
        <f t="shared" si="132"/>
        <v/>
      </c>
      <c r="CY109" s="90" t="str">
        <f t="shared" si="132"/>
        <v/>
      </c>
      <c r="CZ109" s="90" t="str">
        <f t="shared" si="149"/>
        <v/>
      </c>
      <c r="DA109" s="90" t="str">
        <f t="shared" si="150"/>
        <v/>
      </c>
      <c r="DB109" s="113" t="str">
        <f t="shared" si="133"/>
        <v/>
      </c>
      <c r="DC109" s="106" t="e">
        <f t="shared" si="134"/>
        <v>#N/A</v>
      </c>
      <c r="DD109" s="90" t="e">
        <f t="shared" si="135"/>
        <v>#N/A</v>
      </c>
      <c r="DE109" s="90" t="e">
        <f t="shared" si="136"/>
        <v>#N/A</v>
      </c>
      <c r="DF109" s="90" t="e">
        <f t="shared" si="137"/>
        <v>#N/A</v>
      </c>
      <c r="DG109" s="90" t="e">
        <f t="shared" si="138"/>
        <v>#N/A</v>
      </c>
      <c r="DH109" s="90" t="e">
        <f t="shared" si="139"/>
        <v>#N/A</v>
      </c>
      <c r="DI109" s="90" t="e">
        <f t="shared" si="140"/>
        <v>#N/A</v>
      </c>
      <c r="DJ109" s="90" t="e">
        <f t="shared" si="141"/>
        <v>#N/A</v>
      </c>
      <c r="DK109" s="113" t="e">
        <f t="shared" si="142"/>
        <v>#N/A</v>
      </c>
      <c r="DL109" s="90">
        <f t="shared" si="143"/>
        <v>27</v>
      </c>
      <c r="DM109" s="308">
        <v>27</v>
      </c>
      <c r="DS109" s="307">
        <v>98</v>
      </c>
      <c r="DT109" s="50">
        <f t="shared" si="112"/>
        <v>0.98000000000000376</v>
      </c>
      <c r="DU109" s="90">
        <f t="shared" si="118"/>
        <v>0.53286111166367101</v>
      </c>
      <c r="DV109" s="90" t="e">
        <f t="shared" si="119"/>
        <v>#N/A</v>
      </c>
      <c r="DW109" s="90">
        <f t="shared" si="120"/>
        <v>0.53286111166367101</v>
      </c>
      <c r="DX109" s="90">
        <f t="shared" si="113"/>
        <v>32</v>
      </c>
      <c r="DY109" s="308">
        <f t="shared" si="110"/>
        <v>0.38200000000000151</v>
      </c>
      <c r="DZ109" s="307">
        <f t="shared" si="114"/>
        <v>0.97999999999999921</v>
      </c>
      <c r="EA109" s="90">
        <f t="shared" si="121"/>
        <v>0.8101580539158274</v>
      </c>
      <c r="EB109" s="90">
        <f t="shared" si="122"/>
        <v>0.8101580539158274</v>
      </c>
      <c r="EC109" s="90">
        <f t="shared" si="123"/>
        <v>33</v>
      </c>
      <c r="ED109" s="308">
        <f t="shared" si="124"/>
        <v>0.38199999999999967</v>
      </c>
      <c r="EE109" s="307">
        <f t="shared" si="115"/>
        <v>0.98000000000000143</v>
      </c>
      <c r="EF109" s="90">
        <f t="shared" si="125"/>
        <v>4.3175432611678936E-2</v>
      </c>
      <c r="EG109" s="90">
        <f t="shared" si="126"/>
        <v>4.3175432611678936E-2</v>
      </c>
      <c r="EH109" s="90">
        <f t="shared" si="116"/>
        <v>34</v>
      </c>
      <c r="EI109" s="308">
        <f t="shared" si="117"/>
        <v>0.38200000000000056</v>
      </c>
    </row>
    <row r="110" spans="82:139" ht="12" customHeight="1" x14ac:dyDescent="0.2">
      <c r="CD110" s="268" t="s">
        <v>346</v>
      </c>
      <c r="CE110" s="113" t="e">
        <f>EXP(0.5*LN(CE91/CE90)+NORMSINV((100+AA2)/200)*CE108)</f>
        <v>#DIV/0!</v>
      </c>
      <c r="CG110" s="90"/>
      <c r="CH110" s="90"/>
      <c r="CJ110" s="290" t="str">
        <f t="shared" si="127"/>
        <v/>
      </c>
      <c r="CK110" s="290">
        <v>28</v>
      </c>
      <c r="CL110" s="90"/>
      <c r="CM110" s="90" t="str">
        <f t="shared" si="128"/>
        <v/>
      </c>
      <c r="CN110" s="90" t="str">
        <f t="shared" si="129"/>
        <v/>
      </c>
      <c r="CO110" s="90"/>
      <c r="CP110" s="90" t="str">
        <f t="shared" si="130"/>
        <v/>
      </c>
      <c r="CQ110" s="90" t="e">
        <f t="shared" si="144"/>
        <v>#N/A</v>
      </c>
      <c r="CR110" s="90" t="e">
        <f t="shared" si="145"/>
        <v>#N/A</v>
      </c>
      <c r="CS110" s="102" t="e">
        <f t="shared" si="146"/>
        <v>#N/A</v>
      </c>
      <c r="CT110" s="102" t="e">
        <f t="shared" si="147"/>
        <v>#N/A</v>
      </c>
      <c r="CU110" s="90" t="str">
        <f t="shared" si="148"/>
        <v/>
      </c>
      <c r="CV110" s="90" t="str">
        <f t="shared" si="131"/>
        <v/>
      </c>
      <c r="CW110" s="90" t="str">
        <f t="shared" si="132"/>
        <v/>
      </c>
      <c r="CX110" s="90" t="str">
        <f t="shared" si="132"/>
        <v/>
      </c>
      <c r="CY110" s="90" t="str">
        <f t="shared" si="132"/>
        <v/>
      </c>
      <c r="CZ110" s="90" t="str">
        <f t="shared" si="149"/>
        <v/>
      </c>
      <c r="DA110" s="90" t="str">
        <f t="shared" si="150"/>
        <v/>
      </c>
      <c r="DB110" s="113" t="str">
        <f t="shared" si="133"/>
        <v/>
      </c>
      <c r="DC110" s="106" t="e">
        <f t="shared" si="134"/>
        <v>#N/A</v>
      </c>
      <c r="DD110" s="90" t="e">
        <f t="shared" si="135"/>
        <v>#N/A</v>
      </c>
      <c r="DE110" s="90" t="e">
        <f t="shared" si="136"/>
        <v>#N/A</v>
      </c>
      <c r="DF110" s="90" t="e">
        <f t="shared" si="137"/>
        <v>#N/A</v>
      </c>
      <c r="DG110" s="90" t="e">
        <f t="shared" si="138"/>
        <v>#N/A</v>
      </c>
      <c r="DH110" s="90" t="e">
        <f t="shared" si="139"/>
        <v>#N/A</v>
      </c>
      <c r="DI110" s="90" t="e">
        <f t="shared" si="140"/>
        <v>#N/A</v>
      </c>
      <c r="DJ110" s="90" t="e">
        <f t="shared" si="141"/>
        <v>#N/A</v>
      </c>
      <c r="DK110" s="113" t="e">
        <f t="shared" si="142"/>
        <v>#N/A</v>
      </c>
      <c r="DL110" s="90">
        <f t="shared" si="143"/>
        <v>28</v>
      </c>
      <c r="DM110" s="308">
        <v>28</v>
      </c>
      <c r="DS110" s="307">
        <v>99</v>
      </c>
      <c r="DT110" s="50">
        <f t="shared" si="112"/>
        <v>0.99000000000000365</v>
      </c>
      <c r="DU110" s="90">
        <f t="shared" si="118"/>
        <v>0.53596618326166745</v>
      </c>
      <c r="DV110" s="90" t="e">
        <f t="shared" si="119"/>
        <v>#N/A</v>
      </c>
      <c r="DW110" s="90">
        <f t="shared" si="120"/>
        <v>0.53596618326166745</v>
      </c>
      <c r="DX110" s="90">
        <f t="shared" si="113"/>
        <v>32</v>
      </c>
      <c r="DY110" s="308">
        <f t="shared" si="110"/>
        <v>0.38600000000000145</v>
      </c>
      <c r="DZ110" s="307">
        <f t="shared" si="114"/>
        <v>0.98999999999999921</v>
      </c>
      <c r="EA110" s="90">
        <f t="shared" si="121"/>
        <v>0.81306538007678253</v>
      </c>
      <c r="EB110" s="90">
        <f t="shared" si="122"/>
        <v>0.81306538007678253</v>
      </c>
      <c r="EC110" s="90">
        <f t="shared" si="123"/>
        <v>33</v>
      </c>
      <c r="ED110" s="308">
        <f t="shared" si="124"/>
        <v>0.38599999999999968</v>
      </c>
      <c r="EE110" s="307">
        <f t="shared" si="115"/>
        <v>0.99000000000000143</v>
      </c>
      <c r="EF110" s="90">
        <f t="shared" si="125"/>
        <v>4.571947074449946E-2</v>
      </c>
      <c r="EG110" s="90">
        <f t="shared" si="126"/>
        <v>4.571947074449946E-2</v>
      </c>
      <c r="EH110" s="90">
        <f t="shared" si="116"/>
        <v>34</v>
      </c>
      <c r="EI110" s="308">
        <f t="shared" si="117"/>
        <v>0.38600000000000056</v>
      </c>
    </row>
    <row r="111" spans="82:139" ht="12" customHeight="1" x14ac:dyDescent="0.2">
      <c r="CD111" s="268" t="s">
        <v>347</v>
      </c>
      <c r="CE111" s="113" t="e">
        <f>MAX(0,CE90*(CE109^2-1)/CE93)</f>
        <v>#DIV/0!</v>
      </c>
      <c r="CG111" s="90"/>
      <c r="CH111" s="90"/>
      <c r="CJ111" s="290" t="str">
        <f t="shared" si="127"/>
        <v/>
      </c>
      <c r="CK111" s="290">
        <v>29</v>
      </c>
      <c r="CL111" s="90"/>
      <c r="CM111" s="90" t="str">
        <f t="shared" si="128"/>
        <v/>
      </c>
      <c r="CN111" s="90" t="str">
        <f t="shared" si="129"/>
        <v/>
      </c>
      <c r="CO111" s="90"/>
      <c r="CP111" s="90" t="str">
        <f t="shared" si="130"/>
        <v/>
      </c>
      <c r="CQ111" s="90" t="e">
        <f t="shared" si="144"/>
        <v>#N/A</v>
      </c>
      <c r="CR111" s="90" t="e">
        <f t="shared" si="145"/>
        <v>#N/A</v>
      </c>
      <c r="CS111" s="102" t="e">
        <f t="shared" si="146"/>
        <v>#N/A</v>
      </c>
      <c r="CT111" s="102" t="e">
        <f t="shared" si="147"/>
        <v>#N/A</v>
      </c>
      <c r="CU111" s="90" t="str">
        <f t="shared" si="148"/>
        <v/>
      </c>
      <c r="CV111" s="90" t="str">
        <f t="shared" si="131"/>
        <v/>
      </c>
      <c r="CW111" s="90" t="str">
        <f t="shared" ref="CW111:CY112" si="151">IF(AND(CW36&lt;&gt;"",$CH36=$CM$82),CW36,"")</f>
        <v/>
      </c>
      <c r="CX111" s="90" t="str">
        <f t="shared" si="151"/>
        <v/>
      </c>
      <c r="CY111" s="90" t="str">
        <f t="shared" si="151"/>
        <v/>
      </c>
      <c r="CZ111" s="90" t="str">
        <f t="shared" si="149"/>
        <v/>
      </c>
      <c r="DA111" s="90" t="str">
        <f t="shared" si="150"/>
        <v/>
      </c>
      <c r="DB111" s="113" t="str">
        <f t="shared" si="133"/>
        <v/>
      </c>
      <c r="DC111" s="106" t="e">
        <f t="shared" si="134"/>
        <v>#N/A</v>
      </c>
      <c r="DD111" s="90" t="e">
        <f t="shared" si="135"/>
        <v>#N/A</v>
      </c>
      <c r="DE111" s="90" t="e">
        <f t="shared" si="136"/>
        <v>#N/A</v>
      </c>
      <c r="DF111" s="90" t="e">
        <f t="shared" si="137"/>
        <v>#N/A</v>
      </c>
      <c r="DG111" s="90" t="e">
        <f t="shared" si="138"/>
        <v>#N/A</v>
      </c>
      <c r="DH111" s="90" t="e">
        <f t="shared" si="139"/>
        <v>#N/A</v>
      </c>
      <c r="DI111" s="90" t="e">
        <f t="shared" si="140"/>
        <v>#N/A</v>
      </c>
      <c r="DJ111" s="90" t="e">
        <f t="shared" si="141"/>
        <v>#N/A</v>
      </c>
      <c r="DK111" s="113" t="e">
        <f t="shared" si="142"/>
        <v>#N/A</v>
      </c>
      <c r="DL111" s="90">
        <f t="shared" si="143"/>
        <v>29</v>
      </c>
      <c r="DM111" s="308">
        <v>29</v>
      </c>
      <c r="DS111" s="307">
        <v>100</v>
      </c>
      <c r="DT111" s="50">
        <f t="shared" si="112"/>
        <v>0.99999999999999645</v>
      </c>
      <c r="DU111" s="90">
        <f t="shared" si="118"/>
        <v>0.5390712548596639</v>
      </c>
      <c r="DV111" s="90" t="e">
        <f t="shared" si="119"/>
        <v>#N/A</v>
      </c>
      <c r="DW111" s="90">
        <f t="shared" si="120"/>
        <v>0.5390712548596639</v>
      </c>
      <c r="DX111" s="90">
        <f t="shared" si="113"/>
        <v>32</v>
      </c>
      <c r="DY111" s="308">
        <f t="shared" si="110"/>
        <v>0.38999999999999857</v>
      </c>
      <c r="DZ111" s="307">
        <f t="shared" si="114"/>
        <v>0.99999999999999922</v>
      </c>
      <c r="EA111" s="90">
        <f t="shared" si="121"/>
        <v>0.81597270623773765</v>
      </c>
      <c r="EB111" s="90">
        <f t="shared" si="122"/>
        <v>0.81597270623773765</v>
      </c>
      <c r="EC111" s="90">
        <f t="shared" si="123"/>
        <v>33</v>
      </c>
      <c r="ED111" s="308">
        <f t="shared" si="124"/>
        <v>0.38999999999999968</v>
      </c>
      <c r="EE111" s="307">
        <f t="shared" si="115"/>
        <v>0.99999999999999856</v>
      </c>
      <c r="EF111" s="90">
        <f t="shared" si="125"/>
        <v>4.8263508877319984E-2</v>
      </c>
      <c r="EG111" s="90">
        <f t="shared" si="126"/>
        <v>4.8263508877319984E-2</v>
      </c>
      <c r="EH111" s="90">
        <f t="shared" si="116"/>
        <v>34</v>
      </c>
      <c r="EI111" s="308">
        <f t="shared" si="117"/>
        <v>0.38999999999999946</v>
      </c>
    </row>
    <row r="112" spans="82:139" ht="12" customHeight="1" x14ac:dyDescent="0.2">
      <c r="CD112" s="268" t="s">
        <v>348</v>
      </c>
      <c r="CE112" s="113" t="e">
        <f>MAX(0,CE90*(CE110^2-1)/CE93)</f>
        <v>#DIV/0!</v>
      </c>
      <c r="CG112" s="90"/>
      <c r="CH112" s="90"/>
      <c r="CJ112" s="124" t="str">
        <f t="shared" si="127"/>
        <v/>
      </c>
      <c r="CK112" s="124">
        <v>30</v>
      </c>
      <c r="CL112" s="79"/>
      <c r="CM112" s="79" t="str">
        <f t="shared" si="128"/>
        <v/>
      </c>
      <c r="CN112" s="79" t="str">
        <f t="shared" si="129"/>
        <v/>
      </c>
      <c r="CO112" s="79"/>
      <c r="CP112" s="79" t="str">
        <f t="shared" si="130"/>
        <v/>
      </c>
      <c r="CQ112" s="79" t="e">
        <f t="shared" si="144"/>
        <v>#N/A</v>
      </c>
      <c r="CR112" s="79" t="e">
        <f t="shared" si="145"/>
        <v>#N/A</v>
      </c>
      <c r="CS112" s="271" t="e">
        <f t="shared" si="146"/>
        <v>#N/A</v>
      </c>
      <c r="CT112" s="271" t="e">
        <f t="shared" si="147"/>
        <v>#N/A</v>
      </c>
      <c r="CU112" s="79" t="str">
        <f t="shared" si="148"/>
        <v/>
      </c>
      <c r="CV112" s="79" t="str">
        <f t="shared" si="131"/>
        <v/>
      </c>
      <c r="CW112" s="79" t="str">
        <f t="shared" si="151"/>
        <v/>
      </c>
      <c r="CX112" s="79" t="str">
        <f t="shared" si="151"/>
        <v/>
      </c>
      <c r="CY112" s="79" t="str">
        <f t="shared" si="151"/>
        <v/>
      </c>
      <c r="CZ112" s="79" t="str">
        <f t="shared" si="149"/>
        <v/>
      </c>
      <c r="DA112" s="79" t="str">
        <f t="shared" si="150"/>
        <v/>
      </c>
      <c r="DB112" s="109" t="str">
        <f t="shared" si="133"/>
        <v/>
      </c>
      <c r="DC112" s="207" t="e">
        <f t="shared" si="134"/>
        <v>#N/A</v>
      </c>
      <c r="DD112" s="79" t="e">
        <f t="shared" si="135"/>
        <v>#N/A</v>
      </c>
      <c r="DE112" s="79" t="e">
        <f t="shared" si="136"/>
        <v>#N/A</v>
      </c>
      <c r="DF112" s="79" t="e">
        <f t="shared" si="137"/>
        <v>#N/A</v>
      </c>
      <c r="DG112" s="79" t="e">
        <f t="shared" si="138"/>
        <v>#N/A</v>
      </c>
      <c r="DH112" s="79" t="e">
        <f t="shared" si="139"/>
        <v>#N/A</v>
      </c>
      <c r="DI112" s="79" t="e">
        <f t="shared" si="140"/>
        <v>#N/A</v>
      </c>
      <c r="DJ112" s="79" t="e">
        <f t="shared" si="141"/>
        <v>#N/A</v>
      </c>
      <c r="DK112" s="109" t="e">
        <f t="shared" si="142"/>
        <v>#N/A</v>
      </c>
      <c r="DL112" s="79">
        <f t="shared" si="143"/>
        <v>30</v>
      </c>
      <c r="DM112" s="551">
        <v>30</v>
      </c>
      <c r="DS112" s="307">
        <v>101</v>
      </c>
      <c r="DT112" s="50">
        <f t="shared" si="112"/>
        <v>0.98999999999999655</v>
      </c>
      <c r="DU112" s="90">
        <f t="shared" si="118"/>
        <v>0.54217632645766034</v>
      </c>
      <c r="DV112" s="90" t="e">
        <f t="shared" si="119"/>
        <v>#N/A</v>
      </c>
      <c r="DW112" s="90">
        <f t="shared" si="120"/>
        <v>0.54217632645766034</v>
      </c>
      <c r="DX112" s="90">
        <f t="shared" si="113"/>
        <v>32</v>
      </c>
      <c r="DY112" s="308">
        <f t="shared" si="110"/>
        <v>0.38599999999999862</v>
      </c>
      <c r="DZ112" s="307">
        <f t="shared" si="114"/>
        <v>0.99000000000000077</v>
      </c>
      <c r="EA112" s="90">
        <f t="shared" si="121"/>
        <v>0.81888003239869278</v>
      </c>
      <c r="EB112" s="90">
        <f t="shared" si="122"/>
        <v>0.81888003239869278</v>
      </c>
      <c r="EC112" s="90">
        <f t="shared" si="123"/>
        <v>33</v>
      </c>
      <c r="ED112" s="308">
        <f t="shared" si="124"/>
        <v>0.38600000000000034</v>
      </c>
      <c r="EE112" s="307">
        <f t="shared" si="115"/>
        <v>0.98999999999999866</v>
      </c>
      <c r="EF112" s="90">
        <f t="shared" si="125"/>
        <v>5.0807547010140508E-2</v>
      </c>
      <c r="EG112" s="90">
        <f t="shared" si="126"/>
        <v>5.0807547010140508E-2</v>
      </c>
      <c r="EH112" s="90">
        <f t="shared" si="116"/>
        <v>34</v>
      </c>
      <c r="EI112" s="308">
        <f t="shared" si="117"/>
        <v>0.38599999999999945</v>
      </c>
    </row>
    <row r="113" spans="82:139" ht="12" customHeight="1" x14ac:dyDescent="0.2">
      <c r="CD113" s="268" t="s">
        <v>349</v>
      </c>
      <c r="CE113" s="113" t="e">
        <f>SQRT(CE111)</f>
        <v>#DIV/0!</v>
      </c>
      <c r="CJ113" s="465">
        <f>SUM(CJ83:CJ112)</f>
        <v>100</v>
      </c>
      <c r="CM113" s="766"/>
      <c r="CN113" s="706"/>
      <c r="CO113" s="767"/>
      <c r="CP113" s="562" t="s">
        <v>315</v>
      </c>
      <c r="CQ113" s="50">
        <f>J42</f>
        <v>0</v>
      </c>
      <c r="CR113" s="1">
        <v>34</v>
      </c>
      <c r="CS113" s="435" t="s">
        <v>299</v>
      </c>
      <c r="CU113" s="424">
        <f t="shared" ref="CU113:DB113" si="152">SUM(CU83:CU112)</f>
        <v>59.353857355838535</v>
      </c>
      <c r="CV113" s="408">
        <f t="shared" si="152"/>
        <v>59.353857355838535</v>
      </c>
      <c r="CW113" s="271">
        <f t="shared" si="152"/>
        <v>2.864625421396676</v>
      </c>
      <c r="CX113" s="271">
        <f t="shared" si="152"/>
        <v>1766.3595246282423</v>
      </c>
      <c r="CY113" s="271">
        <f t="shared" si="152"/>
        <v>0.13839148523093836</v>
      </c>
      <c r="CZ113" s="271">
        <f t="shared" si="152"/>
        <v>6.7581158598111535E-2</v>
      </c>
      <c r="DA113" s="271">
        <f t="shared" si="152"/>
        <v>59.353857355838535</v>
      </c>
      <c r="DB113" s="564">
        <f t="shared" si="152"/>
        <v>2.864625421396676</v>
      </c>
      <c r="DS113" s="307">
        <v>102</v>
      </c>
      <c r="DT113" s="50">
        <f t="shared" si="112"/>
        <v>0.97999999999999665</v>
      </c>
      <c r="DU113" s="90">
        <f t="shared" si="118"/>
        <v>0.54528139805565679</v>
      </c>
      <c r="DV113" s="90" t="e">
        <f t="shared" si="119"/>
        <v>#N/A</v>
      </c>
      <c r="DW113" s="90">
        <f t="shared" si="120"/>
        <v>0.54528139805565679</v>
      </c>
      <c r="DX113" s="90">
        <f t="shared" si="113"/>
        <v>32</v>
      </c>
      <c r="DY113" s="308">
        <f t="shared" si="110"/>
        <v>0.38199999999999867</v>
      </c>
      <c r="DZ113" s="307">
        <f t="shared" si="114"/>
        <v>0.98000000000000076</v>
      </c>
      <c r="EA113" s="90">
        <f t="shared" si="121"/>
        <v>0.82178735855964791</v>
      </c>
      <c r="EB113" s="90">
        <f t="shared" si="122"/>
        <v>0.82178735855964791</v>
      </c>
      <c r="EC113" s="90">
        <f t="shared" si="123"/>
        <v>33</v>
      </c>
      <c r="ED113" s="308">
        <f t="shared" si="124"/>
        <v>0.38200000000000034</v>
      </c>
      <c r="EE113" s="307">
        <f t="shared" si="115"/>
        <v>0.97999999999999865</v>
      </c>
      <c r="EF113" s="90">
        <f t="shared" si="125"/>
        <v>5.3351585142961032E-2</v>
      </c>
      <c r="EG113" s="90">
        <f t="shared" si="126"/>
        <v>5.3351585142961032E-2</v>
      </c>
      <c r="EH113" s="90">
        <f t="shared" si="116"/>
        <v>34</v>
      </c>
      <c r="EI113" s="308">
        <f t="shared" si="117"/>
        <v>0.38199999999999945</v>
      </c>
    </row>
    <row r="114" spans="82:139" ht="12" customHeight="1" x14ac:dyDescent="0.2">
      <c r="CD114" s="107" t="s">
        <v>350</v>
      </c>
      <c r="CE114" s="109" t="e">
        <f>SQRT(CE112)</f>
        <v>#DIV/0!</v>
      </c>
      <c r="CG114" s="90"/>
      <c r="CH114" s="90"/>
      <c r="CJ114" s="90"/>
      <c r="CN114" s="581">
        <f>IF($CP114&lt;&gt;"",Z41,"")</f>
        <v>4.826350887731963E-2</v>
      </c>
      <c r="CO114" s="582">
        <f>IF($CP114&lt;&gt;"",L42,"")</f>
        <v>0</v>
      </c>
      <c r="CP114" s="484">
        <f>IF(AND(CZ2,$CP$6),(Z41-$CO$4)/CU114,"")</f>
        <v>0.37182909307338224</v>
      </c>
      <c r="CQ114" s="264">
        <f>IF(AND($CN$6,$CO$7,$CY$3),IF(NOT($CW$5),J42,NA()),NA())</f>
        <v>0</v>
      </c>
      <c r="CR114" s="264">
        <v>34</v>
      </c>
      <c r="CS114" s="485">
        <f>IF(CP114&lt;&gt;"",IF(fixedrandom=1,NORMSINV((100+AA2)/200)*CU114,CE99),NA())</f>
        <v>0.25440381328205242</v>
      </c>
      <c r="CT114" s="764" t="s">
        <v>262</v>
      </c>
      <c r="CU114" s="765">
        <f>IF($CP$6,SQRT(1/SUM(CU83:CU112)),"")</f>
        <v>0.1298002490294502</v>
      </c>
      <c r="CV114" s="269">
        <f>IF(fixedrandom=1,MAX(CU83:CU112),MAX(DA83:DA112))</f>
        <v>31.245261091603975</v>
      </c>
      <c r="CW114" s="487" t="s">
        <v>296</v>
      </c>
      <c r="DS114" s="307">
        <v>103</v>
      </c>
      <c r="DT114" s="50">
        <f t="shared" si="112"/>
        <v>0.96999999999999675</v>
      </c>
      <c r="DU114" s="90">
        <f t="shared" si="118"/>
        <v>0.54838646965365323</v>
      </c>
      <c r="DV114" s="90" t="e">
        <f t="shared" si="119"/>
        <v>#N/A</v>
      </c>
      <c r="DW114" s="90">
        <f t="shared" si="120"/>
        <v>0.54838646965365323</v>
      </c>
      <c r="DX114" s="90">
        <f t="shared" si="113"/>
        <v>32</v>
      </c>
      <c r="DY114" s="308">
        <f t="shared" si="110"/>
        <v>0.37799999999999873</v>
      </c>
      <c r="DZ114" s="307">
        <f t="shared" si="114"/>
        <v>0.97000000000000075</v>
      </c>
      <c r="EA114" s="90">
        <f t="shared" si="121"/>
        <v>0.82469468472060303</v>
      </c>
      <c r="EB114" s="90">
        <f t="shared" si="122"/>
        <v>0.82469468472060303</v>
      </c>
      <c r="EC114" s="90">
        <f t="shared" si="123"/>
        <v>33</v>
      </c>
      <c r="ED114" s="308">
        <f t="shared" si="124"/>
        <v>0.37800000000000034</v>
      </c>
      <c r="EE114" s="307">
        <f t="shared" si="115"/>
        <v>0.96999999999999864</v>
      </c>
      <c r="EF114" s="90">
        <f t="shared" si="125"/>
        <v>5.5895623275781556E-2</v>
      </c>
      <c r="EG114" s="90">
        <f t="shared" si="126"/>
        <v>5.5895623275781556E-2</v>
      </c>
      <c r="EH114" s="90">
        <f t="shared" si="116"/>
        <v>34</v>
      </c>
      <c r="EI114" s="308">
        <f t="shared" si="117"/>
        <v>0.37799999999999945</v>
      </c>
    </row>
    <row r="115" spans="82:139" ht="12" customHeight="1" x14ac:dyDescent="0.2">
      <c r="CR115" s="59" t="s">
        <v>81</v>
      </c>
      <c r="CS115" s="50">
        <f>IF(CP114&lt;&gt;"",CE99/(NORMSINV((100+AA2)/200)*CU114),NA())</f>
        <v>1</v>
      </c>
      <c r="DS115" s="307">
        <v>104</v>
      </c>
      <c r="DT115" s="50">
        <f t="shared" si="112"/>
        <v>0.95999999999999686</v>
      </c>
      <c r="DU115" s="90">
        <f t="shared" si="118"/>
        <v>0.55149154125164968</v>
      </c>
      <c r="DV115" s="90" t="e">
        <f t="shared" si="119"/>
        <v>#N/A</v>
      </c>
      <c r="DW115" s="90">
        <f t="shared" si="120"/>
        <v>0.55149154125164968</v>
      </c>
      <c r="DX115" s="90">
        <f t="shared" si="113"/>
        <v>32</v>
      </c>
      <c r="DY115" s="308">
        <f t="shared" si="110"/>
        <v>0.37399999999999878</v>
      </c>
      <c r="DZ115" s="307">
        <f t="shared" si="114"/>
        <v>0.96000000000000085</v>
      </c>
      <c r="EA115" s="90">
        <f t="shared" si="121"/>
        <v>0.82760201088155816</v>
      </c>
      <c r="EB115" s="90">
        <f t="shared" si="122"/>
        <v>0.82760201088155816</v>
      </c>
      <c r="EC115" s="90">
        <f t="shared" si="123"/>
        <v>33</v>
      </c>
      <c r="ED115" s="308">
        <f t="shared" si="124"/>
        <v>0.37400000000000033</v>
      </c>
      <c r="EE115" s="307">
        <f t="shared" si="115"/>
        <v>0.95999999999999863</v>
      </c>
      <c r="EF115" s="90">
        <f t="shared" si="125"/>
        <v>5.843966140860208E-2</v>
      </c>
      <c r="EG115" s="90">
        <f t="shared" si="126"/>
        <v>5.843966140860208E-2</v>
      </c>
      <c r="EH115" s="90">
        <f t="shared" si="116"/>
        <v>34</v>
      </c>
      <c r="EI115" s="308">
        <f t="shared" si="117"/>
        <v>0.37399999999999944</v>
      </c>
    </row>
    <row r="116" spans="82:139" ht="12" customHeight="1" x14ac:dyDescent="0.2">
      <c r="DS116" s="307">
        <v>105</v>
      </c>
      <c r="DT116" s="50">
        <f t="shared" si="112"/>
        <v>0.94999999999999696</v>
      </c>
      <c r="DU116" s="90">
        <f t="shared" si="118"/>
        <v>0.55459661284964612</v>
      </c>
      <c r="DV116" s="90" t="e">
        <f t="shared" si="119"/>
        <v>#N/A</v>
      </c>
      <c r="DW116" s="90">
        <f t="shared" si="120"/>
        <v>0.55459661284964612</v>
      </c>
      <c r="DX116" s="90">
        <f t="shared" si="113"/>
        <v>32</v>
      </c>
      <c r="DY116" s="308">
        <f t="shared" si="110"/>
        <v>0.36999999999999877</v>
      </c>
      <c r="DZ116" s="307">
        <f t="shared" si="114"/>
        <v>0.95000000000000084</v>
      </c>
      <c r="EA116" s="90">
        <f t="shared" si="121"/>
        <v>0.83050933704251328</v>
      </c>
      <c r="EB116" s="90">
        <f t="shared" si="122"/>
        <v>0.83050933704251328</v>
      </c>
      <c r="EC116" s="90">
        <f t="shared" si="123"/>
        <v>33</v>
      </c>
      <c r="ED116" s="308">
        <f t="shared" si="124"/>
        <v>0.37000000000000033</v>
      </c>
      <c r="EE116" s="307">
        <f t="shared" si="115"/>
        <v>0.94999999999999862</v>
      </c>
      <c r="EF116" s="90">
        <f t="shared" si="125"/>
        <v>6.0983699541422604E-2</v>
      </c>
      <c r="EG116" s="90">
        <f t="shared" si="126"/>
        <v>6.0983699541422604E-2</v>
      </c>
      <c r="EH116" s="90">
        <f t="shared" si="116"/>
        <v>34</v>
      </c>
      <c r="EI116" s="308">
        <f t="shared" si="117"/>
        <v>0.36999999999999944</v>
      </c>
    </row>
    <row r="117" spans="82:139" ht="12" customHeight="1" x14ac:dyDescent="0.2">
      <c r="DS117" s="307">
        <v>106</v>
      </c>
      <c r="DT117" s="50">
        <f t="shared" si="112"/>
        <v>0.93999999999999717</v>
      </c>
      <c r="DU117" s="90">
        <f t="shared" si="118"/>
        <v>0.55770168444764256</v>
      </c>
      <c r="DV117" s="90" t="e">
        <f t="shared" si="119"/>
        <v>#N/A</v>
      </c>
      <c r="DW117" s="90">
        <f t="shared" si="120"/>
        <v>0.55770168444764256</v>
      </c>
      <c r="DX117" s="90">
        <f t="shared" si="113"/>
        <v>32</v>
      </c>
      <c r="DY117" s="308">
        <f t="shared" si="110"/>
        <v>0.36599999999999888</v>
      </c>
      <c r="DZ117" s="307">
        <f t="shared" si="114"/>
        <v>0.94000000000000083</v>
      </c>
      <c r="EA117" s="90">
        <f t="shared" si="121"/>
        <v>0.83341666320346841</v>
      </c>
      <c r="EB117" s="90">
        <f t="shared" si="122"/>
        <v>0.83341666320346841</v>
      </c>
      <c r="EC117" s="90">
        <f t="shared" si="123"/>
        <v>33</v>
      </c>
      <c r="ED117" s="308">
        <f t="shared" si="124"/>
        <v>0.36600000000000033</v>
      </c>
      <c r="EE117" s="307">
        <f t="shared" si="115"/>
        <v>0.93999999999999861</v>
      </c>
      <c r="EF117" s="90">
        <f t="shared" si="125"/>
        <v>6.3527737674243134E-2</v>
      </c>
      <c r="EG117" s="90">
        <f t="shared" si="126"/>
        <v>6.3527737674243134E-2</v>
      </c>
      <c r="EH117" s="90">
        <f t="shared" si="116"/>
        <v>34</v>
      </c>
      <c r="EI117" s="308">
        <f t="shared" si="117"/>
        <v>0.36599999999999944</v>
      </c>
    </row>
    <row r="118" spans="82:139" ht="12" customHeight="1" x14ac:dyDescent="0.2">
      <c r="DS118" s="307">
        <v>107</v>
      </c>
      <c r="DT118" s="50">
        <f t="shared" si="112"/>
        <v>0.92999999999999727</v>
      </c>
      <c r="DU118" s="90">
        <f t="shared" si="118"/>
        <v>0.56080675604563901</v>
      </c>
      <c r="DV118" s="90" t="e">
        <f t="shared" si="119"/>
        <v>#N/A</v>
      </c>
      <c r="DW118" s="90">
        <f t="shared" si="120"/>
        <v>0.56080675604563901</v>
      </c>
      <c r="DX118" s="90">
        <f t="shared" si="113"/>
        <v>32</v>
      </c>
      <c r="DY118" s="308">
        <f t="shared" si="110"/>
        <v>0.36199999999999893</v>
      </c>
      <c r="DZ118" s="307">
        <f t="shared" si="114"/>
        <v>0.93000000000000083</v>
      </c>
      <c r="EA118" s="90">
        <f t="shared" si="121"/>
        <v>0.83632398936442354</v>
      </c>
      <c r="EB118" s="90">
        <f t="shared" si="122"/>
        <v>0.83632398936442354</v>
      </c>
      <c r="EC118" s="90">
        <f t="shared" si="123"/>
        <v>33</v>
      </c>
      <c r="ED118" s="308">
        <f t="shared" si="124"/>
        <v>0.36200000000000032</v>
      </c>
      <c r="EE118" s="307">
        <f t="shared" si="115"/>
        <v>0.92999999999999861</v>
      </c>
      <c r="EF118" s="90">
        <f t="shared" si="125"/>
        <v>6.6071775807063665E-2</v>
      </c>
      <c r="EG118" s="90">
        <f t="shared" si="126"/>
        <v>6.6071775807063665E-2</v>
      </c>
      <c r="EH118" s="90">
        <f t="shared" si="116"/>
        <v>34</v>
      </c>
      <c r="EI118" s="308">
        <f t="shared" si="117"/>
        <v>0.36199999999999943</v>
      </c>
    </row>
    <row r="119" spans="82:139" ht="12" customHeight="1" x14ac:dyDescent="0.2">
      <c r="DS119" s="307">
        <v>108</v>
      </c>
      <c r="DT119" s="50">
        <f t="shared" si="112"/>
        <v>0.91999999999999738</v>
      </c>
      <c r="DU119" s="90">
        <f t="shared" si="118"/>
        <v>0.56391182764363545</v>
      </c>
      <c r="DV119" s="90" t="e">
        <f t="shared" si="119"/>
        <v>#N/A</v>
      </c>
      <c r="DW119" s="90">
        <f t="shared" si="120"/>
        <v>0.56391182764363545</v>
      </c>
      <c r="DX119" s="90">
        <f t="shared" si="113"/>
        <v>32</v>
      </c>
      <c r="DY119" s="308">
        <f t="shared" si="110"/>
        <v>0.35799999999999899</v>
      </c>
      <c r="DZ119" s="307">
        <f t="shared" si="114"/>
        <v>0.92000000000000082</v>
      </c>
      <c r="EA119" s="90">
        <f t="shared" si="121"/>
        <v>0.83923131552537866</v>
      </c>
      <c r="EB119" s="90">
        <f t="shared" si="122"/>
        <v>0.83923131552537866</v>
      </c>
      <c r="EC119" s="90">
        <f t="shared" si="123"/>
        <v>33</v>
      </c>
      <c r="ED119" s="308">
        <f t="shared" si="124"/>
        <v>0.35800000000000032</v>
      </c>
      <c r="EE119" s="307">
        <f t="shared" si="115"/>
        <v>0.9199999999999986</v>
      </c>
      <c r="EF119" s="90">
        <f t="shared" si="125"/>
        <v>6.8615813939884196E-2</v>
      </c>
      <c r="EG119" s="90">
        <f t="shared" si="126"/>
        <v>6.8615813939884196E-2</v>
      </c>
      <c r="EH119" s="90">
        <f t="shared" si="116"/>
        <v>34</v>
      </c>
      <c r="EI119" s="308">
        <f t="shared" si="117"/>
        <v>0.35799999999999943</v>
      </c>
    </row>
    <row r="120" spans="82:139" ht="12" customHeight="1" x14ac:dyDescent="0.2">
      <c r="DS120" s="307">
        <v>109</v>
      </c>
      <c r="DT120" s="50">
        <f t="shared" si="112"/>
        <v>0.90999999999999748</v>
      </c>
      <c r="DU120" s="90">
        <f t="shared" si="118"/>
        <v>0.5670168992416319</v>
      </c>
      <c r="DV120" s="90" t="e">
        <f t="shared" si="119"/>
        <v>#N/A</v>
      </c>
      <c r="DW120" s="90">
        <f t="shared" si="120"/>
        <v>0.5670168992416319</v>
      </c>
      <c r="DX120" s="90">
        <f t="shared" si="113"/>
        <v>32</v>
      </c>
      <c r="DY120" s="308">
        <f t="shared" si="110"/>
        <v>0.35399999999999898</v>
      </c>
      <c r="DZ120" s="307">
        <f t="shared" si="114"/>
        <v>0.91000000000000081</v>
      </c>
      <c r="EA120" s="90">
        <f t="shared" si="121"/>
        <v>0.84213864168633379</v>
      </c>
      <c r="EB120" s="90">
        <f t="shared" si="122"/>
        <v>0.84213864168633379</v>
      </c>
      <c r="EC120" s="90">
        <f t="shared" si="123"/>
        <v>33</v>
      </c>
      <c r="ED120" s="308">
        <f t="shared" si="124"/>
        <v>0.35400000000000031</v>
      </c>
      <c r="EE120" s="307">
        <f t="shared" si="115"/>
        <v>0.90999999999999848</v>
      </c>
      <c r="EF120" s="90">
        <f t="shared" si="125"/>
        <v>7.1159852072704727E-2</v>
      </c>
      <c r="EG120" s="90">
        <f t="shared" si="126"/>
        <v>7.1159852072704727E-2</v>
      </c>
      <c r="EH120" s="90">
        <f t="shared" si="116"/>
        <v>34</v>
      </c>
      <c r="EI120" s="308">
        <f t="shared" si="117"/>
        <v>0.35399999999999943</v>
      </c>
    </row>
    <row r="121" spans="82:139" ht="12" customHeight="1" x14ac:dyDescent="0.2">
      <c r="DS121" s="307">
        <v>110</v>
      </c>
      <c r="DT121" s="50">
        <f t="shared" si="112"/>
        <v>0.89999999999999758</v>
      </c>
      <c r="DU121" s="90">
        <f t="shared" si="118"/>
        <v>0.57012197083962834</v>
      </c>
      <c r="DV121" s="90" t="e">
        <f t="shared" si="119"/>
        <v>#N/A</v>
      </c>
      <c r="DW121" s="90">
        <f t="shared" si="120"/>
        <v>0.57012197083962834</v>
      </c>
      <c r="DX121" s="90">
        <f t="shared" si="113"/>
        <v>32</v>
      </c>
      <c r="DY121" s="308">
        <f t="shared" si="110"/>
        <v>0.34999999999999903</v>
      </c>
      <c r="DZ121" s="307">
        <f t="shared" si="114"/>
        <v>0.9000000000000008</v>
      </c>
      <c r="EA121" s="90">
        <f t="shared" si="121"/>
        <v>0.84504596784728891</v>
      </c>
      <c r="EB121" s="90">
        <f t="shared" si="122"/>
        <v>0.84504596784728891</v>
      </c>
      <c r="EC121" s="90">
        <f t="shared" si="123"/>
        <v>33</v>
      </c>
      <c r="ED121" s="308">
        <f t="shared" si="124"/>
        <v>0.35000000000000031</v>
      </c>
      <c r="EE121" s="307">
        <f t="shared" si="115"/>
        <v>0.89999999999999847</v>
      </c>
      <c r="EF121" s="90">
        <f t="shared" si="125"/>
        <v>7.3703890205525258E-2</v>
      </c>
      <c r="EG121" s="90">
        <f t="shared" si="126"/>
        <v>7.3703890205525258E-2</v>
      </c>
      <c r="EH121" s="90">
        <f t="shared" si="116"/>
        <v>34</v>
      </c>
      <c r="EI121" s="308">
        <f t="shared" si="117"/>
        <v>0.34999999999999942</v>
      </c>
    </row>
    <row r="122" spans="82:139" ht="12" customHeight="1" x14ac:dyDescent="0.2">
      <c r="DS122" s="307">
        <v>111</v>
      </c>
      <c r="DT122" s="50">
        <f t="shared" si="112"/>
        <v>0.88999999999999768</v>
      </c>
      <c r="DU122" s="90">
        <f t="shared" si="118"/>
        <v>0.57322704243762479</v>
      </c>
      <c r="DV122" s="90" t="e">
        <f t="shared" si="119"/>
        <v>#N/A</v>
      </c>
      <c r="DW122" s="90">
        <f t="shared" si="120"/>
        <v>0.57322704243762479</v>
      </c>
      <c r="DX122" s="90">
        <f t="shared" si="113"/>
        <v>32</v>
      </c>
      <c r="DY122" s="308">
        <f t="shared" si="110"/>
        <v>0.34599999999999909</v>
      </c>
      <c r="DZ122" s="307">
        <f t="shared" si="114"/>
        <v>0.89000000000000079</v>
      </c>
      <c r="EA122" s="90">
        <f t="shared" si="121"/>
        <v>0.84795329400824404</v>
      </c>
      <c r="EB122" s="90">
        <f t="shared" si="122"/>
        <v>0.84795329400824404</v>
      </c>
      <c r="EC122" s="90">
        <f t="shared" si="123"/>
        <v>33</v>
      </c>
      <c r="ED122" s="308">
        <f t="shared" si="124"/>
        <v>0.34600000000000031</v>
      </c>
      <c r="EE122" s="307">
        <f t="shared" si="115"/>
        <v>0.88999999999999846</v>
      </c>
      <c r="EF122" s="90">
        <f t="shared" si="125"/>
        <v>7.6247928338345788E-2</v>
      </c>
      <c r="EG122" s="90">
        <f t="shared" si="126"/>
        <v>7.6247928338345788E-2</v>
      </c>
      <c r="EH122" s="90">
        <f t="shared" si="116"/>
        <v>34</v>
      </c>
      <c r="EI122" s="308">
        <f t="shared" si="117"/>
        <v>0.34599999999999942</v>
      </c>
    </row>
    <row r="123" spans="82:139" ht="12" customHeight="1" x14ac:dyDescent="0.2">
      <c r="DS123" s="307">
        <v>112</v>
      </c>
      <c r="DT123" s="50">
        <f t="shared" si="112"/>
        <v>0.87999999999999778</v>
      </c>
      <c r="DU123" s="90">
        <f t="shared" si="118"/>
        <v>0.57633211403562123</v>
      </c>
      <c r="DV123" s="90" t="e">
        <f t="shared" si="119"/>
        <v>#N/A</v>
      </c>
      <c r="DW123" s="90">
        <f t="shared" si="120"/>
        <v>0.57633211403562123</v>
      </c>
      <c r="DX123" s="90">
        <f t="shared" si="113"/>
        <v>32</v>
      </c>
      <c r="DY123" s="308">
        <f t="shared" si="110"/>
        <v>0.34199999999999914</v>
      </c>
      <c r="DZ123" s="307">
        <f t="shared" si="114"/>
        <v>0.88000000000000089</v>
      </c>
      <c r="EA123" s="90">
        <f t="shared" si="121"/>
        <v>0.85086062016919917</v>
      </c>
      <c r="EB123" s="90">
        <f t="shared" si="122"/>
        <v>0.85086062016919917</v>
      </c>
      <c r="EC123" s="90">
        <f t="shared" si="123"/>
        <v>33</v>
      </c>
      <c r="ED123" s="308">
        <f t="shared" si="124"/>
        <v>0.34200000000000036</v>
      </c>
      <c r="EE123" s="307">
        <f t="shared" si="115"/>
        <v>0.87999999999999845</v>
      </c>
      <c r="EF123" s="90">
        <f t="shared" si="125"/>
        <v>7.8791966471166319E-2</v>
      </c>
      <c r="EG123" s="90">
        <f t="shared" si="126"/>
        <v>7.8791966471166319E-2</v>
      </c>
      <c r="EH123" s="90">
        <f t="shared" si="116"/>
        <v>34</v>
      </c>
      <c r="EI123" s="308">
        <f t="shared" si="117"/>
        <v>0.34199999999999942</v>
      </c>
    </row>
    <row r="124" spans="82:139" ht="12" customHeight="1" x14ac:dyDescent="0.2">
      <c r="DS124" s="307">
        <v>113</v>
      </c>
      <c r="DT124" s="50">
        <f t="shared" si="112"/>
        <v>0.86999999999999789</v>
      </c>
      <c r="DU124" s="90">
        <f t="shared" si="118"/>
        <v>0.57943718563361768</v>
      </c>
      <c r="DV124" s="90" t="e">
        <f t="shared" si="119"/>
        <v>#N/A</v>
      </c>
      <c r="DW124" s="90">
        <f t="shared" si="120"/>
        <v>0.57943718563361768</v>
      </c>
      <c r="DX124" s="90">
        <f t="shared" si="113"/>
        <v>32</v>
      </c>
      <c r="DY124" s="308">
        <f t="shared" si="110"/>
        <v>0.33799999999999919</v>
      </c>
      <c r="DZ124" s="307">
        <f t="shared" si="114"/>
        <v>0.87000000000000088</v>
      </c>
      <c r="EA124" s="90">
        <f t="shared" si="121"/>
        <v>0.85376794633015429</v>
      </c>
      <c r="EB124" s="90">
        <f t="shared" si="122"/>
        <v>0.85376794633015429</v>
      </c>
      <c r="EC124" s="90">
        <f t="shared" si="123"/>
        <v>33</v>
      </c>
      <c r="ED124" s="308">
        <f t="shared" si="124"/>
        <v>0.33800000000000036</v>
      </c>
      <c r="EE124" s="307">
        <f t="shared" si="115"/>
        <v>0.86999999999999844</v>
      </c>
      <c r="EF124" s="90">
        <f t="shared" si="125"/>
        <v>8.133600460398685E-2</v>
      </c>
      <c r="EG124" s="90">
        <f t="shared" si="126"/>
        <v>8.133600460398685E-2</v>
      </c>
      <c r="EH124" s="90">
        <f t="shared" si="116"/>
        <v>34</v>
      </c>
      <c r="EI124" s="308">
        <f t="shared" si="117"/>
        <v>0.33799999999999941</v>
      </c>
    </row>
    <row r="125" spans="82:139" ht="12" customHeight="1" x14ac:dyDescent="0.2">
      <c r="DS125" s="307">
        <v>114</v>
      </c>
      <c r="DT125" s="50">
        <f t="shared" si="112"/>
        <v>0.8599999999999981</v>
      </c>
      <c r="DU125" s="90">
        <f t="shared" si="118"/>
        <v>0.58254225723161412</v>
      </c>
      <c r="DV125" s="90" t="e">
        <f t="shared" si="119"/>
        <v>#N/A</v>
      </c>
      <c r="DW125" s="90">
        <f t="shared" si="120"/>
        <v>0.58254225723161412</v>
      </c>
      <c r="DX125" s="90">
        <f t="shared" si="113"/>
        <v>32</v>
      </c>
      <c r="DY125" s="308">
        <f t="shared" si="110"/>
        <v>0.33399999999999924</v>
      </c>
      <c r="DZ125" s="307">
        <f t="shared" si="114"/>
        <v>0.86000000000000087</v>
      </c>
      <c r="EA125" s="90">
        <f t="shared" si="121"/>
        <v>0.85667527249110942</v>
      </c>
      <c r="EB125" s="90">
        <f t="shared" si="122"/>
        <v>0.85667527249110942</v>
      </c>
      <c r="EC125" s="90">
        <f t="shared" si="123"/>
        <v>33</v>
      </c>
      <c r="ED125" s="308">
        <f t="shared" si="124"/>
        <v>0.33400000000000035</v>
      </c>
      <c r="EE125" s="307">
        <f t="shared" si="115"/>
        <v>0.85999999999999832</v>
      </c>
      <c r="EF125" s="90">
        <f t="shared" si="125"/>
        <v>8.3880042736807381E-2</v>
      </c>
      <c r="EG125" s="90">
        <f t="shared" si="126"/>
        <v>8.3880042736807381E-2</v>
      </c>
      <c r="EH125" s="90">
        <f t="shared" si="116"/>
        <v>34</v>
      </c>
      <c r="EI125" s="308">
        <f t="shared" si="117"/>
        <v>0.33399999999999935</v>
      </c>
    </row>
    <row r="126" spans="82:139" ht="12" customHeight="1" x14ac:dyDescent="0.2">
      <c r="DS126" s="307">
        <v>115</v>
      </c>
      <c r="DT126" s="50">
        <f t="shared" si="112"/>
        <v>0.8499999999999982</v>
      </c>
      <c r="DU126" s="90">
        <f t="shared" si="118"/>
        <v>0.58564732882961057</v>
      </c>
      <c r="DV126" s="90" t="e">
        <f t="shared" si="119"/>
        <v>#N/A</v>
      </c>
      <c r="DW126" s="90">
        <f t="shared" si="120"/>
        <v>0.58564732882961057</v>
      </c>
      <c r="DX126" s="90">
        <f t="shared" si="113"/>
        <v>32</v>
      </c>
      <c r="DY126" s="308">
        <f t="shared" si="110"/>
        <v>0.32999999999999929</v>
      </c>
      <c r="DZ126" s="307">
        <f t="shared" si="114"/>
        <v>0.85000000000000087</v>
      </c>
      <c r="EA126" s="90">
        <f t="shared" si="121"/>
        <v>0.85958259865206454</v>
      </c>
      <c r="EB126" s="90">
        <f t="shared" si="122"/>
        <v>0.85958259865206454</v>
      </c>
      <c r="EC126" s="90">
        <f t="shared" si="123"/>
        <v>33</v>
      </c>
      <c r="ED126" s="308">
        <f t="shared" si="124"/>
        <v>0.33000000000000035</v>
      </c>
      <c r="EE126" s="307">
        <f t="shared" si="115"/>
        <v>0.84999999999999831</v>
      </c>
      <c r="EF126" s="90">
        <f t="shared" si="125"/>
        <v>8.6424080869627912E-2</v>
      </c>
      <c r="EG126" s="90">
        <f t="shared" si="126"/>
        <v>8.6424080869627912E-2</v>
      </c>
      <c r="EH126" s="90">
        <f t="shared" si="116"/>
        <v>34</v>
      </c>
      <c r="EI126" s="308">
        <f t="shared" si="117"/>
        <v>0.32999999999999935</v>
      </c>
    </row>
    <row r="127" spans="82:139" ht="12" customHeight="1" x14ac:dyDescent="0.2">
      <c r="DS127" s="307">
        <v>116</v>
      </c>
      <c r="DT127" s="50">
        <f t="shared" si="112"/>
        <v>0.8399999999999983</v>
      </c>
      <c r="DU127" s="90">
        <f t="shared" si="118"/>
        <v>0.58875240042760701</v>
      </c>
      <c r="DV127" s="90" t="e">
        <f t="shared" si="119"/>
        <v>#N/A</v>
      </c>
      <c r="DW127" s="90">
        <f t="shared" si="120"/>
        <v>0.58875240042760701</v>
      </c>
      <c r="DX127" s="90">
        <f t="shared" si="113"/>
        <v>32</v>
      </c>
      <c r="DY127" s="308">
        <f t="shared" si="110"/>
        <v>0.32599999999999935</v>
      </c>
      <c r="DZ127" s="307">
        <f t="shared" si="114"/>
        <v>0.84000000000000086</v>
      </c>
      <c r="EA127" s="90">
        <f t="shared" si="121"/>
        <v>0.86248992481301967</v>
      </c>
      <c r="EB127" s="90">
        <f t="shared" si="122"/>
        <v>0.86248992481301967</v>
      </c>
      <c r="EC127" s="90">
        <f t="shared" si="123"/>
        <v>33</v>
      </c>
      <c r="ED127" s="308">
        <f t="shared" si="124"/>
        <v>0.32600000000000035</v>
      </c>
      <c r="EE127" s="307">
        <f t="shared" si="115"/>
        <v>0.8399999999999983</v>
      </c>
      <c r="EF127" s="90">
        <f t="shared" si="125"/>
        <v>8.8968119002448443E-2</v>
      </c>
      <c r="EG127" s="90">
        <f t="shared" si="126"/>
        <v>8.8968119002448443E-2</v>
      </c>
      <c r="EH127" s="90">
        <f t="shared" si="116"/>
        <v>34</v>
      </c>
      <c r="EI127" s="308">
        <f t="shared" si="117"/>
        <v>0.32599999999999935</v>
      </c>
    </row>
    <row r="128" spans="82:139" ht="12" customHeight="1" x14ac:dyDescent="0.2">
      <c r="DS128" s="307">
        <v>117</v>
      </c>
      <c r="DT128" s="50">
        <f t="shared" si="112"/>
        <v>0.82999999999999841</v>
      </c>
      <c r="DU128" s="90">
        <f t="shared" si="118"/>
        <v>0.59185747202560346</v>
      </c>
      <c r="DV128" s="90" t="e">
        <f t="shared" si="119"/>
        <v>#N/A</v>
      </c>
      <c r="DW128" s="90">
        <f t="shared" si="120"/>
        <v>0.59185747202560346</v>
      </c>
      <c r="DX128" s="90">
        <f t="shared" si="113"/>
        <v>32</v>
      </c>
      <c r="DY128" s="308">
        <f t="shared" si="110"/>
        <v>0.3219999999999994</v>
      </c>
      <c r="DZ128" s="307">
        <f t="shared" si="114"/>
        <v>0.83000000000000096</v>
      </c>
      <c r="EA128" s="90">
        <f t="shared" si="121"/>
        <v>0.8653972509739748</v>
      </c>
      <c r="EB128" s="90">
        <f t="shared" si="122"/>
        <v>0.8653972509739748</v>
      </c>
      <c r="EC128" s="90">
        <f t="shared" si="123"/>
        <v>33</v>
      </c>
      <c r="ED128" s="308">
        <f t="shared" si="124"/>
        <v>0.3220000000000004</v>
      </c>
      <c r="EE128" s="307">
        <f t="shared" si="115"/>
        <v>0.82999999999999829</v>
      </c>
      <c r="EF128" s="90">
        <f t="shared" si="125"/>
        <v>9.1512157135268973E-2</v>
      </c>
      <c r="EG128" s="90">
        <f t="shared" si="126"/>
        <v>9.1512157135268973E-2</v>
      </c>
      <c r="EH128" s="90">
        <f t="shared" si="116"/>
        <v>34</v>
      </c>
      <c r="EI128" s="308">
        <f t="shared" si="117"/>
        <v>0.32199999999999934</v>
      </c>
    </row>
    <row r="129" spans="123:139" ht="12" customHeight="1" x14ac:dyDescent="0.2">
      <c r="DS129" s="307">
        <v>118</v>
      </c>
      <c r="DT129" s="50">
        <f t="shared" si="112"/>
        <v>0.81999999999999851</v>
      </c>
      <c r="DU129" s="90">
        <f t="shared" si="118"/>
        <v>0.5949625436235999</v>
      </c>
      <c r="DV129" s="90" t="e">
        <f t="shared" si="119"/>
        <v>#N/A</v>
      </c>
      <c r="DW129" s="90">
        <f t="shared" si="120"/>
        <v>0.5949625436235999</v>
      </c>
      <c r="DX129" s="90">
        <f t="shared" si="113"/>
        <v>32</v>
      </c>
      <c r="DY129" s="308">
        <f t="shared" si="110"/>
        <v>0.31799999999999939</v>
      </c>
      <c r="DZ129" s="307">
        <f t="shared" si="114"/>
        <v>0.82000000000000095</v>
      </c>
      <c r="EA129" s="90">
        <f t="shared" si="121"/>
        <v>0.86830457713492992</v>
      </c>
      <c r="EB129" s="90">
        <f t="shared" si="122"/>
        <v>0.86830457713492992</v>
      </c>
      <c r="EC129" s="90">
        <f t="shared" si="123"/>
        <v>33</v>
      </c>
      <c r="ED129" s="308">
        <f t="shared" si="124"/>
        <v>0.31800000000000039</v>
      </c>
      <c r="EE129" s="307">
        <f t="shared" si="115"/>
        <v>0.81999999999999829</v>
      </c>
      <c r="EF129" s="90">
        <f t="shared" si="125"/>
        <v>9.4056195268089504E-2</v>
      </c>
      <c r="EG129" s="90">
        <f t="shared" si="126"/>
        <v>9.4056195268089504E-2</v>
      </c>
      <c r="EH129" s="90">
        <f t="shared" si="116"/>
        <v>34</v>
      </c>
      <c r="EI129" s="308">
        <f t="shared" si="117"/>
        <v>0.31799999999999934</v>
      </c>
    </row>
    <row r="130" spans="123:139" ht="12" customHeight="1" x14ac:dyDescent="0.2">
      <c r="DS130" s="307">
        <v>119</v>
      </c>
      <c r="DT130" s="50">
        <f t="shared" si="112"/>
        <v>0.80999999999999861</v>
      </c>
      <c r="DU130" s="90">
        <f t="shared" si="118"/>
        <v>0.59806761522159635</v>
      </c>
      <c r="DV130" s="90" t="e">
        <f t="shared" si="119"/>
        <v>#N/A</v>
      </c>
      <c r="DW130" s="90">
        <f t="shared" si="120"/>
        <v>0.59806761522159635</v>
      </c>
      <c r="DX130" s="90">
        <f t="shared" si="113"/>
        <v>32</v>
      </c>
      <c r="DY130" s="308">
        <f t="shared" si="110"/>
        <v>0.31399999999999945</v>
      </c>
      <c r="DZ130" s="307">
        <f t="shared" si="114"/>
        <v>0.81000000000000094</v>
      </c>
      <c r="EA130" s="90">
        <f t="shared" si="121"/>
        <v>0.87121190329588505</v>
      </c>
      <c r="EB130" s="90">
        <f t="shared" si="122"/>
        <v>0.87121190329588505</v>
      </c>
      <c r="EC130" s="90">
        <f t="shared" si="123"/>
        <v>33</v>
      </c>
      <c r="ED130" s="308">
        <f t="shared" si="124"/>
        <v>0.31400000000000039</v>
      </c>
      <c r="EE130" s="307">
        <f t="shared" si="115"/>
        <v>0.80999999999999828</v>
      </c>
      <c r="EF130" s="90">
        <f t="shared" si="125"/>
        <v>9.6600233400910035E-2</v>
      </c>
      <c r="EG130" s="90">
        <f t="shared" si="126"/>
        <v>9.6600233400910035E-2</v>
      </c>
      <c r="EH130" s="90">
        <f t="shared" si="116"/>
        <v>34</v>
      </c>
      <c r="EI130" s="308">
        <f t="shared" si="117"/>
        <v>0.31399999999999934</v>
      </c>
    </row>
    <row r="131" spans="123:139" ht="12" customHeight="1" x14ac:dyDescent="0.2">
      <c r="DS131" s="307">
        <v>120</v>
      </c>
      <c r="DT131" s="50">
        <f t="shared" si="112"/>
        <v>0.79999999999999871</v>
      </c>
      <c r="DU131" s="90">
        <f t="shared" si="118"/>
        <v>0.60117268681959279</v>
      </c>
      <c r="DV131" s="90" t="e">
        <f t="shared" si="119"/>
        <v>#N/A</v>
      </c>
      <c r="DW131" s="90">
        <f t="shared" si="120"/>
        <v>0.60117268681959279</v>
      </c>
      <c r="DX131" s="90">
        <f t="shared" si="113"/>
        <v>32</v>
      </c>
      <c r="DY131" s="308">
        <f t="shared" si="110"/>
        <v>0.3099999999999995</v>
      </c>
      <c r="DZ131" s="307">
        <f t="shared" si="114"/>
        <v>0.80000000000000093</v>
      </c>
      <c r="EA131" s="90">
        <f t="shared" si="121"/>
        <v>0.87411922945684017</v>
      </c>
      <c r="EB131" s="90">
        <f t="shared" si="122"/>
        <v>0.87411922945684017</v>
      </c>
      <c r="EC131" s="90">
        <f t="shared" si="123"/>
        <v>33</v>
      </c>
      <c r="ED131" s="308">
        <f t="shared" si="124"/>
        <v>0.31000000000000039</v>
      </c>
      <c r="EE131" s="307">
        <f t="shared" si="115"/>
        <v>0.79999999999999827</v>
      </c>
      <c r="EF131" s="90">
        <f t="shared" si="125"/>
        <v>9.9144271533730566E-2</v>
      </c>
      <c r="EG131" s="90">
        <f t="shared" si="126"/>
        <v>9.9144271533730566E-2</v>
      </c>
      <c r="EH131" s="90">
        <f t="shared" si="116"/>
        <v>34</v>
      </c>
      <c r="EI131" s="308">
        <f t="shared" si="117"/>
        <v>0.30999999999999933</v>
      </c>
    </row>
    <row r="132" spans="123:139" ht="12" customHeight="1" x14ac:dyDescent="0.2">
      <c r="DS132" s="307">
        <v>121</v>
      </c>
      <c r="DT132" s="50">
        <f t="shared" si="112"/>
        <v>0.78999999999999893</v>
      </c>
      <c r="DU132" s="90">
        <f t="shared" si="118"/>
        <v>0.60427775841758924</v>
      </c>
      <c r="DV132" s="90" t="e">
        <f t="shared" si="119"/>
        <v>#N/A</v>
      </c>
      <c r="DW132" s="90">
        <f t="shared" si="120"/>
        <v>0.60427775841758924</v>
      </c>
      <c r="DX132" s="90">
        <f t="shared" si="113"/>
        <v>32</v>
      </c>
      <c r="DY132" s="308">
        <f t="shared" si="110"/>
        <v>0.30599999999999961</v>
      </c>
      <c r="DZ132" s="307">
        <f t="shared" si="114"/>
        <v>0.79000000000000092</v>
      </c>
      <c r="EA132" s="90">
        <f t="shared" si="121"/>
        <v>0.8770265556177953</v>
      </c>
      <c r="EB132" s="90">
        <f t="shared" si="122"/>
        <v>0.8770265556177953</v>
      </c>
      <c r="EC132" s="90">
        <f t="shared" si="123"/>
        <v>33</v>
      </c>
      <c r="ED132" s="308">
        <f t="shared" si="124"/>
        <v>0.30600000000000038</v>
      </c>
      <c r="EE132" s="307">
        <f t="shared" si="115"/>
        <v>0.78999999999999826</v>
      </c>
      <c r="EF132" s="90">
        <f t="shared" si="125"/>
        <v>0.1016883096665511</v>
      </c>
      <c r="EG132" s="90">
        <f t="shared" si="126"/>
        <v>0.1016883096665511</v>
      </c>
      <c r="EH132" s="90">
        <f t="shared" si="116"/>
        <v>34</v>
      </c>
      <c r="EI132" s="308">
        <f t="shared" si="117"/>
        <v>0.30599999999999933</v>
      </c>
    </row>
    <row r="133" spans="123:139" ht="12" customHeight="1" x14ac:dyDescent="0.2">
      <c r="DS133" s="307">
        <v>122</v>
      </c>
      <c r="DT133" s="50">
        <f t="shared" si="112"/>
        <v>0.77999999999999892</v>
      </c>
      <c r="DU133" s="90">
        <f t="shared" si="118"/>
        <v>0.60738283001558568</v>
      </c>
      <c r="DV133" s="90" t="e">
        <f t="shared" si="119"/>
        <v>#N/A</v>
      </c>
      <c r="DW133" s="90">
        <f t="shared" si="120"/>
        <v>0.60738283001558568</v>
      </c>
      <c r="DX133" s="90">
        <f t="shared" si="113"/>
        <v>32</v>
      </c>
      <c r="DY133" s="308">
        <f t="shared" si="110"/>
        <v>0.3019999999999996</v>
      </c>
      <c r="DZ133" s="307">
        <f t="shared" si="114"/>
        <v>0.78000000000000091</v>
      </c>
      <c r="EA133" s="90">
        <f t="shared" si="121"/>
        <v>0.87993388177875043</v>
      </c>
      <c r="EB133" s="90">
        <f t="shared" si="122"/>
        <v>0.87993388177875043</v>
      </c>
      <c r="EC133" s="90">
        <f t="shared" si="123"/>
        <v>33</v>
      </c>
      <c r="ED133" s="308">
        <f t="shared" si="124"/>
        <v>0.30200000000000038</v>
      </c>
      <c r="EE133" s="307">
        <f t="shared" si="115"/>
        <v>0.77999999999999814</v>
      </c>
      <c r="EF133" s="90">
        <f t="shared" si="125"/>
        <v>0.10423234779937163</v>
      </c>
      <c r="EG133" s="90">
        <f t="shared" si="126"/>
        <v>0.10423234779937163</v>
      </c>
      <c r="EH133" s="90">
        <f t="shared" si="116"/>
        <v>34</v>
      </c>
      <c r="EI133" s="308">
        <f t="shared" si="117"/>
        <v>0.30199999999999927</v>
      </c>
    </row>
    <row r="134" spans="123:139" ht="12" customHeight="1" x14ac:dyDescent="0.2">
      <c r="DS134" s="307">
        <v>123</v>
      </c>
      <c r="DT134" s="50">
        <f t="shared" si="112"/>
        <v>0.76999999999999913</v>
      </c>
      <c r="DU134" s="90">
        <f t="shared" si="118"/>
        <v>0.61048790161358213</v>
      </c>
      <c r="DV134" s="90" t="e">
        <f t="shared" si="119"/>
        <v>#N/A</v>
      </c>
      <c r="DW134" s="90">
        <f t="shared" si="120"/>
        <v>0.61048790161358213</v>
      </c>
      <c r="DX134" s="90">
        <f t="shared" si="113"/>
        <v>32</v>
      </c>
      <c r="DY134" s="308">
        <f t="shared" si="110"/>
        <v>0.29799999999999965</v>
      </c>
      <c r="DZ134" s="307">
        <f t="shared" si="114"/>
        <v>0.77000000000000091</v>
      </c>
      <c r="EA134" s="90">
        <f t="shared" si="121"/>
        <v>0.88284120793970555</v>
      </c>
      <c r="EB134" s="90">
        <f t="shared" si="122"/>
        <v>0.88284120793970555</v>
      </c>
      <c r="EC134" s="90">
        <f t="shared" si="123"/>
        <v>33</v>
      </c>
      <c r="ED134" s="308">
        <f t="shared" si="124"/>
        <v>0.29800000000000038</v>
      </c>
      <c r="EE134" s="307">
        <f t="shared" si="115"/>
        <v>0.76999999999999813</v>
      </c>
      <c r="EF134" s="90">
        <f t="shared" si="125"/>
        <v>0.10677638593219216</v>
      </c>
      <c r="EG134" s="90">
        <f t="shared" si="126"/>
        <v>0.10677638593219216</v>
      </c>
      <c r="EH134" s="90">
        <f t="shared" si="116"/>
        <v>34</v>
      </c>
      <c r="EI134" s="308">
        <f t="shared" si="117"/>
        <v>0.29799999999999927</v>
      </c>
    </row>
    <row r="135" spans="123:139" ht="12" customHeight="1" x14ac:dyDescent="0.2">
      <c r="DS135" s="307">
        <v>124</v>
      </c>
      <c r="DT135" s="50">
        <f t="shared" si="112"/>
        <v>0.75999999999999923</v>
      </c>
      <c r="DU135" s="90">
        <f t="shared" si="118"/>
        <v>0.61359297321157857</v>
      </c>
      <c r="DV135" s="90" t="e">
        <f t="shared" si="119"/>
        <v>#N/A</v>
      </c>
      <c r="DW135" s="90">
        <f t="shared" si="120"/>
        <v>0.61359297321157857</v>
      </c>
      <c r="DX135" s="90">
        <f t="shared" si="113"/>
        <v>32</v>
      </c>
      <c r="DY135" s="308">
        <f t="shared" si="110"/>
        <v>0.29399999999999971</v>
      </c>
      <c r="DZ135" s="307">
        <f t="shared" si="114"/>
        <v>0.7600000000000009</v>
      </c>
      <c r="EA135" s="90">
        <f t="shared" si="121"/>
        <v>0.88574853410066068</v>
      </c>
      <c r="EB135" s="90">
        <f t="shared" si="122"/>
        <v>0.88574853410066068</v>
      </c>
      <c r="EC135" s="90">
        <f t="shared" si="123"/>
        <v>33</v>
      </c>
      <c r="ED135" s="308">
        <f t="shared" si="124"/>
        <v>0.29400000000000037</v>
      </c>
      <c r="EE135" s="307">
        <f t="shared" si="115"/>
        <v>0.75999999999999812</v>
      </c>
      <c r="EF135" s="90">
        <f t="shared" si="125"/>
        <v>0.10932042406501269</v>
      </c>
      <c r="EG135" s="90">
        <f t="shared" si="126"/>
        <v>0.10932042406501269</v>
      </c>
      <c r="EH135" s="90">
        <f t="shared" si="116"/>
        <v>34</v>
      </c>
      <c r="EI135" s="308">
        <f t="shared" si="117"/>
        <v>0.29399999999999926</v>
      </c>
    </row>
    <row r="136" spans="123:139" ht="12" customHeight="1" x14ac:dyDescent="0.2">
      <c r="DS136" s="307">
        <v>125</v>
      </c>
      <c r="DT136" s="50">
        <f t="shared" si="112"/>
        <v>0.74999999999999933</v>
      </c>
      <c r="DU136" s="90">
        <f t="shared" si="118"/>
        <v>0.61669804480957502</v>
      </c>
      <c r="DV136" s="90" t="e">
        <f t="shared" si="119"/>
        <v>#N/A</v>
      </c>
      <c r="DW136" s="90">
        <f t="shared" si="120"/>
        <v>0.61669804480957502</v>
      </c>
      <c r="DX136" s="90">
        <f t="shared" si="113"/>
        <v>32</v>
      </c>
      <c r="DY136" s="308">
        <f t="shared" si="110"/>
        <v>0.28999999999999976</v>
      </c>
      <c r="DZ136" s="307">
        <f t="shared" si="114"/>
        <v>0.75000000000000089</v>
      </c>
      <c r="EA136" s="90">
        <f t="shared" si="121"/>
        <v>0.8886558602616158</v>
      </c>
      <c r="EB136" s="90">
        <f t="shared" si="122"/>
        <v>0.8886558602616158</v>
      </c>
      <c r="EC136" s="90">
        <f t="shared" si="123"/>
        <v>33</v>
      </c>
      <c r="ED136" s="308">
        <f t="shared" si="124"/>
        <v>0.29000000000000037</v>
      </c>
      <c r="EE136" s="307">
        <f t="shared" si="115"/>
        <v>0.74999999999999811</v>
      </c>
      <c r="EF136" s="90">
        <f t="shared" si="125"/>
        <v>0.11186446219783322</v>
      </c>
      <c r="EG136" s="90">
        <f t="shared" si="126"/>
        <v>0.11186446219783322</v>
      </c>
      <c r="EH136" s="90">
        <f t="shared" si="116"/>
        <v>34</v>
      </c>
      <c r="EI136" s="308">
        <f t="shared" si="117"/>
        <v>0.28999999999999926</v>
      </c>
    </row>
    <row r="137" spans="123:139" ht="12" customHeight="1" x14ac:dyDescent="0.2">
      <c r="DS137" s="307">
        <v>126</v>
      </c>
      <c r="DT137" s="50">
        <f t="shared" si="112"/>
        <v>0.73999999999999944</v>
      </c>
      <c r="DU137" s="90">
        <f t="shared" si="118"/>
        <v>0.61980311640757146</v>
      </c>
      <c r="DV137" s="90" t="e">
        <f t="shared" si="119"/>
        <v>#N/A</v>
      </c>
      <c r="DW137" s="90">
        <f t="shared" si="120"/>
        <v>0.61980311640757146</v>
      </c>
      <c r="DX137" s="90">
        <f t="shared" si="113"/>
        <v>32</v>
      </c>
      <c r="DY137" s="308">
        <f t="shared" si="110"/>
        <v>0.28599999999999975</v>
      </c>
      <c r="DZ137" s="307">
        <f t="shared" si="114"/>
        <v>0.74000000000000088</v>
      </c>
      <c r="EA137" s="90">
        <f t="shared" si="121"/>
        <v>0.89156318642257093</v>
      </c>
      <c r="EB137" s="90">
        <f t="shared" si="122"/>
        <v>0.89156318642257093</v>
      </c>
      <c r="EC137" s="90">
        <f t="shared" si="123"/>
        <v>33</v>
      </c>
      <c r="ED137" s="308">
        <f t="shared" si="124"/>
        <v>0.28600000000000037</v>
      </c>
      <c r="EE137" s="307">
        <f t="shared" si="115"/>
        <v>0.73999999999999799</v>
      </c>
      <c r="EF137" s="90">
        <f t="shared" si="125"/>
        <v>0.11440850033065375</v>
      </c>
      <c r="EG137" s="90">
        <f t="shared" si="126"/>
        <v>0.11440850033065375</v>
      </c>
      <c r="EH137" s="90">
        <f t="shared" si="116"/>
        <v>34</v>
      </c>
      <c r="EI137" s="308">
        <f t="shared" si="117"/>
        <v>0.2859999999999992</v>
      </c>
    </row>
    <row r="138" spans="123:139" ht="12" customHeight="1" x14ac:dyDescent="0.2">
      <c r="DS138" s="307">
        <v>127</v>
      </c>
      <c r="DT138" s="50">
        <f t="shared" si="112"/>
        <v>0.72999999999999954</v>
      </c>
      <c r="DU138" s="90">
        <f t="shared" si="118"/>
        <v>0.62290818800556791</v>
      </c>
      <c r="DV138" s="90" t="e">
        <f t="shared" si="119"/>
        <v>#N/A</v>
      </c>
      <c r="DW138" s="90">
        <f t="shared" si="120"/>
        <v>0.62290818800556791</v>
      </c>
      <c r="DX138" s="90">
        <f t="shared" si="113"/>
        <v>32</v>
      </c>
      <c r="DY138" s="308">
        <f t="shared" si="110"/>
        <v>0.28199999999999981</v>
      </c>
      <c r="DZ138" s="307">
        <f t="shared" si="114"/>
        <v>0.73000000000000098</v>
      </c>
      <c r="EA138" s="90">
        <f t="shared" si="121"/>
        <v>0.89447051258352606</v>
      </c>
      <c r="EB138" s="90">
        <f t="shared" si="122"/>
        <v>0.89447051258352606</v>
      </c>
      <c r="EC138" s="90">
        <f t="shared" si="123"/>
        <v>33</v>
      </c>
      <c r="ED138" s="308">
        <f t="shared" si="124"/>
        <v>0.28200000000000042</v>
      </c>
      <c r="EE138" s="307">
        <f t="shared" si="115"/>
        <v>0.72999999999999798</v>
      </c>
      <c r="EF138" s="90">
        <f t="shared" si="125"/>
        <v>0.11695253846347428</v>
      </c>
      <c r="EG138" s="90">
        <f t="shared" si="126"/>
        <v>0.11695253846347428</v>
      </c>
      <c r="EH138" s="90">
        <f t="shared" si="116"/>
        <v>34</v>
      </c>
      <c r="EI138" s="308">
        <f t="shared" si="117"/>
        <v>0.2819999999999992</v>
      </c>
    </row>
    <row r="139" spans="123:139" ht="12" customHeight="1" x14ac:dyDescent="0.2">
      <c r="DS139" s="307">
        <v>128</v>
      </c>
      <c r="DT139" s="50">
        <f t="shared" si="112"/>
        <v>0.71999999999999975</v>
      </c>
      <c r="DU139" s="90">
        <f t="shared" si="118"/>
        <v>0.62601325960356435</v>
      </c>
      <c r="DV139" s="90" t="e">
        <f t="shared" si="119"/>
        <v>#N/A</v>
      </c>
      <c r="DW139" s="90">
        <f t="shared" si="120"/>
        <v>0.62601325960356435</v>
      </c>
      <c r="DX139" s="90">
        <f t="shared" si="113"/>
        <v>32</v>
      </c>
      <c r="DY139" s="308">
        <f t="shared" ref="DY139:DY202" si="153">MAX($DV$3*DT139-$DV$9,0)</f>
        <v>0.27799999999999991</v>
      </c>
      <c r="DZ139" s="307">
        <f t="shared" si="114"/>
        <v>0.72000000000000097</v>
      </c>
      <c r="EA139" s="90">
        <f t="shared" si="121"/>
        <v>0.89737783874448118</v>
      </c>
      <c r="EB139" s="90">
        <f t="shared" si="122"/>
        <v>0.89737783874448118</v>
      </c>
      <c r="EC139" s="90">
        <f t="shared" si="123"/>
        <v>33</v>
      </c>
      <c r="ED139" s="308">
        <f t="shared" si="124"/>
        <v>0.27800000000000041</v>
      </c>
      <c r="EE139" s="307">
        <f t="shared" si="115"/>
        <v>0.71999999999999797</v>
      </c>
      <c r="EF139" s="90">
        <f t="shared" si="125"/>
        <v>0.11949657659629481</v>
      </c>
      <c r="EG139" s="90">
        <f t="shared" si="126"/>
        <v>0.11949657659629481</v>
      </c>
      <c r="EH139" s="90">
        <f t="shared" si="116"/>
        <v>34</v>
      </c>
      <c r="EI139" s="308">
        <f t="shared" si="117"/>
        <v>0.27799999999999919</v>
      </c>
    </row>
    <row r="140" spans="123:139" ht="12" customHeight="1" x14ac:dyDescent="0.2">
      <c r="DS140" s="307">
        <v>129</v>
      </c>
      <c r="DT140" s="50">
        <f t="shared" ref="DT140:DT203" si="154">1-ABS($CR$41-DW140)/$CT$40</f>
        <v>0.70999999999999974</v>
      </c>
      <c r="DU140" s="90">
        <f t="shared" si="118"/>
        <v>0.6291183312015608</v>
      </c>
      <c r="DV140" s="90" t="e">
        <f t="shared" si="119"/>
        <v>#N/A</v>
      </c>
      <c r="DW140" s="90">
        <f t="shared" si="120"/>
        <v>0.6291183312015608</v>
      </c>
      <c r="DX140" s="90">
        <f t="shared" ref="DX140:DX203" si="155">DX139</f>
        <v>32</v>
      </c>
      <c r="DY140" s="308">
        <f t="shared" si="153"/>
        <v>0.27399999999999991</v>
      </c>
      <c r="DZ140" s="307">
        <f t="shared" ref="DZ140:DZ203" si="156">1-ABS($CN$77-EB140)/$CS$77</f>
        <v>0.71000000000000096</v>
      </c>
      <c r="EA140" s="90">
        <f t="shared" si="121"/>
        <v>0.90028516490543631</v>
      </c>
      <c r="EB140" s="90">
        <f t="shared" si="122"/>
        <v>0.90028516490543631</v>
      </c>
      <c r="EC140" s="90">
        <f t="shared" si="123"/>
        <v>33</v>
      </c>
      <c r="ED140" s="308">
        <f t="shared" si="124"/>
        <v>0.27400000000000041</v>
      </c>
      <c r="EE140" s="307">
        <f t="shared" ref="EE140:EE203" si="157">1-ABS($CN$114-EG140)/$CS$114</f>
        <v>0.70999999999999797</v>
      </c>
      <c r="EF140" s="90">
        <f t="shared" si="125"/>
        <v>0.12204061472911534</v>
      </c>
      <c r="EG140" s="90">
        <f t="shared" si="126"/>
        <v>0.12204061472911534</v>
      </c>
      <c r="EH140" s="90">
        <f t="shared" ref="EH140:EH203" si="158">EH139</f>
        <v>34</v>
      </c>
      <c r="EI140" s="308">
        <f t="shared" ref="EI140:EI203" si="159">MAX($EH$3*EE140-$EF$9,0)</f>
        <v>0.27399999999999919</v>
      </c>
    </row>
    <row r="141" spans="123:139" ht="12" customHeight="1" x14ac:dyDescent="0.2">
      <c r="DS141" s="307">
        <v>130</v>
      </c>
      <c r="DT141" s="50">
        <f t="shared" si="154"/>
        <v>0.7</v>
      </c>
      <c r="DU141" s="90">
        <f t="shared" ref="DU141:DU204" si="160">IF(AND($CJ$5,$CY$4,$CZ$2),DW140+$DV$8,NA())</f>
        <v>0.63222340279955724</v>
      </c>
      <c r="DV141" s="90" t="e">
        <f t="shared" ref="DV141:DV204" si="161">IF(AND(NOT($CJ$5),$CY$4),DW140+$DV$8,NA())</f>
        <v>#N/A</v>
      </c>
      <c r="DW141" s="90">
        <f t="shared" ref="DW141:DW204" si="162">IF($CY$4,DW140+$DV$8,NA())</f>
        <v>0.63222340279955724</v>
      </c>
      <c r="DX141" s="90">
        <f t="shared" si="155"/>
        <v>32</v>
      </c>
      <c r="DY141" s="308">
        <f t="shared" si="153"/>
        <v>0.26999999999999996</v>
      </c>
      <c r="DZ141" s="307">
        <f t="shared" si="156"/>
        <v>0.70000000000000107</v>
      </c>
      <c r="EA141" s="90">
        <f t="shared" ref="EA141:EA204" si="163">IF(AND($CJ$5,$CY$4),EB140+$EA$8,NA())</f>
        <v>0.90319249106639143</v>
      </c>
      <c r="EB141" s="90">
        <f t="shared" ref="EB141:EB204" si="164">IF($CY$4,EB140+$EA$8,NA())</f>
        <v>0.90319249106639143</v>
      </c>
      <c r="EC141" s="90">
        <f t="shared" ref="EC141:EC204" si="165">EC140</f>
        <v>33</v>
      </c>
      <c r="ED141" s="308">
        <f t="shared" ref="ED141:ED204" si="166">MAX($EC$3*DZ141-$EA$9,0)</f>
        <v>0.27000000000000041</v>
      </c>
      <c r="EE141" s="307">
        <f t="shared" si="157"/>
        <v>0.69999999999999796</v>
      </c>
      <c r="EF141" s="90">
        <f t="shared" ref="EF141:EF204" si="167">IF(AND($CJ$5,$CY$4),EG140+$EF$8,NA())</f>
        <v>0.12458465286193587</v>
      </c>
      <c r="EG141" s="90">
        <f t="shared" ref="EG141:EG204" si="168">IF($CY$4,EG140+$EF$8,NA())</f>
        <v>0.12458465286193587</v>
      </c>
      <c r="EH141" s="90">
        <f t="shared" si="158"/>
        <v>34</v>
      </c>
      <c r="EI141" s="308">
        <f t="shared" si="159"/>
        <v>0.26999999999999919</v>
      </c>
    </row>
    <row r="142" spans="123:139" ht="12" customHeight="1" x14ac:dyDescent="0.2">
      <c r="DS142" s="307">
        <v>131</v>
      </c>
      <c r="DT142" s="50">
        <f t="shared" si="154"/>
        <v>0.69</v>
      </c>
      <c r="DU142" s="90">
        <f t="shared" si="160"/>
        <v>0.63532847439755369</v>
      </c>
      <c r="DV142" s="90" t="e">
        <f t="shared" si="161"/>
        <v>#N/A</v>
      </c>
      <c r="DW142" s="90">
        <f t="shared" si="162"/>
        <v>0.63532847439755369</v>
      </c>
      <c r="DX142" s="90">
        <f t="shared" si="155"/>
        <v>32</v>
      </c>
      <c r="DY142" s="308">
        <f t="shared" si="153"/>
        <v>0.26599999999999996</v>
      </c>
      <c r="DZ142" s="307">
        <f t="shared" si="156"/>
        <v>0.69000000000000106</v>
      </c>
      <c r="EA142" s="90">
        <f t="shared" si="163"/>
        <v>0.90609981722734656</v>
      </c>
      <c r="EB142" s="90">
        <f t="shared" si="164"/>
        <v>0.90609981722734656</v>
      </c>
      <c r="EC142" s="90">
        <f t="shared" si="165"/>
        <v>33</v>
      </c>
      <c r="ED142" s="308">
        <f t="shared" si="166"/>
        <v>0.2660000000000004</v>
      </c>
      <c r="EE142" s="307">
        <f t="shared" si="157"/>
        <v>0.68999999999999795</v>
      </c>
      <c r="EF142" s="90">
        <f t="shared" si="167"/>
        <v>0.1271286909947564</v>
      </c>
      <c r="EG142" s="90">
        <f t="shared" si="168"/>
        <v>0.1271286909947564</v>
      </c>
      <c r="EH142" s="90">
        <f t="shared" si="158"/>
        <v>34</v>
      </c>
      <c r="EI142" s="308">
        <f t="shared" si="159"/>
        <v>0.26599999999999918</v>
      </c>
    </row>
    <row r="143" spans="123:139" ht="12" customHeight="1" x14ac:dyDescent="0.2">
      <c r="DS143" s="307">
        <v>132</v>
      </c>
      <c r="DT143" s="50">
        <f t="shared" si="154"/>
        <v>0.68000000000000016</v>
      </c>
      <c r="DU143" s="90">
        <f t="shared" si="160"/>
        <v>0.63843354599555013</v>
      </c>
      <c r="DV143" s="90" t="e">
        <f t="shared" si="161"/>
        <v>#N/A</v>
      </c>
      <c r="DW143" s="90">
        <f t="shared" si="162"/>
        <v>0.63843354599555013</v>
      </c>
      <c r="DX143" s="90">
        <f t="shared" si="155"/>
        <v>32</v>
      </c>
      <c r="DY143" s="308">
        <f t="shared" si="153"/>
        <v>0.26200000000000007</v>
      </c>
      <c r="DZ143" s="307">
        <f t="shared" si="156"/>
        <v>0.68000000000000105</v>
      </c>
      <c r="EA143" s="90">
        <f t="shared" si="163"/>
        <v>0.90900714338830169</v>
      </c>
      <c r="EB143" s="90">
        <f t="shared" si="164"/>
        <v>0.90900714338830169</v>
      </c>
      <c r="EC143" s="90">
        <f t="shared" si="165"/>
        <v>33</v>
      </c>
      <c r="ED143" s="308">
        <f t="shared" si="166"/>
        <v>0.2620000000000004</v>
      </c>
      <c r="EE143" s="307">
        <f t="shared" si="157"/>
        <v>0.67999999999999794</v>
      </c>
      <c r="EF143" s="90">
        <f t="shared" si="167"/>
        <v>0.12967272912757694</v>
      </c>
      <c r="EG143" s="90">
        <f t="shared" si="168"/>
        <v>0.12967272912757694</v>
      </c>
      <c r="EH143" s="90">
        <f t="shared" si="158"/>
        <v>34</v>
      </c>
      <c r="EI143" s="308">
        <f t="shared" si="159"/>
        <v>0.26199999999999918</v>
      </c>
    </row>
    <row r="144" spans="123:139" ht="12" customHeight="1" x14ac:dyDescent="0.2">
      <c r="DS144" s="307">
        <v>133</v>
      </c>
      <c r="DT144" s="50">
        <f t="shared" si="154"/>
        <v>0.67000000000000026</v>
      </c>
      <c r="DU144" s="90">
        <f t="shared" si="160"/>
        <v>0.64153861759354658</v>
      </c>
      <c r="DV144" s="90" t="e">
        <f t="shared" si="161"/>
        <v>#N/A</v>
      </c>
      <c r="DW144" s="90">
        <f t="shared" si="162"/>
        <v>0.64153861759354658</v>
      </c>
      <c r="DX144" s="90">
        <f t="shared" si="155"/>
        <v>32</v>
      </c>
      <c r="DY144" s="308">
        <f t="shared" si="153"/>
        <v>0.25800000000000012</v>
      </c>
      <c r="DZ144" s="307">
        <f t="shared" si="156"/>
        <v>0.67000000000000104</v>
      </c>
      <c r="EA144" s="90">
        <f t="shared" si="163"/>
        <v>0.91191446954925681</v>
      </c>
      <c r="EB144" s="90">
        <f t="shared" si="164"/>
        <v>0.91191446954925681</v>
      </c>
      <c r="EC144" s="90">
        <f t="shared" si="165"/>
        <v>33</v>
      </c>
      <c r="ED144" s="308">
        <f t="shared" si="166"/>
        <v>0.2580000000000004</v>
      </c>
      <c r="EE144" s="307">
        <f t="shared" si="157"/>
        <v>0.66999999999999793</v>
      </c>
      <c r="EF144" s="90">
        <f t="shared" si="167"/>
        <v>0.13221676726039747</v>
      </c>
      <c r="EG144" s="90">
        <f t="shared" si="168"/>
        <v>0.13221676726039747</v>
      </c>
      <c r="EH144" s="90">
        <f t="shared" si="158"/>
        <v>34</v>
      </c>
      <c r="EI144" s="308">
        <f t="shared" si="159"/>
        <v>0.25799999999999917</v>
      </c>
    </row>
    <row r="145" spans="123:139" ht="12" customHeight="1" x14ac:dyDescent="0.2">
      <c r="DS145" s="307">
        <v>134</v>
      </c>
      <c r="DT145" s="50">
        <f t="shared" si="154"/>
        <v>0.66000000000000036</v>
      </c>
      <c r="DU145" s="90">
        <f t="shared" si="160"/>
        <v>0.64464368919154302</v>
      </c>
      <c r="DV145" s="90" t="e">
        <f t="shared" si="161"/>
        <v>#N/A</v>
      </c>
      <c r="DW145" s="90">
        <f t="shared" si="162"/>
        <v>0.64464368919154302</v>
      </c>
      <c r="DX145" s="90">
        <f t="shared" si="155"/>
        <v>32</v>
      </c>
      <c r="DY145" s="308">
        <f t="shared" si="153"/>
        <v>0.25400000000000017</v>
      </c>
      <c r="DZ145" s="307">
        <f t="shared" si="156"/>
        <v>0.66000000000000103</v>
      </c>
      <c r="EA145" s="90">
        <f t="shared" si="163"/>
        <v>0.91482179571021194</v>
      </c>
      <c r="EB145" s="90">
        <f t="shared" si="164"/>
        <v>0.91482179571021194</v>
      </c>
      <c r="EC145" s="90">
        <f t="shared" si="165"/>
        <v>33</v>
      </c>
      <c r="ED145" s="308">
        <f t="shared" si="166"/>
        <v>0.25400000000000039</v>
      </c>
      <c r="EE145" s="307">
        <f t="shared" si="157"/>
        <v>0.65999999999999792</v>
      </c>
      <c r="EF145" s="90">
        <f t="shared" si="167"/>
        <v>0.134760805393218</v>
      </c>
      <c r="EG145" s="90">
        <f t="shared" si="168"/>
        <v>0.134760805393218</v>
      </c>
      <c r="EH145" s="90">
        <f t="shared" si="158"/>
        <v>34</v>
      </c>
      <c r="EI145" s="308">
        <f t="shared" si="159"/>
        <v>0.25399999999999917</v>
      </c>
    </row>
    <row r="146" spans="123:139" ht="12" customHeight="1" x14ac:dyDescent="0.2">
      <c r="DS146" s="307">
        <v>135</v>
      </c>
      <c r="DT146" s="50">
        <f t="shared" si="154"/>
        <v>0.65000000000000047</v>
      </c>
      <c r="DU146" s="90">
        <f t="shared" si="160"/>
        <v>0.64774876078953947</v>
      </c>
      <c r="DV146" s="90" t="e">
        <f t="shared" si="161"/>
        <v>#N/A</v>
      </c>
      <c r="DW146" s="90">
        <f t="shared" si="162"/>
        <v>0.64774876078953947</v>
      </c>
      <c r="DX146" s="90">
        <f t="shared" si="155"/>
        <v>32</v>
      </c>
      <c r="DY146" s="308">
        <f t="shared" si="153"/>
        <v>0.25000000000000017</v>
      </c>
      <c r="DZ146" s="307">
        <f t="shared" si="156"/>
        <v>0.65000000000000102</v>
      </c>
      <c r="EA146" s="90">
        <f t="shared" si="163"/>
        <v>0.91772912187116706</v>
      </c>
      <c r="EB146" s="90">
        <f t="shared" si="164"/>
        <v>0.91772912187116706</v>
      </c>
      <c r="EC146" s="90">
        <f t="shared" si="165"/>
        <v>33</v>
      </c>
      <c r="ED146" s="308">
        <f t="shared" si="166"/>
        <v>0.25000000000000039</v>
      </c>
      <c r="EE146" s="307">
        <f t="shared" si="157"/>
        <v>0.6499999999999978</v>
      </c>
      <c r="EF146" s="90">
        <f t="shared" si="167"/>
        <v>0.13730484352603853</v>
      </c>
      <c r="EG146" s="90">
        <f t="shared" si="168"/>
        <v>0.13730484352603853</v>
      </c>
      <c r="EH146" s="90">
        <f t="shared" si="158"/>
        <v>34</v>
      </c>
      <c r="EI146" s="308">
        <f t="shared" si="159"/>
        <v>0.24999999999999911</v>
      </c>
    </row>
    <row r="147" spans="123:139" ht="12" customHeight="1" x14ac:dyDescent="0.2">
      <c r="DS147" s="307">
        <v>136</v>
      </c>
      <c r="DT147" s="50">
        <f t="shared" si="154"/>
        <v>0.64000000000000057</v>
      </c>
      <c r="DU147" s="90">
        <f t="shared" si="160"/>
        <v>0.65085383238753591</v>
      </c>
      <c r="DV147" s="90" t="e">
        <f t="shared" si="161"/>
        <v>#N/A</v>
      </c>
      <c r="DW147" s="90">
        <f t="shared" si="162"/>
        <v>0.65085383238753591</v>
      </c>
      <c r="DX147" s="90">
        <f t="shared" si="155"/>
        <v>32</v>
      </c>
      <c r="DY147" s="308">
        <f t="shared" si="153"/>
        <v>0.24600000000000022</v>
      </c>
      <c r="DZ147" s="307">
        <f t="shared" si="156"/>
        <v>0.64000000000000101</v>
      </c>
      <c r="EA147" s="90">
        <f t="shared" si="163"/>
        <v>0.92063644803212219</v>
      </c>
      <c r="EB147" s="90">
        <f t="shared" si="164"/>
        <v>0.92063644803212219</v>
      </c>
      <c r="EC147" s="90">
        <f t="shared" si="165"/>
        <v>33</v>
      </c>
      <c r="ED147" s="308">
        <f t="shared" si="166"/>
        <v>0.24600000000000039</v>
      </c>
      <c r="EE147" s="307">
        <f t="shared" si="157"/>
        <v>0.63999999999999779</v>
      </c>
      <c r="EF147" s="90">
        <f t="shared" si="167"/>
        <v>0.13984888165885906</v>
      </c>
      <c r="EG147" s="90">
        <f t="shared" si="168"/>
        <v>0.13984888165885906</v>
      </c>
      <c r="EH147" s="90">
        <f t="shared" si="158"/>
        <v>34</v>
      </c>
      <c r="EI147" s="308">
        <f t="shared" si="159"/>
        <v>0.24599999999999911</v>
      </c>
    </row>
    <row r="148" spans="123:139" ht="12" customHeight="1" x14ac:dyDescent="0.2">
      <c r="DS148" s="307">
        <v>137</v>
      </c>
      <c r="DT148" s="50">
        <f t="shared" si="154"/>
        <v>0.63000000000000078</v>
      </c>
      <c r="DU148" s="90">
        <f t="shared" si="160"/>
        <v>0.65395890398553236</v>
      </c>
      <c r="DV148" s="90" t="e">
        <f t="shared" si="161"/>
        <v>#N/A</v>
      </c>
      <c r="DW148" s="90">
        <f t="shared" si="162"/>
        <v>0.65395890398553236</v>
      </c>
      <c r="DX148" s="90">
        <f t="shared" si="155"/>
        <v>32</v>
      </c>
      <c r="DY148" s="308">
        <f t="shared" si="153"/>
        <v>0.24200000000000033</v>
      </c>
      <c r="DZ148" s="307">
        <f t="shared" si="156"/>
        <v>0.630000000000001</v>
      </c>
      <c r="EA148" s="90">
        <f t="shared" si="163"/>
        <v>0.92354377419307732</v>
      </c>
      <c r="EB148" s="90">
        <f t="shared" si="164"/>
        <v>0.92354377419307732</v>
      </c>
      <c r="EC148" s="90">
        <f t="shared" si="165"/>
        <v>33</v>
      </c>
      <c r="ED148" s="308">
        <f t="shared" si="166"/>
        <v>0.24200000000000038</v>
      </c>
      <c r="EE148" s="307">
        <f t="shared" si="157"/>
        <v>0.62999999999999778</v>
      </c>
      <c r="EF148" s="90">
        <f t="shared" si="167"/>
        <v>0.14239291979167959</v>
      </c>
      <c r="EG148" s="90">
        <f t="shared" si="168"/>
        <v>0.14239291979167959</v>
      </c>
      <c r="EH148" s="90">
        <f t="shared" si="158"/>
        <v>34</v>
      </c>
      <c r="EI148" s="308">
        <f t="shared" si="159"/>
        <v>0.2419999999999991</v>
      </c>
    </row>
    <row r="149" spans="123:139" ht="12" customHeight="1" x14ac:dyDescent="0.2">
      <c r="DS149" s="307">
        <v>138</v>
      </c>
      <c r="DT149" s="50">
        <f t="shared" si="154"/>
        <v>0.62000000000000077</v>
      </c>
      <c r="DU149" s="90">
        <f t="shared" si="160"/>
        <v>0.6570639755835288</v>
      </c>
      <c r="DV149" s="90" t="e">
        <f t="shared" si="161"/>
        <v>#N/A</v>
      </c>
      <c r="DW149" s="90">
        <f t="shared" si="162"/>
        <v>0.6570639755835288</v>
      </c>
      <c r="DX149" s="90">
        <f t="shared" si="155"/>
        <v>32</v>
      </c>
      <c r="DY149" s="308">
        <f t="shared" si="153"/>
        <v>0.23800000000000032</v>
      </c>
      <c r="DZ149" s="307">
        <f t="shared" si="156"/>
        <v>0.62000000000000099</v>
      </c>
      <c r="EA149" s="90">
        <f t="shared" si="163"/>
        <v>0.92645110035403244</v>
      </c>
      <c r="EB149" s="90">
        <f t="shared" si="164"/>
        <v>0.92645110035403244</v>
      </c>
      <c r="EC149" s="90">
        <f t="shared" si="165"/>
        <v>33</v>
      </c>
      <c r="ED149" s="308">
        <f t="shared" si="166"/>
        <v>0.23800000000000041</v>
      </c>
      <c r="EE149" s="307">
        <f t="shared" si="157"/>
        <v>0.61999999999999778</v>
      </c>
      <c r="EF149" s="90">
        <f t="shared" si="167"/>
        <v>0.14493695792450012</v>
      </c>
      <c r="EG149" s="90">
        <f t="shared" si="168"/>
        <v>0.14493695792450012</v>
      </c>
      <c r="EH149" s="90">
        <f t="shared" si="158"/>
        <v>34</v>
      </c>
      <c r="EI149" s="308">
        <f t="shared" si="159"/>
        <v>0.2379999999999991</v>
      </c>
    </row>
    <row r="150" spans="123:139" ht="12" customHeight="1" x14ac:dyDescent="0.2">
      <c r="DS150" s="307">
        <v>139</v>
      </c>
      <c r="DT150" s="50">
        <f t="shared" si="154"/>
        <v>0.61000000000000099</v>
      </c>
      <c r="DU150" s="90">
        <f t="shared" si="160"/>
        <v>0.66016904718152525</v>
      </c>
      <c r="DV150" s="90" t="e">
        <f t="shared" si="161"/>
        <v>#N/A</v>
      </c>
      <c r="DW150" s="90">
        <f t="shared" si="162"/>
        <v>0.66016904718152525</v>
      </c>
      <c r="DX150" s="90">
        <f t="shared" si="155"/>
        <v>32</v>
      </c>
      <c r="DY150" s="308">
        <f t="shared" si="153"/>
        <v>0.2340000000000004</v>
      </c>
      <c r="DZ150" s="307">
        <f t="shared" si="156"/>
        <v>0.61000000000000099</v>
      </c>
      <c r="EA150" s="90">
        <f t="shared" si="163"/>
        <v>0.92935842651498757</v>
      </c>
      <c r="EB150" s="90">
        <f t="shared" si="164"/>
        <v>0.92935842651498757</v>
      </c>
      <c r="EC150" s="90">
        <f t="shared" si="165"/>
        <v>33</v>
      </c>
      <c r="ED150" s="308">
        <f t="shared" si="166"/>
        <v>0.2340000000000004</v>
      </c>
      <c r="EE150" s="307">
        <f t="shared" si="157"/>
        <v>0.60999999999999766</v>
      </c>
      <c r="EF150" s="90">
        <f t="shared" si="167"/>
        <v>0.14748099605732065</v>
      </c>
      <c r="EG150" s="90">
        <f t="shared" si="168"/>
        <v>0.14748099605732065</v>
      </c>
      <c r="EH150" s="90">
        <f t="shared" si="158"/>
        <v>34</v>
      </c>
      <c r="EI150" s="308">
        <f t="shared" si="159"/>
        <v>0.23399999999999907</v>
      </c>
    </row>
    <row r="151" spans="123:139" ht="12" customHeight="1" x14ac:dyDescent="0.2">
      <c r="DS151" s="307">
        <v>140</v>
      </c>
      <c r="DT151" s="50">
        <f t="shared" si="154"/>
        <v>0.60000000000000109</v>
      </c>
      <c r="DU151" s="90">
        <f t="shared" si="160"/>
        <v>0.66327411877952169</v>
      </c>
      <c r="DV151" s="90" t="e">
        <f t="shared" si="161"/>
        <v>#N/A</v>
      </c>
      <c r="DW151" s="90">
        <f t="shared" si="162"/>
        <v>0.66327411877952169</v>
      </c>
      <c r="DX151" s="90">
        <f t="shared" si="155"/>
        <v>32</v>
      </c>
      <c r="DY151" s="308">
        <f t="shared" si="153"/>
        <v>0.23000000000000043</v>
      </c>
      <c r="DZ151" s="307">
        <f t="shared" si="156"/>
        <v>0.60000000000000109</v>
      </c>
      <c r="EA151" s="90">
        <f t="shared" si="163"/>
        <v>0.93226575267594269</v>
      </c>
      <c r="EB151" s="90">
        <f t="shared" si="164"/>
        <v>0.93226575267594269</v>
      </c>
      <c r="EC151" s="90">
        <f t="shared" si="165"/>
        <v>33</v>
      </c>
      <c r="ED151" s="308">
        <f t="shared" si="166"/>
        <v>0.23000000000000043</v>
      </c>
      <c r="EE151" s="307">
        <f t="shared" si="157"/>
        <v>0.59999999999999765</v>
      </c>
      <c r="EF151" s="90">
        <f t="shared" si="167"/>
        <v>0.15002503419014118</v>
      </c>
      <c r="EG151" s="90">
        <f t="shared" si="168"/>
        <v>0.15002503419014118</v>
      </c>
      <c r="EH151" s="90">
        <f t="shared" si="158"/>
        <v>34</v>
      </c>
      <c r="EI151" s="308">
        <f t="shared" si="159"/>
        <v>0.22999999999999907</v>
      </c>
    </row>
    <row r="152" spans="123:139" ht="12" customHeight="1" x14ac:dyDescent="0.2">
      <c r="DS152" s="307">
        <v>141</v>
      </c>
      <c r="DT152" s="50">
        <f t="shared" si="154"/>
        <v>0.59000000000000119</v>
      </c>
      <c r="DU152" s="90">
        <f t="shared" si="160"/>
        <v>0.66637919037751814</v>
      </c>
      <c r="DV152" s="90" t="e">
        <f t="shared" si="161"/>
        <v>#N/A</v>
      </c>
      <c r="DW152" s="90">
        <f t="shared" si="162"/>
        <v>0.66637919037751814</v>
      </c>
      <c r="DX152" s="90">
        <f t="shared" si="155"/>
        <v>32</v>
      </c>
      <c r="DY152" s="308">
        <f t="shared" si="153"/>
        <v>0.22600000000000048</v>
      </c>
      <c r="DZ152" s="307">
        <f t="shared" si="156"/>
        <v>0.59000000000000108</v>
      </c>
      <c r="EA152" s="90">
        <f t="shared" si="163"/>
        <v>0.93517307883689782</v>
      </c>
      <c r="EB152" s="90">
        <f t="shared" si="164"/>
        <v>0.93517307883689782</v>
      </c>
      <c r="EC152" s="90">
        <f t="shared" si="165"/>
        <v>33</v>
      </c>
      <c r="ED152" s="308">
        <f t="shared" si="166"/>
        <v>0.22600000000000042</v>
      </c>
      <c r="EE152" s="307">
        <f t="shared" si="157"/>
        <v>0.58999999999999764</v>
      </c>
      <c r="EF152" s="90">
        <f t="shared" si="167"/>
        <v>0.15256907232296171</v>
      </c>
      <c r="EG152" s="90">
        <f t="shared" si="168"/>
        <v>0.15256907232296171</v>
      </c>
      <c r="EH152" s="90">
        <f t="shared" si="158"/>
        <v>34</v>
      </c>
      <c r="EI152" s="308">
        <f t="shared" si="159"/>
        <v>0.22599999999999906</v>
      </c>
    </row>
    <row r="153" spans="123:139" ht="12" customHeight="1" x14ac:dyDescent="0.2">
      <c r="DS153" s="307">
        <v>142</v>
      </c>
      <c r="DT153" s="50">
        <f t="shared" si="154"/>
        <v>0.58000000000000129</v>
      </c>
      <c r="DU153" s="90">
        <f t="shared" si="160"/>
        <v>0.66948426197551458</v>
      </c>
      <c r="DV153" s="90" t="e">
        <f t="shared" si="161"/>
        <v>#N/A</v>
      </c>
      <c r="DW153" s="90">
        <f t="shared" si="162"/>
        <v>0.66948426197551458</v>
      </c>
      <c r="DX153" s="90">
        <f t="shared" si="155"/>
        <v>32</v>
      </c>
      <c r="DY153" s="308">
        <f t="shared" si="153"/>
        <v>0.22200000000000053</v>
      </c>
      <c r="DZ153" s="307">
        <f t="shared" si="156"/>
        <v>0.58000000000000107</v>
      </c>
      <c r="EA153" s="90">
        <f t="shared" si="163"/>
        <v>0.93808040499785295</v>
      </c>
      <c r="EB153" s="90">
        <f t="shared" si="164"/>
        <v>0.93808040499785295</v>
      </c>
      <c r="EC153" s="90">
        <f t="shared" si="165"/>
        <v>33</v>
      </c>
      <c r="ED153" s="308">
        <f t="shared" si="166"/>
        <v>0.22200000000000042</v>
      </c>
      <c r="EE153" s="307">
        <f t="shared" si="157"/>
        <v>0.57999999999999763</v>
      </c>
      <c r="EF153" s="90">
        <f t="shared" si="167"/>
        <v>0.15511311045578224</v>
      </c>
      <c r="EG153" s="90">
        <f t="shared" si="168"/>
        <v>0.15511311045578224</v>
      </c>
      <c r="EH153" s="90">
        <f t="shared" si="158"/>
        <v>34</v>
      </c>
      <c r="EI153" s="308">
        <f t="shared" si="159"/>
        <v>0.22199999999999906</v>
      </c>
    </row>
    <row r="154" spans="123:139" ht="12" customHeight="1" x14ac:dyDescent="0.2">
      <c r="DS154" s="307">
        <v>143</v>
      </c>
      <c r="DT154" s="50">
        <f t="shared" si="154"/>
        <v>0.57000000000000139</v>
      </c>
      <c r="DU154" s="90">
        <f t="shared" si="160"/>
        <v>0.67258933357351103</v>
      </c>
      <c r="DV154" s="90" t="e">
        <f t="shared" si="161"/>
        <v>#N/A</v>
      </c>
      <c r="DW154" s="90">
        <f t="shared" si="162"/>
        <v>0.67258933357351103</v>
      </c>
      <c r="DX154" s="90">
        <f t="shared" si="155"/>
        <v>32</v>
      </c>
      <c r="DY154" s="308">
        <f t="shared" si="153"/>
        <v>0.21800000000000055</v>
      </c>
      <c r="DZ154" s="307">
        <f t="shared" si="156"/>
        <v>0.57000000000000117</v>
      </c>
      <c r="EA154" s="90">
        <f t="shared" si="163"/>
        <v>0.94098773115880807</v>
      </c>
      <c r="EB154" s="90">
        <f t="shared" si="164"/>
        <v>0.94098773115880807</v>
      </c>
      <c r="EC154" s="90">
        <f t="shared" si="165"/>
        <v>33</v>
      </c>
      <c r="ED154" s="308">
        <f t="shared" si="166"/>
        <v>0.21800000000000047</v>
      </c>
      <c r="EE154" s="307">
        <f t="shared" si="157"/>
        <v>0.56999999999999762</v>
      </c>
      <c r="EF154" s="90">
        <f t="shared" si="167"/>
        <v>0.15765714858860277</v>
      </c>
      <c r="EG154" s="90">
        <f t="shared" si="168"/>
        <v>0.15765714858860277</v>
      </c>
      <c r="EH154" s="90">
        <f t="shared" si="158"/>
        <v>34</v>
      </c>
      <c r="EI154" s="308">
        <f t="shared" si="159"/>
        <v>0.21799999999999906</v>
      </c>
    </row>
    <row r="155" spans="123:139" ht="12" customHeight="1" x14ac:dyDescent="0.2">
      <c r="DS155" s="307">
        <v>144</v>
      </c>
      <c r="DT155" s="50">
        <f t="shared" si="154"/>
        <v>0.56000000000000161</v>
      </c>
      <c r="DU155" s="90">
        <f t="shared" si="160"/>
        <v>0.67569440517150747</v>
      </c>
      <c r="DV155" s="90" t="e">
        <f t="shared" si="161"/>
        <v>#N/A</v>
      </c>
      <c r="DW155" s="90">
        <f t="shared" si="162"/>
        <v>0.67569440517150747</v>
      </c>
      <c r="DX155" s="90">
        <f t="shared" si="155"/>
        <v>32</v>
      </c>
      <c r="DY155" s="308">
        <f t="shared" si="153"/>
        <v>0.21400000000000063</v>
      </c>
      <c r="DZ155" s="307">
        <f t="shared" si="156"/>
        <v>0.56000000000000116</v>
      </c>
      <c r="EA155" s="90">
        <f t="shared" si="163"/>
        <v>0.9438950573197632</v>
      </c>
      <c r="EB155" s="90">
        <f t="shared" si="164"/>
        <v>0.9438950573197632</v>
      </c>
      <c r="EC155" s="90">
        <f t="shared" si="165"/>
        <v>33</v>
      </c>
      <c r="ED155" s="308">
        <f t="shared" si="166"/>
        <v>0.21400000000000047</v>
      </c>
      <c r="EE155" s="307">
        <f t="shared" si="157"/>
        <v>0.55999999999999761</v>
      </c>
      <c r="EF155" s="90">
        <f t="shared" si="167"/>
        <v>0.16020118672142331</v>
      </c>
      <c r="EG155" s="90">
        <f t="shared" si="168"/>
        <v>0.16020118672142331</v>
      </c>
      <c r="EH155" s="90">
        <f t="shared" si="158"/>
        <v>34</v>
      </c>
      <c r="EI155" s="308">
        <f t="shared" si="159"/>
        <v>0.21399999999999905</v>
      </c>
    </row>
    <row r="156" spans="123:139" ht="12" customHeight="1" x14ac:dyDescent="0.2">
      <c r="DS156" s="307">
        <v>145</v>
      </c>
      <c r="DT156" s="50">
        <f t="shared" si="154"/>
        <v>0.5500000000000016</v>
      </c>
      <c r="DU156" s="90">
        <f t="shared" si="160"/>
        <v>0.67879947676950392</v>
      </c>
      <c r="DV156" s="90" t="e">
        <f t="shared" si="161"/>
        <v>#N/A</v>
      </c>
      <c r="DW156" s="90">
        <f t="shared" si="162"/>
        <v>0.67879947676950392</v>
      </c>
      <c r="DX156" s="90">
        <f t="shared" si="155"/>
        <v>32</v>
      </c>
      <c r="DY156" s="308">
        <f t="shared" si="153"/>
        <v>0.21000000000000063</v>
      </c>
      <c r="DZ156" s="307">
        <f t="shared" si="156"/>
        <v>0.55000000000000115</v>
      </c>
      <c r="EA156" s="90">
        <f t="shared" si="163"/>
        <v>0.94680238348071832</v>
      </c>
      <c r="EB156" s="90">
        <f t="shared" si="164"/>
        <v>0.94680238348071832</v>
      </c>
      <c r="EC156" s="90">
        <f t="shared" si="165"/>
        <v>33</v>
      </c>
      <c r="ED156" s="308">
        <f t="shared" si="166"/>
        <v>0.21000000000000046</v>
      </c>
      <c r="EE156" s="307">
        <f t="shared" si="157"/>
        <v>0.5499999999999976</v>
      </c>
      <c r="EF156" s="90">
        <f t="shared" si="167"/>
        <v>0.16274522485424384</v>
      </c>
      <c r="EG156" s="90">
        <f t="shared" si="168"/>
        <v>0.16274522485424384</v>
      </c>
      <c r="EH156" s="90">
        <f t="shared" si="158"/>
        <v>34</v>
      </c>
      <c r="EI156" s="308">
        <f t="shared" si="159"/>
        <v>0.20999999999999905</v>
      </c>
    </row>
    <row r="157" spans="123:139" ht="12" customHeight="1" x14ac:dyDescent="0.2">
      <c r="DS157" s="307">
        <v>146</v>
      </c>
      <c r="DT157" s="50">
        <f t="shared" si="154"/>
        <v>0.54000000000000181</v>
      </c>
      <c r="DU157" s="90">
        <f t="shared" si="160"/>
        <v>0.68190454836750036</v>
      </c>
      <c r="DV157" s="90" t="e">
        <f t="shared" si="161"/>
        <v>#N/A</v>
      </c>
      <c r="DW157" s="90">
        <f t="shared" si="162"/>
        <v>0.68190454836750036</v>
      </c>
      <c r="DX157" s="90">
        <f t="shared" si="155"/>
        <v>32</v>
      </c>
      <c r="DY157" s="308">
        <f t="shared" si="153"/>
        <v>0.20600000000000074</v>
      </c>
      <c r="DZ157" s="307">
        <f t="shared" si="156"/>
        <v>0.54000000000000115</v>
      </c>
      <c r="EA157" s="90">
        <f t="shared" si="163"/>
        <v>0.94970970964167345</v>
      </c>
      <c r="EB157" s="90">
        <f t="shared" si="164"/>
        <v>0.94970970964167345</v>
      </c>
      <c r="EC157" s="90">
        <f t="shared" si="165"/>
        <v>33</v>
      </c>
      <c r="ED157" s="308">
        <f t="shared" si="166"/>
        <v>0.20600000000000046</v>
      </c>
      <c r="EE157" s="307">
        <f t="shared" si="157"/>
        <v>0.53999999999999759</v>
      </c>
      <c r="EF157" s="90">
        <f t="shared" si="167"/>
        <v>0.16528926298706437</v>
      </c>
      <c r="EG157" s="90">
        <f t="shared" si="168"/>
        <v>0.16528926298706437</v>
      </c>
      <c r="EH157" s="90">
        <f t="shared" si="158"/>
        <v>34</v>
      </c>
      <c r="EI157" s="308">
        <f t="shared" si="159"/>
        <v>0.20599999999999904</v>
      </c>
    </row>
    <row r="158" spans="123:139" ht="12" customHeight="1" x14ac:dyDescent="0.2">
      <c r="DS158" s="307">
        <v>147</v>
      </c>
      <c r="DT158" s="50">
        <f t="shared" si="154"/>
        <v>0.5300000000000018</v>
      </c>
      <c r="DU158" s="90">
        <f t="shared" si="160"/>
        <v>0.68500961996549681</v>
      </c>
      <c r="DV158" s="90" t="e">
        <f t="shared" si="161"/>
        <v>#N/A</v>
      </c>
      <c r="DW158" s="90">
        <f t="shared" si="162"/>
        <v>0.68500961996549681</v>
      </c>
      <c r="DX158" s="90">
        <f t="shared" si="155"/>
        <v>32</v>
      </c>
      <c r="DY158" s="308">
        <f t="shared" si="153"/>
        <v>0.20200000000000073</v>
      </c>
      <c r="DZ158" s="307">
        <f t="shared" si="156"/>
        <v>0.53000000000000114</v>
      </c>
      <c r="EA158" s="90">
        <f t="shared" si="163"/>
        <v>0.95261703580262858</v>
      </c>
      <c r="EB158" s="90">
        <f t="shared" si="164"/>
        <v>0.95261703580262858</v>
      </c>
      <c r="EC158" s="90">
        <f t="shared" si="165"/>
        <v>33</v>
      </c>
      <c r="ED158" s="308">
        <f t="shared" si="166"/>
        <v>0.20200000000000046</v>
      </c>
      <c r="EE158" s="307">
        <f t="shared" si="157"/>
        <v>0.52999999999999758</v>
      </c>
      <c r="EF158" s="90">
        <f t="shared" si="167"/>
        <v>0.1678333011198849</v>
      </c>
      <c r="EG158" s="90">
        <f t="shared" si="168"/>
        <v>0.1678333011198849</v>
      </c>
      <c r="EH158" s="90">
        <f t="shared" si="158"/>
        <v>34</v>
      </c>
      <c r="EI158" s="308">
        <f t="shared" si="159"/>
        <v>0.20199999999999904</v>
      </c>
    </row>
    <row r="159" spans="123:139" ht="12" customHeight="1" x14ac:dyDescent="0.2">
      <c r="DS159" s="307">
        <v>148</v>
      </c>
      <c r="DT159" s="50">
        <f t="shared" si="154"/>
        <v>0.52000000000000202</v>
      </c>
      <c r="DU159" s="90">
        <f t="shared" si="160"/>
        <v>0.68811469156349325</v>
      </c>
      <c r="DV159" s="90" t="e">
        <f t="shared" si="161"/>
        <v>#N/A</v>
      </c>
      <c r="DW159" s="90">
        <f t="shared" si="162"/>
        <v>0.68811469156349325</v>
      </c>
      <c r="DX159" s="90">
        <f t="shared" si="155"/>
        <v>32</v>
      </c>
      <c r="DY159" s="308">
        <f t="shared" si="153"/>
        <v>0.19800000000000081</v>
      </c>
      <c r="DZ159" s="307">
        <f t="shared" si="156"/>
        <v>0.52000000000000113</v>
      </c>
      <c r="EA159" s="90">
        <f t="shared" si="163"/>
        <v>0.9555243619635837</v>
      </c>
      <c r="EB159" s="90">
        <f t="shared" si="164"/>
        <v>0.9555243619635837</v>
      </c>
      <c r="EC159" s="90">
        <f t="shared" si="165"/>
        <v>33</v>
      </c>
      <c r="ED159" s="308">
        <f t="shared" si="166"/>
        <v>0.19800000000000045</v>
      </c>
      <c r="EE159" s="307">
        <f t="shared" si="157"/>
        <v>0.51999999999999746</v>
      </c>
      <c r="EF159" s="90">
        <f t="shared" si="167"/>
        <v>0.17037733925270543</v>
      </c>
      <c r="EG159" s="90">
        <f t="shared" si="168"/>
        <v>0.17037733925270543</v>
      </c>
      <c r="EH159" s="90">
        <f t="shared" si="158"/>
        <v>34</v>
      </c>
      <c r="EI159" s="308">
        <f t="shared" si="159"/>
        <v>0.19799999999999898</v>
      </c>
    </row>
    <row r="160" spans="123:139" ht="12" customHeight="1" x14ac:dyDescent="0.2">
      <c r="DS160" s="307">
        <v>149</v>
      </c>
      <c r="DT160" s="50">
        <f t="shared" si="154"/>
        <v>0.51000000000000212</v>
      </c>
      <c r="DU160" s="90">
        <f t="shared" si="160"/>
        <v>0.6912197631614897</v>
      </c>
      <c r="DV160" s="90" t="e">
        <f t="shared" si="161"/>
        <v>#N/A</v>
      </c>
      <c r="DW160" s="90">
        <f t="shared" si="162"/>
        <v>0.6912197631614897</v>
      </c>
      <c r="DX160" s="90">
        <f t="shared" si="155"/>
        <v>32</v>
      </c>
      <c r="DY160" s="308">
        <f t="shared" si="153"/>
        <v>0.19400000000000084</v>
      </c>
      <c r="DZ160" s="307">
        <f t="shared" si="156"/>
        <v>0.51000000000000112</v>
      </c>
      <c r="EA160" s="90">
        <f t="shared" si="163"/>
        <v>0.95843168812453883</v>
      </c>
      <c r="EB160" s="90">
        <f t="shared" si="164"/>
        <v>0.95843168812453883</v>
      </c>
      <c r="EC160" s="90">
        <f t="shared" si="165"/>
        <v>33</v>
      </c>
      <c r="ED160" s="308">
        <f t="shared" si="166"/>
        <v>0.19400000000000045</v>
      </c>
      <c r="EE160" s="307">
        <f t="shared" si="157"/>
        <v>0.50999999999999746</v>
      </c>
      <c r="EF160" s="90">
        <f t="shared" si="167"/>
        <v>0.17292137738552596</v>
      </c>
      <c r="EG160" s="90">
        <f t="shared" si="168"/>
        <v>0.17292137738552596</v>
      </c>
      <c r="EH160" s="90">
        <f t="shared" si="158"/>
        <v>34</v>
      </c>
      <c r="EI160" s="308">
        <f t="shared" si="159"/>
        <v>0.19399999999999898</v>
      </c>
    </row>
    <row r="161" spans="123:139" ht="12" customHeight="1" x14ac:dyDescent="0.2">
      <c r="DS161" s="307">
        <v>150</v>
      </c>
      <c r="DT161" s="50">
        <f t="shared" si="154"/>
        <v>0.50000000000000222</v>
      </c>
      <c r="DU161" s="90">
        <f t="shared" si="160"/>
        <v>0.69432483475948614</v>
      </c>
      <c r="DV161" s="90" t="e">
        <f t="shared" si="161"/>
        <v>#N/A</v>
      </c>
      <c r="DW161" s="90">
        <f t="shared" si="162"/>
        <v>0.69432483475948614</v>
      </c>
      <c r="DX161" s="90">
        <f t="shared" si="155"/>
        <v>32</v>
      </c>
      <c r="DY161" s="308">
        <f t="shared" si="153"/>
        <v>0.19000000000000089</v>
      </c>
      <c r="DZ161" s="307">
        <f t="shared" si="156"/>
        <v>0.50000000000000111</v>
      </c>
      <c r="EA161" s="90">
        <f t="shared" si="163"/>
        <v>0.96133901428549395</v>
      </c>
      <c r="EB161" s="90">
        <f t="shared" si="164"/>
        <v>0.96133901428549395</v>
      </c>
      <c r="EC161" s="90">
        <f t="shared" si="165"/>
        <v>33</v>
      </c>
      <c r="ED161" s="308">
        <f t="shared" si="166"/>
        <v>0.19000000000000045</v>
      </c>
      <c r="EE161" s="307">
        <f t="shared" si="157"/>
        <v>0.49999999999999734</v>
      </c>
      <c r="EF161" s="90">
        <f t="shared" si="167"/>
        <v>0.17546541551834649</v>
      </c>
      <c r="EG161" s="90">
        <f t="shared" si="168"/>
        <v>0.17546541551834649</v>
      </c>
      <c r="EH161" s="90">
        <f t="shared" si="158"/>
        <v>34</v>
      </c>
      <c r="EI161" s="308">
        <f t="shared" si="159"/>
        <v>0.18999999999999895</v>
      </c>
    </row>
    <row r="162" spans="123:139" ht="12" customHeight="1" x14ac:dyDescent="0.2">
      <c r="DS162" s="307">
        <v>151</v>
      </c>
      <c r="DT162" s="50">
        <f t="shared" si="154"/>
        <v>0.49000000000000232</v>
      </c>
      <c r="DU162" s="90">
        <f t="shared" si="160"/>
        <v>0.69742990635748259</v>
      </c>
      <c r="DV162" s="90" t="e">
        <f t="shared" si="161"/>
        <v>#N/A</v>
      </c>
      <c r="DW162" s="90">
        <f t="shared" si="162"/>
        <v>0.69742990635748259</v>
      </c>
      <c r="DX162" s="90">
        <f t="shared" si="155"/>
        <v>32</v>
      </c>
      <c r="DY162" s="308">
        <f t="shared" si="153"/>
        <v>0.18600000000000094</v>
      </c>
      <c r="DZ162" s="307">
        <f t="shared" si="156"/>
        <v>0.4900000000000011</v>
      </c>
      <c r="EA162" s="90">
        <f t="shared" si="163"/>
        <v>0.96424634044644908</v>
      </c>
      <c r="EB162" s="90">
        <f t="shared" si="164"/>
        <v>0.96424634044644908</v>
      </c>
      <c r="EC162" s="90">
        <f t="shared" si="165"/>
        <v>33</v>
      </c>
      <c r="ED162" s="308">
        <f t="shared" si="166"/>
        <v>0.18600000000000044</v>
      </c>
      <c r="EE162" s="307">
        <f t="shared" si="157"/>
        <v>0.48999999999999744</v>
      </c>
      <c r="EF162" s="90">
        <f t="shared" si="167"/>
        <v>0.17800945365116702</v>
      </c>
      <c r="EG162" s="90">
        <f t="shared" si="168"/>
        <v>0.17800945365116702</v>
      </c>
      <c r="EH162" s="90">
        <f t="shared" si="158"/>
        <v>34</v>
      </c>
      <c r="EI162" s="308">
        <f t="shared" si="159"/>
        <v>0.18599999999999897</v>
      </c>
    </row>
    <row r="163" spans="123:139" ht="12" customHeight="1" x14ac:dyDescent="0.2">
      <c r="DS163" s="307">
        <v>152</v>
      </c>
      <c r="DT163" s="50">
        <f t="shared" si="154"/>
        <v>0.48000000000000242</v>
      </c>
      <c r="DU163" s="90">
        <f t="shared" si="160"/>
        <v>0.70053497795547903</v>
      </c>
      <c r="DV163" s="90" t="e">
        <f t="shared" si="161"/>
        <v>#N/A</v>
      </c>
      <c r="DW163" s="90">
        <f t="shared" si="162"/>
        <v>0.70053497795547903</v>
      </c>
      <c r="DX163" s="90">
        <f t="shared" si="155"/>
        <v>32</v>
      </c>
      <c r="DY163" s="308">
        <f t="shared" si="153"/>
        <v>0.18200000000000097</v>
      </c>
      <c r="DZ163" s="307">
        <f t="shared" si="156"/>
        <v>0.4800000000000012</v>
      </c>
      <c r="EA163" s="90">
        <f t="shared" si="163"/>
        <v>0.96715366660740421</v>
      </c>
      <c r="EB163" s="90">
        <f t="shared" si="164"/>
        <v>0.96715366660740421</v>
      </c>
      <c r="EC163" s="90">
        <f t="shared" si="165"/>
        <v>33</v>
      </c>
      <c r="ED163" s="308">
        <f t="shared" si="166"/>
        <v>0.18200000000000049</v>
      </c>
      <c r="EE163" s="307">
        <f t="shared" si="157"/>
        <v>0.47999999999999732</v>
      </c>
      <c r="EF163" s="90">
        <f t="shared" si="167"/>
        <v>0.18055349178398755</v>
      </c>
      <c r="EG163" s="90">
        <f t="shared" si="168"/>
        <v>0.18055349178398755</v>
      </c>
      <c r="EH163" s="90">
        <f t="shared" si="158"/>
        <v>34</v>
      </c>
      <c r="EI163" s="308">
        <f t="shared" si="159"/>
        <v>0.18199999999999894</v>
      </c>
    </row>
    <row r="164" spans="123:139" ht="12" customHeight="1" x14ac:dyDescent="0.2">
      <c r="DS164" s="307">
        <v>153</v>
      </c>
      <c r="DT164" s="50">
        <f t="shared" si="154"/>
        <v>0.47000000000000264</v>
      </c>
      <c r="DU164" s="90">
        <f t="shared" si="160"/>
        <v>0.70364004955347548</v>
      </c>
      <c r="DV164" s="90" t="e">
        <f t="shared" si="161"/>
        <v>#N/A</v>
      </c>
      <c r="DW164" s="90">
        <f t="shared" si="162"/>
        <v>0.70364004955347548</v>
      </c>
      <c r="DX164" s="90">
        <f t="shared" si="155"/>
        <v>32</v>
      </c>
      <c r="DY164" s="308">
        <f t="shared" si="153"/>
        <v>0.17800000000000105</v>
      </c>
      <c r="DZ164" s="307">
        <f t="shared" si="156"/>
        <v>0.47000000000000119</v>
      </c>
      <c r="EA164" s="90">
        <f t="shared" si="163"/>
        <v>0.97006099276835933</v>
      </c>
      <c r="EB164" s="90">
        <f t="shared" si="164"/>
        <v>0.97006099276835933</v>
      </c>
      <c r="EC164" s="90">
        <f t="shared" si="165"/>
        <v>33</v>
      </c>
      <c r="ED164" s="308">
        <f t="shared" si="166"/>
        <v>0.17800000000000049</v>
      </c>
      <c r="EE164" s="307">
        <f t="shared" si="157"/>
        <v>0.46999999999999742</v>
      </c>
      <c r="EF164" s="90">
        <f t="shared" si="167"/>
        <v>0.18309752991680808</v>
      </c>
      <c r="EG164" s="90">
        <f t="shared" si="168"/>
        <v>0.18309752991680808</v>
      </c>
      <c r="EH164" s="90">
        <f t="shared" si="158"/>
        <v>34</v>
      </c>
      <c r="EI164" s="308">
        <f t="shared" si="159"/>
        <v>0.17799999999999896</v>
      </c>
    </row>
    <row r="165" spans="123:139" ht="12" customHeight="1" x14ac:dyDescent="0.2">
      <c r="DS165" s="307">
        <v>154</v>
      </c>
      <c r="DT165" s="50">
        <f t="shared" si="154"/>
        <v>0.46000000000000274</v>
      </c>
      <c r="DU165" s="90">
        <f t="shared" si="160"/>
        <v>0.70674512115147192</v>
      </c>
      <c r="DV165" s="90" t="e">
        <f t="shared" si="161"/>
        <v>#N/A</v>
      </c>
      <c r="DW165" s="90">
        <f t="shared" si="162"/>
        <v>0.70674512115147192</v>
      </c>
      <c r="DX165" s="90">
        <f t="shared" si="155"/>
        <v>32</v>
      </c>
      <c r="DY165" s="308">
        <f t="shared" si="153"/>
        <v>0.1740000000000011</v>
      </c>
      <c r="DZ165" s="307">
        <f t="shared" si="156"/>
        <v>0.46000000000000119</v>
      </c>
      <c r="EA165" s="90">
        <f t="shared" si="163"/>
        <v>0.97296831892931446</v>
      </c>
      <c r="EB165" s="90">
        <f t="shared" si="164"/>
        <v>0.97296831892931446</v>
      </c>
      <c r="EC165" s="90">
        <f t="shared" si="165"/>
        <v>33</v>
      </c>
      <c r="ED165" s="308">
        <f t="shared" si="166"/>
        <v>0.17400000000000049</v>
      </c>
      <c r="EE165" s="307">
        <f t="shared" si="157"/>
        <v>0.4599999999999973</v>
      </c>
      <c r="EF165" s="90">
        <f t="shared" si="167"/>
        <v>0.18564156804962861</v>
      </c>
      <c r="EG165" s="90">
        <f t="shared" si="168"/>
        <v>0.18564156804962861</v>
      </c>
      <c r="EH165" s="90">
        <f t="shared" si="158"/>
        <v>34</v>
      </c>
      <c r="EI165" s="308">
        <f t="shared" si="159"/>
        <v>0.17399999999999893</v>
      </c>
    </row>
    <row r="166" spans="123:139" ht="12" customHeight="1" x14ac:dyDescent="0.2">
      <c r="DS166" s="307">
        <v>155</v>
      </c>
      <c r="DT166" s="50">
        <f t="shared" si="154"/>
        <v>0.45000000000000284</v>
      </c>
      <c r="DU166" s="90">
        <f t="shared" si="160"/>
        <v>0.70985019274946837</v>
      </c>
      <c r="DV166" s="90" t="e">
        <f t="shared" si="161"/>
        <v>#N/A</v>
      </c>
      <c r="DW166" s="90">
        <f t="shared" si="162"/>
        <v>0.70985019274946837</v>
      </c>
      <c r="DX166" s="90">
        <f t="shared" si="155"/>
        <v>32</v>
      </c>
      <c r="DY166" s="308">
        <f t="shared" si="153"/>
        <v>0.17000000000000115</v>
      </c>
      <c r="DZ166" s="307">
        <f t="shared" si="156"/>
        <v>0.45000000000000118</v>
      </c>
      <c r="EA166" s="90">
        <f t="shared" si="163"/>
        <v>0.97587564509026958</v>
      </c>
      <c r="EB166" s="90">
        <f t="shared" si="164"/>
        <v>0.97587564509026958</v>
      </c>
      <c r="EC166" s="90">
        <f t="shared" si="165"/>
        <v>33</v>
      </c>
      <c r="ED166" s="308">
        <f t="shared" si="166"/>
        <v>0.17000000000000048</v>
      </c>
      <c r="EE166" s="307">
        <f t="shared" si="157"/>
        <v>0.4499999999999974</v>
      </c>
      <c r="EF166" s="90">
        <f t="shared" si="167"/>
        <v>0.18818560618244914</v>
      </c>
      <c r="EG166" s="90">
        <f t="shared" si="168"/>
        <v>0.18818560618244914</v>
      </c>
      <c r="EH166" s="90">
        <f t="shared" si="158"/>
        <v>34</v>
      </c>
      <c r="EI166" s="308">
        <f t="shared" si="159"/>
        <v>0.16999999999999896</v>
      </c>
    </row>
    <row r="167" spans="123:139" ht="12" customHeight="1" x14ac:dyDescent="0.2">
      <c r="DS167" s="307">
        <v>156</v>
      </c>
      <c r="DT167" s="50">
        <f t="shared" si="154"/>
        <v>0.44000000000000294</v>
      </c>
      <c r="DU167" s="90">
        <f t="shared" si="160"/>
        <v>0.71295526434746481</v>
      </c>
      <c r="DV167" s="90" t="e">
        <f t="shared" si="161"/>
        <v>#N/A</v>
      </c>
      <c r="DW167" s="90">
        <f t="shared" si="162"/>
        <v>0.71295526434746481</v>
      </c>
      <c r="DX167" s="90">
        <f t="shared" si="155"/>
        <v>32</v>
      </c>
      <c r="DY167" s="308">
        <f t="shared" si="153"/>
        <v>0.16600000000000117</v>
      </c>
      <c r="DZ167" s="307">
        <f t="shared" si="156"/>
        <v>0.44000000000000117</v>
      </c>
      <c r="EA167" s="90">
        <f t="shared" si="163"/>
        <v>0.97878297125122471</v>
      </c>
      <c r="EB167" s="90">
        <f t="shared" si="164"/>
        <v>0.97878297125122471</v>
      </c>
      <c r="EC167" s="90">
        <f t="shared" si="165"/>
        <v>33</v>
      </c>
      <c r="ED167" s="308">
        <f t="shared" si="166"/>
        <v>0.16600000000000048</v>
      </c>
      <c r="EE167" s="307">
        <f t="shared" si="157"/>
        <v>0.43999999999999717</v>
      </c>
      <c r="EF167" s="90">
        <f t="shared" si="167"/>
        <v>0.19072964431526968</v>
      </c>
      <c r="EG167" s="90">
        <f t="shared" si="168"/>
        <v>0.19072964431526968</v>
      </c>
      <c r="EH167" s="90">
        <f t="shared" si="158"/>
        <v>34</v>
      </c>
      <c r="EI167" s="308">
        <f t="shared" si="159"/>
        <v>0.16599999999999887</v>
      </c>
    </row>
    <row r="168" spans="123:139" ht="12" customHeight="1" x14ac:dyDescent="0.2">
      <c r="DS168" s="307">
        <v>157</v>
      </c>
      <c r="DT168" s="50">
        <f t="shared" si="154"/>
        <v>0.43000000000000305</v>
      </c>
      <c r="DU168" s="90">
        <f t="shared" si="160"/>
        <v>0.71606033594546126</v>
      </c>
      <c r="DV168" s="90" t="e">
        <f t="shared" si="161"/>
        <v>#N/A</v>
      </c>
      <c r="DW168" s="90">
        <f t="shared" si="162"/>
        <v>0.71606033594546126</v>
      </c>
      <c r="DX168" s="90">
        <f t="shared" si="155"/>
        <v>32</v>
      </c>
      <c r="DY168" s="308">
        <f t="shared" si="153"/>
        <v>0.16200000000000123</v>
      </c>
      <c r="DZ168" s="307">
        <f t="shared" si="156"/>
        <v>0.43000000000000116</v>
      </c>
      <c r="EA168" s="90">
        <f t="shared" si="163"/>
        <v>0.98169029741217984</v>
      </c>
      <c r="EB168" s="90">
        <f t="shared" si="164"/>
        <v>0.98169029741217984</v>
      </c>
      <c r="EC168" s="90">
        <f t="shared" si="165"/>
        <v>33</v>
      </c>
      <c r="ED168" s="308">
        <f t="shared" si="166"/>
        <v>0.16200000000000048</v>
      </c>
      <c r="EE168" s="307">
        <f t="shared" si="157"/>
        <v>0.42999999999999727</v>
      </c>
      <c r="EF168" s="90">
        <f t="shared" si="167"/>
        <v>0.19327368244809021</v>
      </c>
      <c r="EG168" s="90">
        <f t="shared" si="168"/>
        <v>0.19327368244809021</v>
      </c>
      <c r="EH168" s="90">
        <f t="shared" si="158"/>
        <v>34</v>
      </c>
      <c r="EI168" s="308">
        <f t="shared" si="159"/>
        <v>0.16199999999999892</v>
      </c>
    </row>
    <row r="169" spans="123:139" ht="12" customHeight="1" x14ac:dyDescent="0.2">
      <c r="DS169" s="307">
        <v>158</v>
      </c>
      <c r="DT169" s="50">
        <f t="shared" si="154"/>
        <v>0.42000000000000315</v>
      </c>
      <c r="DU169" s="90">
        <f t="shared" si="160"/>
        <v>0.7191654075434577</v>
      </c>
      <c r="DV169" s="90" t="e">
        <f t="shared" si="161"/>
        <v>#N/A</v>
      </c>
      <c r="DW169" s="90">
        <f t="shared" si="162"/>
        <v>0.7191654075434577</v>
      </c>
      <c r="DX169" s="90">
        <f t="shared" si="155"/>
        <v>32</v>
      </c>
      <c r="DY169" s="308">
        <f t="shared" si="153"/>
        <v>0.15800000000000125</v>
      </c>
      <c r="DZ169" s="307">
        <f t="shared" si="156"/>
        <v>0.42000000000000126</v>
      </c>
      <c r="EA169" s="90">
        <f t="shared" si="163"/>
        <v>0.98459762357313496</v>
      </c>
      <c r="EB169" s="90">
        <f t="shared" si="164"/>
        <v>0.98459762357313496</v>
      </c>
      <c r="EC169" s="90">
        <f t="shared" si="165"/>
        <v>33</v>
      </c>
      <c r="ED169" s="308">
        <f t="shared" si="166"/>
        <v>0.1580000000000005</v>
      </c>
      <c r="EE169" s="307">
        <f t="shared" si="157"/>
        <v>0.41999999999999715</v>
      </c>
      <c r="EF169" s="90">
        <f t="shared" si="167"/>
        <v>0.19581772058091074</v>
      </c>
      <c r="EG169" s="90">
        <f t="shared" si="168"/>
        <v>0.19581772058091074</v>
      </c>
      <c r="EH169" s="90">
        <f t="shared" si="158"/>
        <v>34</v>
      </c>
      <c r="EI169" s="308">
        <f t="shared" si="159"/>
        <v>0.15799999999999886</v>
      </c>
    </row>
    <row r="170" spans="123:139" ht="12" customHeight="1" x14ac:dyDescent="0.2">
      <c r="DS170" s="307">
        <v>159</v>
      </c>
      <c r="DT170" s="50">
        <f t="shared" si="154"/>
        <v>0.41000000000000325</v>
      </c>
      <c r="DU170" s="90">
        <f t="shared" si="160"/>
        <v>0.72227047914145415</v>
      </c>
      <c r="DV170" s="90" t="e">
        <f t="shared" si="161"/>
        <v>#N/A</v>
      </c>
      <c r="DW170" s="90">
        <f t="shared" si="162"/>
        <v>0.72227047914145415</v>
      </c>
      <c r="DX170" s="90">
        <f t="shared" si="155"/>
        <v>32</v>
      </c>
      <c r="DY170" s="308">
        <f t="shared" si="153"/>
        <v>0.1540000000000013</v>
      </c>
      <c r="DZ170" s="307">
        <f t="shared" si="156"/>
        <v>0.41000000000000125</v>
      </c>
      <c r="EA170" s="90">
        <f t="shared" si="163"/>
        <v>0.98750494973409009</v>
      </c>
      <c r="EB170" s="90">
        <f t="shared" si="164"/>
        <v>0.98750494973409009</v>
      </c>
      <c r="EC170" s="90">
        <f t="shared" si="165"/>
        <v>33</v>
      </c>
      <c r="ED170" s="308">
        <f t="shared" si="166"/>
        <v>0.1540000000000005</v>
      </c>
      <c r="EE170" s="307">
        <f t="shared" si="157"/>
        <v>0.40999999999999726</v>
      </c>
      <c r="EF170" s="90">
        <f t="shared" si="167"/>
        <v>0.19836175871373127</v>
      </c>
      <c r="EG170" s="90">
        <f t="shared" si="168"/>
        <v>0.19836175871373127</v>
      </c>
      <c r="EH170" s="90">
        <f t="shared" si="158"/>
        <v>34</v>
      </c>
      <c r="EI170" s="308">
        <f t="shared" si="159"/>
        <v>0.15399999999999892</v>
      </c>
    </row>
    <row r="171" spans="123:139" ht="12" customHeight="1" x14ac:dyDescent="0.2">
      <c r="DS171" s="307">
        <v>160</v>
      </c>
      <c r="DT171" s="50">
        <f t="shared" si="154"/>
        <v>0.40000000000000335</v>
      </c>
      <c r="DU171" s="90">
        <f t="shared" si="160"/>
        <v>0.72537555073945059</v>
      </c>
      <c r="DV171" s="90" t="e">
        <f t="shared" si="161"/>
        <v>#N/A</v>
      </c>
      <c r="DW171" s="90">
        <f t="shared" si="162"/>
        <v>0.72537555073945059</v>
      </c>
      <c r="DX171" s="90">
        <f t="shared" si="155"/>
        <v>32</v>
      </c>
      <c r="DY171" s="308">
        <f t="shared" si="153"/>
        <v>0.15000000000000135</v>
      </c>
      <c r="DZ171" s="307">
        <f t="shared" si="156"/>
        <v>0.40000000000000124</v>
      </c>
      <c r="EA171" s="90">
        <f t="shared" si="163"/>
        <v>0.99041227589504521</v>
      </c>
      <c r="EB171" s="90">
        <f t="shared" si="164"/>
        <v>0.99041227589504521</v>
      </c>
      <c r="EC171" s="90">
        <f t="shared" si="165"/>
        <v>33</v>
      </c>
      <c r="ED171" s="308">
        <f t="shared" si="166"/>
        <v>0.15000000000000049</v>
      </c>
      <c r="EE171" s="307">
        <f t="shared" si="157"/>
        <v>0.39999999999999714</v>
      </c>
      <c r="EF171" s="90">
        <f t="shared" si="167"/>
        <v>0.2009057968465518</v>
      </c>
      <c r="EG171" s="90">
        <f t="shared" si="168"/>
        <v>0.2009057968465518</v>
      </c>
      <c r="EH171" s="90">
        <f t="shared" si="158"/>
        <v>34</v>
      </c>
      <c r="EI171" s="308">
        <f t="shared" si="159"/>
        <v>0.14999999999999886</v>
      </c>
    </row>
    <row r="172" spans="123:139" ht="12" customHeight="1" x14ac:dyDescent="0.2">
      <c r="DS172" s="307">
        <v>161</v>
      </c>
      <c r="DT172" s="50">
        <f t="shared" si="154"/>
        <v>0.39000000000000357</v>
      </c>
      <c r="DU172" s="90">
        <f t="shared" si="160"/>
        <v>0.72848062233744704</v>
      </c>
      <c r="DV172" s="90" t="e">
        <f t="shared" si="161"/>
        <v>#N/A</v>
      </c>
      <c r="DW172" s="90">
        <f t="shared" si="162"/>
        <v>0.72848062233744704</v>
      </c>
      <c r="DX172" s="90">
        <f t="shared" si="155"/>
        <v>32</v>
      </c>
      <c r="DY172" s="308">
        <f t="shared" si="153"/>
        <v>0.14600000000000143</v>
      </c>
      <c r="DZ172" s="307">
        <f t="shared" si="156"/>
        <v>0.39000000000000123</v>
      </c>
      <c r="EA172" s="90">
        <f t="shared" si="163"/>
        <v>0.99331960205600034</v>
      </c>
      <c r="EB172" s="90">
        <f t="shared" si="164"/>
        <v>0.99331960205600034</v>
      </c>
      <c r="EC172" s="90">
        <f t="shared" si="165"/>
        <v>33</v>
      </c>
      <c r="ED172" s="308">
        <f t="shared" si="166"/>
        <v>0.14600000000000049</v>
      </c>
      <c r="EE172" s="307">
        <f t="shared" si="157"/>
        <v>0.38999999999999724</v>
      </c>
      <c r="EF172" s="90">
        <f t="shared" si="167"/>
        <v>0.20344983497937233</v>
      </c>
      <c r="EG172" s="90">
        <f t="shared" si="168"/>
        <v>0.20344983497937233</v>
      </c>
      <c r="EH172" s="90">
        <f t="shared" si="158"/>
        <v>34</v>
      </c>
      <c r="EI172" s="308">
        <f t="shared" si="159"/>
        <v>0.14599999999999891</v>
      </c>
    </row>
    <row r="173" spans="123:139" ht="12" customHeight="1" x14ac:dyDescent="0.2">
      <c r="DS173" s="307">
        <v>162</v>
      </c>
      <c r="DT173" s="50">
        <f t="shared" si="154"/>
        <v>0.38000000000000367</v>
      </c>
      <c r="DU173" s="90">
        <f t="shared" si="160"/>
        <v>0.73158569393544348</v>
      </c>
      <c r="DV173" s="90" t="e">
        <f t="shared" si="161"/>
        <v>#N/A</v>
      </c>
      <c r="DW173" s="90">
        <f t="shared" si="162"/>
        <v>0.73158569393544348</v>
      </c>
      <c r="DX173" s="90">
        <f t="shared" si="155"/>
        <v>32</v>
      </c>
      <c r="DY173" s="308">
        <f t="shared" si="153"/>
        <v>0.14200000000000146</v>
      </c>
      <c r="DZ173" s="307">
        <f t="shared" si="156"/>
        <v>0.38000000000000123</v>
      </c>
      <c r="EA173" s="90">
        <f t="shared" si="163"/>
        <v>0.99622692821695547</v>
      </c>
      <c r="EB173" s="90">
        <f t="shared" si="164"/>
        <v>0.99622692821695547</v>
      </c>
      <c r="EC173" s="90">
        <f t="shared" si="165"/>
        <v>33</v>
      </c>
      <c r="ED173" s="308">
        <f t="shared" si="166"/>
        <v>0.14200000000000049</v>
      </c>
      <c r="EE173" s="307">
        <f t="shared" si="157"/>
        <v>0.37999999999999712</v>
      </c>
      <c r="EF173" s="90">
        <f t="shared" si="167"/>
        <v>0.20599387311219286</v>
      </c>
      <c r="EG173" s="90">
        <f t="shared" si="168"/>
        <v>0.20599387311219286</v>
      </c>
      <c r="EH173" s="90">
        <f t="shared" si="158"/>
        <v>34</v>
      </c>
      <c r="EI173" s="308">
        <f t="shared" si="159"/>
        <v>0.14199999999999885</v>
      </c>
    </row>
    <row r="174" spans="123:139" ht="12" customHeight="1" x14ac:dyDescent="0.2">
      <c r="DS174" s="307">
        <v>163</v>
      </c>
      <c r="DT174" s="50">
        <f t="shared" si="154"/>
        <v>0.37000000000000377</v>
      </c>
      <c r="DU174" s="90">
        <f t="shared" si="160"/>
        <v>0.73469076553343993</v>
      </c>
      <c r="DV174" s="90" t="e">
        <f t="shared" si="161"/>
        <v>#N/A</v>
      </c>
      <c r="DW174" s="90">
        <f t="shared" si="162"/>
        <v>0.73469076553343993</v>
      </c>
      <c r="DX174" s="90">
        <f t="shared" si="155"/>
        <v>32</v>
      </c>
      <c r="DY174" s="308">
        <f t="shared" si="153"/>
        <v>0.13800000000000151</v>
      </c>
      <c r="DZ174" s="307">
        <f t="shared" si="156"/>
        <v>0.37000000000000122</v>
      </c>
      <c r="EA174" s="90">
        <f t="shared" si="163"/>
        <v>0.99913425437791059</v>
      </c>
      <c r="EB174" s="90">
        <f t="shared" si="164"/>
        <v>0.99913425437791059</v>
      </c>
      <c r="EC174" s="90">
        <f t="shared" si="165"/>
        <v>33</v>
      </c>
      <c r="ED174" s="308">
        <f t="shared" si="166"/>
        <v>0.13800000000000048</v>
      </c>
      <c r="EE174" s="307">
        <f t="shared" si="157"/>
        <v>0.36999999999999711</v>
      </c>
      <c r="EF174" s="90">
        <f t="shared" si="167"/>
        <v>0.20853791124501339</v>
      </c>
      <c r="EG174" s="90">
        <f t="shared" si="168"/>
        <v>0.20853791124501339</v>
      </c>
      <c r="EH174" s="90">
        <f t="shared" si="158"/>
        <v>34</v>
      </c>
      <c r="EI174" s="308">
        <f t="shared" si="159"/>
        <v>0.13799999999999885</v>
      </c>
    </row>
    <row r="175" spans="123:139" ht="12" customHeight="1" x14ac:dyDescent="0.2">
      <c r="DS175" s="307">
        <v>164</v>
      </c>
      <c r="DT175" s="50">
        <f t="shared" si="154"/>
        <v>0.36000000000000387</v>
      </c>
      <c r="DU175" s="90">
        <f t="shared" si="160"/>
        <v>0.73779583713143637</v>
      </c>
      <c r="DV175" s="90" t="e">
        <f t="shared" si="161"/>
        <v>#N/A</v>
      </c>
      <c r="DW175" s="90">
        <f t="shared" si="162"/>
        <v>0.73779583713143637</v>
      </c>
      <c r="DX175" s="90">
        <f t="shared" si="155"/>
        <v>32</v>
      </c>
      <c r="DY175" s="308">
        <f t="shared" si="153"/>
        <v>0.13400000000000153</v>
      </c>
      <c r="DZ175" s="307">
        <f t="shared" si="156"/>
        <v>0.36000000000000087</v>
      </c>
      <c r="EA175" s="90">
        <f t="shared" si="163"/>
        <v>1.0020415805388658</v>
      </c>
      <c r="EB175" s="90">
        <f t="shared" si="164"/>
        <v>1.0020415805388658</v>
      </c>
      <c r="EC175" s="90">
        <f t="shared" si="165"/>
        <v>33</v>
      </c>
      <c r="ED175" s="308">
        <f t="shared" si="166"/>
        <v>0.13400000000000034</v>
      </c>
      <c r="EE175" s="307">
        <f t="shared" si="157"/>
        <v>0.35999999999999699</v>
      </c>
      <c r="EF175" s="90">
        <f t="shared" si="167"/>
        <v>0.21108194937783392</v>
      </c>
      <c r="EG175" s="90">
        <f t="shared" si="168"/>
        <v>0.21108194937783392</v>
      </c>
      <c r="EH175" s="90">
        <f t="shared" si="158"/>
        <v>34</v>
      </c>
      <c r="EI175" s="308">
        <f t="shared" si="159"/>
        <v>0.13399999999999879</v>
      </c>
    </row>
    <row r="176" spans="123:139" ht="12" customHeight="1" x14ac:dyDescent="0.2">
      <c r="DS176" s="307">
        <v>165</v>
      </c>
      <c r="DT176" s="50">
        <f t="shared" si="154"/>
        <v>0.35000000000000397</v>
      </c>
      <c r="DU176" s="90">
        <f t="shared" si="160"/>
        <v>0.74090090872943282</v>
      </c>
      <c r="DV176" s="90" t="e">
        <f t="shared" si="161"/>
        <v>#N/A</v>
      </c>
      <c r="DW176" s="90">
        <f t="shared" si="162"/>
        <v>0.74090090872943282</v>
      </c>
      <c r="DX176" s="90">
        <f t="shared" si="155"/>
        <v>32</v>
      </c>
      <c r="DY176" s="308">
        <f t="shared" si="153"/>
        <v>0.13000000000000159</v>
      </c>
      <c r="DZ176" s="307">
        <f t="shared" si="156"/>
        <v>0.35000000000000087</v>
      </c>
      <c r="EA176" s="90">
        <f t="shared" si="163"/>
        <v>1.004948906699821</v>
      </c>
      <c r="EB176" s="90">
        <f t="shared" si="164"/>
        <v>1.004948906699821</v>
      </c>
      <c r="EC176" s="90">
        <f t="shared" si="165"/>
        <v>33</v>
      </c>
      <c r="ED176" s="308">
        <f t="shared" si="166"/>
        <v>0.13000000000000034</v>
      </c>
      <c r="EE176" s="307">
        <f t="shared" si="157"/>
        <v>0.34999999999999709</v>
      </c>
      <c r="EF176" s="90">
        <f t="shared" si="167"/>
        <v>0.21362598751065445</v>
      </c>
      <c r="EG176" s="90">
        <f t="shared" si="168"/>
        <v>0.21362598751065445</v>
      </c>
      <c r="EH176" s="90">
        <f t="shared" si="158"/>
        <v>34</v>
      </c>
      <c r="EI176" s="308">
        <f t="shared" si="159"/>
        <v>0.12999999999999884</v>
      </c>
    </row>
    <row r="177" spans="123:139" ht="12" customHeight="1" x14ac:dyDescent="0.2">
      <c r="DS177" s="307">
        <v>166</v>
      </c>
      <c r="DT177" s="50">
        <f t="shared" si="154"/>
        <v>0.34000000000000408</v>
      </c>
      <c r="DU177" s="90">
        <f t="shared" si="160"/>
        <v>0.74400598032742926</v>
      </c>
      <c r="DV177" s="90" t="e">
        <f t="shared" si="161"/>
        <v>#N/A</v>
      </c>
      <c r="DW177" s="90">
        <f t="shared" si="162"/>
        <v>0.74400598032742926</v>
      </c>
      <c r="DX177" s="90">
        <f t="shared" si="155"/>
        <v>32</v>
      </c>
      <c r="DY177" s="308">
        <f t="shared" si="153"/>
        <v>0.12600000000000164</v>
      </c>
      <c r="DZ177" s="307">
        <f t="shared" si="156"/>
        <v>0.34000000000000086</v>
      </c>
      <c r="EA177" s="90">
        <f t="shared" si="163"/>
        <v>1.0078562328607761</v>
      </c>
      <c r="EB177" s="90">
        <f t="shared" si="164"/>
        <v>1.0078562328607761</v>
      </c>
      <c r="EC177" s="90">
        <f t="shared" si="165"/>
        <v>33</v>
      </c>
      <c r="ED177" s="308">
        <f t="shared" si="166"/>
        <v>0.12600000000000033</v>
      </c>
      <c r="EE177" s="307">
        <f t="shared" si="157"/>
        <v>0.33999999999999697</v>
      </c>
      <c r="EF177" s="90">
        <f t="shared" si="167"/>
        <v>0.21617002564347498</v>
      </c>
      <c r="EG177" s="90">
        <f t="shared" si="168"/>
        <v>0.21617002564347498</v>
      </c>
      <c r="EH177" s="90">
        <f t="shared" si="158"/>
        <v>34</v>
      </c>
      <c r="EI177" s="308">
        <f t="shared" si="159"/>
        <v>0.12599999999999878</v>
      </c>
    </row>
    <row r="178" spans="123:139" ht="12" customHeight="1" x14ac:dyDescent="0.2">
      <c r="DS178" s="307">
        <v>167</v>
      </c>
      <c r="DT178" s="50">
        <f t="shared" si="154"/>
        <v>0.33000000000000418</v>
      </c>
      <c r="DU178" s="90">
        <f t="shared" si="160"/>
        <v>0.74711105192542571</v>
      </c>
      <c r="DV178" s="90" t="e">
        <f t="shared" si="161"/>
        <v>#N/A</v>
      </c>
      <c r="DW178" s="90">
        <f t="shared" si="162"/>
        <v>0.74711105192542571</v>
      </c>
      <c r="DX178" s="90">
        <f t="shared" si="155"/>
        <v>32</v>
      </c>
      <c r="DY178" s="308">
        <f t="shared" si="153"/>
        <v>0.12200000000000168</v>
      </c>
      <c r="DZ178" s="307">
        <f t="shared" si="156"/>
        <v>0.33000000000000085</v>
      </c>
      <c r="EA178" s="90">
        <f t="shared" si="163"/>
        <v>1.0107635590217312</v>
      </c>
      <c r="EB178" s="90">
        <f t="shared" si="164"/>
        <v>1.0107635590217312</v>
      </c>
      <c r="EC178" s="90">
        <f t="shared" si="165"/>
        <v>33</v>
      </c>
      <c r="ED178" s="308">
        <f t="shared" si="166"/>
        <v>0.12200000000000034</v>
      </c>
      <c r="EE178" s="307">
        <f t="shared" si="157"/>
        <v>0.32999999999999707</v>
      </c>
      <c r="EF178" s="90">
        <f t="shared" si="167"/>
        <v>0.21871406377629551</v>
      </c>
      <c r="EG178" s="90">
        <f t="shared" si="168"/>
        <v>0.21871406377629551</v>
      </c>
      <c r="EH178" s="90">
        <f t="shared" si="158"/>
        <v>34</v>
      </c>
      <c r="EI178" s="308">
        <f t="shared" si="159"/>
        <v>0.12199999999999885</v>
      </c>
    </row>
    <row r="179" spans="123:139" ht="12" customHeight="1" x14ac:dyDescent="0.2">
      <c r="DS179" s="307">
        <v>168</v>
      </c>
      <c r="DT179" s="50">
        <f t="shared" si="154"/>
        <v>0.32000000000000428</v>
      </c>
      <c r="DU179" s="90">
        <f t="shared" si="160"/>
        <v>0.75021612352342215</v>
      </c>
      <c r="DV179" s="90" t="e">
        <f t="shared" si="161"/>
        <v>#N/A</v>
      </c>
      <c r="DW179" s="90">
        <f t="shared" si="162"/>
        <v>0.75021612352342215</v>
      </c>
      <c r="DX179" s="90">
        <f t="shared" si="155"/>
        <v>32</v>
      </c>
      <c r="DY179" s="308">
        <f t="shared" si="153"/>
        <v>0.11800000000000173</v>
      </c>
      <c r="DZ179" s="307">
        <f t="shared" si="156"/>
        <v>0.32000000000000095</v>
      </c>
      <c r="EA179" s="90">
        <f t="shared" si="163"/>
        <v>1.0136708851826863</v>
      </c>
      <c r="EB179" s="90">
        <f t="shared" si="164"/>
        <v>1.0136708851826863</v>
      </c>
      <c r="EC179" s="90">
        <f t="shared" si="165"/>
        <v>33</v>
      </c>
      <c r="ED179" s="308">
        <f t="shared" si="166"/>
        <v>0.1180000000000004</v>
      </c>
      <c r="EE179" s="307">
        <f t="shared" si="157"/>
        <v>0.31999999999999695</v>
      </c>
      <c r="EF179" s="90">
        <f t="shared" si="167"/>
        <v>0.22125810190911605</v>
      </c>
      <c r="EG179" s="90">
        <f t="shared" si="168"/>
        <v>0.22125810190911605</v>
      </c>
      <c r="EH179" s="90">
        <f t="shared" si="158"/>
        <v>34</v>
      </c>
      <c r="EI179" s="308">
        <f t="shared" si="159"/>
        <v>0.11799999999999879</v>
      </c>
    </row>
    <row r="180" spans="123:139" ht="12" customHeight="1" x14ac:dyDescent="0.2">
      <c r="DS180" s="307">
        <v>169</v>
      </c>
      <c r="DT180" s="50">
        <f t="shared" si="154"/>
        <v>0.31000000000000449</v>
      </c>
      <c r="DU180" s="90">
        <f t="shared" si="160"/>
        <v>0.7533211951214186</v>
      </c>
      <c r="DV180" s="90" t="e">
        <f t="shared" si="161"/>
        <v>#N/A</v>
      </c>
      <c r="DW180" s="90">
        <f t="shared" si="162"/>
        <v>0.7533211951214186</v>
      </c>
      <c r="DX180" s="90">
        <f t="shared" si="155"/>
        <v>32</v>
      </c>
      <c r="DY180" s="308">
        <f t="shared" si="153"/>
        <v>0.11400000000000181</v>
      </c>
      <c r="DZ180" s="307">
        <f t="shared" si="156"/>
        <v>0.31000000000000094</v>
      </c>
      <c r="EA180" s="90">
        <f t="shared" si="163"/>
        <v>1.0165782113436415</v>
      </c>
      <c r="EB180" s="90">
        <f t="shared" si="164"/>
        <v>1.0165782113436415</v>
      </c>
      <c r="EC180" s="90">
        <f t="shared" si="165"/>
        <v>33</v>
      </c>
      <c r="ED180" s="308">
        <f t="shared" si="166"/>
        <v>0.11400000000000039</v>
      </c>
      <c r="EE180" s="307">
        <f t="shared" si="157"/>
        <v>0.30999999999999694</v>
      </c>
      <c r="EF180" s="90">
        <f t="shared" si="167"/>
        <v>0.22380214004193658</v>
      </c>
      <c r="EG180" s="90">
        <f t="shared" si="168"/>
        <v>0.22380214004193658</v>
      </c>
      <c r="EH180" s="90">
        <f t="shared" si="158"/>
        <v>34</v>
      </c>
      <c r="EI180" s="308">
        <f t="shared" si="159"/>
        <v>0.11399999999999878</v>
      </c>
    </row>
    <row r="181" spans="123:139" ht="12" customHeight="1" x14ac:dyDescent="0.2">
      <c r="DS181" s="307">
        <v>170</v>
      </c>
      <c r="DT181" s="50">
        <f t="shared" si="154"/>
        <v>0.3000000000000046</v>
      </c>
      <c r="DU181" s="90">
        <f t="shared" si="160"/>
        <v>0.75642626671941504</v>
      </c>
      <c r="DV181" s="90" t="e">
        <f t="shared" si="161"/>
        <v>#N/A</v>
      </c>
      <c r="DW181" s="90">
        <f t="shared" si="162"/>
        <v>0.75642626671941504</v>
      </c>
      <c r="DX181" s="90">
        <f t="shared" si="155"/>
        <v>32</v>
      </c>
      <c r="DY181" s="308">
        <f t="shared" si="153"/>
        <v>0.11000000000000185</v>
      </c>
      <c r="DZ181" s="307">
        <f t="shared" si="156"/>
        <v>0.30000000000000093</v>
      </c>
      <c r="EA181" s="90">
        <f t="shared" si="163"/>
        <v>1.0194855375045966</v>
      </c>
      <c r="EB181" s="90">
        <f t="shared" si="164"/>
        <v>1.0194855375045966</v>
      </c>
      <c r="EC181" s="90">
        <f t="shared" si="165"/>
        <v>33</v>
      </c>
      <c r="ED181" s="308">
        <f t="shared" si="166"/>
        <v>0.11000000000000039</v>
      </c>
      <c r="EE181" s="307">
        <f t="shared" si="157"/>
        <v>0.29999999999999682</v>
      </c>
      <c r="EF181" s="90">
        <f t="shared" si="167"/>
        <v>0.22634617817475711</v>
      </c>
      <c r="EG181" s="90">
        <f t="shared" si="168"/>
        <v>0.22634617817475711</v>
      </c>
      <c r="EH181" s="90">
        <f t="shared" si="158"/>
        <v>34</v>
      </c>
      <c r="EI181" s="308">
        <f t="shared" si="159"/>
        <v>0.10999999999999874</v>
      </c>
    </row>
    <row r="182" spans="123:139" ht="12" customHeight="1" x14ac:dyDescent="0.2">
      <c r="DS182" s="307">
        <v>171</v>
      </c>
      <c r="DT182" s="50">
        <f t="shared" si="154"/>
        <v>0.2900000000000047</v>
      </c>
      <c r="DU182" s="90">
        <f t="shared" si="160"/>
        <v>0.75953133831741149</v>
      </c>
      <c r="DV182" s="90" t="e">
        <f t="shared" si="161"/>
        <v>#N/A</v>
      </c>
      <c r="DW182" s="90">
        <f t="shared" si="162"/>
        <v>0.75953133831741149</v>
      </c>
      <c r="DX182" s="90">
        <f t="shared" si="155"/>
        <v>32</v>
      </c>
      <c r="DY182" s="308">
        <f t="shared" si="153"/>
        <v>0.10600000000000188</v>
      </c>
      <c r="DZ182" s="307">
        <f t="shared" si="156"/>
        <v>0.29000000000000092</v>
      </c>
      <c r="EA182" s="90">
        <f t="shared" si="163"/>
        <v>1.0223928636655517</v>
      </c>
      <c r="EB182" s="90">
        <f t="shared" si="164"/>
        <v>1.0223928636655517</v>
      </c>
      <c r="EC182" s="90">
        <f t="shared" si="165"/>
        <v>33</v>
      </c>
      <c r="ED182" s="308">
        <f t="shared" si="166"/>
        <v>0.10600000000000039</v>
      </c>
      <c r="EE182" s="307">
        <f t="shared" si="157"/>
        <v>0.28999999999999693</v>
      </c>
      <c r="EF182" s="90">
        <f t="shared" si="167"/>
        <v>0.22889021630757764</v>
      </c>
      <c r="EG182" s="90">
        <f t="shared" si="168"/>
        <v>0.22889021630757764</v>
      </c>
      <c r="EH182" s="90">
        <f t="shared" si="158"/>
        <v>34</v>
      </c>
      <c r="EI182" s="308">
        <f t="shared" si="159"/>
        <v>0.10599999999999878</v>
      </c>
    </row>
    <row r="183" spans="123:139" ht="12" customHeight="1" x14ac:dyDescent="0.2">
      <c r="DS183" s="307">
        <v>172</v>
      </c>
      <c r="DT183" s="50">
        <f t="shared" si="154"/>
        <v>0.2800000000000048</v>
      </c>
      <c r="DU183" s="90">
        <f t="shared" si="160"/>
        <v>0.76263640991540793</v>
      </c>
      <c r="DV183" s="90" t="e">
        <f t="shared" si="161"/>
        <v>#N/A</v>
      </c>
      <c r="DW183" s="90">
        <f t="shared" si="162"/>
        <v>0.76263640991540793</v>
      </c>
      <c r="DX183" s="90">
        <f t="shared" si="155"/>
        <v>32</v>
      </c>
      <c r="DY183" s="308">
        <f t="shared" si="153"/>
        <v>0.10200000000000194</v>
      </c>
      <c r="DZ183" s="307">
        <f t="shared" si="156"/>
        <v>0.28000000000000091</v>
      </c>
      <c r="EA183" s="90">
        <f t="shared" si="163"/>
        <v>1.0253001898265068</v>
      </c>
      <c r="EB183" s="90">
        <f t="shared" si="164"/>
        <v>1.0253001898265068</v>
      </c>
      <c r="EC183" s="90">
        <f t="shared" si="165"/>
        <v>33</v>
      </c>
      <c r="ED183" s="308">
        <f t="shared" si="166"/>
        <v>0.10200000000000038</v>
      </c>
      <c r="EE183" s="307">
        <f t="shared" si="157"/>
        <v>0.27999999999999681</v>
      </c>
      <c r="EF183" s="90">
        <f t="shared" si="167"/>
        <v>0.23143425444039817</v>
      </c>
      <c r="EG183" s="90">
        <f t="shared" si="168"/>
        <v>0.23143425444039817</v>
      </c>
      <c r="EH183" s="90">
        <f t="shared" si="158"/>
        <v>34</v>
      </c>
      <c r="EI183" s="308">
        <f t="shared" si="159"/>
        <v>0.10199999999999873</v>
      </c>
    </row>
    <row r="184" spans="123:139" ht="12" customHeight="1" x14ac:dyDescent="0.2">
      <c r="DS184" s="307">
        <v>173</v>
      </c>
      <c r="DT184" s="50">
        <f t="shared" si="154"/>
        <v>0.2700000000000049</v>
      </c>
      <c r="DU184" s="90">
        <f t="shared" si="160"/>
        <v>0.76574148151340438</v>
      </c>
      <c r="DV184" s="90" t="e">
        <f t="shared" si="161"/>
        <v>#N/A</v>
      </c>
      <c r="DW184" s="90">
        <f t="shared" si="162"/>
        <v>0.76574148151340438</v>
      </c>
      <c r="DX184" s="90">
        <f t="shared" si="155"/>
        <v>32</v>
      </c>
      <c r="DY184" s="308">
        <f t="shared" si="153"/>
        <v>9.8000000000001974E-2</v>
      </c>
      <c r="DZ184" s="307">
        <f t="shared" si="156"/>
        <v>0.27000000000000091</v>
      </c>
      <c r="EA184" s="90">
        <f t="shared" si="163"/>
        <v>1.028207515987462</v>
      </c>
      <c r="EB184" s="90">
        <f t="shared" si="164"/>
        <v>1.028207515987462</v>
      </c>
      <c r="EC184" s="90">
        <f t="shared" si="165"/>
        <v>33</v>
      </c>
      <c r="ED184" s="308">
        <f t="shared" si="166"/>
        <v>9.8000000000000378E-2</v>
      </c>
      <c r="EE184" s="307">
        <f t="shared" si="157"/>
        <v>0.26999999999999691</v>
      </c>
      <c r="EF184" s="90">
        <f t="shared" si="167"/>
        <v>0.2339782925732187</v>
      </c>
      <c r="EG184" s="90">
        <f t="shared" si="168"/>
        <v>0.2339782925732187</v>
      </c>
      <c r="EH184" s="90">
        <f t="shared" si="158"/>
        <v>34</v>
      </c>
      <c r="EI184" s="308">
        <f t="shared" si="159"/>
        <v>9.7999999999998769E-2</v>
      </c>
    </row>
    <row r="185" spans="123:139" ht="12" customHeight="1" x14ac:dyDescent="0.2">
      <c r="DS185" s="307">
        <v>174</v>
      </c>
      <c r="DT185" s="50">
        <f t="shared" si="154"/>
        <v>0.260000000000005</v>
      </c>
      <c r="DU185" s="90">
        <f t="shared" si="160"/>
        <v>0.76884655311140082</v>
      </c>
      <c r="DV185" s="90" t="e">
        <f t="shared" si="161"/>
        <v>#N/A</v>
      </c>
      <c r="DW185" s="90">
        <f t="shared" si="162"/>
        <v>0.76884655311140082</v>
      </c>
      <c r="DX185" s="90">
        <f t="shared" si="155"/>
        <v>32</v>
      </c>
      <c r="DY185" s="308">
        <f t="shared" si="153"/>
        <v>9.4000000000002013E-2</v>
      </c>
      <c r="DZ185" s="307">
        <f t="shared" si="156"/>
        <v>0.2600000000000009</v>
      </c>
      <c r="EA185" s="90">
        <f t="shared" si="163"/>
        <v>1.0311148421484171</v>
      </c>
      <c r="EB185" s="90">
        <f t="shared" si="164"/>
        <v>1.0311148421484171</v>
      </c>
      <c r="EC185" s="90">
        <f t="shared" si="165"/>
        <v>33</v>
      </c>
      <c r="ED185" s="308">
        <f t="shared" si="166"/>
        <v>9.4000000000000375E-2</v>
      </c>
      <c r="EE185" s="307">
        <f t="shared" si="157"/>
        <v>0.25999999999999679</v>
      </c>
      <c r="EF185" s="90">
        <f t="shared" si="167"/>
        <v>0.23652233070603923</v>
      </c>
      <c r="EG185" s="90">
        <f t="shared" si="168"/>
        <v>0.23652233070603923</v>
      </c>
      <c r="EH185" s="90">
        <f t="shared" si="158"/>
        <v>34</v>
      </c>
      <c r="EI185" s="308">
        <f t="shared" si="159"/>
        <v>9.3999999999998723E-2</v>
      </c>
    </row>
    <row r="186" spans="123:139" ht="12" customHeight="1" x14ac:dyDescent="0.2">
      <c r="DS186" s="307">
        <v>175</v>
      </c>
      <c r="DT186" s="50">
        <f t="shared" si="154"/>
        <v>0.25000000000000511</v>
      </c>
      <c r="DU186" s="90">
        <f t="shared" si="160"/>
        <v>0.77195162470939727</v>
      </c>
      <c r="DV186" s="90" t="e">
        <f t="shared" si="161"/>
        <v>#N/A</v>
      </c>
      <c r="DW186" s="90">
        <f t="shared" si="162"/>
        <v>0.77195162470939727</v>
      </c>
      <c r="DX186" s="90">
        <f t="shared" si="155"/>
        <v>32</v>
      </c>
      <c r="DY186" s="308">
        <f t="shared" si="153"/>
        <v>9.0000000000002051E-2</v>
      </c>
      <c r="DZ186" s="307">
        <f t="shared" si="156"/>
        <v>0.250000000000001</v>
      </c>
      <c r="EA186" s="90">
        <f t="shared" si="163"/>
        <v>1.0340221683093722</v>
      </c>
      <c r="EB186" s="90">
        <f t="shared" si="164"/>
        <v>1.0340221683093722</v>
      </c>
      <c r="EC186" s="90">
        <f t="shared" si="165"/>
        <v>33</v>
      </c>
      <c r="ED186" s="308">
        <f t="shared" si="166"/>
        <v>9.0000000000000413E-2</v>
      </c>
      <c r="EE186" s="307">
        <f t="shared" si="157"/>
        <v>0.24999999999999689</v>
      </c>
      <c r="EF186" s="90">
        <f t="shared" si="167"/>
        <v>0.23906636883885976</v>
      </c>
      <c r="EG186" s="90">
        <f t="shared" si="168"/>
        <v>0.23906636883885976</v>
      </c>
      <c r="EH186" s="90">
        <f t="shared" si="158"/>
        <v>34</v>
      </c>
      <c r="EI186" s="308">
        <f t="shared" si="159"/>
        <v>8.9999999999998762E-2</v>
      </c>
    </row>
    <row r="187" spans="123:139" ht="12" customHeight="1" x14ac:dyDescent="0.2">
      <c r="DS187" s="307">
        <v>176</v>
      </c>
      <c r="DT187" s="50">
        <f t="shared" si="154"/>
        <v>0.24000000000000521</v>
      </c>
      <c r="DU187" s="90">
        <f t="shared" si="160"/>
        <v>0.77505669630739371</v>
      </c>
      <c r="DV187" s="90" t="e">
        <f t="shared" si="161"/>
        <v>#N/A</v>
      </c>
      <c r="DW187" s="90">
        <f t="shared" si="162"/>
        <v>0.77505669630739371</v>
      </c>
      <c r="DX187" s="90">
        <f t="shared" si="155"/>
        <v>32</v>
      </c>
      <c r="DY187" s="308">
        <f t="shared" si="153"/>
        <v>8.6000000000002089E-2</v>
      </c>
      <c r="DZ187" s="307">
        <f t="shared" si="156"/>
        <v>0.24000000000000099</v>
      </c>
      <c r="EA187" s="90">
        <f t="shared" si="163"/>
        <v>1.0369294944703273</v>
      </c>
      <c r="EB187" s="90">
        <f t="shared" si="164"/>
        <v>1.0369294944703273</v>
      </c>
      <c r="EC187" s="90">
        <f t="shared" si="165"/>
        <v>33</v>
      </c>
      <c r="ED187" s="308">
        <f t="shared" si="166"/>
        <v>8.6000000000000409E-2</v>
      </c>
      <c r="EE187" s="307">
        <f t="shared" si="157"/>
        <v>0.23999999999999666</v>
      </c>
      <c r="EF187" s="90">
        <f t="shared" si="167"/>
        <v>0.24161040697168029</v>
      </c>
      <c r="EG187" s="90">
        <f t="shared" si="168"/>
        <v>0.24161040697168029</v>
      </c>
      <c r="EH187" s="90">
        <f t="shared" si="158"/>
        <v>34</v>
      </c>
      <c r="EI187" s="308">
        <f t="shared" si="159"/>
        <v>8.5999999999998675E-2</v>
      </c>
    </row>
    <row r="188" spans="123:139" ht="12" customHeight="1" x14ac:dyDescent="0.2">
      <c r="DS188" s="307">
        <v>177</v>
      </c>
      <c r="DT188" s="50">
        <f t="shared" si="154"/>
        <v>0.23000000000000542</v>
      </c>
      <c r="DU188" s="90">
        <f t="shared" si="160"/>
        <v>0.77816176790539016</v>
      </c>
      <c r="DV188" s="90" t="e">
        <f t="shared" si="161"/>
        <v>#N/A</v>
      </c>
      <c r="DW188" s="90">
        <f t="shared" si="162"/>
        <v>0.77816176790539016</v>
      </c>
      <c r="DX188" s="90">
        <f t="shared" si="155"/>
        <v>32</v>
      </c>
      <c r="DY188" s="308">
        <f t="shared" si="153"/>
        <v>8.2000000000002182E-2</v>
      </c>
      <c r="DZ188" s="307">
        <f t="shared" si="156"/>
        <v>0.23000000000000098</v>
      </c>
      <c r="EA188" s="90">
        <f t="shared" si="163"/>
        <v>1.0398368206312825</v>
      </c>
      <c r="EB188" s="90">
        <f t="shared" si="164"/>
        <v>1.0398368206312825</v>
      </c>
      <c r="EC188" s="90">
        <f t="shared" si="165"/>
        <v>33</v>
      </c>
      <c r="ED188" s="308">
        <f t="shared" si="166"/>
        <v>8.2000000000000406E-2</v>
      </c>
      <c r="EE188" s="307">
        <f t="shared" si="157"/>
        <v>0.22999999999999676</v>
      </c>
      <c r="EF188" s="90">
        <f t="shared" si="167"/>
        <v>0.24415444510450082</v>
      </c>
      <c r="EG188" s="90">
        <f t="shared" si="168"/>
        <v>0.24415444510450082</v>
      </c>
      <c r="EH188" s="90">
        <f t="shared" si="158"/>
        <v>34</v>
      </c>
      <c r="EI188" s="308">
        <f t="shared" si="159"/>
        <v>8.1999999999998713E-2</v>
      </c>
    </row>
    <row r="189" spans="123:139" ht="12" customHeight="1" x14ac:dyDescent="0.2">
      <c r="DS189" s="307">
        <v>178</v>
      </c>
      <c r="DT189" s="50">
        <f t="shared" si="154"/>
        <v>0.22000000000000552</v>
      </c>
      <c r="DU189" s="90">
        <f t="shared" si="160"/>
        <v>0.7812668395033866</v>
      </c>
      <c r="DV189" s="90" t="e">
        <f t="shared" si="161"/>
        <v>#N/A</v>
      </c>
      <c r="DW189" s="90">
        <f t="shared" si="162"/>
        <v>0.7812668395033866</v>
      </c>
      <c r="DX189" s="90">
        <f t="shared" si="155"/>
        <v>32</v>
      </c>
      <c r="DY189" s="308">
        <f t="shared" si="153"/>
        <v>7.800000000000222E-2</v>
      </c>
      <c r="DZ189" s="307">
        <f t="shared" si="156"/>
        <v>0.22000000000000097</v>
      </c>
      <c r="EA189" s="90">
        <f t="shared" si="163"/>
        <v>1.0427441467922376</v>
      </c>
      <c r="EB189" s="90">
        <f t="shared" si="164"/>
        <v>1.0427441467922376</v>
      </c>
      <c r="EC189" s="90">
        <f t="shared" si="165"/>
        <v>33</v>
      </c>
      <c r="ED189" s="308">
        <f t="shared" si="166"/>
        <v>7.8000000000000402E-2</v>
      </c>
      <c r="EE189" s="307">
        <f t="shared" si="157"/>
        <v>0.21999999999999664</v>
      </c>
      <c r="EF189" s="90">
        <f t="shared" si="167"/>
        <v>0.24669848323732135</v>
      </c>
      <c r="EG189" s="90">
        <f t="shared" si="168"/>
        <v>0.24669848323732135</v>
      </c>
      <c r="EH189" s="90">
        <f t="shared" si="158"/>
        <v>34</v>
      </c>
      <c r="EI189" s="308">
        <f t="shared" si="159"/>
        <v>7.7999999999998668E-2</v>
      </c>
    </row>
    <row r="190" spans="123:139" ht="12" customHeight="1" x14ac:dyDescent="0.2">
      <c r="DS190" s="307">
        <v>179</v>
      </c>
      <c r="DT190" s="50">
        <f t="shared" si="154"/>
        <v>0.21000000000000563</v>
      </c>
      <c r="DU190" s="90">
        <f t="shared" si="160"/>
        <v>0.78437191110138305</v>
      </c>
      <c r="DV190" s="90" t="e">
        <f t="shared" si="161"/>
        <v>#N/A</v>
      </c>
      <c r="DW190" s="90">
        <f t="shared" si="162"/>
        <v>0.78437191110138305</v>
      </c>
      <c r="DX190" s="90">
        <f t="shared" si="155"/>
        <v>32</v>
      </c>
      <c r="DY190" s="308">
        <f t="shared" si="153"/>
        <v>7.4000000000002258E-2</v>
      </c>
      <c r="DZ190" s="307">
        <f t="shared" si="156"/>
        <v>0.21000000000000096</v>
      </c>
      <c r="EA190" s="90">
        <f t="shared" si="163"/>
        <v>1.0456514729531927</v>
      </c>
      <c r="EB190" s="90">
        <f t="shared" si="164"/>
        <v>1.0456514729531927</v>
      </c>
      <c r="EC190" s="90">
        <f t="shared" si="165"/>
        <v>33</v>
      </c>
      <c r="ED190" s="308">
        <f t="shared" si="166"/>
        <v>7.4000000000000399E-2</v>
      </c>
      <c r="EE190" s="307">
        <f t="shared" si="157"/>
        <v>0.20999999999999674</v>
      </c>
      <c r="EF190" s="90">
        <f t="shared" si="167"/>
        <v>0.24924252137014188</v>
      </c>
      <c r="EG190" s="90">
        <f t="shared" si="168"/>
        <v>0.24924252137014188</v>
      </c>
      <c r="EH190" s="90">
        <f t="shared" si="158"/>
        <v>34</v>
      </c>
      <c r="EI190" s="308">
        <f t="shared" si="159"/>
        <v>7.3999999999998706E-2</v>
      </c>
    </row>
    <row r="191" spans="123:139" ht="12" customHeight="1" x14ac:dyDescent="0.2">
      <c r="DS191" s="307">
        <v>180</v>
      </c>
      <c r="DT191" s="50">
        <f t="shared" si="154"/>
        <v>0.20000000000000573</v>
      </c>
      <c r="DU191" s="90">
        <f t="shared" si="160"/>
        <v>0.78747698269937949</v>
      </c>
      <c r="DV191" s="90" t="e">
        <f t="shared" si="161"/>
        <v>#N/A</v>
      </c>
      <c r="DW191" s="90">
        <f t="shared" si="162"/>
        <v>0.78747698269937949</v>
      </c>
      <c r="DX191" s="90">
        <f t="shared" si="155"/>
        <v>32</v>
      </c>
      <c r="DY191" s="308">
        <f t="shared" si="153"/>
        <v>7.0000000000002296E-2</v>
      </c>
      <c r="DZ191" s="307">
        <f t="shared" si="156"/>
        <v>0.20000000000000095</v>
      </c>
      <c r="EA191" s="90">
        <f t="shared" si="163"/>
        <v>1.0485587991141478</v>
      </c>
      <c r="EB191" s="90">
        <f t="shared" si="164"/>
        <v>1.0485587991141478</v>
      </c>
      <c r="EC191" s="90">
        <f t="shared" si="165"/>
        <v>33</v>
      </c>
      <c r="ED191" s="308">
        <f t="shared" si="166"/>
        <v>7.0000000000000395E-2</v>
      </c>
      <c r="EE191" s="307">
        <f t="shared" si="157"/>
        <v>0.19999999999999662</v>
      </c>
      <c r="EF191" s="90">
        <f t="shared" si="167"/>
        <v>0.25178655950296241</v>
      </c>
      <c r="EG191" s="90">
        <f t="shared" si="168"/>
        <v>0.25178655950296241</v>
      </c>
      <c r="EH191" s="90">
        <f t="shared" si="158"/>
        <v>34</v>
      </c>
      <c r="EI191" s="308">
        <f t="shared" si="159"/>
        <v>6.9999999999998661E-2</v>
      </c>
    </row>
    <row r="192" spans="123:139" ht="12" customHeight="1" x14ac:dyDescent="0.2">
      <c r="DS192" s="307">
        <v>181</v>
      </c>
      <c r="DT192" s="50">
        <f t="shared" si="154"/>
        <v>0.19000000000000583</v>
      </c>
      <c r="DU192" s="90">
        <f t="shared" si="160"/>
        <v>0.79058205429737594</v>
      </c>
      <c r="DV192" s="90" t="e">
        <f t="shared" si="161"/>
        <v>#N/A</v>
      </c>
      <c r="DW192" s="90">
        <f t="shared" si="162"/>
        <v>0.79058205429737594</v>
      </c>
      <c r="DX192" s="90">
        <f t="shared" si="155"/>
        <v>32</v>
      </c>
      <c r="DY192" s="308">
        <f t="shared" si="153"/>
        <v>6.6000000000002348E-2</v>
      </c>
      <c r="DZ192" s="307">
        <f t="shared" si="156"/>
        <v>0.19000000000000095</v>
      </c>
      <c r="EA192" s="90">
        <f t="shared" si="163"/>
        <v>1.051466125275103</v>
      </c>
      <c r="EB192" s="90">
        <f t="shared" si="164"/>
        <v>1.051466125275103</v>
      </c>
      <c r="EC192" s="90">
        <f t="shared" si="165"/>
        <v>33</v>
      </c>
      <c r="ED192" s="308">
        <f t="shared" si="166"/>
        <v>6.6000000000000392E-2</v>
      </c>
      <c r="EE192" s="307">
        <f t="shared" si="157"/>
        <v>0.18999999999999673</v>
      </c>
      <c r="EF192" s="90">
        <f t="shared" si="167"/>
        <v>0.25433059763578292</v>
      </c>
      <c r="EG192" s="90">
        <f t="shared" si="168"/>
        <v>0.25433059763578292</v>
      </c>
      <c r="EH192" s="90">
        <f t="shared" si="158"/>
        <v>34</v>
      </c>
      <c r="EI192" s="308">
        <f t="shared" si="159"/>
        <v>6.5999999999998699E-2</v>
      </c>
    </row>
    <row r="193" spans="123:139" ht="12" customHeight="1" x14ac:dyDescent="0.2">
      <c r="DS193" s="307">
        <v>182</v>
      </c>
      <c r="DT193" s="50">
        <f t="shared" si="154"/>
        <v>0.18000000000000593</v>
      </c>
      <c r="DU193" s="90">
        <f t="shared" si="160"/>
        <v>0.79368712589537238</v>
      </c>
      <c r="DV193" s="90" t="e">
        <f t="shared" si="161"/>
        <v>#N/A</v>
      </c>
      <c r="DW193" s="90">
        <f t="shared" si="162"/>
        <v>0.79368712589537238</v>
      </c>
      <c r="DX193" s="90">
        <f t="shared" si="155"/>
        <v>32</v>
      </c>
      <c r="DY193" s="308">
        <f t="shared" si="153"/>
        <v>6.200000000000238E-2</v>
      </c>
      <c r="DZ193" s="307">
        <f t="shared" si="156"/>
        <v>0.18000000000000105</v>
      </c>
      <c r="EA193" s="90">
        <f t="shared" si="163"/>
        <v>1.0543734514360581</v>
      </c>
      <c r="EB193" s="90">
        <f t="shared" si="164"/>
        <v>1.0543734514360581</v>
      </c>
      <c r="EC193" s="90">
        <f t="shared" si="165"/>
        <v>33</v>
      </c>
      <c r="ED193" s="308">
        <f t="shared" si="166"/>
        <v>6.2000000000000423E-2</v>
      </c>
      <c r="EE193" s="307">
        <f t="shared" si="157"/>
        <v>0.17999999999999672</v>
      </c>
      <c r="EF193" s="90">
        <f t="shared" si="167"/>
        <v>0.25687463576860342</v>
      </c>
      <c r="EG193" s="90">
        <f t="shared" si="168"/>
        <v>0.25687463576860342</v>
      </c>
      <c r="EH193" s="90">
        <f t="shared" si="158"/>
        <v>34</v>
      </c>
      <c r="EI193" s="308">
        <f t="shared" si="159"/>
        <v>6.1999999999998688E-2</v>
      </c>
    </row>
    <row r="194" spans="123:139" ht="12" customHeight="1" x14ac:dyDescent="0.2">
      <c r="DS194" s="307">
        <v>183</v>
      </c>
      <c r="DT194" s="50">
        <f t="shared" si="154"/>
        <v>0.17000000000000604</v>
      </c>
      <c r="DU194" s="90">
        <f t="shared" si="160"/>
        <v>0.79679219749336883</v>
      </c>
      <c r="DV194" s="90" t="e">
        <f t="shared" si="161"/>
        <v>#N/A</v>
      </c>
      <c r="DW194" s="90">
        <f t="shared" si="162"/>
        <v>0.79679219749336883</v>
      </c>
      <c r="DX194" s="90">
        <f t="shared" si="155"/>
        <v>32</v>
      </c>
      <c r="DY194" s="308">
        <f t="shared" si="153"/>
        <v>5.8000000000002418E-2</v>
      </c>
      <c r="DZ194" s="307">
        <f t="shared" si="156"/>
        <v>0.17000000000000104</v>
      </c>
      <c r="EA194" s="90">
        <f t="shared" si="163"/>
        <v>1.0572807775970132</v>
      </c>
      <c r="EB194" s="90">
        <f t="shared" si="164"/>
        <v>1.0572807775970132</v>
      </c>
      <c r="EC194" s="90">
        <f t="shared" si="165"/>
        <v>33</v>
      </c>
      <c r="ED194" s="308">
        <f t="shared" si="166"/>
        <v>5.8000000000000419E-2</v>
      </c>
      <c r="EE194" s="307">
        <f t="shared" si="157"/>
        <v>0.16999999999999682</v>
      </c>
      <c r="EF194" s="90">
        <f t="shared" si="167"/>
        <v>0.25941867390142392</v>
      </c>
      <c r="EG194" s="90">
        <f t="shared" si="168"/>
        <v>0.25941867390142392</v>
      </c>
      <c r="EH194" s="90">
        <f t="shared" si="158"/>
        <v>34</v>
      </c>
      <c r="EI194" s="308">
        <f t="shared" si="159"/>
        <v>5.7999999999998726E-2</v>
      </c>
    </row>
    <row r="195" spans="123:139" ht="12" customHeight="1" x14ac:dyDescent="0.2">
      <c r="DS195" s="307">
        <v>184</v>
      </c>
      <c r="DT195" s="50">
        <f t="shared" si="154"/>
        <v>0.16000000000000614</v>
      </c>
      <c r="DU195" s="90">
        <f t="shared" si="160"/>
        <v>0.79989726909136527</v>
      </c>
      <c r="DV195" s="90" t="e">
        <f t="shared" si="161"/>
        <v>#N/A</v>
      </c>
      <c r="DW195" s="90">
        <f t="shared" si="162"/>
        <v>0.79989726909136527</v>
      </c>
      <c r="DX195" s="90">
        <f t="shared" si="155"/>
        <v>32</v>
      </c>
      <c r="DY195" s="308">
        <f t="shared" si="153"/>
        <v>5.4000000000002456E-2</v>
      </c>
      <c r="DZ195" s="307">
        <f t="shared" si="156"/>
        <v>0.16000000000000103</v>
      </c>
      <c r="EA195" s="90">
        <f t="shared" si="163"/>
        <v>1.0601881037579683</v>
      </c>
      <c r="EB195" s="90">
        <f t="shared" si="164"/>
        <v>1.0601881037579683</v>
      </c>
      <c r="EC195" s="90">
        <f t="shared" si="165"/>
        <v>33</v>
      </c>
      <c r="ED195" s="308">
        <f t="shared" si="166"/>
        <v>5.4000000000000416E-2</v>
      </c>
      <c r="EE195" s="307">
        <f t="shared" si="157"/>
        <v>0.15999999999999692</v>
      </c>
      <c r="EF195" s="90">
        <f t="shared" si="167"/>
        <v>0.26196271203424443</v>
      </c>
      <c r="EG195" s="90">
        <f t="shared" si="168"/>
        <v>0.26196271203424443</v>
      </c>
      <c r="EH195" s="90">
        <f t="shared" si="158"/>
        <v>34</v>
      </c>
      <c r="EI195" s="308">
        <f t="shared" si="159"/>
        <v>5.3999999999998764E-2</v>
      </c>
    </row>
    <row r="196" spans="123:139" ht="12" customHeight="1" x14ac:dyDescent="0.2">
      <c r="DS196" s="307">
        <v>185</v>
      </c>
      <c r="DT196" s="50">
        <f t="shared" si="154"/>
        <v>0.15000000000000635</v>
      </c>
      <c r="DU196" s="90">
        <f t="shared" si="160"/>
        <v>0.80300234068936172</v>
      </c>
      <c r="DV196" s="90" t="e">
        <f t="shared" si="161"/>
        <v>#N/A</v>
      </c>
      <c r="DW196" s="90">
        <f t="shared" si="162"/>
        <v>0.80300234068936172</v>
      </c>
      <c r="DX196" s="90">
        <f t="shared" si="155"/>
        <v>32</v>
      </c>
      <c r="DY196" s="308">
        <f t="shared" si="153"/>
        <v>5.0000000000002542E-2</v>
      </c>
      <c r="DZ196" s="307">
        <f t="shared" si="156"/>
        <v>0.15000000000000102</v>
      </c>
      <c r="EA196" s="90">
        <f t="shared" si="163"/>
        <v>1.0630954299189235</v>
      </c>
      <c r="EB196" s="90">
        <f t="shared" si="164"/>
        <v>1.0630954299189235</v>
      </c>
      <c r="EC196" s="90">
        <f t="shared" si="165"/>
        <v>33</v>
      </c>
      <c r="ED196" s="308">
        <f t="shared" si="166"/>
        <v>5.0000000000000412E-2</v>
      </c>
      <c r="EE196" s="307">
        <f t="shared" si="157"/>
        <v>0.14999999999999702</v>
      </c>
      <c r="EF196" s="90">
        <f t="shared" si="167"/>
        <v>0.26450675016706493</v>
      </c>
      <c r="EG196" s="90">
        <f t="shared" si="168"/>
        <v>0.26450675016706493</v>
      </c>
      <c r="EH196" s="90">
        <f t="shared" si="158"/>
        <v>34</v>
      </c>
      <c r="EI196" s="308">
        <f t="shared" si="159"/>
        <v>4.9999999999998809E-2</v>
      </c>
    </row>
    <row r="197" spans="123:139" ht="12" customHeight="1" x14ac:dyDescent="0.2">
      <c r="DS197" s="307">
        <v>186</v>
      </c>
      <c r="DT197" s="50">
        <f t="shared" si="154"/>
        <v>0.14000000000000645</v>
      </c>
      <c r="DU197" s="90">
        <f t="shared" si="160"/>
        <v>0.80610741228735816</v>
      </c>
      <c r="DV197" s="90" t="e">
        <f t="shared" si="161"/>
        <v>#N/A</v>
      </c>
      <c r="DW197" s="90">
        <f t="shared" si="162"/>
        <v>0.80610741228735816</v>
      </c>
      <c r="DX197" s="90">
        <f t="shared" si="155"/>
        <v>32</v>
      </c>
      <c r="DY197" s="308">
        <f t="shared" si="153"/>
        <v>4.600000000000258E-2</v>
      </c>
      <c r="DZ197" s="307">
        <f t="shared" si="156"/>
        <v>0.14000000000000101</v>
      </c>
      <c r="EA197" s="90">
        <f t="shared" si="163"/>
        <v>1.0660027560798786</v>
      </c>
      <c r="EB197" s="90">
        <f t="shared" si="164"/>
        <v>1.0660027560798786</v>
      </c>
      <c r="EC197" s="90">
        <f t="shared" si="165"/>
        <v>33</v>
      </c>
      <c r="ED197" s="308">
        <f t="shared" si="166"/>
        <v>4.6000000000000409E-2</v>
      </c>
      <c r="EE197" s="307">
        <f t="shared" si="157"/>
        <v>0.13999999999999713</v>
      </c>
      <c r="EF197" s="90">
        <f t="shared" si="167"/>
        <v>0.26705078829988543</v>
      </c>
      <c r="EG197" s="90">
        <f t="shared" si="168"/>
        <v>0.26705078829988543</v>
      </c>
      <c r="EH197" s="90">
        <f t="shared" si="158"/>
        <v>34</v>
      </c>
      <c r="EI197" s="308">
        <f t="shared" si="159"/>
        <v>4.5999999999998854E-2</v>
      </c>
    </row>
    <row r="198" spans="123:139" ht="12" customHeight="1" x14ac:dyDescent="0.2">
      <c r="DS198" s="307">
        <v>187</v>
      </c>
      <c r="DT198" s="50">
        <f t="shared" si="154"/>
        <v>0.13000000000000655</v>
      </c>
      <c r="DU198" s="90">
        <f t="shared" si="160"/>
        <v>0.80921248388535461</v>
      </c>
      <c r="DV198" s="90" t="e">
        <f t="shared" si="161"/>
        <v>#N/A</v>
      </c>
      <c r="DW198" s="90">
        <f t="shared" si="162"/>
        <v>0.80921248388535461</v>
      </c>
      <c r="DX198" s="90">
        <f t="shared" si="155"/>
        <v>32</v>
      </c>
      <c r="DY198" s="308">
        <f t="shared" si="153"/>
        <v>4.2000000000002626E-2</v>
      </c>
      <c r="DZ198" s="307">
        <f t="shared" si="156"/>
        <v>0.130000000000001</v>
      </c>
      <c r="EA198" s="90">
        <f t="shared" si="163"/>
        <v>1.0689100822408337</v>
      </c>
      <c r="EB198" s="90">
        <f t="shared" si="164"/>
        <v>1.0689100822408337</v>
      </c>
      <c r="EC198" s="90">
        <f t="shared" si="165"/>
        <v>33</v>
      </c>
      <c r="ED198" s="308">
        <f t="shared" si="166"/>
        <v>4.2000000000000405E-2</v>
      </c>
      <c r="EE198" s="307">
        <f t="shared" si="157"/>
        <v>0.12999999999999723</v>
      </c>
      <c r="EF198" s="90">
        <f t="shared" si="167"/>
        <v>0.26959482643270594</v>
      </c>
      <c r="EG198" s="90">
        <f t="shared" si="168"/>
        <v>0.26959482643270594</v>
      </c>
      <c r="EH198" s="90">
        <f t="shared" si="158"/>
        <v>34</v>
      </c>
      <c r="EI198" s="308">
        <f t="shared" si="159"/>
        <v>4.1999999999998892E-2</v>
      </c>
    </row>
    <row r="199" spans="123:139" ht="12" customHeight="1" x14ac:dyDescent="0.2">
      <c r="DS199" s="307">
        <v>188</v>
      </c>
      <c r="DT199" s="50">
        <f t="shared" si="154"/>
        <v>0.12000000000000666</v>
      </c>
      <c r="DU199" s="90">
        <f t="shared" si="160"/>
        <v>0.81231755548335105</v>
      </c>
      <c r="DV199" s="90" t="e">
        <f t="shared" si="161"/>
        <v>#N/A</v>
      </c>
      <c r="DW199" s="90">
        <f t="shared" si="162"/>
        <v>0.81231755548335105</v>
      </c>
      <c r="DX199" s="90">
        <f t="shared" si="155"/>
        <v>32</v>
      </c>
      <c r="DY199" s="308">
        <f t="shared" si="153"/>
        <v>3.8000000000002664E-2</v>
      </c>
      <c r="DZ199" s="307">
        <f t="shared" si="156"/>
        <v>0.12000000000000111</v>
      </c>
      <c r="EA199" s="90">
        <f t="shared" si="163"/>
        <v>1.0718174084017889</v>
      </c>
      <c r="EB199" s="90">
        <f t="shared" si="164"/>
        <v>1.0718174084017889</v>
      </c>
      <c r="EC199" s="90">
        <f t="shared" si="165"/>
        <v>33</v>
      </c>
      <c r="ED199" s="308">
        <f t="shared" si="166"/>
        <v>3.8000000000000443E-2</v>
      </c>
      <c r="EE199" s="307">
        <f t="shared" si="157"/>
        <v>0.11999999999999722</v>
      </c>
      <c r="EF199" s="90">
        <f t="shared" si="167"/>
        <v>0.27213886456552644</v>
      </c>
      <c r="EG199" s="90">
        <f t="shared" si="168"/>
        <v>0.27213886456552644</v>
      </c>
      <c r="EH199" s="90">
        <f t="shared" si="158"/>
        <v>34</v>
      </c>
      <c r="EI199" s="308">
        <f t="shared" si="159"/>
        <v>3.7999999999998889E-2</v>
      </c>
    </row>
    <row r="200" spans="123:139" ht="12" customHeight="1" x14ac:dyDescent="0.2">
      <c r="DS200" s="307">
        <v>189</v>
      </c>
      <c r="DT200" s="50">
        <f t="shared" si="154"/>
        <v>0.11000000000000676</v>
      </c>
      <c r="DU200" s="90">
        <f t="shared" si="160"/>
        <v>0.8154226270813475</v>
      </c>
      <c r="DV200" s="90" t="e">
        <f t="shared" si="161"/>
        <v>#N/A</v>
      </c>
      <c r="DW200" s="90">
        <f t="shared" si="162"/>
        <v>0.8154226270813475</v>
      </c>
      <c r="DX200" s="90">
        <f t="shared" si="155"/>
        <v>32</v>
      </c>
      <c r="DY200" s="308">
        <f t="shared" si="153"/>
        <v>3.4000000000002702E-2</v>
      </c>
      <c r="DZ200" s="307">
        <f t="shared" si="156"/>
        <v>0.1100000000000011</v>
      </c>
      <c r="EA200" s="90">
        <f t="shared" si="163"/>
        <v>1.074724734562744</v>
      </c>
      <c r="EB200" s="90">
        <f t="shared" si="164"/>
        <v>1.074724734562744</v>
      </c>
      <c r="EC200" s="90">
        <f t="shared" si="165"/>
        <v>33</v>
      </c>
      <c r="ED200" s="308">
        <f t="shared" si="166"/>
        <v>3.400000000000044E-2</v>
      </c>
      <c r="EE200" s="307">
        <f t="shared" si="157"/>
        <v>0.10999999999999732</v>
      </c>
      <c r="EF200" s="90">
        <f t="shared" si="167"/>
        <v>0.27468290269834694</v>
      </c>
      <c r="EG200" s="90">
        <f t="shared" si="168"/>
        <v>0.27468290269834694</v>
      </c>
      <c r="EH200" s="90">
        <f t="shared" si="158"/>
        <v>34</v>
      </c>
      <c r="EI200" s="308">
        <f t="shared" si="159"/>
        <v>3.3999999999998927E-2</v>
      </c>
    </row>
    <row r="201" spans="123:139" ht="12" customHeight="1" x14ac:dyDescent="0.2">
      <c r="DS201" s="307">
        <v>190</v>
      </c>
      <c r="DT201" s="50">
        <f t="shared" si="154"/>
        <v>0.10000000000000686</v>
      </c>
      <c r="DU201" s="90">
        <f t="shared" si="160"/>
        <v>0.81852769867934394</v>
      </c>
      <c r="DV201" s="90" t="e">
        <f t="shared" si="161"/>
        <v>#N/A</v>
      </c>
      <c r="DW201" s="90">
        <f t="shared" si="162"/>
        <v>0.81852769867934394</v>
      </c>
      <c r="DX201" s="90">
        <f t="shared" si="155"/>
        <v>32</v>
      </c>
      <c r="DY201" s="308">
        <f t="shared" si="153"/>
        <v>3.0000000000002747E-2</v>
      </c>
      <c r="DZ201" s="307">
        <f t="shared" si="156"/>
        <v>0.10000000000000109</v>
      </c>
      <c r="EA201" s="90">
        <f t="shared" si="163"/>
        <v>1.0776320607236991</v>
      </c>
      <c r="EB201" s="90">
        <f t="shared" si="164"/>
        <v>1.0776320607236991</v>
      </c>
      <c r="EC201" s="90">
        <f t="shared" si="165"/>
        <v>33</v>
      </c>
      <c r="ED201" s="308">
        <f t="shared" si="166"/>
        <v>3.0000000000000436E-2</v>
      </c>
      <c r="EE201" s="307">
        <f t="shared" si="157"/>
        <v>9.9999999999997424E-2</v>
      </c>
      <c r="EF201" s="90">
        <f t="shared" si="167"/>
        <v>0.27722694083116745</v>
      </c>
      <c r="EG201" s="90">
        <f t="shared" si="168"/>
        <v>0.27722694083116745</v>
      </c>
      <c r="EH201" s="90">
        <f t="shared" si="158"/>
        <v>34</v>
      </c>
      <c r="EI201" s="308">
        <f t="shared" si="159"/>
        <v>2.9999999999998972E-2</v>
      </c>
    </row>
    <row r="202" spans="123:139" ht="12" customHeight="1" x14ac:dyDescent="0.2">
      <c r="DS202" s="307">
        <v>191</v>
      </c>
      <c r="DT202" s="50">
        <f t="shared" si="154"/>
        <v>9.0000000000006963E-2</v>
      </c>
      <c r="DU202" s="90">
        <f t="shared" si="160"/>
        <v>0.82163277027734039</v>
      </c>
      <c r="DV202" s="90" t="e">
        <f t="shared" si="161"/>
        <v>#N/A</v>
      </c>
      <c r="DW202" s="90">
        <f t="shared" si="162"/>
        <v>0.82163277027734039</v>
      </c>
      <c r="DX202" s="90">
        <f t="shared" si="155"/>
        <v>32</v>
      </c>
      <c r="DY202" s="308">
        <f t="shared" si="153"/>
        <v>2.6000000000002785E-2</v>
      </c>
      <c r="DZ202" s="307">
        <f t="shared" si="156"/>
        <v>9.0000000000001079E-2</v>
      </c>
      <c r="EA202" s="90">
        <f t="shared" si="163"/>
        <v>1.0805393868846542</v>
      </c>
      <c r="EB202" s="90">
        <f t="shared" si="164"/>
        <v>1.0805393868846542</v>
      </c>
      <c r="EC202" s="90">
        <f t="shared" si="165"/>
        <v>33</v>
      </c>
      <c r="ED202" s="308">
        <f t="shared" si="166"/>
        <v>2.6000000000000432E-2</v>
      </c>
      <c r="EE202" s="307">
        <f t="shared" si="157"/>
        <v>8.9999999999997526E-2</v>
      </c>
      <c r="EF202" s="90">
        <f t="shared" si="167"/>
        <v>0.27977097896398795</v>
      </c>
      <c r="EG202" s="90">
        <f t="shared" si="168"/>
        <v>0.27977097896398795</v>
      </c>
      <c r="EH202" s="90">
        <f t="shared" si="158"/>
        <v>34</v>
      </c>
      <c r="EI202" s="308">
        <f t="shared" si="159"/>
        <v>2.599999999999901E-2</v>
      </c>
    </row>
    <row r="203" spans="123:139" ht="12" customHeight="1" x14ac:dyDescent="0.2">
      <c r="DS203" s="307">
        <v>192</v>
      </c>
      <c r="DT203" s="50">
        <f t="shared" si="154"/>
        <v>8.0000000000007065E-2</v>
      </c>
      <c r="DU203" s="90">
        <f t="shared" si="160"/>
        <v>0.82473784187533683</v>
      </c>
      <c r="DV203" s="90" t="e">
        <f t="shared" si="161"/>
        <v>#N/A</v>
      </c>
      <c r="DW203" s="90">
        <f t="shared" si="162"/>
        <v>0.82473784187533683</v>
      </c>
      <c r="DX203" s="90">
        <f t="shared" si="155"/>
        <v>32</v>
      </c>
      <c r="DY203" s="308">
        <f t="shared" ref="DY203:DY211" si="169">MAX($DV$3*DT203-$DV$9,0)</f>
        <v>2.2000000000002823E-2</v>
      </c>
      <c r="DZ203" s="307">
        <f t="shared" si="156"/>
        <v>8.000000000000107E-2</v>
      </c>
      <c r="EA203" s="90">
        <f t="shared" si="163"/>
        <v>1.0834467130456094</v>
      </c>
      <c r="EB203" s="90">
        <f t="shared" si="164"/>
        <v>1.0834467130456094</v>
      </c>
      <c r="EC203" s="90">
        <f t="shared" si="165"/>
        <v>33</v>
      </c>
      <c r="ED203" s="308">
        <f t="shared" si="166"/>
        <v>2.2000000000000429E-2</v>
      </c>
      <c r="EE203" s="307">
        <f t="shared" si="157"/>
        <v>7.9999999999997629E-2</v>
      </c>
      <c r="EF203" s="90">
        <f t="shared" si="167"/>
        <v>0.28231501709680845</v>
      </c>
      <c r="EG203" s="90">
        <f t="shared" si="168"/>
        <v>0.28231501709680845</v>
      </c>
      <c r="EH203" s="90">
        <f t="shared" si="158"/>
        <v>34</v>
      </c>
      <c r="EI203" s="308">
        <f t="shared" si="159"/>
        <v>2.1999999999999048E-2</v>
      </c>
    </row>
    <row r="204" spans="123:139" ht="12" customHeight="1" x14ac:dyDescent="0.2">
      <c r="DS204" s="307">
        <v>193</v>
      </c>
      <c r="DT204" s="50">
        <f t="shared" ref="DT204:DT211" si="170">1-ABS($CR$41-DW204)/$CT$40</f>
        <v>7.0000000000007279E-2</v>
      </c>
      <c r="DU204" s="90">
        <f t="shared" si="160"/>
        <v>0.82784291347333328</v>
      </c>
      <c r="DV204" s="90" t="e">
        <f t="shared" si="161"/>
        <v>#N/A</v>
      </c>
      <c r="DW204" s="90">
        <f t="shared" si="162"/>
        <v>0.82784291347333328</v>
      </c>
      <c r="DX204" s="90">
        <f t="shared" ref="DX204:DX211" si="171">DX203</f>
        <v>32</v>
      </c>
      <c r="DY204" s="308">
        <f t="shared" si="169"/>
        <v>1.800000000000291E-2</v>
      </c>
      <c r="DZ204" s="307">
        <f t="shared" ref="DZ204:DZ211" si="172">1-ABS($CN$77-EB204)/$CS$77</f>
        <v>7.0000000000001061E-2</v>
      </c>
      <c r="EA204" s="90">
        <f t="shared" si="163"/>
        <v>1.0863540392065645</v>
      </c>
      <c r="EB204" s="90">
        <f t="shared" si="164"/>
        <v>1.0863540392065645</v>
      </c>
      <c r="EC204" s="90">
        <f t="shared" si="165"/>
        <v>33</v>
      </c>
      <c r="ED204" s="308">
        <f t="shared" si="166"/>
        <v>1.8000000000000425E-2</v>
      </c>
      <c r="EE204" s="307">
        <f t="shared" ref="EE204:EE211" si="173">1-ABS($CN$114-EG204)/$CS$114</f>
        <v>6.999999999999762E-2</v>
      </c>
      <c r="EF204" s="90">
        <f t="shared" si="167"/>
        <v>0.28485905522962895</v>
      </c>
      <c r="EG204" s="90">
        <f t="shared" si="168"/>
        <v>0.28485905522962895</v>
      </c>
      <c r="EH204" s="90">
        <f t="shared" ref="EH204:EH211" si="174">EH203</f>
        <v>34</v>
      </c>
      <c r="EI204" s="308">
        <f t="shared" ref="EI204:EI211" si="175">MAX($EH$3*EE204-$EF$9,0)</f>
        <v>1.7999999999999051E-2</v>
      </c>
    </row>
    <row r="205" spans="123:139" ht="12" customHeight="1" x14ac:dyDescent="0.2">
      <c r="DS205" s="307">
        <v>194</v>
      </c>
      <c r="DT205" s="50">
        <f t="shared" si="170"/>
        <v>6.0000000000007381E-2</v>
      </c>
      <c r="DU205" s="90">
        <f t="shared" ref="DU205:DU211" si="176">IF(AND($CJ$5,$CY$4,$CZ$2),DW204+$DV$8,NA())</f>
        <v>0.83094798507132972</v>
      </c>
      <c r="DV205" s="90" t="e">
        <f t="shared" ref="DV205:DV211" si="177">IF(AND(NOT($CJ$5),$CY$4),DW204+$DV$8,NA())</f>
        <v>#N/A</v>
      </c>
      <c r="DW205" s="90">
        <f t="shared" ref="DW205:DW211" si="178">IF($CY$4,DW204+$DV$8,NA())</f>
        <v>0.83094798507132972</v>
      </c>
      <c r="DX205" s="90">
        <f t="shared" si="171"/>
        <v>32</v>
      </c>
      <c r="DY205" s="308">
        <f t="shared" si="169"/>
        <v>1.4000000000002953E-2</v>
      </c>
      <c r="DZ205" s="307">
        <f t="shared" si="172"/>
        <v>6.0000000000001052E-2</v>
      </c>
      <c r="EA205" s="90">
        <f t="shared" ref="EA205:EA211" si="179">IF(AND($CJ$5,$CY$4),EB204+$EA$8,NA())</f>
        <v>1.0892613653675196</v>
      </c>
      <c r="EB205" s="90">
        <f t="shared" ref="EB205:EB211" si="180">IF($CY$4,EB204+$EA$8,NA())</f>
        <v>1.0892613653675196</v>
      </c>
      <c r="EC205" s="90">
        <f t="shared" ref="EC205:EC211" si="181">EC204</f>
        <v>33</v>
      </c>
      <c r="ED205" s="308">
        <f t="shared" ref="ED205:ED211" si="182">MAX($EC$3*DZ205-$EA$9,0)</f>
        <v>1.4000000000000424E-2</v>
      </c>
      <c r="EE205" s="307">
        <f t="shared" si="173"/>
        <v>5.9999999999997722E-2</v>
      </c>
      <c r="EF205" s="90">
        <f t="shared" ref="EF205:EF211" si="183">IF(AND($CJ$5,$CY$4),EG204+$EF$8,NA())</f>
        <v>0.28740309336244946</v>
      </c>
      <c r="EG205" s="90">
        <f t="shared" ref="EG205:EG211" si="184">IF($CY$4,EG204+$EF$8,NA())</f>
        <v>0.28740309336244946</v>
      </c>
      <c r="EH205" s="90">
        <f t="shared" si="174"/>
        <v>34</v>
      </c>
      <c r="EI205" s="308">
        <f t="shared" si="175"/>
        <v>1.3999999999999091E-2</v>
      </c>
    </row>
    <row r="206" spans="123:139" ht="12" customHeight="1" x14ac:dyDescent="0.2">
      <c r="DS206" s="307">
        <v>195</v>
      </c>
      <c r="DT206" s="50">
        <f t="shared" si="170"/>
        <v>5.0000000000007483E-2</v>
      </c>
      <c r="DU206" s="90">
        <f t="shared" si="176"/>
        <v>0.83405305666932616</v>
      </c>
      <c r="DV206" s="90" t="e">
        <f t="shared" si="177"/>
        <v>#N/A</v>
      </c>
      <c r="DW206" s="90">
        <f t="shared" si="178"/>
        <v>0.83405305666932616</v>
      </c>
      <c r="DX206" s="90">
        <f t="shared" si="171"/>
        <v>32</v>
      </c>
      <c r="DY206" s="308">
        <f t="shared" si="169"/>
        <v>1.0000000000002994E-2</v>
      </c>
      <c r="DZ206" s="307">
        <f t="shared" si="172"/>
        <v>5.0000000000001155E-2</v>
      </c>
      <c r="EA206" s="90">
        <f t="shared" si="179"/>
        <v>1.0921686915284747</v>
      </c>
      <c r="EB206" s="90">
        <f t="shared" si="180"/>
        <v>1.0921686915284747</v>
      </c>
      <c r="EC206" s="90">
        <f t="shared" si="181"/>
        <v>33</v>
      </c>
      <c r="ED206" s="308">
        <f t="shared" si="182"/>
        <v>1.0000000000000462E-2</v>
      </c>
      <c r="EE206" s="307">
        <f t="shared" si="173"/>
        <v>4.9999999999997824E-2</v>
      </c>
      <c r="EF206" s="90">
        <f t="shared" si="183"/>
        <v>0.28994713149526996</v>
      </c>
      <c r="EG206" s="90">
        <f t="shared" si="184"/>
        <v>0.28994713149526996</v>
      </c>
      <c r="EH206" s="90">
        <f t="shared" si="174"/>
        <v>34</v>
      </c>
      <c r="EI206" s="308">
        <f t="shared" si="175"/>
        <v>9.9999999999991294E-3</v>
      </c>
    </row>
    <row r="207" spans="123:139" ht="12" customHeight="1" x14ac:dyDescent="0.2">
      <c r="DS207" s="307">
        <v>196</v>
      </c>
      <c r="DT207" s="50">
        <f t="shared" si="170"/>
        <v>4.0000000000007585E-2</v>
      </c>
      <c r="DU207" s="90">
        <f t="shared" si="176"/>
        <v>0.83715812826732261</v>
      </c>
      <c r="DV207" s="90" t="e">
        <f t="shared" si="177"/>
        <v>#N/A</v>
      </c>
      <c r="DW207" s="90">
        <f t="shared" si="178"/>
        <v>0.83715812826732261</v>
      </c>
      <c r="DX207" s="90">
        <f t="shared" si="171"/>
        <v>32</v>
      </c>
      <c r="DY207" s="308">
        <f t="shared" si="169"/>
        <v>6.0000000000030359E-3</v>
      </c>
      <c r="DZ207" s="307">
        <f t="shared" si="172"/>
        <v>4.0000000000001146E-2</v>
      </c>
      <c r="EA207" s="90">
        <f t="shared" si="179"/>
        <v>1.0950760176894299</v>
      </c>
      <c r="EB207" s="90">
        <f t="shared" si="180"/>
        <v>1.0950760176894299</v>
      </c>
      <c r="EC207" s="90">
        <f t="shared" si="181"/>
        <v>33</v>
      </c>
      <c r="ED207" s="308">
        <f t="shared" si="182"/>
        <v>6.0000000000004581E-3</v>
      </c>
      <c r="EE207" s="307">
        <f t="shared" si="173"/>
        <v>3.9999999999997926E-2</v>
      </c>
      <c r="EF207" s="90">
        <f t="shared" si="183"/>
        <v>0.29249116962809046</v>
      </c>
      <c r="EG207" s="90">
        <f t="shared" si="184"/>
        <v>0.29249116962809046</v>
      </c>
      <c r="EH207" s="90">
        <f t="shared" si="174"/>
        <v>34</v>
      </c>
      <c r="EI207" s="308">
        <f t="shared" si="175"/>
        <v>5.9999999999991709E-3</v>
      </c>
    </row>
    <row r="208" spans="123:139" ht="12" customHeight="1" x14ac:dyDescent="0.2">
      <c r="DS208" s="307">
        <v>197</v>
      </c>
      <c r="DT208" s="50">
        <f t="shared" si="170"/>
        <v>3.0000000000007687E-2</v>
      </c>
      <c r="DU208" s="90">
        <f t="shared" si="176"/>
        <v>0.84026319986531905</v>
      </c>
      <c r="DV208" s="90" t="e">
        <f t="shared" si="177"/>
        <v>#N/A</v>
      </c>
      <c r="DW208" s="90">
        <f t="shared" si="178"/>
        <v>0.84026319986531905</v>
      </c>
      <c r="DX208" s="90">
        <f t="shared" si="171"/>
        <v>32</v>
      </c>
      <c r="DY208" s="308">
        <f t="shared" si="169"/>
        <v>2.0000000000030757E-3</v>
      </c>
      <c r="DZ208" s="307">
        <f t="shared" si="172"/>
        <v>3.0000000000001137E-2</v>
      </c>
      <c r="EA208" s="90">
        <f t="shared" si="179"/>
        <v>1.097983343850385</v>
      </c>
      <c r="EB208" s="90">
        <f t="shared" si="180"/>
        <v>1.097983343850385</v>
      </c>
      <c r="EC208" s="90">
        <f t="shared" si="181"/>
        <v>33</v>
      </c>
      <c r="ED208" s="308">
        <f t="shared" si="182"/>
        <v>2.0000000000004545E-3</v>
      </c>
      <c r="EE208" s="307">
        <f t="shared" si="173"/>
        <v>2.9999999999998028E-2</v>
      </c>
      <c r="EF208" s="90">
        <f t="shared" si="183"/>
        <v>0.29503520776091097</v>
      </c>
      <c r="EG208" s="90">
        <f t="shared" si="184"/>
        <v>0.29503520776091097</v>
      </c>
      <c r="EH208" s="90">
        <f t="shared" si="174"/>
        <v>34</v>
      </c>
      <c r="EI208" s="308">
        <f t="shared" si="175"/>
        <v>1.9999999999992125E-3</v>
      </c>
    </row>
    <row r="209" spans="123:139" ht="12" customHeight="1" x14ac:dyDescent="0.2">
      <c r="DS209" s="307">
        <v>198</v>
      </c>
      <c r="DT209" s="50">
        <f t="shared" si="170"/>
        <v>2.0000000000007789E-2</v>
      </c>
      <c r="DU209" s="90">
        <f t="shared" si="176"/>
        <v>0.8433682714633155</v>
      </c>
      <c r="DV209" s="90" t="e">
        <f t="shared" si="177"/>
        <v>#N/A</v>
      </c>
      <c r="DW209" s="90">
        <f t="shared" si="178"/>
        <v>0.8433682714633155</v>
      </c>
      <c r="DX209" s="90">
        <f t="shared" si="171"/>
        <v>32</v>
      </c>
      <c r="DY209" s="308">
        <f t="shared" si="169"/>
        <v>0</v>
      </c>
      <c r="DZ209" s="307">
        <f t="shared" si="172"/>
        <v>2.0000000000001128E-2</v>
      </c>
      <c r="EA209" s="90">
        <f t="shared" si="179"/>
        <v>1.1008906700113401</v>
      </c>
      <c r="EB209" s="90">
        <f t="shared" si="180"/>
        <v>1.1008906700113401</v>
      </c>
      <c r="EC209" s="90">
        <f t="shared" si="181"/>
        <v>33</v>
      </c>
      <c r="ED209" s="308">
        <f t="shared" si="182"/>
        <v>0</v>
      </c>
      <c r="EE209" s="307">
        <f t="shared" si="173"/>
        <v>1.999999999999813E-2</v>
      </c>
      <c r="EF209" s="90">
        <f t="shared" si="183"/>
        <v>0.29757924589373147</v>
      </c>
      <c r="EG209" s="90">
        <f t="shared" si="184"/>
        <v>0.29757924589373147</v>
      </c>
      <c r="EH209" s="90">
        <f t="shared" si="174"/>
        <v>34</v>
      </c>
      <c r="EI209" s="308">
        <f t="shared" si="175"/>
        <v>0</v>
      </c>
    </row>
    <row r="210" spans="123:139" ht="12" customHeight="1" x14ac:dyDescent="0.2">
      <c r="DS210" s="307">
        <v>199</v>
      </c>
      <c r="DT210" s="50">
        <f t="shared" si="170"/>
        <v>1.0000000000007891E-2</v>
      </c>
      <c r="DU210" s="90">
        <f t="shared" si="176"/>
        <v>0.84647334306131194</v>
      </c>
      <c r="DV210" s="90" t="e">
        <f t="shared" si="177"/>
        <v>#N/A</v>
      </c>
      <c r="DW210" s="90">
        <f t="shared" si="178"/>
        <v>0.84647334306131194</v>
      </c>
      <c r="DX210" s="90">
        <f t="shared" si="171"/>
        <v>32</v>
      </c>
      <c r="DY210" s="308">
        <f t="shared" si="169"/>
        <v>0</v>
      </c>
      <c r="DZ210" s="307">
        <f t="shared" si="172"/>
        <v>1.0000000000001119E-2</v>
      </c>
      <c r="EA210" s="90">
        <f t="shared" si="179"/>
        <v>1.1037979961722952</v>
      </c>
      <c r="EB210" s="90">
        <f t="shared" si="180"/>
        <v>1.1037979961722952</v>
      </c>
      <c r="EC210" s="90">
        <f t="shared" si="181"/>
        <v>33</v>
      </c>
      <c r="ED210" s="308">
        <f t="shared" si="182"/>
        <v>0</v>
      </c>
      <c r="EE210" s="307">
        <f t="shared" si="173"/>
        <v>9.9999999999981215E-3</v>
      </c>
      <c r="EF210" s="90">
        <f t="shared" si="183"/>
        <v>0.30012328402655197</v>
      </c>
      <c r="EG210" s="90">
        <f t="shared" si="184"/>
        <v>0.30012328402655197</v>
      </c>
      <c r="EH210" s="90">
        <f t="shared" si="174"/>
        <v>34</v>
      </c>
      <c r="EI210" s="308">
        <f t="shared" si="175"/>
        <v>0</v>
      </c>
    </row>
    <row r="211" spans="123:139" ht="12" customHeight="1" x14ac:dyDescent="0.2">
      <c r="DS211" s="307">
        <v>200</v>
      </c>
      <c r="DT211" s="50">
        <f t="shared" si="170"/>
        <v>7.9936057773011271E-15</v>
      </c>
      <c r="DU211" s="90">
        <f t="shared" si="176"/>
        <v>0.84957841465930839</v>
      </c>
      <c r="DV211" s="90" t="e">
        <f t="shared" si="177"/>
        <v>#N/A</v>
      </c>
      <c r="DW211" s="90">
        <f t="shared" si="178"/>
        <v>0.84957841465930839</v>
      </c>
      <c r="DX211" s="90">
        <f t="shared" si="171"/>
        <v>32</v>
      </c>
      <c r="DY211" s="308">
        <f t="shared" si="169"/>
        <v>0</v>
      </c>
      <c r="DZ211" s="307">
        <f t="shared" si="172"/>
        <v>0</v>
      </c>
      <c r="EA211" s="90">
        <f t="shared" si="179"/>
        <v>1.1067053223332504</v>
      </c>
      <c r="EB211" s="90">
        <f t="shared" si="180"/>
        <v>1.1067053223332504</v>
      </c>
      <c r="EC211" s="90">
        <f t="shared" si="181"/>
        <v>33</v>
      </c>
      <c r="ED211" s="308">
        <f t="shared" si="182"/>
        <v>0</v>
      </c>
      <c r="EE211" s="307">
        <f t="shared" si="173"/>
        <v>-1.7763568394002505E-15</v>
      </c>
      <c r="EF211" s="90">
        <f t="shared" si="183"/>
        <v>0.30266732215937248</v>
      </c>
      <c r="EG211" s="90">
        <f t="shared" si="184"/>
        <v>0.30266732215937248</v>
      </c>
      <c r="EH211" s="90">
        <f t="shared" si="174"/>
        <v>34</v>
      </c>
      <c r="EI211" s="308">
        <f t="shared" si="175"/>
        <v>0</v>
      </c>
    </row>
  </sheetData>
  <sheetProtection sheet="1" objects="1" scenarios="1" selectLockedCells="1"/>
  <mergeCells count="4">
    <mergeCell ref="W39:X39"/>
    <mergeCell ref="AE6:AG6"/>
    <mergeCell ref="AW5:AX5"/>
    <mergeCell ref="AW6:AX6"/>
  </mergeCells>
  <phoneticPr fontId="2" type="noConversion"/>
  <conditionalFormatting sqref="AB8:AB37">
    <cfRule type="cellIs" dxfId="24" priority="1" stopIfTrue="1" operator="between">
      <formula>BY8</formula>
      <formula>BZ8</formula>
    </cfRule>
    <cfRule type="cellIs" dxfId="23" priority="2" stopIfTrue="1" operator="greaterThan">
      <formula>BY8</formula>
    </cfRule>
    <cfRule type="cellIs" dxfId="22" priority="3" stopIfTrue="1" operator="lessThan">
      <formula>BY8</formula>
    </cfRule>
  </conditionalFormatting>
  <conditionalFormatting sqref="V9:V37">
    <cfRule type="cellIs" dxfId="21" priority="4" stopIfTrue="1" operator="lessThan">
      <formula>CA9</formula>
    </cfRule>
  </conditionalFormatting>
  <conditionalFormatting sqref="Y9:Y37">
    <cfRule type="cellIs" dxfId="20" priority="5" stopIfTrue="1" operator="lessThan">
      <formula>CA9</formula>
    </cfRule>
  </conditionalFormatting>
  <conditionalFormatting sqref="Z9:Z37">
    <cfRule type="cellIs" dxfId="19" priority="6" stopIfTrue="1" operator="lessThan">
      <formula>CA9</formula>
    </cfRule>
  </conditionalFormatting>
  <conditionalFormatting sqref="W9:W37">
    <cfRule type="cellIs" dxfId="18" priority="7" stopIfTrue="1" operator="lessThan">
      <formula>CA9</formula>
    </cfRule>
    <cfRule type="cellIs" dxfId="17" priority="8" stopIfTrue="1" operator="equal">
      <formula>""</formula>
    </cfRule>
    <cfRule type="cellIs" dxfId="16" priority="9" stopIfTrue="1" operator="lessThan">
      <formula>$CL$4</formula>
    </cfRule>
  </conditionalFormatting>
  <conditionalFormatting sqref="AI8:AI37">
    <cfRule type="cellIs" dxfId="15" priority="10" stopIfTrue="1" operator="between">
      <formula>CB8</formula>
      <formula>CC8</formula>
    </cfRule>
    <cfRule type="cellIs" dxfId="14" priority="11" stopIfTrue="1" operator="lessThan">
      <formula>CB8</formula>
    </cfRule>
    <cfRule type="cellIs" dxfId="13" priority="12" stopIfTrue="1" operator="greaterThan">
      <formula>CB8</formula>
    </cfRule>
  </conditionalFormatting>
  <conditionalFormatting sqref="X9:X37">
    <cfRule type="cellIs" dxfId="12" priority="13" stopIfTrue="1" operator="lessThan">
      <formula>CA9</formula>
    </cfRule>
    <cfRule type="cellIs" dxfId="11" priority="14" stopIfTrue="1" operator="equal">
      <formula>""</formula>
    </cfRule>
    <cfRule type="cellIs" dxfId="10" priority="15" stopIfTrue="1" operator="greaterThan">
      <formula>$CL$4</formula>
    </cfRule>
  </conditionalFormatting>
  <conditionalFormatting sqref="T42 T40 T8">
    <cfRule type="cellIs" dxfId="9" priority="16" stopIfTrue="1" operator="equal">
      <formula>"ns"</formula>
    </cfRule>
    <cfRule type="cellIs" dxfId="8" priority="17" stopIfTrue="1" operator="equal">
      <formula>"?"</formula>
    </cfRule>
  </conditionalFormatting>
  <conditionalFormatting sqref="W8">
    <cfRule type="cellIs" dxfId="7" priority="18" stopIfTrue="1" operator="equal">
      <formula>""</formula>
    </cfRule>
    <cfRule type="cellIs" dxfId="6" priority="19" stopIfTrue="1" operator="lessThan">
      <formula>$CL$4</formula>
    </cfRule>
  </conditionalFormatting>
  <conditionalFormatting sqref="X8">
    <cfRule type="cellIs" dxfId="5" priority="20" stopIfTrue="1" operator="equal">
      <formula>""</formula>
    </cfRule>
    <cfRule type="cellIs" dxfId="4" priority="21" stopIfTrue="1" operator="greaterThan">
      <formula>$CL$4</formula>
    </cfRule>
  </conditionalFormatting>
  <conditionalFormatting sqref="W7 W38">
    <cfRule type="cellIs" dxfId="3" priority="22" stopIfTrue="1" operator="lessThan">
      <formula>$CM$4</formula>
    </cfRule>
  </conditionalFormatting>
  <conditionalFormatting sqref="X7 X38">
    <cfRule type="cellIs" dxfId="2" priority="23" stopIfTrue="1" operator="greaterThan">
      <formula>$CM$4</formula>
    </cfRule>
  </conditionalFormatting>
  <dataValidations count="5">
    <dataValidation type="decimal" allowBlank="1" showErrorMessage="1" errorTitle="Confidence level" error="Number, min 0, max 99.9" sqref="AA2">
      <formula1>0</formula1>
      <formula2>99.9</formula2>
    </dataValidation>
    <dataValidation type="decimal" showErrorMessage="1" errorTitle="Reference value for mean" error="Must be a number" sqref="CO4">
      <formula1>-999999999999</formula1>
      <formula2>999999999999</formula2>
    </dataValidation>
    <dataValidation type="whole" allowBlank="1" showErrorMessage="1" errorTitle="Sample size" error="Integer, min 2, max 500_x000a_(or press Delete for Blank)" sqref="AB40">
      <formula1>2</formula1>
      <formula2>500</formula2>
    </dataValidation>
    <dataValidation type="whole" allowBlank="1" showErrorMessage="1" errorTitle="Sample size" error="Integer, min 6, max 196_x000a_(or press Delete for Blank)_x000a_Sum of N1 and N2 must be no more than 202, so degrees of freedom is not more than 200." sqref="Y8:Z37">
      <formula1>6</formula1>
      <formula2>196</formula2>
    </dataValidation>
    <dataValidation type="decimal" allowBlank="1" showInputMessage="1" showErrorMessage="1" error="Number, min -8, max+8" sqref="W8:X37">
      <formula1>-8</formula1>
      <formula2>8</formula2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aint.Picture" shapeId="198710" r:id="rId4">
          <objectPr defaultSize="0" autoPict="0" r:id="rId5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17</xdr:col>
                <xdr:colOff>0</xdr:colOff>
                <xdr:row>52</xdr:row>
                <xdr:rowOff>9525</xdr:rowOff>
              </to>
            </anchor>
          </objectPr>
        </oleObject>
      </mc:Choice>
      <mc:Fallback>
        <oleObject progId="Paint.Picture" shapeId="198710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8" r:id="rId6" name="Option Button 2">
              <controlPr defaultSize="0" autoFill="0" autoLine="0" autoPict="0">
                <anchor moveWithCells="1">
                  <from>
                    <xdr:col>22</xdr:col>
                    <xdr:colOff>200025</xdr:colOff>
                    <xdr:row>45</xdr:row>
                    <xdr:rowOff>114300</xdr:rowOff>
                  </from>
                  <to>
                    <xdr:col>23</xdr:col>
                    <xdr:colOff>123825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0" r:id="rId7" name="Spinner 4">
              <controlPr defaultSize="0" autoPict="0">
                <anchor moveWithCells="1">
                  <from>
                    <xdr:col>27</xdr:col>
                    <xdr:colOff>9525</xdr:colOff>
                    <xdr:row>0</xdr:row>
                    <xdr:rowOff>104775</xdr:rowOff>
                  </from>
                  <to>
                    <xdr:col>27</xdr:col>
                    <xdr:colOff>152400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1" r:id="rId8" name="Check Box 5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133350</xdr:rowOff>
                  </from>
                  <to>
                    <xdr:col>17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4" r:id="rId9" name="Check Box 8">
              <controlPr defaultSize="0" autoFill="0" autoLine="0" autoPict="0">
                <anchor moveWithCells="1">
                  <from>
                    <xdr:col>35</xdr:col>
                    <xdr:colOff>19050</xdr:colOff>
                    <xdr:row>0</xdr:row>
                    <xdr:rowOff>123825</xdr:rowOff>
                  </from>
                  <to>
                    <xdr:col>36</xdr:col>
                    <xdr:colOff>133350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9" r:id="rId10" name="Check Box 13">
              <controlPr defaultSize="0" autoFill="0" autoLine="0" autoPict="0">
                <anchor moveWithCells="1">
                  <from>
                    <xdr:col>22</xdr:col>
                    <xdr:colOff>0</xdr:colOff>
                    <xdr:row>2</xdr:row>
                    <xdr:rowOff>114300</xdr:rowOff>
                  </from>
                  <to>
                    <xdr:col>22</xdr:col>
                    <xdr:colOff>304800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6" r:id="rId11" name="Option Button 20">
              <controlPr defaultSize="0" autoFill="0" autoLine="0" autoPict="0">
                <anchor moveWithCells="1">
                  <from>
                    <xdr:col>22</xdr:col>
                    <xdr:colOff>200025</xdr:colOff>
                    <xdr:row>47</xdr:row>
                    <xdr:rowOff>114300</xdr:rowOff>
                  </from>
                  <to>
                    <xdr:col>23</xdr:col>
                    <xdr:colOff>123825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9" r:id="rId12" name="Button 53">
              <controlPr defaultSize="0" print="0" autoFill="0" autoPict="0" macro="[0]!calccids">
                <anchor moveWithCells="1">
                  <from>
                    <xdr:col>27</xdr:col>
                    <xdr:colOff>485775</xdr:colOff>
                    <xdr:row>0</xdr:row>
                    <xdr:rowOff>85725</xdr:rowOff>
                  </from>
                  <to>
                    <xdr:col>32</xdr:col>
                    <xdr:colOff>142875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6" r:id="rId13" name="Option Button 60">
              <controlPr defaultSize="0" autoFill="0" autoLine="0" autoPict="0" macro="[0]!dunblabelhides">
                <anchor moveWithCells="1">
                  <from>
                    <xdr:col>22</xdr:col>
                    <xdr:colOff>85725</xdr:colOff>
                    <xdr:row>5</xdr:row>
                    <xdr:rowOff>9525</xdr:rowOff>
                  </from>
                  <to>
                    <xdr:col>23</xdr:col>
                    <xdr:colOff>9525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14" name="Option Button 61">
              <controlPr defaultSize="0" autoFill="0" autoLine="0" autoPict="0" macro="[0]!dunblabelsees">
                <anchor moveWithCells="1">
                  <from>
                    <xdr:col>23</xdr:col>
                    <xdr:colOff>142875</xdr:colOff>
                    <xdr:row>5</xdr:row>
                    <xdr:rowOff>9525</xdr:rowOff>
                  </from>
                  <to>
                    <xdr:col>23</xdr:col>
                    <xdr:colOff>447675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7" r:id="rId15" name="Group Box 71">
              <controlPr defaultSize="0" autoFill="0" autoPict="0">
                <anchor moveWithCells="1">
                  <from>
                    <xdr:col>20</xdr:col>
                    <xdr:colOff>0</xdr:colOff>
                    <xdr:row>45</xdr:row>
                    <xdr:rowOff>9525</xdr:rowOff>
                  </from>
                  <to>
                    <xdr:col>25</xdr:col>
                    <xdr:colOff>57150</xdr:colOff>
                    <xdr:row>49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2" r:id="rId16" name="Check Box 136">
              <controlPr defaultSize="0" autoFill="0" autoLine="0" autoPict="0">
                <anchor moveWithCells="1">
                  <from>
                    <xdr:col>26</xdr:col>
                    <xdr:colOff>400050</xdr:colOff>
                    <xdr:row>2</xdr:row>
                    <xdr:rowOff>104775</xdr:rowOff>
                  </from>
                  <to>
                    <xdr:col>27</xdr:col>
                    <xdr:colOff>304800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DE251"/>
  <sheetViews>
    <sheetView showGridLines="0" showRowColHeaders="0" zoomScale="110" zoomScaleNormal="110" workbookViewId="0">
      <selection activeCell="F7" sqref="F7"/>
    </sheetView>
  </sheetViews>
  <sheetFormatPr defaultRowHeight="12" customHeight="1" x14ac:dyDescent="0.2"/>
  <cols>
    <col min="1" max="1" width="0.28515625" style="50" customWidth="1"/>
    <col min="2" max="2" width="5.42578125" style="50" customWidth="1"/>
    <col min="3" max="3" width="5.7109375" style="50" customWidth="1"/>
    <col min="4" max="4" width="3.42578125" style="50" customWidth="1"/>
    <col min="5" max="5" width="4.28515625" style="50" customWidth="1"/>
    <col min="6" max="6" width="14.28515625" style="50" customWidth="1"/>
    <col min="7" max="8" width="7.140625" style="50" customWidth="1"/>
    <col min="9" max="9" width="5.5703125" style="50" customWidth="1"/>
    <col min="10" max="10" width="1.5703125" style="52" customWidth="1"/>
    <col min="11" max="11" width="6.85546875" style="52" customWidth="1"/>
    <col min="12" max="12" width="1" style="52" customWidth="1"/>
    <col min="13" max="13" width="6.85546875" style="52" customWidth="1"/>
    <col min="14" max="14" width="1.42578125" style="52" customWidth="1"/>
    <col min="15" max="15" width="2.42578125" style="50" customWidth="1"/>
    <col min="16" max="16" width="6.5703125" style="50" customWidth="1"/>
    <col min="17" max="17" width="2.5703125" style="50" customWidth="1"/>
    <col min="18" max="18" width="7.7109375" style="85" customWidth="1"/>
    <col min="19" max="20" width="9.140625" style="50"/>
    <col min="21" max="22" width="10.7109375" style="50" customWidth="1"/>
    <col min="23" max="23" width="14.85546875" style="50" customWidth="1"/>
    <col min="24" max="24" width="10.140625" style="50" customWidth="1"/>
    <col min="25" max="25" width="8.28515625" style="52" customWidth="1"/>
    <col min="26" max="27" width="6.42578125" style="52" customWidth="1"/>
    <col min="28" max="28" width="6.5703125" style="50" customWidth="1"/>
    <col min="29" max="32" width="4.28515625" style="52" customWidth="1"/>
    <col min="33" max="33" width="7.140625" style="52" customWidth="1"/>
    <col min="34" max="34" width="2.5703125" style="50" customWidth="1"/>
    <col min="35" max="35" width="6.28515625" style="50" customWidth="1"/>
    <col min="36" max="36" width="6.5703125" style="50" customWidth="1"/>
    <col min="37" max="63" width="7.28515625" style="50" customWidth="1"/>
    <col min="64" max="64" width="6.140625" style="50" customWidth="1"/>
    <col min="65" max="65" width="7.5703125" style="50" customWidth="1"/>
    <col min="66" max="66" width="5.7109375" style="50" customWidth="1"/>
    <col min="67" max="67" width="7.140625" style="50" customWidth="1"/>
    <col min="68" max="68" width="6" style="50" customWidth="1"/>
    <col min="69" max="69" width="6.85546875" style="50" customWidth="1"/>
    <col min="70" max="70" width="6.42578125" style="50" customWidth="1"/>
    <col min="71" max="78" width="5.7109375" style="50" customWidth="1"/>
    <col min="79" max="79" width="8.5703125" style="50" customWidth="1"/>
    <col min="80" max="80" width="6.42578125" style="50" customWidth="1"/>
    <col min="81" max="82" width="8.5703125" style="50" customWidth="1"/>
    <col min="83" max="84" width="5.7109375" style="50" customWidth="1"/>
    <col min="85" max="85" width="8.5703125" style="50" customWidth="1"/>
    <col min="86" max="88" width="5.7109375" style="50" customWidth="1"/>
    <col min="89" max="89" width="8.5703125" style="50" customWidth="1"/>
    <col min="90" max="121" width="5.7109375" style="50" customWidth="1"/>
    <col min="122" max="16384" width="9.140625" style="50"/>
  </cols>
  <sheetData>
    <row r="1" spans="1:109" ht="12" customHeight="1" x14ac:dyDescent="0.2">
      <c r="C1" s="11" t="s">
        <v>846</v>
      </c>
      <c r="K1" s="28"/>
      <c r="L1" s="53"/>
      <c r="M1" s="806" t="s">
        <v>617</v>
      </c>
      <c r="R1" s="51"/>
      <c r="T1" s="16"/>
      <c r="Z1" s="28" t="s">
        <v>749</v>
      </c>
      <c r="AA1" s="899" t="s">
        <v>919</v>
      </c>
      <c r="AH1" s="901" t="s">
        <v>920</v>
      </c>
      <c r="BM1" s="55"/>
      <c r="BN1" s="56"/>
      <c r="BO1" s="57" t="s">
        <v>76</v>
      </c>
      <c r="BP1" s="58" t="b">
        <v>1</v>
      </c>
      <c r="BR1" s="59" t="s">
        <v>311</v>
      </c>
      <c r="BS1" s="60">
        <v>2</v>
      </c>
      <c r="BT1" s="199"/>
      <c r="BU1" s="199"/>
      <c r="BV1" s="199"/>
      <c r="BW1" s="199"/>
      <c r="BX1" s="50" t="s">
        <v>312</v>
      </c>
      <c r="CK1" s="61" t="s">
        <v>270</v>
      </c>
      <c r="CL1" s="61"/>
      <c r="CM1" s="61"/>
      <c r="CN1" s="61"/>
      <c r="CO1" s="61"/>
      <c r="CP1" s="61"/>
      <c r="CQ1" s="61"/>
      <c r="CR1" s="61"/>
      <c r="CS1" s="61"/>
      <c r="CT1" s="61"/>
      <c r="CU1" s="62" t="s">
        <v>314</v>
      </c>
      <c r="CV1" s="62"/>
      <c r="CW1" s="62"/>
      <c r="CX1" s="62"/>
      <c r="CY1" s="62"/>
      <c r="CZ1" s="62"/>
      <c r="DA1" s="62"/>
      <c r="DB1" s="62"/>
      <c r="DC1" s="62"/>
      <c r="DD1" s="62"/>
      <c r="DE1" s="63" t="s">
        <v>313</v>
      </c>
    </row>
    <row r="2" spans="1:109" ht="12" customHeight="1" x14ac:dyDescent="0.2">
      <c r="C2" s="4"/>
      <c r="H2" s="15" t="s">
        <v>620</v>
      </c>
      <c r="I2" s="64">
        <v>95</v>
      </c>
      <c r="K2" s="17"/>
      <c r="L2" s="12"/>
      <c r="M2" s="14" t="s">
        <v>616</v>
      </c>
      <c r="R2" s="65"/>
      <c r="V2" s="66"/>
      <c r="AB2" s="1" t="s">
        <v>917</v>
      </c>
      <c r="BM2" s="55"/>
      <c r="BN2" s="56"/>
      <c r="BO2" s="67" t="s">
        <v>272</v>
      </c>
      <c r="BP2" s="68" t="b">
        <v>0</v>
      </c>
      <c r="BQ2" s="55"/>
      <c r="BR2" s="56"/>
      <c r="BS2" s="69"/>
      <c r="BT2" s="95"/>
      <c r="BU2" s="95"/>
      <c r="BV2" s="95"/>
      <c r="BW2" s="95"/>
      <c r="BX2" s="70" t="s">
        <v>313</v>
      </c>
      <c r="BY2" s="55"/>
      <c r="BZ2" s="56"/>
      <c r="CA2" s="67" t="s">
        <v>271</v>
      </c>
      <c r="CB2" s="71" t="b">
        <v>1</v>
      </c>
      <c r="CC2" s="72" t="s">
        <v>353</v>
      </c>
      <c r="CD2" s="69" t="b">
        <f>IF(COUNT(BP7:BP36)&gt;1,TRUE,FALSE)</f>
        <v>1</v>
      </c>
      <c r="CK2" s="73">
        <v>3</v>
      </c>
      <c r="CL2" s="74">
        <v>4</v>
      </c>
      <c r="CM2" s="75">
        <v>6</v>
      </c>
      <c r="CN2" s="73">
        <v>7</v>
      </c>
      <c r="CO2" s="74">
        <v>9</v>
      </c>
      <c r="CP2" s="75">
        <v>10</v>
      </c>
      <c r="CQ2" s="73">
        <v>12</v>
      </c>
      <c r="CR2" s="74">
        <v>13</v>
      </c>
      <c r="CS2" s="75">
        <v>15</v>
      </c>
      <c r="CU2" s="76">
        <v>3</v>
      </c>
      <c r="CV2" s="77">
        <v>4</v>
      </c>
      <c r="CW2" s="78">
        <v>6</v>
      </c>
      <c r="CX2" s="76">
        <v>7</v>
      </c>
      <c r="CY2" s="77">
        <v>9</v>
      </c>
      <c r="CZ2" s="78">
        <v>10</v>
      </c>
      <c r="DA2" s="76">
        <v>12</v>
      </c>
      <c r="DB2" s="77">
        <v>13</v>
      </c>
      <c r="DC2" s="78">
        <v>15</v>
      </c>
      <c r="DD2" s="79"/>
      <c r="DE2" s="80" t="s">
        <v>268</v>
      </c>
    </row>
    <row r="3" spans="1:109" ht="12" customHeight="1" thickBot="1" x14ac:dyDescent="0.3">
      <c r="C3" s="4"/>
      <c r="D3" s="9"/>
      <c r="E3" s="27" t="s">
        <v>618</v>
      </c>
      <c r="F3" s="82" t="s">
        <v>519</v>
      </c>
      <c r="G3" s="82"/>
      <c r="H3" s="82"/>
      <c r="I3" s="82"/>
      <c r="J3" s="86"/>
      <c r="K3" s="86"/>
      <c r="L3" s="86"/>
      <c r="M3" s="86"/>
      <c r="N3" s="86"/>
      <c r="O3" s="82"/>
      <c r="P3" s="82"/>
      <c r="Q3" s="84"/>
      <c r="Z3" s="86"/>
      <c r="AA3" s="86"/>
      <c r="AC3" s="87"/>
      <c r="AD3" s="87"/>
      <c r="AE3" s="87"/>
      <c r="AF3" s="87"/>
      <c r="AG3" s="87"/>
      <c r="AH3" s="88"/>
      <c r="AI3" s="89">
        <f t="shared" ref="AI3:AR3" si="0">$R$4</f>
        <v>9.5E-4</v>
      </c>
      <c r="AJ3" s="82">
        <f t="shared" si="0"/>
        <v>9.5E-4</v>
      </c>
      <c r="AK3" s="82">
        <f t="shared" si="0"/>
        <v>9.5E-4</v>
      </c>
      <c r="AL3" s="90">
        <f t="shared" si="0"/>
        <v>9.5E-4</v>
      </c>
      <c r="AM3" s="90">
        <f t="shared" si="0"/>
        <v>9.5E-4</v>
      </c>
      <c r="AN3" s="50">
        <f t="shared" si="0"/>
        <v>9.5E-4</v>
      </c>
      <c r="AO3" s="50">
        <f t="shared" si="0"/>
        <v>9.5E-4</v>
      </c>
      <c r="AP3" s="50">
        <f t="shared" si="0"/>
        <v>9.5E-4</v>
      </c>
      <c r="AQ3" s="50">
        <f t="shared" si="0"/>
        <v>9.5E-4</v>
      </c>
      <c r="AR3" s="91">
        <f t="shared" si="0"/>
        <v>9.5E-4</v>
      </c>
      <c r="BM3" s="25" t="s">
        <v>354</v>
      </c>
      <c r="BN3" s="92">
        <v>0</v>
      </c>
      <c r="BO3" s="67"/>
      <c r="BP3" s="68"/>
      <c r="BQ3" s="93">
        <f>IF(AND(BN3&lt;&gt;"",BP1),BN3,NA())</f>
        <v>0</v>
      </c>
      <c r="BR3" s="94">
        <v>0</v>
      </c>
      <c r="BS3" s="95">
        <v>33</v>
      </c>
      <c r="BT3" s="113"/>
      <c r="BU3" s="113"/>
      <c r="BV3" s="113"/>
      <c r="BW3" s="113"/>
      <c r="BX3" s="96">
        <f>CJ37+0.5</f>
        <v>18.5</v>
      </c>
      <c r="BY3" s="55"/>
      <c r="BZ3" s="56"/>
      <c r="CA3" s="67" t="s">
        <v>298</v>
      </c>
      <c r="CB3" s="68" t="b">
        <v>1</v>
      </c>
      <c r="CE3" s="90"/>
      <c r="CF3" s="90"/>
      <c r="CG3" s="90"/>
      <c r="CH3" s="90"/>
      <c r="CI3" s="90"/>
      <c r="CK3" s="97" t="e">
        <f t="shared" ref="CK3:CK32" si="1">IF(AND(CA7&lt;=$CK$42,$CB$2),G7,NA())</f>
        <v>#N/A</v>
      </c>
      <c r="CL3" s="94" t="e">
        <f t="shared" ref="CL3:CL32" si="2">IF(AND(CA7&gt;$CK$42,CA7&lt;=$CK$43,$CB$2),G7,NA())</f>
        <v>#N/A</v>
      </c>
      <c r="CM3" s="94" t="e">
        <f t="shared" ref="CM3:CM32" si="3">IF(AND(CA7&gt;$CK$43,CA7&lt;=$CK$44,$CB$2),G7,NA())</f>
        <v>#N/A</v>
      </c>
      <c r="CN3" s="94" t="e">
        <f t="shared" ref="CN3:CN32" si="4">IF(AND(CA7&gt;$CK$44,CA7&lt;=$CK$45,$CB$2),G7,NA())</f>
        <v>#N/A</v>
      </c>
      <c r="CO3" s="94" t="e">
        <f t="shared" ref="CO3:CO32" si="5">IF(AND(CA7&gt;$CK$45,CA7&lt;=$CK$46,$CB$2),G7,NA())</f>
        <v>#N/A</v>
      </c>
      <c r="CP3" s="94" t="e">
        <f t="shared" ref="CP3:CP32" si="6">IF(AND(CA7&gt;$CK$46,CA7&lt;=$CK$47,$CB$2),G7,NA())</f>
        <v>#N/A</v>
      </c>
      <c r="CQ3" s="94" t="e">
        <f t="shared" ref="CQ3:CQ32" si="7">IF(AND(CA7&gt;$CK$47,CA7&lt;=$CK$48,$CB$2),G7,NA())</f>
        <v>#N/A</v>
      </c>
      <c r="CR3" s="94" t="e">
        <f t="shared" ref="CR3:CR32" si="8">IF(AND(CA7&gt;$CK$48,CA7&lt;=$CK$49,$CB$2),G7,NA())</f>
        <v>#N/A</v>
      </c>
      <c r="CS3" s="94">
        <f t="shared" ref="CS3:CS32" si="9">IF(AND(CA7&lt;&gt;"",CA7&gt;$CK$49,$CB$2),G7,NA())</f>
        <v>0.67</v>
      </c>
      <c r="CT3" s="95">
        <v>1</v>
      </c>
      <c r="CU3" s="50" t="e">
        <f t="shared" ref="CU3:CU32" si="10">IF(AND(CA7&lt;=$CK$42,$CB$2),G7,NA())</f>
        <v>#N/A</v>
      </c>
      <c r="CV3" s="50" t="e">
        <f t="shared" ref="CV3:CV32" si="11">IF(AND(CA7&gt;$CK$42,CA7&lt;=$CK$43,$CB$2),G7,NA())</f>
        <v>#N/A</v>
      </c>
      <c r="CW3" s="50" t="e">
        <f t="shared" ref="CW3:CW32" si="12">IF(AND(CA7&gt;$CK$43,CA7&lt;=$CK$44,$CB$2),G7,NA())</f>
        <v>#N/A</v>
      </c>
      <c r="CX3" s="50" t="e">
        <f t="shared" ref="CX3:CX32" si="13">IF(AND(CA7&gt;$CK$44,CA7&lt;=$CK$45,$CB$2),G7,NA())</f>
        <v>#N/A</v>
      </c>
      <c r="CY3" s="50" t="e">
        <f t="shared" ref="CY3:CY32" si="14">IF(AND(CA7&gt;$CK$45,CA7&lt;=$CK$46,$CB$2),G7,NA())</f>
        <v>#N/A</v>
      </c>
      <c r="CZ3" s="50" t="e">
        <f t="shared" ref="CZ3:CZ32" si="15">IF(AND(CA7&gt;$CK$46,CA7&lt;=$CK$47,$CB$2),G7,NA())</f>
        <v>#N/A</v>
      </c>
      <c r="DA3" s="50" t="e">
        <f t="shared" ref="DA3:DA32" si="16">IF(AND(CA7&gt;$CK$47,CA7&lt;=$CK$48,$CB$2),G7,NA())</f>
        <v>#N/A</v>
      </c>
      <c r="DB3" s="50" t="e">
        <f t="shared" ref="DB3:DB32" si="17">IF(AND(CA7&gt;$CK$48,CA7&lt;=$CK$49,$CB$2),G7,NA())</f>
        <v>#N/A</v>
      </c>
      <c r="DC3" s="50">
        <f t="shared" ref="DC3:DC32" si="18">IF(AND(CA7&lt;&gt;"",CA7&gt;$CK$49,$CB$2),G7,NA())</f>
        <v>0.67</v>
      </c>
      <c r="DD3" s="50">
        <f t="shared" ref="DD3:DD32" si="19">IF(BP7="",0,1)</f>
        <v>1</v>
      </c>
      <c r="DE3" s="50">
        <f>IF(DD3=0,NA(),SUM($DD$3:DD3))</f>
        <v>1</v>
      </c>
    </row>
    <row r="4" spans="1:109" ht="12" customHeight="1" thickTop="1" x14ac:dyDescent="0.2">
      <c r="C4" s="10" t="s">
        <v>621</v>
      </c>
      <c r="E4" s="20"/>
      <c r="F4" s="22" t="s">
        <v>409</v>
      </c>
      <c r="G4" s="22"/>
      <c r="H4" s="98"/>
      <c r="I4" s="30" t="s">
        <v>619</v>
      </c>
      <c r="J4" s="87"/>
      <c r="K4" s="21" t="s">
        <v>623</v>
      </c>
      <c r="M4" s="87"/>
      <c r="N4" s="922">
        <v>11</v>
      </c>
      <c r="O4" s="922"/>
      <c r="P4" s="104" t="s">
        <v>276</v>
      </c>
      <c r="Q4" s="90"/>
      <c r="R4" s="105">
        <f>(BN3+I2)/100000</f>
        <v>9.5E-4</v>
      </c>
      <c r="S4" s="105">
        <f t="shared" ref="S4:Y4" si="20">$R$4</f>
        <v>9.5E-4</v>
      </c>
      <c r="T4" s="105">
        <f t="shared" si="20"/>
        <v>9.5E-4</v>
      </c>
      <c r="U4" s="105">
        <f t="shared" si="20"/>
        <v>9.5E-4</v>
      </c>
      <c r="V4" s="87">
        <f t="shared" si="20"/>
        <v>9.5E-4</v>
      </c>
      <c r="W4" s="87">
        <f t="shared" si="20"/>
        <v>9.5E-4</v>
      </c>
      <c r="X4" s="105">
        <f t="shared" si="20"/>
        <v>9.5E-4</v>
      </c>
      <c r="Y4" s="87">
        <f t="shared" si="20"/>
        <v>9.5E-4</v>
      </c>
      <c r="Z4" s="913" t="s">
        <v>624</v>
      </c>
      <c r="AA4" s="914"/>
      <c r="AB4" s="41">
        <v>13</v>
      </c>
      <c r="AC4" s="87"/>
      <c r="AD4" s="87"/>
      <c r="AE4" s="87"/>
      <c r="AF4" s="87"/>
      <c r="AG4" s="87"/>
      <c r="AI4" s="1">
        <f t="shared" ref="AI4:AI26" si="21">$R$4</f>
        <v>9.5E-4</v>
      </c>
      <c r="AN4" s="90"/>
      <c r="AO4" s="90"/>
      <c r="AP4" s="90"/>
      <c r="AQ4" s="90"/>
      <c r="AR4" s="91">
        <f t="shared" ref="AR4:AR26" si="22">$R$4</f>
        <v>9.5E-4</v>
      </c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P4" s="106" t="s">
        <v>277</v>
      </c>
      <c r="BQ4" s="107" t="s">
        <v>278</v>
      </c>
      <c r="BR4" s="108" t="b">
        <v>0</v>
      </c>
      <c r="BS4" s="109"/>
      <c r="BT4" s="90"/>
      <c r="BU4" s="90"/>
      <c r="BV4" s="90"/>
      <c r="BW4" s="90"/>
      <c r="BX4" s="110"/>
      <c r="BY4" s="111"/>
      <c r="BZ4" s="111"/>
      <c r="CA4" s="112" t="s">
        <v>337</v>
      </c>
      <c r="CB4" s="111"/>
      <c r="CE4" s="111"/>
      <c r="CF4" s="111"/>
      <c r="CG4" s="111"/>
      <c r="CH4" s="111"/>
      <c r="CK4" s="106" t="e">
        <f t="shared" si="1"/>
        <v>#N/A</v>
      </c>
      <c r="CL4" s="90" t="e">
        <f t="shared" si="2"/>
        <v>#N/A</v>
      </c>
      <c r="CM4" s="90" t="e">
        <f t="shared" si="3"/>
        <v>#N/A</v>
      </c>
      <c r="CN4" s="90" t="e">
        <f t="shared" si="4"/>
        <v>#N/A</v>
      </c>
      <c r="CO4" s="90" t="e">
        <f t="shared" si="5"/>
        <v>#N/A</v>
      </c>
      <c r="CP4" s="90" t="e">
        <f t="shared" si="6"/>
        <v>#N/A</v>
      </c>
      <c r="CQ4" s="90" t="e">
        <f t="shared" si="7"/>
        <v>#N/A</v>
      </c>
      <c r="CR4" s="90">
        <f t="shared" si="8"/>
        <v>0.51</v>
      </c>
      <c r="CS4" s="90" t="e">
        <f t="shared" si="9"/>
        <v>#N/A</v>
      </c>
      <c r="CT4" s="113">
        <v>2</v>
      </c>
      <c r="CU4" s="50" t="e">
        <f t="shared" si="10"/>
        <v>#N/A</v>
      </c>
      <c r="CV4" s="50" t="e">
        <f t="shared" si="11"/>
        <v>#N/A</v>
      </c>
      <c r="CW4" s="50" t="e">
        <f t="shared" si="12"/>
        <v>#N/A</v>
      </c>
      <c r="CX4" s="50" t="e">
        <f t="shared" si="13"/>
        <v>#N/A</v>
      </c>
      <c r="CY4" s="50" t="e">
        <f t="shared" si="14"/>
        <v>#N/A</v>
      </c>
      <c r="CZ4" s="50" t="e">
        <f t="shared" si="15"/>
        <v>#N/A</v>
      </c>
      <c r="DA4" s="50" t="e">
        <f t="shared" si="16"/>
        <v>#N/A</v>
      </c>
      <c r="DB4" s="50">
        <f t="shared" si="17"/>
        <v>0.51</v>
      </c>
      <c r="DC4" s="50" t="e">
        <f t="shared" si="18"/>
        <v>#N/A</v>
      </c>
      <c r="DD4" s="50">
        <f t="shared" si="19"/>
        <v>1</v>
      </c>
      <c r="DE4" s="50">
        <f>IF(DD4=0,NA(),SUM($DD$3:DD4))</f>
        <v>2</v>
      </c>
    </row>
    <row r="5" spans="1:109" ht="12" customHeight="1" thickBot="1" x14ac:dyDescent="0.3">
      <c r="A5" s="82"/>
      <c r="B5" s="83" t="s">
        <v>750</v>
      </c>
      <c r="C5" s="83"/>
      <c r="D5" s="82"/>
      <c r="E5" s="114" t="s">
        <v>276</v>
      </c>
      <c r="F5" s="807"/>
      <c r="G5" s="807"/>
      <c r="H5" s="115"/>
      <c r="I5" s="116" t="s">
        <v>276</v>
      </c>
      <c r="J5" s="87"/>
      <c r="K5" s="804" t="s">
        <v>332</v>
      </c>
      <c r="L5" s="804"/>
      <c r="M5" s="804" t="s">
        <v>333</v>
      </c>
      <c r="N5" s="87"/>
      <c r="O5" s="103"/>
      <c r="P5" s="104" t="s">
        <v>518</v>
      </c>
      <c r="Q5" s="119"/>
      <c r="R5" s="105">
        <f t="shared" ref="R5:R38" si="23">$R$4</f>
        <v>9.5E-4</v>
      </c>
      <c r="S5" s="90"/>
      <c r="T5" s="90"/>
      <c r="U5" s="90"/>
      <c r="V5" s="90"/>
      <c r="W5" s="90"/>
      <c r="X5" s="90"/>
      <c r="Y5" s="87">
        <f t="shared" ref="Y5:Y38" si="24">$R$4</f>
        <v>9.5E-4</v>
      </c>
      <c r="Z5" s="920" t="s">
        <v>516</v>
      </c>
      <c r="AA5" s="921"/>
      <c r="AB5" s="799" t="s">
        <v>614</v>
      </c>
      <c r="AC5" s="87"/>
      <c r="AD5" s="87"/>
      <c r="AE5" s="87"/>
      <c r="AF5" s="87"/>
      <c r="AG5" s="87"/>
      <c r="AI5" s="1">
        <f t="shared" si="21"/>
        <v>9.5E-4</v>
      </c>
      <c r="AR5" s="91">
        <f t="shared" si="22"/>
        <v>9.5E-4</v>
      </c>
      <c r="BK5" s="63" t="s">
        <v>680</v>
      </c>
      <c r="BM5" s="121" t="s">
        <v>279</v>
      </c>
      <c r="BN5" s="122" t="s">
        <v>280</v>
      </c>
      <c r="BO5" s="123"/>
      <c r="BP5" s="124" t="b">
        <f>IF(COUNT(BP7:BP36)&lt;2,FALSE,TRUE)</f>
        <v>1</v>
      </c>
      <c r="BQ5" s="786" t="s">
        <v>847</v>
      </c>
      <c r="BR5" s="90"/>
      <c r="BS5" s="125"/>
      <c r="BT5" s="786" t="s">
        <v>602</v>
      </c>
      <c r="BU5" s="786" t="s">
        <v>602</v>
      </c>
      <c r="BV5" s="786" t="s">
        <v>603</v>
      </c>
      <c r="BW5" s="786" t="s">
        <v>603</v>
      </c>
      <c r="BX5" s="785" t="s">
        <v>601</v>
      </c>
      <c r="BY5" s="99"/>
      <c r="BZ5" s="90"/>
      <c r="CA5" s="128" t="s">
        <v>338</v>
      </c>
      <c r="CB5" s="129"/>
      <c r="CC5" s="129" t="s">
        <v>324</v>
      </c>
      <c r="CD5" s="129"/>
      <c r="CE5" s="129"/>
      <c r="CF5" s="130" t="s">
        <v>336</v>
      </c>
      <c r="CG5" s="130"/>
      <c r="CH5" s="130"/>
      <c r="CI5" s="63" t="s">
        <v>313</v>
      </c>
      <c r="CJ5" s="63" t="s">
        <v>313</v>
      </c>
      <c r="CK5" s="106" t="e">
        <f t="shared" si="1"/>
        <v>#N/A</v>
      </c>
      <c r="CL5" s="90" t="e">
        <f t="shared" si="2"/>
        <v>#N/A</v>
      </c>
      <c r="CM5" s="90" t="e">
        <f t="shared" si="3"/>
        <v>#N/A</v>
      </c>
      <c r="CN5" s="90" t="e">
        <f t="shared" si="4"/>
        <v>#N/A</v>
      </c>
      <c r="CO5" s="90" t="e">
        <f t="shared" si="5"/>
        <v>#N/A</v>
      </c>
      <c r="CP5" s="90">
        <f t="shared" si="6"/>
        <v>0.4</v>
      </c>
      <c r="CQ5" s="90" t="e">
        <f t="shared" si="7"/>
        <v>#N/A</v>
      </c>
      <c r="CR5" s="90" t="e">
        <f t="shared" si="8"/>
        <v>#N/A</v>
      </c>
      <c r="CS5" s="90" t="e">
        <f t="shared" si="9"/>
        <v>#N/A</v>
      </c>
      <c r="CT5" s="113">
        <v>3</v>
      </c>
      <c r="CU5" s="50" t="e">
        <f t="shared" si="10"/>
        <v>#N/A</v>
      </c>
      <c r="CV5" s="50" t="e">
        <f t="shared" si="11"/>
        <v>#N/A</v>
      </c>
      <c r="CW5" s="50" t="e">
        <f t="shared" si="12"/>
        <v>#N/A</v>
      </c>
      <c r="CX5" s="50" t="e">
        <f t="shared" si="13"/>
        <v>#N/A</v>
      </c>
      <c r="CY5" s="50" t="e">
        <f t="shared" si="14"/>
        <v>#N/A</v>
      </c>
      <c r="CZ5" s="50">
        <f t="shared" si="15"/>
        <v>0.4</v>
      </c>
      <c r="DA5" s="50" t="e">
        <f t="shared" si="16"/>
        <v>#N/A</v>
      </c>
      <c r="DB5" s="50" t="e">
        <f t="shared" si="17"/>
        <v>#N/A</v>
      </c>
      <c r="DC5" s="50" t="e">
        <f t="shared" si="18"/>
        <v>#N/A</v>
      </c>
      <c r="DD5" s="50">
        <f t="shared" si="19"/>
        <v>1</v>
      </c>
      <c r="DE5" s="50">
        <f>IF(DD5=0,NA(),SUM($DD$3:DD5))</f>
        <v>3</v>
      </c>
    </row>
    <row r="6" spans="1:109" ht="12.75" customHeight="1" thickTop="1" thickBot="1" x14ac:dyDescent="0.25">
      <c r="A6" s="131"/>
      <c r="B6" s="787" t="str">
        <f>IF(BR4,"z","")</f>
        <v/>
      </c>
      <c r="C6" s="788" t="str">
        <f>IF(BR4,"p","")</f>
        <v/>
      </c>
      <c r="D6" s="82"/>
      <c r="E6" s="133" t="s">
        <v>283</v>
      </c>
      <c r="F6" s="834" t="s">
        <v>310</v>
      </c>
      <c r="G6" s="803" t="s">
        <v>847</v>
      </c>
      <c r="H6" s="618" t="s">
        <v>269</v>
      </c>
      <c r="I6" s="134" t="s">
        <v>284</v>
      </c>
      <c r="J6" s="87"/>
      <c r="K6" s="805"/>
      <c r="L6" s="804" t="s">
        <v>615</v>
      </c>
      <c r="M6" s="805"/>
      <c r="N6" s="87"/>
      <c r="O6" s="139"/>
      <c r="P6" s="140" t="s">
        <v>285</v>
      </c>
      <c r="R6" s="105">
        <f t="shared" si="23"/>
        <v>9.5E-4</v>
      </c>
      <c r="S6" s="90"/>
      <c r="T6" s="90"/>
      <c r="U6" s="90"/>
      <c r="V6" s="90"/>
      <c r="W6" s="90"/>
      <c r="X6" s="90"/>
      <c r="Y6" s="87">
        <f t="shared" si="24"/>
        <v>9.5E-4</v>
      </c>
      <c r="Z6" s="800" t="s">
        <v>392</v>
      </c>
      <c r="AA6" s="801" t="s">
        <v>393</v>
      </c>
      <c r="AB6" s="802"/>
      <c r="AC6" s="87"/>
      <c r="AD6" s="87"/>
      <c r="AE6" s="87"/>
      <c r="AF6" s="87"/>
      <c r="AG6" s="87"/>
      <c r="AI6" s="1">
        <f t="shared" si="21"/>
        <v>9.5E-4</v>
      </c>
      <c r="AR6" s="91">
        <f t="shared" si="22"/>
        <v>9.5E-4</v>
      </c>
      <c r="BI6" s="80" t="s">
        <v>849</v>
      </c>
      <c r="BJ6" s="80" t="s">
        <v>848</v>
      </c>
      <c r="BK6" s="80" t="s">
        <v>681</v>
      </c>
      <c r="BL6" s="79"/>
      <c r="BM6" s="143" t="s">
        <v>286</v>
      </c>
      <c r="BN6" s="144" t="s">
        <v>847</v>
      </c>
      <c r="BO6" s="145"/>
      <c r="BP6" s="146" t="s">
        <v>315</v>
      </c>
      <c r="BQ6" s="149" t="s">
        <v>605</v>
      </c>
      <c r="BR6" s="63" t="s">
        <v>268</v>
      </c>
      <c r="BS6" s="147"/>
      <c r="BT6" s="149" t="s">
        <v>332</v>
      </c>
      <c r="BU6" s="149" t="s">
        <v>333</v>
      </c>
      <c r="BV6" s="149" t="s">
        <v>332</v>
      </c>
      <c r="BW6" s="149" t="s">
        <v>604</v>
      </c>
      <c r="BX6" s="635" t="s">
        <v>392</v>
      </c>
      <c r="BY6" s="635" t="s">
        <v>393</v>
      </c>
      <c r="BZ6" s="149" t="s">
        <v>291</v>
      </c>
      <c r="CA6" s="150" t="s">
        <v>291</v>
      </c>
      <c r="CB6" s="151"/>
      <c r="CC6" s="151" t="s">
        <v>318</v>
      </c>
      <c r="CD6" s="151" t="s">
        <v>319</v>
      </c>
      <c r="CE6" s="151" t="s">
        <v>320</v>
      </c>
      <c r="CF6" s="152" t="s">
        <v>321</v>
      </c>
      <c r="CG6" s="152" t="s">
        <v>322</v>
      </c>
      <c r="CH6" s="153" t="s">
        <v>323</v>
      </c>
      <c r="CI6" s="79" t="s">
        <v>292</v>
      </c>
      <c r="CJ6" s="154" t="s">
        <v>268</v>
      </c>
      <c r="CK6" s="106" t="e">
        <f t="shared" si="1"/>
        <v>#N/A</v>
      </c>
      <c r="CL6" s="90" t="e">
        <f t="shared" si="2"/>
        <v>#N/A</v>
      </c>
      <c r="CM6" s="90" t="e">
        <f t="shared" si="3"/>
        <v>#N/A</v>
      </c>
      <c r="CN6" s="90" t="e">
        <f t="shared" si="4"/>
        <v>#N/A</v>
      </c>
      <c r="CO6" s="90" t="e">
        <f t="shared" si="5"/>
        <v>#N/A</v>
      </c>
      <c r="CP6" s="90" t="e">
        <f t="shared" si="6"/>
        <v>#N/A</v>
      </c>
      <c r="CQ6" s="90">
        <f t="shared" si="7"/>
        <v>0.46</v>
      </c>
      <c r="CR6" s="90" t="e">
        <f t="shared" si="8"/>
        <v>#N/A</v>
      </c>
      <c r="CS6" s="90" t="e">
        <f t="shared" si="9"/>
        <v>#N/A</v>
      </c>
      <c r="CT6" s="113">
        <v>4</v>
      </c>
      <c r="CU6" s="50" t="e">
        <f t="shared" si="10"/>
        <v>#N/A</v>
      </c>
      <c r="CV6" s="50" t="e">
        <f t="shared" si="11"/>
        <v>#N/A</v>
      </c>
      <c r="CW6" s="50" t="e">
        <f t="shared" si="12"/>
        <v>#N/A</v>
      </c>
      <c r="CX6" s="50" t="e">
        <f t="shared" si="13"/>
        <v>#N/A</v>
      </c>
      <c r="CY6" s="50" t="e">
        <f t="shared" si="14"/>
        <v>#N/A</v>
      </c>
      <c r="CZ6" s="50" t="e">
        <f t="shared" si="15"/>
        <v>#N/A</v>
      </c>
      <c r="DA6" s="50">
        <f t="shared" si="16"/>
        <v>0.46</v>
      </c>
      <c r="DB6" s="50" t="e">
        <f t="shared" si="17"/>
        <v>#N/A</v>
      </c>
      <c r="DC6" s="50" t="e">
        <f t="shared" si="18"/>
        <v>#N/A</v>
      </c>
      <c r="DD6" s="50">
        <f t="shared" si="19"/>
        <v>1</v>
      </c>
      <c r="DE6" s="50">
        <f>IF(DD6=0,NA(),SUM($DD$3:DD6))</f>
        <v>4</v>
      </c>
    </row>
    <row r="7" spans="1:109" ht="12" customHeight="1" thickTop="1" x14ac:dyDescent="0.2">
      <c r="B7" s="155" t="str">
        <f t="shared" ref="B7:B36" si="25">IF(AND($BP$1,$BP$5,$BR$4,BP7&lt;&gt;"",$BN$3&lt;&gt;""), BP7,"")</f>
        <v/>
      </c>
      <c r="C7" s="837" t="str">
        <f t="shared" ref="C7:C36" si="26">IF(B7&lt;&gt;"",2*(1-NORMSDIST(ABS(BP7))),"")</f>
        <v/>
      </c>
      <c r="D7" s="156" t="str">
        <f t="shared" ref="D7:D36" si="27">IF(B7&lt;&gt;"",IF(C7&lt;0.001,"***",(IF(C7&lt;0.01,"**",(IF(C7&lt;0.05,"*",(IF(C7&lt;0.1,"?","ns"))))))),"")</f>
        <v/>
      </c>
      <c r="E7" s="157">
        <v>1</v>
      </c>
      <c r="F7" s="381" t="s">
        <v>505</v>
      </c>
      <c r="G7" s="812">
        <v>0.67</v>
      </c>
      <c r="H7" s="161">
        <v>109</v>
      </c>
      <c r="I7" s="162"/>
      <c r="J7" s="172" t="s">
        <v>339</v>
      </c>
      <c r="K7" s="815">
        <f>IF(BM7,BV7,"")</f>
        <v>0.55138878912888112</v>
      </c>
      <c r="L7" s="789" t="s">
        <v>261</v>
      </c>
      <c r="M7" s="815">
        <f>IF(BM7,BW7,"")</f>
        <v>0.76206062798453866</v>
      </c>
      <c r="N7" s="175" t="s">
        <v>259</v>
      </c>
      <c r="O7" s="166"/>
      <c r="P7" s="167">
        <f t="shared" ref="P7:P36" si="28">IF(AND(BZ7&lt;&gt;"",$CD$2),IF(fixedrandom=1,100*BZ7/$BZ$37,100*CG7/$CG$37),"")</f>
        <v>8.0132630724505844</v>
      </c>
      <c r="Q7" s="168"/>
      <c r="R7" s="169">
        <f t="shared" si="23"/>
        <v>9.5E-4</v>
      </c>
      <c r="S7" s="170"/>
      <c r="T7" s="170"/>
      <c r="U7" s="170"/>
      <c r="V7" s="170"/>
      <c r="W7" s="170"/>
      <c r="X7" s="170"/>
      <c r="Y7" s="171">
        <f t="shared" si="24"/>
        <v>9.5E-4</v>
      </c>
      <c r="Z7" s="820">
        <f>IF(BM7,BX7,"")</f>
        <v>0.11861121087111892</v>
      </c>
      <c r="AA7" s="821">
        <f>IF(BM7,BY7,"")</f>
        <v>9.2060627984538623E-2</v>
      </c>
      <c r="AB7" s="822">
        <f>IF(BM7,(Z7+AA7)/2,"")</f>
        <v>0.10533591942782877</v>
      </c>
      <c r="AC7" s="176"/>
      <c r="AD7" s="176"/>
      <c r="AE7" s="176"/>
      <c r="AF7" s="176"/>
      <c r="AG7" s="176"/>
      <c r="AI7" s="1">
        <f t="shared" si="21"/>
        <v>9.5E-4</v>
      </c>
      <c r="AR7" s="91">
        <f t="shared" si="22"/>
        <v>9.5E-4</v>
      </c>
      <c r="BI7" s="94">
        <f t="shared" ref="BI7:BI36" si="29">IF(BJ7&lt;&gt;"",1/(H7-3),"")</f>
        <v>9.433962264150943E-3</v>
      </c>
      <c r="BJ7" s="94">
        <f>IF(AND(G7&lt;&gt;"",H7&lt;&gt;""),0.5*LN((1+G7)/(1-G7)),"")</f>
        <v>0.81074312547513749</v>
      </c>
      <c r="BK7" s="66" t="b">
        <v>1</v>
      </c>
      <c r="BL7" s="50">
        <v>1</v>
      </c>
      <c r="BM7" s="784" t="b">
        <f t="shared" ref="BM7:BM36" si="30">AND(BK7,G7&lt;&gt;"",H7&lt;&gt;"")</f>
        <v>1</v>
      </c>
      <c r="BN7" s="90">
        <f t="shared" ref="BN7:BN36" si="31">IF(BM7,G7,"")</f>
        <v>0.67</v>
      </c>
      <c r="BO7" s="178"/>
      <c r="BP7" s="179">
        <f>IF(BM7,(BJ7-$BN$3)/SQRT(BI7),"")</f>
        <v>8.3471113592398307</v>
      </c>
      <c r="BQ7" s="94" t="e">
        <f t="shared" ref="BQ7:BQ36" si="32">IF(AND(NOT($CB$2),BM7),G7,NA())</f>
        <v>#N/A</v>
      </c>
      <c r="BR7" s="179">
        <f t="shared" ref="BR7:BR36" si="33">IF(BM7,BL7,NA())</f>
        <v>1</v>
      </c>
      <c r="BS7" s="94"/>
      <c r="BT7" s="94">
        <f t="shared" ref="BT7:BT36" si="34">IF(BM7,BJ7-NORMSINV(0.5+$I$2/200)*SQRT(BI7),"")</f>
        <v>0.62037459458382094</v>
      </c>
      <c r="BU7" s="94">
        <f t="shared" ref="BU7:BU36" si="35">IF(BM7,BJ7+NORMSINV(0.5+$I$2/200)*SQRT(BI7),"")</f>
        <v>1.0011116563664539</v>
      </c>
      <c r="BV7" s="94">
        <f>IF(BM7,(EXP(2*BT7)-1)/(EXP(2*BT7)+1),"")</f>
        <v>0.55138878912888112</v>
      </c>
      <c r="BW7" s="94">
        <f>IF(BM7,(EXP(2*BU7)-1)/(EXP(2*BU7)+1),"")</f>
        <v>0.76206062798453866</v>
      </c>
      <c r="BX7" s="759">
        <f t="shared" ref="BX7:BX36" si="36">IF(BM7,G7-BV7,NA())</f>
        <v>0.11861121087111892</v>
      </c>
      <c r="BY7" s="759">
        <f t="shared" ref="BY7:BY36" si="37">IF(BM7,BW7-G7,NA())</f>
        <v>9.2060627984538623E-2</v>
      </c>
      <c r="BZ7" s="94">
        <f>IF(BM7,1/BI7,"")</f>
        <v>106</v>
      </c>
      <c r="CA7" s="94">
        <f t="shared" ref="CA7:CA36" si="38">IF(fixedrandom=1,BZ7,CG7)</f>
        <v>19.085314958910384</v>
      </c>
      <c r="CB7" s="94"/>
      <c r="CC7" s="94">
        <f>IF(BM7,BJ7*BZ7,"")</f>
        <v>85.938771300364579</v>
      </c>
      <c r="CD7" s="94">
        <f>IF(BZ7&lt;&gt;"",BZ7*BZ7,"")</f>
        <v>11236</v>
      </c>
      <c r="CE7" s="94">
        <f>IF(BZ7&lt;&gt;"",BJ7^2*BZ7,"")</f>
        <v>69.674268043550626</v>
      </c>
      <c r="CF7" s="90">
        <f t="shared" ref="CF7:CF36" si="39">IF(BZ7&lt;&gt;"",1/BZ7+$CC$43,"")</f>
        <v>5.2396305858873386E-2</v>
      </c>
      <c r="CG7" s="90">
        <f t="shared" ref="CG7:CG36" si="40">IF(BZ7&lt;&gt;"",1/CF7,"")</f>
        <v>19.085314958910384</v>
      </c>
      <c r="CH7" s="94">
        <f>IF(BZ7&lt;&gt;"",CG7*BJ7,"")</f>
        <v>15.473287900464401</v>
      </c>
      <c r="CI7" s="94" t="e">
        <f t="shared" ref="CI7:CI36" si="41">IF(AND(NOT($CB$2),BM7),G7,NA())</f>
        <v>#N/A</v>
      </c>
      <c r="CJ7" s="95">
        <f t="shared" ref="CJ7:CJ37" si="42">DE3</f>
        <v>1</v>
      </c>
      <c r="CK7" s="106" t="e">
        <f t="shared" si="1"/>
        <v>#N/A</v>
      </c>
      <c r="CL7" s="90" t="e">
        <f t="shared" si="2"/>
        <v>#N/A</v>
      </c>
      <c r="CM7" s="90" t="e">
        <f t="shared" si="3"/>
        <v>#N/A</v>
      </c>
      <c r="CN7" s="90" t="e">
        <f t="shared" si="4"/>
        <v>#N/A</v>
      </c>
      <c r="CO7" s="90" t="e">
        <f t="shared" si="5"/>
        <v>#N/A</v>
      </c>
      <c r="CP7" s="90">
        <f t="shared" si="6"/>
        <v>0.47</v>
      </c>
      <c r="CQ7" s="90" t="e">
        <f t="shared" si="7"/>
        <v>#N/A</v>
      </c>
      <c r="CR7" s="90" t="e">
        <f t="shared" si="8"/>
        <v>#N/A</v>
      </c>
      <c r="CS7" s="90" t="e">
        <f t="shared" si="9"/>
        <v>#N/A</v>
      </c>
      <c r="CT7" s="113">
        <v>5</v>
      </c>
      <c r="CU7" s="50" t="e">
        <f t="shared" si="10"/>
        <v>#N/A</v>
      </c>
      <c r="CV7" s="50" t="e">
        <f t="shared" si="11"/>
        <v>#N/A</v>
      </c>
      <c r="CW7" s="50" t="e">
        <f t="shared" si="12"/>
        <v>#N/A</v>
      </c>
      <c r="CX7" s="50" t="e">
        <f t="shared" si="13"/>
        <v>#N/A</v>
      </c>
      <c r="CY7" s="50" t="e">
        <f t="shared" si="14"/>
        <v>#N/A</v>
      </c>
      <c r="CZ7" s="50">
        <f t="shared" si="15"/>
        <v>0.47</v>
      </c>
      <c r="DA7" s="50" t="e">
        <f t="shared" si="16"/>
        <v>#N/A</v>
      </c>
      <c r="DB7" s="50" t="e">
        <f t="shared" si="17"/>
        <v>#N/A</v>
      </c>
      <c r="DC7" s="50" t="e">
        <f t="shared" si="18"/>
        <v>#N/A</v>
      </c>
      <c r="DD7" s="50">
        <f t="shared" si="19"/>
        <v>1</v>
      </c>
      <c r="DE7" s="50">
        <f>IF(DD7=0,NA(),SUM($DD$3:DD7))</f>
        <v>5</v>
      </c>
    </row>
    <row r="8" spans="1:109" ht="12" customHeight="1" x14ac:dyDescent="0.2">
      <c r="A8" s="180"/>
      <c r="B8" s="181" t="str">
        <f t="shared" si="25"/>
        <v/>
      </c>
      <c r="C8" s="838" t="str">
        <f t="shared" si="26"/>
        <v/>
      </c>
      <c r="D8" s="182" t="str">
        <f t="shared" si="27"/>
        <v/>
      </c>
      <c r="E8" s="183">
        <v>2</v>
      </c>
      <c r="F8" s="396" t="s">
        <v>506</v>
      </c>
      <c r="G8" s="813">
        <v>0.51</v>
      </c>
      <c r="H8" s="186">
        <v>55</v>
      </c>
      <c r="I8" s="187"/>
      <c r="J8" s="195" t="s">
        <v>339</v>
      </c>
      <c r="K8" s="816">
        <f t="shared" ref="K8:K36" si="43">IF(BM8,BV8,"")</f>
        <v>0.28299209393396629</v>
      </c>
      <c r="L8" s="790" t="s">
        <v>261</v>
      </c>
      <c r="M8" s="816">
        <f t="shared" ref="M8:M36" si="44">IF(BM8,BW8,"")</f>
        <v>0.68289977291659398</v>
      </c>
      <c r="N8" s="198" t="s">
        <v>259</v>
      </c>
      <c r="O8" s="192"/>
      <c r="P8" s="193">
        <f t="shared" si="28"/>
        <v>6.7509948255820715</v>
      </c>
      <c r="Q8" s="194"/>
      <c r="R8" s="169">
        <f t="shared" si="23"/>
        <v>9.5E-4</v>
      </c>
      <c r="S8" s="170"/>
      <c r="T8" s="170"/>
      <c r="U8" s="170"/>
      <c r="V8" s="170"/>
      <c r="W8" s="170"/>
      <c r="X8" s="170"/>
      <c r="Y8" s="171">
        <f t="shared" si="24"/>
        <v>9.5E-4</v>
      </c>
      <c r="Z8" s="823">
        <f t="shared" ref="Z8:Z36" si="45">IF(BM8,BX8,"")</f>
        <v>0.22700790606603372</v>
      </c>
      <c r="AA8" s="824">
        <f t="shared" ref="AA8:AA36" si="46">IF(BM8,BY8,"")</f>
        <v>0.17289977291659397</v>
      </c>
      <c r="AB8" s="825">
        <f t="shared" ref="AB8:AB36" si="47">IF(BM8,(Z8+AA8)/2,"")</f>
        <v>0.19995383949131385</v>
      </c>
      <c r="AC8" s="176"/>
      <c r="AD8" s="176"/>
      <c r="AE8" s="176"/>
      <c r="AF8" s="176"/>
      <c r="AG8" s="176"/>
      <c r="AI8" s="1">
        <f t="shared" si="21"/>
        <v>9.5E-4</v>
      </c>
      <c r="AR8" s="91">
        <f t="shared" si="22"/>
        <v>9.5E-4</v>
      </c>
      <c r="BI8" s="90">
        <f t="shared" si="29"/>
        <v>1.9230769230769232E-2</v>
      </c>
      <c r="BJ8" s="90">
        <f t="shared" ref="BJ8:BJ36" si="48">IF(AND(G8&lt;&gt;"",H8&lt;&gt;""),0.5*LN((1+G8)/(1-G8)),"")</f>
        <v>0.56272976935214891</v>
      </c>
      <c r="BK8" s="199" t="b">
        <v>1</v>
      </c>
      <c r="BL8" s="50">
        <v>2</v>
      </c>
      <c r="BM8" s="200" t="b">
        <f t="shared" si="30"/>
        <v>1</v>
      </c>
      <c r="BN8" s="90">
        <f t="shared" si="31"/>
        <v>0.51</v>
      </c>
      <c r="BO8" s="127"/>
      <c r="BP8" s="201">
        <f t="shared" ref="BP8:BP36" si="49">IF(BM8,(BJ8-$BN$3)/SQRT(BI8),"")</f>
        <v>4.0579020752583936</v>
      </c>
      <c r="BQ8" s="90" t="e">
        <f t="shared" si="32"/>
        <v>#N/A</v>
      </c>
      <c r="BR8" s="201">
        <f t="shared" si="33"/>
        <v>2</v>
      </c>
      <c r="BS8" s="90"/>
      <c r="BT8" s="90">
        <f t="shared" si="34"/>
        <v>0.29093166764746148</v>
      </c>
      <c r="BU8" s="90">
        <f t="shared" si="35"/>
        <v>0.83452787105683635</v>
      </c>
      <c r="BV8" s="90">
        <f t="shared" ref="BV8:BV36" si="50">IF(BM8,(EXP(2*BT8)-1)/(EXP(2*BT8)+1),"")</f>
        <v>0.28299209393396629</v>
      </c>
      <c r="BW8" s="90">
        <f t="shared" ref="BW8:BW36" si="51">IF(BM8,(EXP(2*BU8)-1)/(EXP(2*BU8)+1),"")</f>
        <v>0.68289977291659398</v>
      </c>
      <c r="BX8" s="102">
        <f t="shared" si="36"/>
        <v>0.22700790606603372</v>
      </c>
      <c r="BY8" s="102">
        <f t="shared" si="37"/>
        <v>0.17289977291659397</v>
      </c>
      <c r="BZ8" s="90">
        <f t="shared" ref="BZ8:BZ36" si="52">IF(BM8,1/BI8,"")</f>
        <v>52</v>
      </c>
      <c r="CA8" s="90">
        <f t="shared" si="38"/>
        <v>16.078950780384812</v>
      </c>
      <c r="CB8" s="90"/>
      <c r="CC8" s="90">
        <f t="shared" ref="CC8:CC36" si="53">IF(BM8,BJ8*BZ8,"")</f>
        <v>29.261948006311744</v>
      </c>
      <c r="CD8" s="90">
        <f t="shared" ref="CD8:CD36" si="54">IF(BZ8&lt;&gt;"",BZ8*BZ8,"")</f>
        <v>2704</v>
      </c>
      <c r="CE8" s="90">
        <f t="shared" ref="CE8:CE36" si="55">IF(BZ8&lt;&gt;"",BJ8^2*BZ8,"")</f>
        <v>16.466569252386382</v>
      </c>
      <c r="CF8" s="90">
        <f t="shared" si="39"/>
        <v>6.2193112825491677E-2</v>
      </c>
      <c r="CG8" s="90">
        <f t="shared" si="40"/>
        <v>16.078950780384812</v>
      </c>
      <c r="CH8" s="90">
        <f t="shared" ref="CH8:CH36" si="56">IF(BZ8&lt;&gt;"",CG8*BJ8,"")</f>
        <v>9.0481042640704992</v>
      </c>
      <c r="CI8" s="90" t="e">
        <f t="shared" si="41"/>
        <v>#N/A</v>
      </c>
      <c r="CJ8" s="113">
        <f t="shared" si="42"/>
        <v>2</v>
      </c>
      <c r="CK8" s="106" t="e">
        <f t="shared" si="1"/>
        <v>#N/A</v>
      </c>
      <c r="CL8" s="90" t="e">
        <f t="shared" si="2"/>
        <v>#N/A</v>
      </c>
      <c r="CM8" s="90" t="e">
        <f t="shared" si="3"/>
        <v>#N/A</v>
      </c>
      <c r="CN8" s="90" t="e">
        <f t="shared" si="4"/>
        <v>#N/A</v>
      </c>
      <c r="CO8" s="90" t="e">
        <f t="shared" si="5"/>
        <v>#N/A</v>
      </c>
      <c r="CP8" s="90" t="e">
        <f t="shared" si="6"/>
        <v>#N/A</v>
      </c>
      <c r="CQ8" s="90" t="e">
        <f t="shared" si="7"/>
        <v>#N/A</v>
      </c>
      <c r="CR8" s="90">
        <f t="shared" si="8"/>
        <v>0.22750000000000001</v>
      </c>
      <c r="CS8" s="90" t="e">
        <f t="shared" si="9"/>
        <v>#N/A</v>
      </c>
      <c r="CT8" s="113">
        <v>6</v>
      </c>
      <c r="CU8" s="50" t="e">
        <f t="shared" si="10"/>
        <v>#N/A</v>
      </c>
      <c r="CV8" s="50" t="e">
        <f t="shared" si="11"/>
        <v>#N/A</v>
      </c>
      <c r="CW8" s="50" t="e">
        <f t="shared" si="12"/>
        <v>#N/A</v>
      </c>
      <c r="CX8" s="50" t="e">
        <f t="shared" si="13"/>
        <v>#N/A</v>
      </c>
      <c r="CY8" s="50" t="e">
        <f t="shared" si="14"/>
        <v>#N/A</v>
      </c>
      <c r="CZ8" s="50" t="e">
        <f t="shared" si="15"/>
        <v>#N/A</v>
      </c>
      <c r="DA8" s="50" t="e">
        <f t="shared" si="16"/>
        <v>#N/A</v>
      </c>
      <c r="DB8" s="50">
        <f t="shared" si="17"/>
        <v>0.22750000000000001</v>
      </c>
      <c r="DC8" s="50" t="e">
        <f t="shared" si="18"/>
        <v>#N/A</v>
      </c>
      <c r="DD8" s="50">
        <f t="shared" si="19"/>
        <v>1</v>
      </c>
      <c r="DE8" s="50">
        <f>IF(DD8=0,NA(),SUM($DD$3:DD8))</f>
        <v>6</v>
      </c>
    </row>
    <row r="9" spans="1:109" ht="12" customHeight="1" x14ac:dyDescent="0.2">
      <c r="A9" s="180"/>
      <c r="B9" s="181" t="str">
        <f t="shared" si="25"/>
        <v/>
      </c>
      <c r="C9" s="838" t="str">
        <f t="shared" si="26"/>
        <v/>
      </c>
      <c r="D9" s="182" t="str">
        <f t="shared" si="27"/>
        <v/>
      </c>
      <c r="E9" s="183">
        <v>3</v>
      </c>
      <c r="F9" s="396" t="s">
        <v>507</v>
      </c>
      <c r="G9" s="813">
        <v>0.4</v>
      </c>
      <c r="H9" s="186">
        <v>19</v>
      </c>
      <c r="I9" s="187"/>
      <c r="J9" s="195" t="s">
        <v>339</v>
      </c>
      <c r="K9" s="816">
        <f t="shared" si="43"/>
        <v>-6.6244907211354204E-2</v>
      </c>
      <c r="L9" s="790" t="s">
        <v>261</v>
      </c>
      <c r="M9" s="816">
        <f t="shared" si="44"/>
        <v>0.72287472178376855</v>
      </c>
      <c r="N9" s="198" t="s">
        <v>259</v>
      </c>
      <c r="O9" s="192"/>
      <c r="P9" s="193">
        <f t="shared" si="28"/>
        <v>3.9811876785634719</v>
      </c>
      <c r="Q9" s="194"/>
      <c r="R9" s="169">
        <f t="shared" si="23"/>
        <v>9.5E-4</v>
      </c>
      <c r="S9" s="170"/>
      <c r="T9" s="170"/>
      <c r="U9" s="170"/>
      <c r="V9" s="170"/>
      <c r="W9" s="170"/>
      <c r="X9" s="170"/>
      <c r="Y9" s="171">
        <f t="shared" si="24"/>
        <v>9.5E-4</v>
      </c>
      <c r="Z9" s="823">
        <f t="shared" si="45"/>
        <v>0.46624490721135425</v>
      </c>
      <c r="AA9" s="824">
        <f t="shared" si="46"/>
        <v>0.32287472178376853</v>
      </c>
      <c r="AB9" s="825">
        <f t="shared" si="47"/>
        <v>0.39455981449756139</v>
      </c>
      <c r="AC9" s="176"/>
      <c r="AD9" s="176"/>
      <c r="AE9" s="176"/>
      <c r="AF9" s="176"/>
      <c r="AG9" s="176"/>
      <c r="AI9" s="1">
        <f t="shared" si="21"/>
        <v>9.5E-4</v>
      </c>
      <c r="AR9" s="91">
        <f t="shared" si="22"/>
        <v>9.5E-4</v>
      </c>
      <c r="BI9" s="90">
        <f t="shared" si="29"/>
        <v>6.25E-2</v>
      </c>
      <c r="BJ9" s="90">
        <f t="shared" si="48"/>
        <v>0.42364893019360184</v>
      </c>
      <c r="BK9" s="199" t="b">
        <v>1</v>
      </c>
      <c r="BL9" s="50">
        <v>3</v>
      </c>
      <c r="BM9" s="200" t="b">
        <f t="shared" si="30"/>
        <v>1</v>
      </c>
      <c r="BN9" s="90">
        <f t="shared" si="31"/>
        <v>0.4</v>
      </c>
      <c r="BO9" s="127"/>
      <c r="BP9" s="201">
        <f t="shared" si="49"/>
        <v>1.6945957207744073</v>
      </c>
      <c r="BQ9" s="90" t="e">
        <f t="shared" si="32"/>
        <v>#N/A</v>
      </c>
      <c r="BR9" s="201">
        <f t="shared" si="33"/>
        <v>3</v>
      </c>
      <c r="BS9" s="90"/>
      <c r="BT9" s="90">
        <f t="shared" si="34"/>
        <v>-6.6342065941411565E-2</v>
      </c>
      <c r="BU9" s="90">
        <f t="shared" si="35"/>
        <v>0.91363992632861524</v>
      </c>
      <c r="BV9" s="90">
        <f t="shared" si="50"/>
        <v>-6.6244907211354204E-2</v>
      </c>
      <c r="BW9" s="90">
        <f t="shared" si="51"/>
        <v>0.72287472178376855</v>
      </c>
      <c r="BX9" s="102">
        <f t="shared" si="36"/>
        <v>0.46624490721135425</v>
      </c>
      <c r="BY9" s="102">
        <f t="shared" si="37"/>
        <v>0.32287472178376853</v>
      </c>
      <c r="BZ9" s="90">
        <f t="shared" si="52"/>
        <v>16</v>
      </c>
      <c r="CA9" s="90">
        <f t="shared" si="38"/>
        <v>9.4820574426343587</v>
      </c>
      <c r="CB9" s="90"/>
      <c r="CC9" s="90">
        <f t="shared" si="53"/>
        <v>6.7783828830976294</v>
      </c>
      <c r="CD9" s="90">
        <f t="shared" si="54"/>
        <v>256</v>
      </c>
      <c r="CE9" s="90">
        <f t="shared" si="55"/>
        <v>2.8716546568669332</v>
      </c>
      <c r="CF9" s="90">
        <f t="shared" si="39"/>
        <v>0.10546234359472245</v>
      </c>
      <c r="CG9" s="90">
        <f t="shared" si="40"/>
        <v>9.4820574426343587</v>
      </c>
      <c r="CH9" s="90">
        <f t="shared" si="56"/>
        <v>4.0170634916063266</v>
      </c>
      <c r="CI9" s="90" t="e">
        <f t="shared" si="41"/>
        <v>#N/A</v>
      </c>
      <c r="CJ9" s="113">
        <f t="shared" si="42"/>
        <v>3</v>
      </c>
      <c r="CK9" s="106" t="e">
        <f t="shared" si="1"/>
        <v>#N/A</v>
      </c>
      <c r="CL9" s="90" t="e">
        <f t="shared" si="2"/>
        <v>#N/A</v>
      </c>
      <c r="CM9" s="90" t="e">
        <f t="shared" si="3"/>
        <v>#N/A</v>
      </c>
      <c r="CN9" s="90" t="e">
        <f t="shared" si="4"/>
        <v>#N/A</v>
      </c>
      <c r="CO9" s="90" t="e">
        <f t="shared" si="5"/>
        <v>#N/A</v>
      </c>
      <c r="CP9" s="90">
        <f t="shared" si="6"/>
        <v>-0.224</v>
      </c>
      <c r="CQ9" s="90" t="e">
        <f t="shared" si="7"/>
        <v>#N/A</v>
      </c>
      <c r="CR9" s="90" t="e">
        <f t="shared" si="8"/>
        <v>#N/A</v>
      </c>
      <c r="CS9" s="90" t="e">
        <f t="shared" si="9"/>
        <v>#N/A</v>
      </c>
      <c r="CT9" s="113">
        <v>7</v>
      </c>
      <c r="CU9" s="50" t="e">
        <f t="shared" si="10"/>
        <v>#N/A</v>
      </c>
      <c r="CV9" s="50" t="e">
        <f t="shared" si="11"/>
        <v>#N/A</v>
      </c>
      <c r="CW9" s="50" t="e">
        <f t="shared" si="12"/>
        <v>#N/A</v>
      </c>
      <c r="CX9" s="50" t="e">
        <f t="shared" si="13"/>
        <v>#N/A</v>
      </c>
      <c r="CY9" s="50" t="e">
        <f t="shared" si="14"/>
        <v>#N/A</v>
      </c>
      <c r="CZ9" s="50">
        <f t="shared" si="15"/>
        <v>-0.224</v>
      </c>
      <c r="DA9" s="50" t="e">
        <f t="shared" si="16"/>
        <v>#N/A</v>
      </c>
      <c r="DB9" s="50" t="e">
        <f t="shared" si="17"/>
        <v>#N/A</v>
      </c>
      <c r="DC9" s="50" t="e">
        <f t="shared" si="18"/>
        <v>#N/A</v>
      </c>
      <c r="DD9" s="50">
        <f t="shared" si="19"/>
        <v>1</v>
      </c>
      <c r="DE9" s="50">
        <f>IF(DD9=0,NA(),SUM($DD$3:DD9))</f>
        <v>7</v>
      </c>
    </row>
    <row r="10" spans="1:109" ht="12" customHeight="1" x14ac:dyDescent="0.2">
      <c r="A10" s="180"/>
      <c r="B10" s="181" t="str">
        <f t="shared" si="25"/>
        <v/>
      </c>
      <c r="C10" s="838" t="str">
        <f t="shared" si="26"/>
        <v/>
      </c>
      <c r="D10" s="182" t="str">
        <f t="shared" si="27"/>
        <v/>
      </c>
      <c r="E10" s="183">
        <v>4</v>
      </c>
      <c r="F10" s="396" t="s">
        <v>507</v>
      </c>
      <c r="G10" s="813">
        <v>0.46</v>
      </c>
      <c r="H10" s="186">
        <v>30</v>
      </c>
      <c r="I10" s="187"/>
      <c r="J10" s="195" t="s">
        <v>339</v>
      </c>
      <c r="K10" s="816">
        <f t="shared" si="43"/>
        <v>0.11954168472297413</v>
      </c>
      <c r="L10" s="790" t="s">
        <v>261</v>
      </c>
      <c r="M10" s="816">
        <f t="shared" si="44"/>
        <v>0.70365655463564936</v>
      </c>
      <c r="N10" s="198" t="s">
        <v>259</v>
      </c>
      <c r="O10" s="192"/>
      <c r="P10" s="193">
        <f t="shared" si="28"/>
        <v>5.2483579192243281</v>
      </c>
      <c r="Q10" s="194"/>
      <c r="R10" s="169">
        <f t="shared" si="23"/>
        <v>9.5E-4</v>
      </c>
      <c r="S10" s="170"/>
      <c r="T10" s="170"/>
      <c r="U10" s="170"/>
      <c r="V10" s="170"/>
      <c r="W10" s="170"/>
      <c r="X10" s="170"/>
      <c r="Y10" s="171">
        <f t="shared" si="24"/>
        <v>9.5E-4</v>
      </c>
      <c r="Z10" s="823">
        <f t="shared" si="45"/>
        <v>0.34045831527702586</v>
      </c>
      <c r="AA10" s="824">
        <f t="shared" si="46"/>
        <v>0.24365655463564934</v>
      </c>
      <c r="AB10" s="825">
        <f t="shared" si="47"/>
        <v>0.29205743495633762</v>
      </c>
      <c r="AC10" s="176"/>
      <c r="AD10" s="176"/>
      <c r="AE10" s="176"/>
      <c r="AF10" s="176"/>
      <c r="AG10" s="176"/>
      <c r="AI10" s="1">
        <f t="shared" si="21"/>
        <v>9.5E-4</v>
      </c>
      <c r="AR10" s="91">
        <f t="shared" si="22"/>
        <v>9.5E-4</v>
      </c>
      <c r="BI10" s="90">
        <f t="shared" si="29"/>
        <v>3.7037037037037035E-2</v>
      </c>
      <c r="BJ10" s="90">
        <f t="shared" si="48"/>
        <v>0.49731128757203097</v>
      </c>
      <c r="BK10" s="199" t="b">
        <v>1</v>
      </c>
      <c r="BL10" s="50">
        <v>4</v>
      </c>
      <c r="BM10" s="200" t="b">
        <f t="shared" si="30"/>
        <v>1</v>
      </c>
      <c r="BN10" s="90">
        <f t="shared" si="31"/>
        <v>0.46</v>
      </c>
      <c r="BO10" s="127"/>
      <c r="BP10" s="201">
        <f t="shared" si="49"/>
        <v>2.5841052517567631</v>
      </c>
      <c r="BQ10" s="90" t="e">
        <f t="shared" si="32"/>
        <v>#N/A</v>
      </c>
      <c r="BR10" s="201">
        <f t="shared" si="33"/>
        <v>4</v>
      </c>
      <c r="BS10" s="90"/>
      <c r="BT10" s="90">
        <f t="shared" si="34"/>
        <v>0.12011604287997379</v>
      </c>
      <c r="BU10" s="90">
        <f t="shared" si="35"/>
        <v>0.87450653226408814</v>
      </c>
      <c r="BV10" s="90">
        <f t="shared" si="50"/>
        <v>0.11954168472297413</v>
      </c>
      <c r="BW10" s="90">
        <f t="shared" si="51"/>
        <v>0.70365655463564936</v>
      </c>
      <c r="BX10" s="102">
        <f t="shared" si="36"/>
        <v>0.34045831527702586</v>
      </c>
      <c r="BY10" s="102">
        <f t="shared" si="37"/>
        <v>0.24365655463564934</v>
      </c>
      <c r="BZ10" s="90">
        <f t="shared" si="52"/>
        <v>27</v>
      </c>
      <c r="CA10" s="90">
        <f t="shared" si="38"/>
        <v>12.500096777036838</v>
      </c>
      <c r="CB10" s="90"/>
      <c r="CC10" s="90">
        <f t="shared" si="53"/>
        <v>13.427404764444836</v>
      </c>
      <c r="CD10" s="90">
        <f t="shared" si="54"/>
        <v>729</v>
      </c>
      <c r="CE10" s="90">
        <f t="shared" si="55"/>
        <v>6.6775999521568847</v>
      </c>
      <c r="CF10" s="90">
        <f t="shared" si="39"/>
        <v>7.9999380631759487E-2</v>
      </c>
      <c r="CG10" s="90">
        <f t="shared" si="40"/>
        <v>12.500096777036838</v>
      </c>
      <c r="CH10" s="90">
        <f t="shared" si="56"/>
        <v>6.2164392229631842</v>
      </c>
      <c r="CI10" s="90" t="e">
        <f t="shared" si="41"/>
        <v>#N/A</v>
      </c>
      <c r="CJ10" s="113">
        <f t="shared" si="42"/>
        <v>4</v>
      </c>
      <c r="CK10" s="106" t="e">
        <f t="shared" si="1"/>
        <v>#N/A</v>
      </c>
      <c r="CL10" s="90" t="e">
        <f t="shared" si="2"/>
        <v>#N/A</v>
      </c>
      <c r="CM10" s="90" t="e">
        <f t="shared" si="3"/>
        <v>#N/A</v>
      </c>
      <c r="CN10" s="90" t="e">
        <f t="shared" si="4"/>
        <v>#N/A</v>
      </c>
      <c r="CO10" s="90" t="e">
        <f t="shared" si="5"/>
        <v>#N/A</v>
      </c>
      <c r="CP10" s="90" t="e">
        <f t="shared" si="6"/>
        <v>#N/A</v>
      </c>
      <c r="CQ10" s="90" t="e">
        <f t="shared" si="7"/>
        <v>#N/A</v>
      </c>
      <c r="CR10" s="90">
        <f t="shared" si="8"/>
        <v>0.104</v>
      </c>
      <c r="CS10" s="90" t="e">
        <f t="shared" si="9"/>
        <v>#N/A</v>
      </c>
      <c r="CT10" s="113">
        <v>8</v>
      </c>
      <c r="CU10" s="50" t="e">
        <f t="shared" si="10"/>
        <v>#N/A</v>
      </c>
      <c r="CV10" s="50" t="e">
        <f t="shared" si="11"/>
        <v>#N/A</v>
      </c>
      <c r="CW10" s="50" t="e">
        <f t="shared" si="12"/>
        <v>#N/A</v>
      </c>
      <c r="CX10" s="50" t="e">
        <f t="shared" si="13"/>
        <v>#N/A</v>
      </c>
      <c r="CY10" s="50" t="e">
        <f t="shared" si="14"/>
        <v>#N/A</v>
      </c>
      <c r="CZ10" s="50" t="e">
        <f t="shared" si="15"/>
        <v>#N/A</v>
      </c>
      <c r="DA10" s="50" t="e">
        <f t="shared" si="16"/>
        <v>#N/A</v>
      </c>
      <c r="DB10" s="50">
        <f t="shared" si="17"/>
        <v>0.104</v>
      </c>
      <c r="DC10" s="50" t="e">
        <f t="shared" si="18"/>
        <v>#N/A</v>
      </c>
      <c r="DD10" s="50">
        <f t="shared" si="19"/>
        <v>1</v>
      </c>
      <c r="DE10" s="50">
        <f>IF(DD10=0,NA(),SUM($DD$3:DD10))</f>
        <v>8</v>
      </c>
    </row>
    <row r="11" spans="1:109" ht="12" customHeight="1" x14ac:dyDescent="0.2">
      <c r="A11" s="180"/>
      <c r="B11" s="181" t="str">
        <f t="shared" si="25"/>
        <v/>
      </c>
      <c r="C11" s="838" t="str">
        <f t="shared" si="26"/>
        <v/>
      </c>
      <c r="D11" s="182" t="str">
        <f t="shared" si="27"/>
        <v/>
      </c>
      <c r="E11" s="183">
        <v>5</v>
      </c>
      <c r="F11" s="396" t="s">
        <v>507</v>
      </c>
      <c r="G11" s="813">
        <v>0.47</v>
      </c>
      <c r="H11" s="186">
        <v>19</v>
      </c>
      <c r="I11" s="187"/>
      <c r="J11" s="195" t="s">
        <v>339</v>
      </c>
      <c r="K11" s="816">
        <f t="shared" si="43"/>
        <v>2.0076642384497145E-2</v>
      </c>
      <c r="L11" s="790" t="s">
        <v>261</v>
      </c>
      <c r="M11" s="816">
        <f t="shared" si="44"/>
        <v>0.76161991293320241</v>
      </c>
      <c r="N11" s="198" t="s">
        <v>259</v>
      </c>
      <c r="O11" s="192"/>
      <c r="P11" s="193">
        <f t="shared" si="28"/>
        <v>3.9811876785634719</v>
      </c>
      <c r="Q11" s="194"/>
      <c r="R11" s="169">
        <f t="shared" si="23"/>
        <v>9.5E-4</v>
      </c>
      <c r="S11" s="170"/>
      <c r="T11" s="170"/>
      <c r="U11" s="170"/>
      <c r="V11" s="170"/>
      <c r="W11" s="170"/>
      <c r="X11" s="170"/>
      <c r="Y11" s="171">
        <f t="shared" si="24"/>
        <v>9.5E-4</v>
      </c>
      <c r="Z11" s="823">
        <f t="shared" si="45"/>
        <v>0.44992335761550284</v>
      </c>
      <c r="AA11" s="824">
        <f t="shared" si="46"/>
        <v>0.29161991293320244</v>
      </c>
      <c r="AB11" s="825">
        <f t="shared" si="47"/>
        <v>0.37077163527435264</v>
      </c>
      <c r="AC11" s="176"/>
      <c r="AD11" s="176"/>
      <c r="AE11" s="176"/>
      <c r="AF11" s="176"/>
      <c r="AG11" s="176"/>
      <c r="AI11" s="1">
        <f t="shared" si="21"/>
        <v>9.5E-4</v>
      </c>
      <c r="AR11" s="91">
        <f t="shared" si="22"/>
        <v>9.5E-4</v>
      </c>
      <c r="BI11" s="90">
        <f t="shared" si="29"/>
        <v>6.25E-2</v>
      </c>
      <c r="BJ11" s="90">
        <f t="shared" si="48"/>
        <v>0.51007033661330714</v>
      </c>
      <c r="BK11" s="199" t="b">
        <v>1</v>
      </c>
      <c r="BL11" s="50">
        <v>5</v>
      </c>
      <c r="BM11" s="200" t="b">
        <f t="shared" si="30"/>
        <v>1</v>
      </c>
      <c r="BN11" s="90">
        <f t="shared" si="31"/>
        <v>0.47</v>
      </c>
      <c r="BO11" s="127"/>
      <c r="BP11" s="201">
        <f t="shared" si="49"/>
        <v>2.0402813464532286</v>
      </c>
      <c r="BQ11" s="90" t="e">
        <f t="shared" si="32"/>
        <v>#N/A</v>
      </c>
      <c r="BR11" s="201">
        <f t="shared" si="33"/>
        <v>5</v>
      </c>
      <c r="BS11" s="90"/>
      <c r="BT11" s="90">
        <f t="shared" si="34"/>
        <v>2.0079340478293739E-2</v>
      </c>
      <c r="BU11" s="90">
        <f t="shared" si="35"/>
        <v>1.0000613327483205</v>
      </c>
      <c r="BV11" s="90">
        <f t="shared" si="50"/>
        <v>2.0076642384497145E-2</v>
      </c>
      <c r="BW11" s="90">
        <f t="shared" si="51"/>
        <v>0.76161991293320241</v>
      </c>
      <c r="BX11" s="102">
        <f t="shared" si="36"/>
        <v>0.44992335761550284</v>
      </c>
      <c r="BY11" s="102">
        <f t="shared" si="37"/>
        <v>0.29161991293320244</v>
      </c>
      <c r="BZ11" s="90">
        <f t="shared" si="52"/>
        <v>16</v>
      </c>
      <c r="CA11" s="90">
        <f t="shared" si="38"/>
        <v>9.4820574426343587</v>
      </c>
      <c r="CB11" s="90"/>
      <c r="CC11" s="90">
        <f t="shared" si="53"/>
        <v>8.1611253858129142</v>
      </c>
      <c r="CD11" s="90">
        <f t="shared" si="54"/>
        <v>256</v>
      </c>
      <c r="CE11" s="90">
        <f t="shared" si="55"/>
        <v>4.1627479726849996</v>
      </c>
      <c r="CF11" s="90">
        <f t="shared" si="39"/>
        <v>0.10546234359472245</v>
      </c>
      <c r="CG11" s="90">
        <f t="shared" si="40"/>
        <v>9.4820574426343587</v>
      </c>
      <c r="CH11" s="90">
        <f t="shared" si="56"/>
        <v>4.8365162315512213</v>
      </c>
      <c r="CI11" s="90" t="e">
        <f t="shared" si="41"/>
        <v>#N/A</v>
      </c>
      <c r="CJ11" s="113">
        <f t="shared" si="42"/>
        <v>5</v>
      </c>
      <c r="CK11" s="106" t="e">
        <f t="shared" si="1"/>
        <v>#N/A</v>
      </c>
      <c r="CL11" s="90" t="e">
        <f t="shared" si="2"/>
        <v>#N/A</v>
      </c>
      <c r="CM11" s="90" t="e">
        <f t="shared" si="3"/>
        <v>#N/A</v>
      </c>
      <c r="CN11" s="90" t="e">
        <f t="shared" si="4"/>
        <v>#N/A</v>
      </c>
      <c r="CO11" s="90">
        <f t="shared" si="5"/>
        <v>0.32200000000000001</v>
      </c>
      <c r="CP11" s="90" t="e">
        <f t="shared" si="6"/>
        <v>#N/A</v>
      </c>
      <c r="CQ11" s="90" t="e">
        <f t="shared" si="7"/>
        <v>#N/A</v>
      </c>
      <c r="CR11" s="90" t="e">
        <f t="shared" si="8"/>
        <v>#N/A</v>
      </c>
      <c r="CS11" s="90" t="e">
        <f t="shared" si="9"/>
        <v>#N/A</v>
      </c>
      <c r="CT11" s="113">
        <v>9</v>
      </c>
      <c r="CU11" s="50" t="e">
        <f t="shared" si="10"/>
        <v>#N/A</v>
      </c>
      <c r="CV11" s="50" t="e">
        <f t="shared" si="11"/>
        <v>#N/A</v>
      </c>
      <c r="CW11" s="50" t="e">
        <f t="shared" si="12"/>
        <v>#N/A</v>
      </c>
      <c r="CX11" s="50" t="e">
        <f t="shared" si="13"/>
        <v>#N/A</v>
      </c>
      <c r="CY11" s="50">
        <f t="shared" si="14"/>
        <v>0.32200000000000001</v>
      </c>
      <c r="CZ11" s="50" t="e">
        <f t="shared" si="15"/>
        <v>#N/A</v>
      </c>
      <c r="DA11" s="50" t="e">
        <f t="shared" si="16"/>
        <v>#N/A</v>
      </c>
      <c r="DB11" s="50" t="e">
        <f t="shared" si="17"/>
        <v>#N/A</v>
      </c>
      <c r="DC11" s="50" t="e">
        <f t="shared" si="18"/>
        <v>#N/A</v>
      </c>
      <c r="DD11" s="50">
        <f t="shared" si="19"/>
        <v>1</v>
      </c>
      <c r="DE11" s="50">
        <f>IF(DD11=0,NA(),SUM($DD$3:DD11))</f>
        <v>9</v>
      </c>
    </row>
    <row r="12" spans="1:109" ht="12" customHeight="1" x14ac:dyDescent="0.2">
      <c r="A12" s="180"/>
      <c r="B12" s="181" t="str">
        <f t="shared" si="25"/>
        <v/>
      </c>
      <c r="C12" s="838" t="str">
        <f t="shared" si="26"/>
        <v/>
      </c>
      <c r="D12" s="182" t="str">
        <f t="shared" si="27"/>
        <v/>
      </c>
      <c r="E12" s="183">
        <v>6</v>
      </c>
      <c r="F12" s="396" t="s">
        <v>507</v>
      </c>
      <c r="G12" s="813">
        <v>0.22750000000000001</v>
      </c>
      <c r="H12" s="186">
        <v>52</v>
      </c>
      <c r="I12" s="187"/>
      <c r="J12" s="195" t="s">
        <v>339</v>
      </c>
      <c r="K12" s="816">
        <f t="shared" si="43"/>
        <v>-4.8405569895720819E-2</v>
      </c>
      <c r="L12" s="790" t="s">
        <v>261</v>
      </c>
      <c r="M12" s="816">
        <f t="shared" si="44"/>
        <v>0.47114910982620883</v>
      </c>
      <c r="N12" s="198" t="s">
        <v>259</v>
      </c>
      <c r="O12" s="192"/>
      <c r="P12" s="193">
        <f t="shared" si="28"/>
        <v>6.6255645358672295</v>
      </c>
      <c r="Q12" s="194"/>
      <c r="R12" s="169">
        <f t="shared" si="23"/>
        <v>9.5E-4</v>
      </c>
      <c r="S12" s="170"/>
      <c r="T12" s="170"/>
      <c r="U12" s="170"/>
      <c r="V12" s="170"/>
      <c r="W12" s="170"/>
      <c r="X12" s="170"/>
      <c r="Y12" s="171">
        <f t="shared" si="24"/>
        <v>9.5E-4</v>
      </c>
      <c r="Z12" s="823">
        <f t="shared" si="45"/>
        <v>0.27590556989572085</v>
      </c>
      <c r="AA12" s="824">
        <f t="shared" si="46"/>
        <v>0.24364910982620883</v>
      </c>
      <c r="AB12" s="825">
        <f t="shared" si="47"/>
        <v>0.25977733986096485</v>
      </c>
      <c r="AC12" s="176"/>
      <c r="AD12" s="176"/>
      <c r="AE12" s="176"/>
      <c r="AF12" s="176"/>
      <c r="AG12" s="176"/>
      <c r="AI12" s="1">
        <f t="shared" si="21"/>
        <v>9.5E-4</v>
      </c>
      <c r="AR12" s="91">
        <f t="shared" si="22"/>
        <v>9.5E-4</v>
      </c>
      <c r="BI12" s="90">
        <f t="shared" si="29"/>
        <v>2.0408163265306121E-2</v>
      </c>
      <c r="BJ12" s="90">
        <f t="shared" si="48"/>
        <v>0.23155142544838758</v>
      </c>
      <c r="BK12" s="199" t="b">
        <v>1</v>
      </c>
      <c r="BL12" s="50">
        <v>6</v>
      </c>
      <c r="BM12" s="200" t="b">
        <f t="shared" si="30"/>
        <v>1</v>
      </c>
      <c r="BN12" s="90">
        <f t="shared" si="31"/>
        <v>0.22750000000000001</v>
      </c>
      <c r="BO12" s="127"/>
      <c r="BP12" s="201">
        <f t="shared" si="49"/>
        <v>1.6208599781387132</v>
      </c>
      <c r="BQ12" s="90" t="e">
        <f t="shared" si="32"/>
        <v>#N/A</v>
      </c>
      <c r="BR12" s="201">
        <f t="shared" si="33"/>
        <v>6</v>
      </c>
      <c r="BS12" s="90"/>
      <c r="BT12" s="90">
        <f t="shared" si="34"/>
        <v>-4.8443429485905798E-2</v>
      </c>
      <c r="BU12" s="90">
        <f t="shared" si="35"/>
        <v>0.51154628038268091</v>
      </c>
      <c r="BV12" s="90">
        <f t="shared" si="50"/>
        <v>-4.8405569895720819E-2</v>
      </c>
      <c r="BW12" s="90">
        <f t="shared" si="51"/>
        <v>0.47114910982620883</v>
      </c>
      <c r="BX12" s="102">
        <f t="shared" si="36"/>
        <v>0.27590556989572085</v>
      </c>
      <c r="BY12" s="102">
        <f t="shared" si="37"/>
        <v>0.24364910982620883</v>
      </c>
      <c r="BZ12" s="90">
        <f t="shared" si="52"/>
        <v>49.000000000000007</v>
      </c>
      <c r="CA12" s="90">
        <f t="shared" si="38"/>
        <v>15.780211482429497</v>
      </c>
      <c r="CB12" s="90"/>
      <c r="CC12" s="90">
        <f t="shared" si="53"/>
        <v>11.346019846970993</v>
      </c>
      <c r="CD12" s="90">
        <f t="shared" si="54"/>
        <v>2401.0000000000009</v>
      </c>
      <c r="CE12" s="90">
        <f t="shared" si="55"/>
        <v>2.6271870687318302</v>
      </c>
      <c r="CF12" s="90">
        <f t="shared" si="39"/>
        <v>6.3370506860028569E-2</v>
      </c>
      <c r="CG12" s="90">
        <f t="shared" si="40"/>
        <v>15.780211482429497</v>
      </c>
      <c r="CH12" s="90">
        <f t="shared" si="56"/>
        <v>3.6539304626335634</v>
      </c>
      <c r="CI12" s="90" t="e">
        <f t="shared" si="41"/>
        <v>#N/A</v>
      </c>
      <c r="CJ12" s="113">
        <f t="shared" si="42"/>
        <v>6</v>
      </c>
      <c r="CK12" s="106" t="e">
        <f t="shared" si="1"/>
        <v>#N/A</v>
      </c>
      <c r="CL12" s="90" t="e">
        <f t="shared" si="2"/>
        <v>#N/A</v>
      </c>
      <c r="CM12" s="90" t="e">
        <f t="shared" si="3"/>
        <v>#N/A</v>
      </c>
      <c r="CN12" s="90" t="e">
        <f t="shared" si="4"/>
        <v>#N/A</v>
      </c>
      <c r="CO12" s="90" t="e">
        <f t="shared" si="5"/>
        <v>#N/A</v>
      </c>
      <c r="CP12" s="90" t="e">
        <f t="shared" si="6"/>
        <v>#N/A</v>
      </c>
      <c r="CQ12" s="90" t="e">
        <f t="shared" si="7"/>
        <v>#N/A</v>
      </c>
      <c r="CR12" s="90" t="e">
        <f t="shared" si="8"/>
        <v>#N/A</v>
      </c>
      <c r="CS12" s="90">
        <f t="shared" si="9"/>
        <v>0.23100000000000001</v>
      </c>
      <c r="CT12" s="113">
        <v>10</v>
      </c>
      <c r="CU12" s="50" t="e">
        <f t="shared" si="10"/>
        <v>#N/A</v>
      </c>
      <c r="CV12" s="50" t="e">
        <f t="shared" si="11"/>
        <v>#N/A</v>
      </c>
      <c r="CW12" s="50" t="e">
        <f t="shared" si="12"/>
        <v>#N/A</v>
      </c>
      <c r="CX12" s="50" t="e">
        <f t="shared" si="13"/>
        <v>#N/A</v>
      </c>
      <c r="CY12" s="50" t="e">
        <f t="shared" si="14"/>
        <v>#N/A</v>
      </c>
      <c r="CZ12" s="50" t="e">
        <f t="shared" si="15"/>
        <v>#N/A</v>
      </c>
      <c r="DA12" s="50" t="e">
        <f t="shared" si="16"/>
        <v>#N/A</v>
      </c>
      <c r="DB12" s="50" t="e">
        <f t="shared" si="17"/>
        <v>#N/A</v>
      </c>
      <c r="DC12" s="50">
        <f t="shared" si="18"/>
        <v>0.23100000000000001</v>
      </c>
      <c r="DD12" s="50">
        <f t="shared" si="19"/>
        <v>1</v>
      </c>
      <c r="DE12" s="50">
        <f>IF(DD12=0,NA(),SUM($DD$3:DD12))</f>
        <v>10</v>
      </c>
    </row>
    <row r="13" spans="1:109" ht="12" customHeight="1" x14ac:dyDescent="0.2">
      <c r="A13" s="180"/>
      <c r="B13" s="181" t="str">
        <f t="shared" si="25"/>
        <v/>
      </c>
      <c r="C13" s="838" t="str">
        <f t="shared" si="26"/>
        <v/>
      </c>
      <c r="D13" s="182" t="str">
        <f t="shared" si="27"/>
        <v/>
      </c>
      <c r="E13" s="183">
        <v>7</v>
      </c>
      <c r="F13" s="396" t="s">
        <v>507</v>
      </c>
      <c r="G13" s="813">
        <v>-0.224</v>
      </c>
      <c r="H13" s="186">
        <v>24</v>
      </c>
      <c r="I13" s="187"/>
      <c r="J13" s="195" t="s">
        <v>339</v>
      </c>
      <c r="K13" s="816">
        <f t="shared" si="43"/>
        <v>-0.57540281484659972</v>
      </c>
      <c r="L13" s="790" t="s">
        <v>261</v>
      </c>
      <c r="M13" s="816">
        <f t="shared" si="44"/>
        <v>0.1972174486136973</v>
      </c>
      <c r="N13" s="198" t="s">
        <v>259</v>
      </c>
      <c r="O13" s="192"/>
      <c r="P13" s="193">
        <f t="shared" si="28"/>
        <v>4.6352278017110971</v>
      </c>
      <c r="Q13" s="194"/>
      <c r="R13" s="169">
        <f t="shared" si="23"/>
        <v>9.5E-4</v>
      </c>
      <c r="S13" s="170"/>
      <c r="T13" s="170"/>
      <c r="U13" s="170"/>
      <c r="V13" s="170"/>
      <c r="W13" s="170"/>
      <c r="X13" s="170"/>
      <c r="Y13" s="171">
        <f t="shared" si="24"/>
        <v>9.5E-4</v>
      </c>
      <c r="Z13" s="823">
        <f t="shared" si="45"/>
        <v>0.35140281484659974</v>
      </c>
      <c r="AA13" s="824">
        <f t="shared" si="46"/>
        <v>0.42121744861369731</v>
      </c>
      <c r="AB13" s="825">
        <f t="shared" si="47"/>
        <v>0.3863101317301485</v>
      </c>
      <c r="AC13" s="176"/>
      <c r="AD13" s="176"/>
      <c r="AE13" s="176"/>
      <c r="AF13" s="176"/>
      <c r="AG13" s="176"/>
      <c r="AI13" s="1">
        <f t="shared" si="21"/>
        <v>9.5E-4</v>
      </c>
      <c r="AR13" s="91">
        <f t="shared" si="22"/>
        <v>9.5E-4</v>
      </c>
      <c r="BI13" s="90">
        <f t="shared" si="29"/>
        <v>4.7619047619047616E-2</v>
      </c>
      <c r="BJ13" s="90">
        <f t="shared" si="48"/>
        <v>-0.22786347144452626</v>
      </c>
      <c r="BK13" s="199" t="b">
        <v>1</v>
      </c>
      <c r="BL13" s="50">
        <v>7</v>
      </c>
      <c r="BM13" s="200" t="b">
        <f t="shared" si="30"/>
        <v>1</v>
      </c>
      <c r="BN13" s="90">
        <f t="shared" si="31"/>
        <v>-0.224</v>
      </c>
      <c r="BO13" s="127"/>
      <c r="BP13" s="201">
        <f t="shared" si="49"/>
        <v>-1.0442016060099502</v>
      </c>
      <c r="BQ13" s="90" t="e">
        <f t="shared" si="32"/>
        <v>#N/A</v>
      </c>
      <c r="BR13" s="201">
        <f t="shared" si="33"/>
        <v>7</v>
      </c>
      <c r="BS13" s="90"/>
      <c r="BT13" s="90">
        <f t="shared" si="34"/>
        <v>-0.65556267708938587</v>
      </c>
      <c r="BU13" s="90">
        <f t="shared" si="35"/>
        <v>0.19983573420033338</v>
      </c>
      <c r="BV13" s="90">
        <f t="shared" si="50"/>
        <v>-0.57540281484659972</v>
      </c>
      <c r="BW13" s="90">
        <f t="shared" si="51"/>
        <v>0.1972174486136973</v>
      </c>
      <c r="BX13" s="102">
        <f t="shared" si="36"/>
        <v>0.35140281484659974</v>
      </c>
      <c r="BY13" s="102">
        <f t="shared" si="37"/>
        <v>0.42121744861369731</v>
      </c>
      <c r="BZ13" s="90">
        <f t="shared" si="52"/>
        <v>21</v>
      </c>
      <c r="CA13" s="90">
        <f t="shared" si="38"/>
        <v>11.03979511244227</v>
      </c>
      <c r="CB13" s="90"/>
      <c r="CC13" s="90">
        <f t="shared" si="53"/>
        <v>-4.7851329003350518</v>
      </c>
      <c r="CD13" s="90">
        <f t="shared" si="54"/>
        <v>441</v>
      </c>
      <c r="CE13" s="90">
        <f t="shared" si="55"/>
        <v>1.0903569939937592</v>
      </c>
      <c r="CF13" s="90">
        <f t="shared" si="39"/>
        <v>9.0581391213770068E-2</v>
      </c>
      <c r="CG13" s="90">
        <f t="shared" si="40"/>
        <v>11.03979511244227</v>
      </c>
      <c r="CH13" s="90">
        <f t="shared" si="56"/>
        <v>-2.5155660383574099</v>
      </c>
      <c r="CI13" s="90" t="e">
        <f t="shared" si="41"/>
        <v>#N/A</v>
      </c>
      <c r="CJ13" s="113">
        <f t="shared" si="42"/>
        <v>7</v>
      </c>
      <c r="CK13" s="106" t="e">
        <f t="shared" si="1"/>
        <v>#N/A</v>
      </c>
      <c r="CL13" s="90" t="e">
        <f t="shared" si="2"/>
        <v>#N/A</v>
      </c>
      <c r="CM13" s="90" t="e">
        <f t="shared" si="3"/>
        <v>#N/A</v>
      </c>
      <c r="CN13" s="90" t="e">
        <f t="shared" si="4"/>
        <v>#N/A</v>
      </c>
      <c r="CO13" s="90" t="e">
        <f t="shared" si="5"/>
        <v>#N/A</v>
      </c>
      <c r="CP13" s="90" t="e">
        <f t="shared" si="6"/>
        <v>#N/A</v>
      </c>
      <c r="CQ13" s="90" t="e">
        <f t="shared" si="7"/>
        <v>#N/A</v>
      </c>
      <c r="CR13" s="90">
        <f t="shared" si="8"/>
        <v>0.67</v>
      </c>
      <c r="CS13" s="90" t="e">
        <f t="shared" si="9"/>
        <v>#N/A</v>
      </c>
      <c r="CT13" s="113">
        <v>11</v>
      </c>
      <c r="CU13" s="50" t="e">
        <f t="shared" si="10"/>
        <v>#N/A</v>
      </c>
      <c r="CV13" s="50" t="e">
        <f t="shared" si="11"/>
        <v>#N/A</v>
      </c>
      <c r="CW13" s="50" t="e">
        <f t="shared" si="12"/>
        <v>#N/A</v>
      </c>
      <c r="CX13" s="50" t="e">
        <f t="shared" si="13"/>
        <v>#N/A</v>
      </c>
      <c r="CY13" s="50" t="e">
        <f t="shared" si="14"/>
        <v>#N/A</v>
      </c>
      <c r="CZ13" s="50" t="e">
        <f t="shared" si="15"/>
        <v>#N/A</v>
      </c>
      <c r="DA13" s="50" t="e">
        <f t="shared" si="16"/>
        <v>#N/A</v>
      </c>
      <c r="DB13" s="50">
        <f t="shared" si="17"/>
        <v>0.67</v>
      </c>
      <c r="DC13" s="50" t="e">
        <f t="shared" si="18"/>
        <v>#N/A</v>
      </c>
      <c r="DD13" s="50">
        <f t="shared" si="19"/>
        <v>1</v>
      </c>
      <c r="DE13" s="50">
        <f>IF(DD13=0,NA(),SUM($DD$3:DD13))</f>
        <v>11</v>
      </c>
    </row>
    <row r="14" spans="1:109" ht="12" customHeight="1" x14ac:dyDescent="0.2">
      <c r="A14" s="180"/>
      <c r="B14" s="181" t="str">
        <f t="shared" si="25"/>
        <v/>
      </c>
      <c r="C14" s="838" t="str">
        <f t="shared" si="26"/>
        <v/>
      </c>
      <c r="D14" s="182" t="str">
        <f t="shared" si="27"/>
        <v/>
      </c>
      <c r="E14" s="183">
        <v>8</v>
      </c>
      <c r="F14" s="396" t="s">
        <v>507</v>
      </c>
      <c r="G14" s="813">
        <v>0.104</v>
      </c>
      <c r="H14" s="186">
        <v>52</v>
      </c>
      <c r="I14" s="187"/>
      <c r="J14" s="195" t="s">
        <v>339</v>
      </c>
      <c r="K14" s="816">
        <f t="shared" si="43"/>
        <v>-0.17383401183230512</v>
      </c>
      <c r="L14" s="790" t="s">
        <v>261</v>
      </c>
      <c r="M14" s="816">
        <f t="shared" si="44"/>
        <v>0.36649849290764724</v>
      </c>
      <c r="N14" s="198" t="s">
        <v>259</v>
      </c>
      <c r="O14" s="192"/>
      <c r="P14" s="193">
        <f t="shared" si="28"/>
        <v>6.6255645358672295</v>
      </c>
      <c r="Q14" s="194"/>
      <c r="R14" s="169">
        <f t="shared" si="23"/>
        <v>9.5E-4</v>
      </c>
      <c r="S14" s="170"/>
      <c r="T14" s="170"/>
      <c r="U14" s="170"/>
      <c r="V14" s="170"/>
      <c r="W14" s="170"/>
      <c r="X14" s="170"/>
      <c r="Y14" s="171">
        <f t="shared" si="24"/>
        <v>9.5E-4</v>
      </c>
      <c r="Z14" s="823">
        <f t="shared" si="45"/>
        <v>0.27783401183230511</v>
      </c>
      <c r="AA14" s="824">
        <f t="shared" si="46"/>
        <v>0.26249849290764726</v>
      </c>
      <c r="AB14" s="825">
        <f t="shared" si="47"/>
        <v>0.27016625236997616</v>
      </c>
      <c r="AC14" s="176"/>
      <c r="AD14" s="176"/>
      <c r="AE14" s="176"/>
      <c r="AF14" s="176"/>
      <c r="AG14" s="176"/>
      <c r="AI14" s="1">
        <f t="shared" si="21"/>
        <v>9.5E-4</v>
      </c>
      <c r="AR14" s="91">
        <f t="shared" si="22"/>
        <v>9.5E-4</v>
      </c>
      <c r="BI14" s="90">
        <f t="shared" si="29"/>
        <v>2.0408163265306121E-2</v>
      </c>
      <c r="BJ14" s="90">
        <f t="shared" si="48"/>
        <v>0.1043774069310551</v>
      </c>
      <c r="BK14" s="199" t="b">
        <v>1</v>
      </c>
      <c r="BL14" s="50">
        <v>8</v>
      </c>
      <c r="BM14" s="200" t="b">
        <f t="shared" si="30"/>
        <v>1</v>
      </c>
      <c r="BN14" s="90">
        <f t="shared" si="31"/>
        <v>0.104</v>
      </c>
      <c r="BO14" s="127"/>
      <c r="BP14" s="201">
        <f t="shared" si="49"/>
        <v>0.73064184851738578</v>
      </c>
      <c r="BQ14" s="90" t="e">
        <f t="shared" si="32"/>
        <v>#N/A</v>
      </c>
      <c r="BR14" s="201">
        <f t="shared" si="33"/>
        <v>8</v>
      </c>
      <c r="BS14" s="90"/>
      <c r="BT14" s="90">
        <f t="shared" si="34"/>
        <v>-0.17561744800323828</v>
      </c>
      <c r="BU14" s="90">
        <f t="shared" si="35"/>
        <v>0.38437226186534845</v>
      </c>
      <c r="BV14" s="90">
        <f t="shared" si="50"/>
        <v>-0.17383401183230512</v>
      </c>
      <c r="BW14" s="90">
        <f t="shared" si="51"/>
        <v>0.36649849290764724</v>
      </c>
      <c r="BX14" s="102">
        <f t="shared" si="36"/>
        <v>0.27783401183230511</v>
      </c>
      <c r="BY14" s="102">
        <f t="shared" si="37"/>
        <v>0.26249849290764726</v>
      </c>
      <c r="BZ14" s="90">
        <f t="shared" si="52"/>
        <v>49.000000000000007</v>
      </c>
      <c r="CA14" s="90">
        <f t="shared" si="38"/>
        <v>15.780211482429497</v>
      </c>
      <c r="CB14" s="90"/>
      <c r="CC14" s="90">
        <f t="shared" si="53"/>
        <v>5.1144929396217007</v>
      </c>
      <c r="CD14" s="90">
        <f t="shared" si="54"/>
        <v>2401.0000000000009</v>
      </c>
      <c r="CE14" s="90">
        <f t="shared" si="55"/>
        <v>0.53383751080490249</v>
      </c>
      <c r="CF14" s="90">
        <f t="shared" si="39"/>
        <v>6.3370506860028569E-2</v>
      </c>
      <c r="CG14" s="90">
        <f t="shared" si="40"/>
        <v>15.780211482429497</v>
      </c>
      <c r="CH14" s="90">
        <f t="shared" si="56"/>
        <v>1.6470975553596519</v>
      </c>
      <c r="CI14" s="90" t="e">
        <f t="shared" si="41"/>
        <v>#N/A</v>
      </c>
      <c r="CJ14" s="113">
        <f t="shared" si="42"/>
        <v>8</v>
      </c>
      <c r="CK14" s="106" t="e">
        <f t="shared" si="1"/>
        <v>#N/A</v>
      </c>
      <c r="CL14" s="90" t="e">
        <f t="shared" si="2"/>
        <v>#N/A</v>
      </c>
      <c r="CM14" s="90" t="e">
        <f t="shared" si="3"/>
        <v>#N/A</v>
      </c>
      <c r="CN14" s="90" t="e">
        <f t="shared" si="4"/>
        <v>#N/A</v>
      </c>
      <c r="CO14" s="90" t="e">
        <f t="shared" si="5"/>
        <v>#N/A</v>
      </c>
      <c r="CP14" s="90" t="e">
        <f t="shared" si="6"/>
        <v>#N/A</v>
      </c>
      <c r="CQ14" s="90" t="e">
        <f t="shared" si="7"/>
        <v>#N/A</v>
      </c>
      <c r="CR14" s="90" t="e">
        <f t="shared" si="8"/>
        <v>#N/A</v>
      </c>
      <c r="CS14" s="90">
        <f t="shared" si="9"/>
        <v>0.41</v>
      </c>
      <c r="CT14" s="113">
        <v>12</v>
      </c>
      <c r="CU14" s="50" t="e">
        <f t="shared" si="10"/>
        <v>#N/A</v>
      </c>
      <c r="CV14" s="50" t="e">
        <f t="shared" si="11"/>
        <v>#N/A</v>
      </c>
      <c r="CW14" s="50" t="e">
        <f t="shared" si="12"/>
        <v>#N/A</v>
      </c>
      <c r="CX14" s="50" t="e">
        <f t="shared" si="13"/>
        <v>#N/A</v>
      </c>
      <c r="CY14" s="50" t="e">
        <f t="shared" si="14"/>
        <v>#N/A</v>
      </c>
      <c r="CZ14" s="50" t="e">
        <f t="shared" si="15"/>
        <v>#N/A</v>
      </c>
      <c r="DA14" s="50" t="e">
        <f t="shared" si="16"/>
        <v>#N/A</v>
      </c>
      <c r="DB14" s="50" t="e">
        <f t="shared" si="17"/>
        <v>#N/A</v>
      </c>
      <c r="DC14" s="50">
        <f t="shared" si="18"/>
        <v>0.41</v>
      </c>
      <c r="DD14" s="50">
        <f t="shared" si="19"/>
        <v>1</v>
      </c>
      <c r="DE14" s="50">
        <f>IF(DD14=0,NA(),SUM($DD$3:DD14))</f>
        <v>12</v>
      </c>
    </row>
    <row r="15" spans="1:109" ht="12" customHeight="1" x14ac:dyDescent="0.2">
      <c r="A15" s="180"/>
      <c r="B15" s="181" t="str">
        <f t="shared" si="25"/>
        <v/>
      </c>
      <c r="C15" s="838" t="str">
        <f t="shared" si="26"/>
        <v/>
      </c>
      <c r="D15" s="182" t="str">
        <f t="shared" si="27"/>
        <v/>
      </c>
      <c r="E15" s="183">
        <v>9</v>
      </c>
      <c r="F15" s="396" t="s">
        <v>507</v>
      </c>
      <c r="G15" s="813">
        <v>0.32200000000000001</v>
      </c>
      <c r="H15" s="186">
        <v>16</v>
      </c>
      <c r="I15" s="187"/>
      <c r="J15" s="195" t="s">
        <v>339</v>
      </c>
      <c r="K15" s="816">
        <f t="shared" si="43"/>
        <v>-0.20669784353382795</v>
      </c>
      <c r="L15" s="790" t="s">
        <v>261</v>
      </c>
      <c r="M15" s="816">
        <f t="shared" si="44"/>
        <v>0.70515113859380907</v>
      </c>
      <c r="N15" s="198" t="s">
        <v>259</v>
      </c>
      <c r="O15" s="192"/>
      <c r="P15" s="193">
        <f t="shared" si="28"/>
        <v>3.5022222139963959</v>
      </c>
      <c r="Q15" s="194"/>
      <c r="R15" s="169">
        <f t="shared" si="23"/>
        <v>9.5E-4</v>
      </c>
      <c r="S15" s="170"/>
      <c r="T15" s="170"/>
      <c r="U15" s="170"/>
      <c r="V15" s="170"/>
      <c r="W15" s="170"/>
      <c r="X15" s="170"/>
      <c r="Y15" s="171">
        <f t="shared" si="24"/>
        <v>9.5E-4</v>
      </c>
      <c r="Z15" s="823">
        <f t="shared" si="45"/>
        <v>0.52869784353382798</v>
      </c>
      <c r="AA15" s="824">
        <f t="shared" si="46"/>
        <v>0.38315113859380906</v>
      </c>
      <c r="AB15" s="825">
        <f t="shared" si="47"/>
        <v>0.45592449106381849</v>
      </c>
      <c r="AC15" s="176"/>
      <c r="AD15" s="176"/>
      <c r="AE15" s="176"/>
      <c r="AF15" s="176"/>
      <c r="AG15" s="176"/>
      <c r="AI15" s="1">
        <f t="shared" si="21"/>
        <v>9.5E-4</v>
      </c>
      <c r="AR15" s="91">
        <f t="shared" si="22"/>
        <v>9.5E-4</v>
      </c>
      <c r="BI15" s="90">
        <f t="shared" si="29"/>
        <v>7.6923076923076927E-2</v>
      </c>
      <c r="BJ15" s="90">
        <f t="shared" si="48"/>
        <v>0.33387686623561807</v>
      </c>
      <c r="BK15" s="199" t="b">
        <v>1</v>
      </c>
      <c r="BL15" s="50">
        <v>9</v>
      </c>
      <c r="BM15" s="200" t="b">
        <f t="shared" si="30"/>
        <v>1</v>
      </c>
      <c r="BN15" s="90">
        <f t="shared" si="31"/>
        <v>0.32200000000000001</v>
      </c>
      <c r="BO15" s="127"/>
      <c r="BP15" s="201">
        <f t="shared" si="49"/>
        <v>1.2038101609037524</v>
      </c>
      <c r="BQ15" s="90" t="e">
        <f t="shared" si="32"/>
        <v>#N/A</v>
      </c>
      <c r="BR15" s="201">
        <f t="shared" si="33"/>
        <v>9</v>
      </c>
      <c r="BS15" s="90"/>
      <c r="BT15" s="90">
        <f t="shared" si="34"/>
        <v>-0.20971933717375679</v>
      </c>
      <c r="BU15" s="90">
        <f t="shared" si="35"/>
        <v>0.87747306964499294</v>
      </c>
      <c r="BV15" s="90">
        <f t="shared" si="50"/>
        <v>-0.20669784353382795</v>
      </c>
      <c r="BW15" s="90">
        <f t="shared" si="51"/>
        <v>0.70515113859380907</v>
      </c>
      <c r="BX15" s="102">
        <f t="shared" si="36"/>
        <v>0.52869784353382798</v>
      </c>
      <c r="BY15" s="102">
        <f t="shared" si="37"/>
        <v>0.38315113859380906</v>
      </c>
      <c r="BZ15" s="90">
        <f t="shared" si="52"/>
        <v>13</v>
      </c>
      <c r="CA15" s="90">
        <f t="shared" si="38"/>
        <v>8.3412978465678407</v>
      </c>
      <c r="CB15" s="90"/>
      <c r="CC15" s="90">
        <f t="shared" si="53"/>
        <v>4.3403992610630349</v>
      </c>
      <c r="CD15" s="90">
        <f t="shared" si="54"/>
        <v>169</v>
      </c>
      <c r="CE15" s="90">
        <f t="shared" si="55"/>
        <v>1.4491589034951184</v>
      </c>
      <c r="CF15" s="90">
        <f t="shared" si="39"/>
        <v>0.11988542051779938</v>
      </c>
      <c r="CG15" s="90">
        <f t="shared" si="40"/>
        <v>8.3412978465678407</v>
      </c>
      <c r="CH15" s="90">
        <f t="shared" si="56"/>
        <v>2.7849663853499802</v>
      </c>
      <c r="CI15" s="90" t="e">
        <f t="shared" si="41"/>
        <v>#N/A</v>
      </c>
      <c r="CJ15" s="113">
        <f t="shared" si="42"/>
        <v>9</v>
      </c>
      <c r="CK15" s="106" t="e">
        <f t="shared" si="1"/>
        <v>#N/A</v>
      </c>
      <c r="CL15" s="90" t="e">
        <f t="shared" si="2"/>
        <v>#N/A</v>
      </c>
      <c r="CM15" s="90" t="e">
        <f t="shared" si="3"/>
        <v>#N/A</v>
      </c>
      <c r="CN15" s="90" t="e">
        <f t="shared" si="4"/>
        <v>#N/A</v>
      </c>
      <c r="CO15" s="90" t="e">
        <f t="shared" si="5"/>
        <v>#N/A</v>
      </c>
      <c r="CP15" s="90" t="e">
        <f t="shared" si="6"/>
        <v>#N/A</v>
      </c>
      <c r="CQ15" s="90" t="e">
        <f t="shared" si="7"/>
        <v>#N/A</v>
      </c>
      <c r="CR15" s="90" t="e">
        <f t="shared" si="8"/>
        <v>#N/A</v>
      </c>
      <c r="CS15" s="90">
        <f t="shared" si="9"/>
        <v>0.34</v>
      </c>
      <c r="CT15" s="113">
        <v>13</v>
      </c>
      <c r="CU15" s="50" t="e">
        <f t="shared" si="10"/>
        <v>#N/A</v>
      </c>
      <c r="CV15" s="50" t="e">
        <f t="shared" si="11"/>
        <v>#N/A</v>
      </c>
      <c r="CW15" s="50" t="e">
        <f t="shared" si="12"/>
        <v>#N/A</v>
      </c>
      <c r="CX15" s="50" t="e">
        <f t="shared" si="13"/>
        <v>#N/A</v>
      </c>
      <c r="CY15" s="50" t="e">
        <f t="shared" si="14"/>
        <v>#N/A</v>
      </c>
      <c r="CZ15" s="50" t="e">
        <f t="shared" si="15"/>
        <v>#N/A</v>
      </c>
      <c r="DA15" s="50" t="e">
        <f t="shared" si="16"/>
        <v>#N/A</v>
      </c>
      <c r="DB15" s="50" t="e">
        <f t="shared" si="17"/>
        <v>#N/A</v>
      </c>
      <c r="DC15" s="50">
        <f t="shared" si="18"/>
        <v>0.34</v>
      </c>
      <c r="DD15" s="50">
        <f t="shared" si="19"/>
        <v>1</v>
      </c>
      <c r="DE15" s="50">
        <f>IF(DD15=0,NA(),SUM($DD$3:DD15))</f>
        <v>13</v>
      </c>
    </row>
    <row r="16" spans="1:109" ht="12" customHeight="1" x14ac:dyDescent="0.2">
      <c r="A16" s="180"/>
      <c r="B16" s="181" t="str">
        <f t="shared" si="25"/>
        <v/>
      </c>
      <c r="C16" s="838" t="str">
        <f t="shared" si="26"/>
        <v/>
      </c>
      <c r="D16" s="182" t="str">
        <f t="shared" si="27"/>
        <v/>
      </c>
      <c r="E16" s="183">
        <v>10</v>
      </c>
      <c r="F16" s="396" t="s">
        <v>508</v>
      </c>
      <c r="G16" s="813">
        <v>0.23100000000000001</v>
      </c>
      <c r="H16" s="186">
        <v>97</v>
      </c>
      <c r="I16" s="187"/>
      <c r="J16" s="195" t="s">
        <v>339</v>
      </c>
      <c r="K16" s="816">
        <f t="shared" si="43"/>
        <v>3.3078655996034295E-2</v>
      </c>
      <c r="L16" s="790" t="s">
        <v>261</v>
      </c>
      <c r="M16" s="816">
        <f t="shared" si="44"/>
        <v>0.41148734668984255</v>
      </c>
      <c r="N16" s="198" t="s">
        <v>259</v>
      </c>
      <c r="O16" s="192"/>
      <c r="P16" s="193">
        <f t="shared" si="28"/>
        <v>7.8332156366027803</v>
      </c>
      <c r="Q16" s="194"/>
      <c r="R16" s="169">
        <f t="shared" si="23"/>
        <v>9.5E-4</v>
      </c>
      <c r="S16" s="170"/>
      <c r="T16" s="170"/>
      <c r="U16" s="170"/>
      <c r="V16" s="170"/>
      <c r="W16" s="170"/>
      <c r="X16" s="170"/>
      <c r="Y16" s="171">
        <f t="shared" si="24"/>
        <v>9.5E-4</v>
      </c>
      <c r="Z16" s="823">
        <f t="shared" si="45"/>
        <v>0.19792134400396572</v>
      </c>
      <c r="AA16" s="824">
        <f t="shared" si="46"/>
        <v>0.18048734668984254</v>
      </c>
      <c r="AB16" s="825">
        <f t="shared" si="47"/>
        <v>0.18920434534690411</v>
      </c>
      <c r="AC16" s="176"/>
      <c r="AD16" s="176"/>
      <c r="AE16" s="176"/>
      <c r="AF16" s="176"/>
      <c r="AG16" s="176"/>
      <c r="AI16" s="1">
        <f t="shared" si="21"/>
        <v>9.5E-4</v>
      </c>
      <c r="AR16" s="91">
        <f t="shared" si="22"/>
        <v>9.5E-4</v>
      </c>
      <c r="BI16" s="90">
        <f t="shared" si="29"/>
        <v>1.0638297872340425E-2</v>
      </c>
      <c r="BJ16" s="90">
        <f t="shared" si="48"/>
        <v>0.23524557833940477</v>
      </c>
      <c r="BK16" s="199" t="b">
        <v>1</v>
      </c>
      <c r="BL16" s="50">
        <v>10</v>
      </c>
      <c r="BM16" s="200" t="b">
        <f t="shared" si="30"/>
        <v>1</v>
      </c>
      <c r="BN16" s="90">
        <f t="shared" si="31"/>
        <v>0.23100000000000001</v>
      </c>
      <c r="BO16" s="127"/>
      <c r="BP16" s="201">
        <f t="shared" si="49"/>
        <v>2.2807905033243752</v>
      </c>
      <c r="BQ16" s="90" t="e">
        <f t="shared" si="32"/>
        <v>#N/A</v>
      </c>
      <c r="BR16" s="201">
        <f t="shared" si="33"/>
        <v>10</v>
      </c>
      <c r="BS16" s="90"/>
      <c r="BT16" s="90">
        <f t="shared" si="34"/>
        <v>3.3090728783739504E-2</v>
      </c>
      <c r="BU16" s="90">
        <f t="shared" si="35"/>
        <v>0.43740042789507005</v>
      </c>
      <c r="BV16" s="90">
        <f t="shared" si="50"/>
        <v>3.3078655996034295E-2</v>
      </c>
      <c r="BW16" s="90">
        <f t="shared" si="51"/>
        <v>0.41148734668984255</v>
      </c>
      <c r="BX16" s="102">
        <f t="shared" si="36"/>
        <v>0.19792134400396572</v>
      </c>
      <c r="BY16" s="102">
        <f t="shared" si="37"/>
        <v>0.18048734668984254</v>
      </c>
      <c r="BZ16" s="90">
        <f t="shared" si="52"/>
        <v>94</v>
      </c>
      <c r="CA16" s="90">
        <f t="shared" si="38"/>
        <v>18.656493143174252</v>
      </c>
      <c r="CB16" s="90"/>
      <c r="CC16" s="90">
        <f t="shared" si="53"/>
        <v>22.113084363904047</v>
      </c>
      <c r="CD16" s="90">
        <f t="shared" si="54"/>
        <v>8836</v>
      </c>
      <c r="CE16" s="90">
        <f t="shared" si="55"/>
        <v>5.2020053200546563</v>
      </c>
      <c r="CF16" s="90">
        <f t="shared" si="39"/>
        <v>5.3600641467062872E-2</v>
      </c>
      <c r="CG16" s="90">
        <f t="shared" si="40"/>
        <v>18.656493143174252</v>
      </c>
      <c r="CH16" s="90">
        <f t="shared" si="56"/>
        <v>4.3888575192511663</v>
      </c>
      <c r="CI16" s="90" t="e">
        <f t="shared" si="41"/>
        <v>#N/A</v>
      </c>
      <c r="CJ16" s="113">
        <f t="shared" si="42"/>
        <v>10</v>
      </c>
      <c r="CK16" s="106" t="e">
        <f t="shared" si="1"/>
        <v>#N/A</v>
      </c>
      <c r="CL16" s="90" t="e">
        <f t="shared" si="2"/>
        <v>#N/A</v>
      </c>
      <c r="CM16" s="90" t="e">
        <f t="shared" si="3"/>
        <v>#N/A</v>
      </c>
      <c r="CN16" s="90" t="e">
        <f t="shared" si="4"/>
        <v>#N/A</v>
      </c>
      <c r="CO16" s="90" t="e">
        <f t="shared" si="5"/>
        <v>#N/A</v>
      </c>
      <c r="CP16" s="90" t="e">
        <f t="shared" si="6"/>
        <v>#N/A</v>
      </c>
      <c r="CQ16" s="90" t="e">
        <f t="shared" si="7"/>
        <v>#N/A</v>
      </c>
      <c r="CR16" s="90">
        <f t="shared" si="8"/>
        <v>0.31</v>
      </c>
      <c r="CS16" s="90" t="e">
        <f t="shared" si="9"/>
        <v>#N/A</v>
      </c>
      <c r="CT16" s="113">
        <v>14</v>
      </c>
      <c r="CU16" s="50" t="e">
        <f t="shared" si="10"/>
        <v>#N/A</v>
      </c>
      <c r="CV16" s="50" t="e">
        <f t="shared" si="11"/>
        <v>#N/A</v>
      </c>
      <c r="CW16" s="50" t="e">
        <f t="shared" si="12"/>
        <v>#N/A</v>
      </c>
      <c r="CX16" s="50" t="e">
        <f t="shared" si="13"/>
        <v>#N/A</v>
      </c>
      <c r="CY16" s="50" t="e">
        <f t="shared" si="14"/>
        <v>#N/A</v>
      </c>
      <c r="CZ16" s="50" t="e">
        <f t="shared" si="15"/>
        <v>#N/A</v>
      </c>
      <c r="DA16" s="50" t="e">
        <f t="shared" si="16"/>
        <v>#N/A</v>
      </c>
      <c r="DB16" s="50">
        <f t="shared" si="17"/>
        <v>0.31</v>
      </c>
      <c r="DC16" s="50" t="e">
        <f t="shared" si="18"/>
        <v>#N/A</v>
      </c>
      <c r="DD16" s="50">
        <f t="shared" si="19"/>
        <v>1</v>
      </c>
      <c r="DE16" s="50">
        <f>IF(DD16=0,NA(),SUM($DD$3:DD16))</f>
        <v>14</v>
      </c>
    </row>
    <row r="17" spans="1:109" ht="12" customHeight="1" x14ac:dyDescent="0.2">
      <c r="A17" s="180"/>
      <c r="B17" s="181" t="str">
        <f t="shared" si="25"/>
        <v/>
      </c>
      <c r="C17" s="838" t="str">
        <f t="shared" si="26"/>
        <v/>
      </c>
      <c r="D17" s="182" t="str">
        <f t="shared" si="27"/>
        <v/>
      </c>
      <c r="E17" s="183">
        <v>11</v>
      </c>
      <c r="F17" s="396" t="s">
        <v>507</v>
      </c>
      <c r="G17" s="813">
        <v>0.67</v>
      </c>
      <c r="H17" s="186">
        <v>57</v>
      </c>
      <c r="I17" s="187"/>
      <c r="J17" s="195" t="s">
        <v>339</v>
      </c>
      <c r="K17" s="816">
        <f t="shared" si="43"/>
        <v>0.49602930294074016</v>
      </c>
      <c r="L17" s="790" t="s">
        <v>261</v>
      </c>
      <c r="M17" s="816">
        <f t="shared" si="44"/>
        <v>0.79225544031853556</v>
      </c>
      <c r="N17" s="198" t="s">
        <v>259</v>
      </c>
      <c r="O17" s="192"/>
      <c r="P17" s="193">
        <f t="shared" si="28"/>
        <v>6.8292045433323718</v>
      </c>
      <c r="Q17" s="194"/>
      <c r="R17" s="169">
        <f t="shared" si="23"/>
        <v>9.5E-4</v>
      </c>
      <c r="S17" s="170"/>
      <c r="T17" s="170"/>
      <c r="U17" s="170"/>
      <c r="V17" s="170"/>
      <c r="W17" s="170"/>
      <c r="X17" s="170"/>
      <c r="Y17" s="171">
        <f t="shared" si="24"/>
        <v>9.5E-4</v>
      </c>
      <c r="Z17" s="823">
        <f t="shared" si="45"/>
        <v>0.17397069705925988</v>
      </c>
      <c r="AA17" s="824">
        <f t="shared" si="46"/>
        <v>0.12225544031853552</v>
      </c>
      <c r="AB17" s="825">
        <f t="shared" si="47"/>
        <v>0.1481130686888977</v>
      </c>
      <c r="AC17" s="176"/>
      <c r="AD17" s="176"/>
      <c r="AE17" s="176"/>
      <c r="AF17" s="176"/>
      <c r="AG17" s="176"/>
      <c r="AI17" s="1">
        <f t="shared" si="21"/>
        <v>9.5E-4</v>
      </c>
      <c r="AR17" s="91">
        <f t="shared" si="22"/>
        <v>9.5E-4</v>
      </c>
      <c r="BI17" s="90">
        <f t="shared" si="29"/>
        <v>1.8518518518518517E-2</v>
      </c>
      <c r="BJ17" s="90">
        <f t="shared" si="48"/>
        <v>0.81074312547513749</v>
      </c>
      <c r="BK17" s="199" t="b">
        <v>1</v>
      </c>
      <c r="BL17" s="50">
        <v>11</v>
      </c>
      <c r="BM17" s="200" t="b">
        <f t="shared" si="30"/>
        <v>1</v>
      </c>
      <c r="BN17" s="90">
        <f t="shared" si="31"/>
        <v>0.67</v>
      </c>
      <c r="BO17" s="127"/>
      <c r="BP17" s="201">
        <f t="shared" si="49"/>
        <v>5.9577209096499733</v>
      </c>
      <c r="BQ17" s="90" t="e">
        <f t="shared" si="32"/>
        <v>#N/A</v>
      </c>
      <c r="BR17" s="201">
        <f t="shared" si="33"/>
        <v>11</v>
      </c>
      <c r="BS17" s="90"/>
      <c r="BT17" s="90">
        <f t="shared" si="34"/>
        <v>0.54402581012206475</v>
      </c>
      <c r="BU17" s="90">
        <f t="shared" si="35"/>
        <v>1.0774604408282102</v>
      </c>
      <c r="BV17" s="90">
        <f t="shared" si="50"/>
        <v>0.49602930294074016</v>
      </c>
      <c r="BW17" s="90">
        <f t="shared" si="51"/>
        <v>0.79225544031853556</v>
      </c>
      <c r="BX17" s="102">
        <f t="shared" si="36"/>
        <v>0.17397069705925988</v>
      </c>
      <c r="BY17" s="102">
        <f t="shared" si="37"/>
        <v>0.12225544031853552</v>
      </c>
      <c r="BZ17" s="90">
        <f t="shared" si="52"/>
        <v>54</v>
      </c>
      <c r="CA17" s="90">
        <f t="shared" si="38"/>
        <v>16.265224097835688</v>
      </c>
      <c r="CB17" s="90"/>
      <c r="CC17" s="90">
        <f t="shared" si="53"/>
        <v>43.780128775657424</v>
      </c>
      <c r="CD17" s="90">
        <f t="shared" si="54"/>
        <v>2916</v>
      </c>
      <c r="CE17" s="90">
        <f t="shared" si="55"/>
        <v>35.494438437280508</v>
      </c>
      <c r="CF17" s="90">
        <f t="shared" si="39"/>
        <v>6.1480862113240962E-2</v>
      </c>
      <c r="CG17" s="90">
        <f t="shared" si="40"/>
        <v>16.265224097835688</v>
      </c>
      <c r="CH17" s="90">
        <f t="shared" si="56"/>
        <v>13.186918621632829</v>
      </c>
      <c r="CI17" s="90" t="e">
        <f t="shared" si="41"/>
        <v>#N/A</v>
      </c>
      <c r="CJ17" s="113">
        <f t="shared" si="42"/>
        <v>11</v>
      </c>
      <c r="CK17" s="106" t="e">
        <f t="shared" si="1"/>
        <v>#N/A</v>
      </c>
      <c r="CL17" s="90" t="e">
        <f t="shared" si="2"/>
        <v>#N/A</v>
      </c>
      <c r="CM17" s="90" t="e">
        <f t="shared" si="3"/>
        <v>#N/A</v>
      </c>
      <c r="CN17" s="90" t="e">
        <f t="shared" si="4"/>
        <v>#N/A</v>
      </c>
      <c r="CO17" s="90" t="e">
        <f t="shared" si="5"/>
        <v>#N/A</v>
      </c>
      <c r="CP17" s="90">
        <f t="shared" si="6"/>
        <v>0.54</v>
      </c>
      <c r="CQ17" s="90" t="e">
        <f t="shared" si="7"/>
        <v>#N/A</v>
      </c>
      <c r="CR17" s="90" t="e">
        <f t="shared" si="8"/>
        <v>#N/A</v>
      </c>
      <c r="CS17" s="90" t="e">
        <f t="shared" si="9"/>
        <v>#N/A</v>
      </c>
      <c r="CT17" s="113">
        <v>15</v>
      </c>
      <c r="CU17" s="50" t="e">
        <f t="shared" si="10"/>
        <v>#N/A</v>
      </c>
      <c r="CV17" s="50" t="e">
        <f t="shared" si="11"/>
        <v>#N/A</v>
      </c>
      <c r="CW17" s="50" t="e">
        <f t="shared" si="12"/>
        <v>#N/A</v>
      </c>
      <c r="CX17" s="50" t="e">
        <f t="shared" si="13"/>
        <v>#N/A</v>
      </c>
      <c r="CY17" s="50" t="e">
        <f t="shared" si="14"/>
        <v>#N/A</v>
      </c>
      <c r="CZ17" s="50">
        <f t="shared" si="15"/>
        <v>0.54</v>
      </c>
      <c r="DA17" s="50" t="e">
        <f t="shared" si="16"/>
        <v>#N/A</v>
      </c>
      <c r="DB17" s="50" t="e">
        <f t="shared" si="17"/>
        <v>#N/A</v>
      </c>
      <c r="DC17" s="50" t="e">
        <f t="shared" si="18"/>
        <v>#N/A</v>
      </c>
      <c r="DD17" s="50">
        <f t="shared" si="19"/>
        <v>1</v>
      </c>
      <c r="DE17" s="50">
        <f>IF(DD17=0,NA(),SUM($DD$3:DD17))</f>
        <v>15</v>
      </c>
    </row>
    <row r="18" spans="1:109" ht="12" customHeight="1" x14ac:dyDescent="0.2">
      <c r="A18" s="180"/>
      <c r="B18" s="181" t="str">
        <f t="shared" si="25"/>
        <v/>
      </c>
      <c r="C18" s="838" t="str">
        <f t="shared" si="26"/>
        <v/>
      </c>
      <c r="D18" s="182" t="str">
        <f t="shared" si="27"/>
        <v/>
      </c>
      <c r="E18" s="183">
        <v>12</v>
      </c>
      <c r="F18" s="396" t="s">
        <v>507</v>
      </c>
      <c r="G18" s="813">
        <v>0.41</v>
      </c>
      <c r="H18" s="186">
        <v>107</v>
      </c>
      <c r="I18" s="187"/>
      <c r="J18" s="195" t="s">
        <v>339</v>
      </c>
      <c r="K18" s="816">
        <f t="shared" si="43"/>
        <v>0.23872435885465931</v>
      </c>
      <c r="L18" s="790" t="s">
        <v>261</v>
      </c>
      <c r="M18" s="816">
        <f t="shared" si="44"/>
        <v>0.55653652310708213</v>
      </c>
      <c r="N18" s="198" t="s">
        <v>259</v>
      </c>
      <c r="O18" s="192"/>
      <c r="P18" s="193">
        <f t="shared" si="28"/>
        <v>7.985612866229264</v>
      </c>
      <c r="Q18" s="194"/>
      <c r="R18" s="169">
        <f t="shared" si="23"/>
        <v>9.5E-4</v>
      </c>
      <c r="S18" s="170"/>
      <c r="T18" s="170"/>
      <c r="U18" s="170"/>
      <c r="V18" s="170"/>
      <c r="W18" s="170"/>
      <c r="X18" s="170"/>
      <c r="Y18" s="171">
        <f t="shared" si="24"/>
        <v>9.5E-4</v>
      </c>
      <c r="Z18" s="823">
        <f t="shared" si="45"/>
        <v>0.17127564114534066</v>
      </c>
      <c r="AA18" s="824">
        <f t="shared" si="46"/>
        <v>0.14653652310708215</v>
      </c>
      <c r="AB18" s="825">
        <f t="shared" si="47"/>
        <v>0.15890608212621141</v>
      </c>
      <c r="AC18" s="176"/>
      <c r="AD18" s="176"/>
      <c r="AE18" s="176"/>
      <c r="AF18" s="176"/>
      <c r="AG18" s="176"/>
      <c r="AI18" s="1">
        <f t="shared" si="21"/>
        <v>9.5E-4</v>
      </c>
      <c r="AR18" s="91">
        <f t="shared" si="22"/>
        <v>9.5E-4</v>
      </c>
      <c r="BI18" s="90">
        <f t="shared" si="29"/>
        <v>9.6153846153846159E-3</v>
      </c>
      <c r="BJ18" s="90">
        <f t="shared" si="48"/>
        <v>0.43561122323622431</v>
      </c>
      <c r="BK18" s="199" t="b">
        <v>1</v>
      </c>
      <c r="BL18" s="50">
        <v>12</v>
      </c>
      <c r="BM18" s="200" t="b">
        <f t="shared" si="30"/>
        <v>1</v>
      </c>
      <c r="BN18" s="90">
        <f t="shared" si="31"/>
        <v>0.41</v>
      </c>
      <c r="BO18" s="127"/>
      <c r="BP18" s="201">
        <f t="shared" si="49"/>
        <v>4.4423802552430605</v>
      </c>
      <c r="BQ18" s="90" t="e">
        <f t="shared" si="32"/>
        <v>#N/A</v>
      </c>
      <c r="BR18" s="201">
        <f t="shared" si="33"/>
        <v>12</v>
      </c>
      <c r="BS18" s="90"/>
      <c r="BT18" s="90">
        <f t="shared" si="34"/>
        <v>0.24342094240720891</v>
      </c>
      <c r="BU18" s="90">
        <f t="shared" si="35"/>
        <v>0.62780150406523971</v>
      </c>
      <c r="BV18" s="90">
        <f t="shared" si="50"/>
        <v>0.23872435885465931</v>
      </c>
      <c r="BW18" s="90">
        <f t="shared" si="51"/>
        <v>0.55653652310708213</v>
      </c>
      <c r="BX18" s="102">
        <f t="shared" si="36"/>
        <v>0.17127564114534066</v>
      </c>
      <c r="BY18" s="102">
        <f t="shared" si="37"/>
        <v>0.14653652310708215</v>
      </c>
      <c r="BZ18" s="90">
        <f t="shared" si="52"/>
        <v>104</v>
      </c>
      <c r="CA18" s="90">
        <f t="shared" si="38"/>
        <v>19.019460026950522</v>
      </c>
      <c r="CB18" s="90"/>
      <c r="CC18" s="90">
        <f t="shared" si="53"/>
        <v>45.30356721656733</v>
      </c>
      <c r="CD18" s="90">
        <f t="shared" si="54"/>
        <v>10816</v>
      </c>
      <c r="CE18" s="90">
        <f t="shared" si="55"/>
        <v>19.734742332173404</v>
      </c>
      <c r="CF18" s="90">
        <f t="shared" si="39"/>
        <v>5.2577728210107061E-2</v>
      </c>
      <c r="CG18" s="90">
        <f t="shared" si="40"/>
        <v>19.019460026950522</v>
      </c>
      <c r="CH18" s="90">
        <f t="shared" si="56"/>
        <v>8.2850902476323895</v>
      </c>
      <c r="CI18" s="90" t="e">
        <f t="shared" si="41"/>
        <v>#N/A</v>
      </c>
      <c r="CJ18" s="113">
        <f t="shared" si="42"/>
        <v>12</v>
      </c>
      <c r="CK18" s="106" t="e">
        <f t="shared" si="1"/>
        <v>#N/A</v>
      </c>
      <c r="CL18" s="90" t="e">
        <f t="shared" si="2"/>
        <v>#N/A</v>
      </c>
      <c r="CM18" s="90" t="e">
        <f t="shared" si="3"/>
        <v>#N/A</v>
      </c>
      <c r="CN18" s="90" t="e">
        <f t="shared" si="4"/>
        <v>#N/A</v>
      </c>
      <c r="CO18" s="90" t="e">
        <f t="shared" si="5"/>
        <v>#N/A</v>
      </c>
      <c r="CP18" s="90" t="e">
        <f t="shared" si="6"/>
        <v>#N/A</v>
      </c>
      <c r="CQ18" s="90" t="e">
        <f t="shared" si="7"/>
        <v>#N/A</v>
      </c>
      <c r="CR18" s="90" t="e">
        <f t="shared" si="8"/>
        <v>#N/A</v>
      </c>
      <c r="CS18" s="90">
        <f t="shared" si="9"/>
        <v>0.58299999999999996</v>
      </c>
      <c r="CT18" s="113">
        <v>16</v>
      </c>
      <c r="CU18" s="50" t="e">
        <f t="shared" si="10"/>
        <v>#N/A</v>
      </c>
      <c r="CV18" s="50" t="e">
        <f t="shared" si="11"/>
        <v>#N/A</v>
      </c>
      <c r="CW18" s="50" t="e">
        <f t="shared" si="12"/>
        <v>#N/A</v>
      </c>
      <c r="CX18" s="50" t="e">
        <f t="shared" si="13"/>
        <v>#N/A</v>
      </c>
      <c r="CY18" s="50" t="e">
        <f t="shared" si="14"/>
        <v>#N/A</v>
      </c>
      <c r="CZ18" s="50" t="e">
        <f t="shared" si="15"/>
        <v>#N/A</v>
      </c>
      <c r="DA18" s="50" t="e">
        <f t="shared" si="16"/>
        <v>#N/A</v>
      </c>
      <c r="DB18" s="50" t="e">
        <f t="shared" si="17"/>
        <v>#N/A</v>
      </c>
      <c r="DC18" s="50">
        <f t="shared" si="18"/>
        <v>0.58299999999999996</v>
      </c>
      <c r="DD18" s="50">
        <f t="shared" si="19"/>
        <v>1</v>
      </c>
      <c r="DE18" s="50">
        <f>IF(DD18=0,NA(),SUM($DD$3:DD18))</f>
        <v>16</v>
      </c>
    </row>
    <row r="19" spans="1:109" ht="12" customHeight="1" x14ac:dyDescent="0.2">
      <c r="A19" s="180"/>
      <c r="B19" s="181" t="str">
        <f t="shared" si="25"/>
        <v/>
      </c>
      <c r="C19" s="838" t="str">
        <f t="shared" si="26"/>
        <v/>
      </c>
      <c r="D19" s="182" t="str">
        <f t="shared" si="27"/>
        <v/>
      </c>
      <c r="E19" s="183">
        <v>13</v>
      </c>
      <c r="F19" s="396" t="s">
        <v>509</v>
      </c>
      <c r="G19" s="813">
        <v>0.34</v>
      </c>
      <c r="H19" s="186">
        <v>178</v>
      </c>
      <c r="I19" s="187"/>
      <c r="J19" s="195" t="s">
        <v>339</v>
      </c>
      <c r="K19" s="816">
        <f t="shared" si="43"/>
        <v>0.20307062297429632</v>
      </c>
      <c r="L19" s="790" t="s">
        <v>261</v>
      </c>
      <c r="M19" s="816">
        <f t="shared" si="44"/>
        <v>0.4638862990613305</v>
      </c>
      <c r="N19" s="198" t="s">
        <v>259</v>
      </c>
      <c r="O19" s="192"/>
      <c r="P19" s="193">
        <f t="shared" si="28"/>
        <v>8.6256051175268098</v>
      </c>
      <c r="Q19" s="194"/>
      <c r="R19" s="169">
        <f t="shared" si="23"/>
        <v>9.5E-4</v>
      </c>
      <c r="S19" s="170"/>
      <c r="T19" s="170"/>
      <c r="U19" s="170"/>
      <c r="V19" s="170"/>
      <c r="W19" s="170"/>
      <c r="X19" s="170"/>
      <c r="Y19" s="171">
        <f t="shared" si="24"/>
        <v>9.5E-4</v>
      </c>
      <c r="Z19" s="823">
        <f t="shared" si="45"/>
        <v>0.13692937702570371</v>
      </c>
      <c r="AA19" s="824">
        <f t="shared" si="46"/>
        <v>0.12388629906133047</v>
      </c>
      <c r="AB19" s="825">
        <f t="shared" si="47"/>
        <v>0.13040783804351708</v>
      </c>
      <c r="AC19" s="176"/>
      <c r="AD19" s="176"/>
      <c r="AE19" s="176"/>
      <c r="AF19" s="176"/>
      <c r="AG19" s="176"/>
      <c r="AI19" s="1">
        <f t="shared" si="21"/>
        <v>9.5E-4</v>
      </c>
      <c r="AR19" s="91">
        <f t="shared" si="22"/>
        <v>9.5E-4</v>
      </c>
      <c r="BI19" s="90">
        <f t="shared" si="29"/>
        <v>5.7142857142857143E-3</v>
      </c>
      <c r="BJ19" s="90">
        <f t="shared" si="48"/>
        <v>0.35409252896224302</v>
      </c>
      <c r="BK19" s="199" t="b">
        <v>1</v>
      </c>
      <c r="BL19" s="50">
        <v>13</v>
      </c>
      <c r="BM19" s="200" t="b">
        <f t="shared" si="30"/>
        <v>1</v>
      </c>
      <c r="BN19" s="90">
        <f t="shared" si="31"/>
        <v>0.34</v>
      </c>
      <c r="BO19" s="127"/>
      <c r="BP19" s="201">
        <f t="shared" si="49"/>
        <v>4.6842038637001551</v>
      </c>
      <c r="BQ19" s="90" t="e">
        <f t="shared" si="32"/>
        <v>#N/A</v>
      </c>
      <c r="BR19" s="201">
        <f t="shared" si="33"/>
        <v>13</v>
      </c>
      <c r="BS19" s="90"/>
      <c r="BT19" s="90">
        <f t="shared" si="34"/>
        <v>0.20593317805549372</v>
      </c>
      <c r="BU19" s="90">
        <f t="shared" si="35"/>
        <v>0.50225187986899233</v>
      </c>
      <c r="BV19" s="90">
        <f t="shared" si="50"/>
        <v>0.20307062297429632</v>
      </c>
      <c r="BW19" s="90">
        <f t="shared" si="51"/>
        <v>0.4638862990613305</v>
      </c>
      <c r="BX19" s="102">
        <f t="shared" si="36"/>
        <v>0.13692937702570371</v>
      </c>
      <c r="BY19" s="102">
        <f t="shared" si="37"/>
        <v>0.12388629906133047</v>
      </c>
      <c r="BZ19" s="90">
        <f t="shared" si="52"/>
        <v>175</v>
      </c>
      <c r="CA19" s="90">
        <f t="shared" si="38"/>
        <v>20.543739658960707</v>
      </c>
      <c r="CB19" s="90"/>
      <c r="CC19" s="90">
        <f t="shared" si="53"/>
        <v>61.966192568392529</v>
      </c>
      <c r="CD19" s="90">
        <f t="shared" si="54"/>
        <v>30625</v>
      </c>
      <c r="CE19" s="90">
        <f t="shared" si="55"/>
        <v>21.94176583670346</v>
      </c>
      <c r="CF19" s="90">
        <f t="shared" si="39"/>
        <v>4.8676629309008158E-2</v>
      </c>
      <c r="CG19" s="90">
        <f t="shared" si="40"/>
        <v>20.543739658960707</v>
      </c>
      <c r="CH19" s="90">
        <f t="shared" si="56"/>
        <v>7.2743847301833249</v>
      </c>
      <c r="CI19" s="90" t="e">
        <f t="shared" si="41"/>
        <v>#N/A</v>
      </c>
      <c r="CJ19" s="113">
        <f t="shared" si="42"/>
        <v>13</v>
      </c>
      <c r="CK19" s="106" t="e">
        <f t="shared" si="1"/>
        <v>#N/A</v>
      </c>
      <c r="CL19" s="90" t="e">
        <f t="shared" si="2"/>
        <v>#N/A</v>
      </c>
      <c r="CM19" s="90" t="e">
        <f t="shared" si="3"/>
        <v>#N/A</v>
      </c>
      <c r="CN19" s="90" t="e">
        <f t="shared" si="4"/>
        <v>#N/A</v>
      </c>
      <c r="CO19" s="90" t="e">
        <f t="shared" si="5"/>
        <v>#N/A</v>
      </c>
      <c r="CP19" s="90" t="e">
        <f t="shared" si="6"/>
        <v>#N/A</v>
      </c>
      <c r="CQ19" s="90" t="e">
        <f t="shared" si="7"/>
        <v>#N/A</v>
      </c>
      <c r="CR19" s="90" t="e">
        <f t="shared" si="8"/>
        <v>#N/A</v>
      </c>
      <c r="CS19" s="90" t="e">
        <f t="shared" si="9"/>
        <v>#N/A</v>
      </c>
      <c r="CT19" s="113">
        <v>17</v>
      </c>
      <c r="CU19" s="50" t="e">
        <f t="shared" si="10"/>
        <v>#N/A</v>
      </c>
      <c r="CV19" s="50" t="e">
        <f t="shared" si="11"/>
        <v>#N/A</v>
      </c>
      <c r="CW19" s="50" t="e">
        <f t="shared" si="12"/>
        <v>#N/A</v>
      </c>
      <c r="CX19" s="50" t="e">
        <f t="shared" si="13"/>
        <v>#N/A</v>
      </c>
      <c r="CY19" s="50" t="e">
        <f t="shared" si="14"/>
        <v>#N/A</v>
      </c>
      <c r="CZ19" s="50" t="e">
        <f t="shared" si="15"/>
        <v>#N/A</v>
      </c>
      <c r="DA19" s="50" t="e">
        <f t="shared" si="16"/>
        <v>#N/A</v>
      </c>
      <c r="DB19" s="50" t="e">
        <f t="shared" si="17"/>
        <v>#N/A</v>
      </c>
      <c r="DC19" s="50" t="e">
        <f t="shared" si="18"/>
        <v>#N/A</v>
      </c>
      <c r="DD19" s="50">
        <f t="shared" si="19"/>
        <v>0</v>
      </c>
      <c r="DE19" s="50" t="e">
        <f>IF(DD19=0,NA(),SUM($DD$3:DD19))</f>
        <v>#N/A</v>
      </c>
    </row>
    <row r="20" spans="1:109" ht="12" customHeight="1" x14ac:dyDescent="0.2">
      <c r="A20" s="180"/>
      <c r="B20" s="181" t="str">
        <f t="shared" si="25"/>
        <v/>
      </c>
      <c r="C20" s="838" t="str">
        <f t="shared" si="26"/>
        <v/>
      </c>
      <c r="D20" s="182" t="str">
        <f t="shared" si="27"/>
        <v/>
      </c>
      <c r="E20" s="183">
        <v>14</v>
      </c>
      <c r="F20" s="396" t="s">
        <v>510</v>
      </c>
      <c r="G20" s="813">
        <v>0.31</v>
      </c>
      <c r="H20" s="186">
        <v>64</v>
      </c>
      <c r="I20" s="187"/>
      <c r="J20" s="195" t="s">
        <v>339</v>
      </c>
      <c r="K20" s="816">
        <f t="shared" si="43"/>
        <v>6.948557969766464E-2</v>
      </c>
      <c r="L20" s="790" t="s">
        <v>261</v>
      </c>
      <c r="M20" s="816">
        <f t="shared" si="44"/>
        <v>0.51645496118996626</v>
      </c>
      <c r="N20" s="198" t="s">
        <v>259</v>
      </c>
      <c r="O20" s="192"/>
      <c r="P20" s="193">
        <f t="shared" si="28"/>
        <v>7.0737060298044003</v>
      </c>
      <c r="Q20" s="194"/>
      <c r="R20" s="169">
        <f t="shared" si="23"/>
        <v>9.5E-4</v>
      </c>
      <c r="S20" s="170"/>
      <c r="T20" s="170"/>
      <c r="U20" s="170"/>
      <c r="V20" s="170"/>
      <c r="W20" s="170"/>
      <c r="X20" s="170"/>
      <c r="Y20" s="171">
        <f t="shared" si="24"/>
        <v>9.5E-4</v>
      </c>
      <c r="Z20" s="823">
        <f t="shared" si="45"/>
        <v>0.24051442030233536</v>
      </c>
      <c r="AA20" s="824">
        <f t="shared" si="46"/>
        <v>0.20645496118996626</v>
      </c>
      <c r="AB20" s="825">
        <f t="shared" si="47"/>
        <v>0.22348469074615079</v>
      </c>
      <c r="AC20" s="176"/>
      <c r="AD20" s="176"/>
      <c r="AE20" s="176"/>
      <c r="AF20" s="176"/>
      <c r="AG20" s="176"/>
      <c r="AI20" s="1">
        <f t="shared" si="21"/>
        <v>9.5E-4</v>
      </c>
      <c r="AR20" s="91">
        <f t="shared" si="22"/>
        <v>9.5E-4</v>
      </c>
      <c r="BI20" s="90">
        <f t="shared" si="29"/>
        <v>1.6393442622950821E-2</v>
      </c>
      <c r="BJ20" s="90">
        <f t="shared" si="48"/>
        <v>0.32054540930194614</v>
      </c>
      <c r="BK20" s="199" t="b">
        <v>1</v>
      </c>
      <c r="BL20" s="50">
        <v>14</v>
      </c>
      <c r="BM20" s="200" t="b">
        <f t="shared" si="30"/>
        <v>1</v>
      </c>
      <c r="BN20" s="90">
        <f t="shared" si="31"/>
        <v>0.31</v>
      </c>
      <c r="BO20" s="127"/>
      <c r="BP20" s="201">
        <f t="shared" si="49"/>
        <v>2.5035396791138909</v>
      </c>
      <c r="BQ20" s="90" t="e">
        <f t="shared" si="32"/>
        <v>#N/A</v>
      </c>
      <c r="BR20" s="201">
        <f t="shared" si="33"/>
        <v>14</v>
      </c>
      <c r="BS20" s="90"/>
      <c r="BT20" s="90">
        <f t="shared" si="34"/>
        <v>6.9597735940590932E-2</v>
      </c>
      <c r="BU20" s="90">
        <f t="shared" si="35"/>
        <v>0.57149308266330134</v>
      </c>
      <c r="BV20" s="90">
        <f t="shared" si="50"/>
        <v>6.948557969766464E-2</v>
      </c>
      <c r="BW20" s="90">
        <f t="shared" si="51"/>
        <v>0.51645496118996626</v>
      </c>
      <c r="BX20" s="102">
        <f t="shared" si="36"/>
        <v>0.24051442030233536</v>
      </c>
      <c r="BY20" s="102">
        <f t="shared" si="37"/>
        <v>0.20645496118996626</v>
      </c>
      <c r="BZ20" s="90">
        <f t="shared" si="52"/>
        <v>61</v>
      </c>
      <c r="CA20" s="90">
        <f t="shared" si="38"/>
        <v>16.847557141821646</v>
      </c>
      <c r="CB20" s="90"/>
      <c r="CC20" s="90">
        <f t="shared" si="53"/>
        <v>19.553269967418714</v>
      </c>
      <c r="CD20" s="90">
        <f t="shared" si="54"/>
        <v>3721</v>
      </c>
      <c r="CE20" s="90">
        <f t="shared" si="55"/>
        <v>6.267710924897683</v>
      </c>
      <c r="CF20" s="90">
        <f t="shared" si="39"/>
        <v>5.9355786217673262E-2</v>
      </c>
      <c r="CG20" s="90">
        <f t="shared" si="40"/>
        <v>16.847557141821646</v>
      </c>
      <c r="CH20" s="90">
        <f t="shared" si="56"/>
        <v>5.4004070997631457</v>
      </c>
      <c r="CI20" s="90" t="e">
        <f t="shared" si="41"/>
        <v>#N/A</v>
      </c>
      <c r="CJ20" s="113">
        <f t="shared" si="42"/>
        <v>14</v>
      </c>
      <c r="CK20" s="106" t="e">
        <f t="shared" si="1"/>
        <v>#N/A</v>
      </c>
      <c r="CL20" s="90" t="e">
        <f t="shared" si="2"/>
        <v>#N/A</v>
      </c>
      <c r="CM20" s="90" t="e">
        <f t="shared" si="3"/>
        <v>#N/A</v>
      </c>
      <c r="CN20" s="90" t="e">
        <f t="shared" si="4"/>
        <v>#N/A</v>
      </c>
      <c r="CO20" s="90" t="e">
        <f t="shared" si="5"/>
        <v>#N/A</v>
      </c>
      <c r="CP20" s="90" t="e">
        <f t="shared" si="6"/>
        <v>#N/A</v>
      </c>
      <c r="CQ20" s="90" t="e">
        <f t="shared" si="7"/>
        <v>#N/A</v>
      </c>
      <c r="CR20" s="90" t="e">
        <f t="shared" si="8"/>
        <v>#N/A</v>
      </c>
      <c r="CS20" s="90" t="e">
        <f t="shared" si="9"/>
        <v>#N/A</v>
      </c>
      <c r="CT20" s="113">
        <v>18</v>
      </c>
      <c r="CU20" s="50" t="e">
        <f t="shared" si="10"/>
        <v>#N/A</v>
      </c>
      <c r="CV20" s="50" t="e">
        <f t="shared" si="11"/>
        <v>#N/A</v>
      </c>
      <c r="CW20" s="50" t="e">
        <f t="shared" si="12"/>
        <v>#N/A</v>
      </c>
      <c r="CX20" s="50" t="e">
        <f t="shared" si="13"/>
        <v>#N/A</v>
      </c>
      <c r="CY20" s="50" t="e">
        <f t="shared" si="14"/>
        <v>#N/A</v>
      </c>
      <c r="CZ20" s="50" t="e">
        <f t="shared" si="15"/>
        <v>#N/A</v>
      </c>
      <c r="DA20" s="50" t="e">
        <f t="shared" si="16"/>
        <v>#N/A</v>
      </c>
      <c r="DB20" s="50" t="e">
        <f t="shared" si="17"/>
        <v>#N/A</v>
      </c>
      <c r="DC20" s="50" t="e">
        <f t="shared" si="18"/>
        <v>#N/A</v>
      </c>
      <c r="DD20" s="50">
        <f t="shared" si="19"/>
        <v>0</v>
      </c>
      <c r="DE20" s="50" t="e">
        <f>IF(DD20=0,NA(),SUM($DD$3:DD20))</f>
        <v>#N/A</v>
      </c>
    </row>
    <row r="21" spans="1:109" ht="12" customHeight="1" x14ac:dyDescent="0.2">
      <c r="A21" s="180"/>
      <c r="B21" s="181" t="str">
        <f t="shared" si="25"/>
        <v/>
      </c>
      <c r="C21" s="838" t="str">
        <f t="shared" si="26"/>
        <v/>
      </c>
      <c r="D21" s="182" t="str">
        <f t="shared" si="27"/>
        <v/>
      </c>
      <c r="E21" s="183">
        <v>15</v>
      </c>
      <c r="F21" s="396" t="s">
        <v>510</v>
      </c>
      <c r="G21" s="813">
        <v>0.54</v>
      </c>
      <c r="H21" s="186">
        <v>19</v>
      </c>
      <c r="I21" s="187"/>
      <c r="J21" s="195" t="s">
        <v>339</v>
      </c>
      <c r="K21" s="816">
        <f t="shared" si="43"/>
        <v>0.11367118874417476</v>
      </c>
      <c r="L21" s="790" t="s">
        <v>261</v>
      </c>
      <c r="M21" s="816">
        <f t="shared" si="44"/>
        <v>0.79838659851937843</v>
      </c>
      <c r="N21" s="198" t="s">
        <v>259</v>
      </c>
      <c r="O21" s="192"/>
      <c r="P21" s="193">
        <f t="shared" si="28"/>
        <v>3.9811876785634719</v>
      </c>
      <c r="Q21" s="194"/>
      <c r="R21" s="169">
        <f t="shared" si="23"/>
        <v>9.5E-4</v>
      </c>
      <c r="S21" s="170"/>
      <c r="T21" s="170"/>
      <c r="U21" s="170"/>
      <c r="V21" s="170"/>
      <c r="W21" s="170"/>
      <c r="X21" s="170"/>
      <c r="Y21" s="171">
        <f t="shared" si="24"/>
        <v>9.5E-4</v>
      </c>
      <c r="Z21" s="823">
        <f t="shared" si="45"/>
        <v>0.42632881125582528</v>
      </c>
      <c r="AA21" s="824">
        <f t="shared" si="46"/>
        <v>0.2583865985193784</v>
      </c>
      <c r="AB21" s="825">
        <f t="shared" si="47"/>
        <v>0.34235770488760187</v>
      </c>
      <c r="AC21" s="176"/>
      <c r="AD21" s="176"/>
      <c r="AE21" s="176"/>
      <c r="AF21" s="176"/>
      <c r="AG21" s="176"/>
      <c r="AI21" s="1">
        <f t="shared" si="21"/>
        <v>9.5E-4</v>
      </c>
      <c r="AR21" s="91">
        <f t="shared" si="22"/>
        <v>9.5E-4</v>
      </c>
      <c r="BI21" s="90">
        <f t="shared" si="29"/>
        <v>6.25E-2</v>
      </c>
      <c r="BJ21" s="90">
        <f t="shared" si="48"/>
        <v>0.60415560296226711</v>
      </c>
      <c r="BK21" s="199" t="b">
        <v>1</v>
      </c>
      <c r="BL21" s="50">
        <v>15</v>
      </c>
      <c r="BM21" s="200" t="b">
        <f t="shared" si="30"/>
        <v>1</v>
      </c>
      <c r="BN21" s="90">
        <f t="shared" si="31"/>
        <v>0.54</v>
      </c>
      <c r="BO21" s="127"/>
      <c r="BP21" s="201">
        <f t="shared" si="49"/>
        <v>2.4166224118490685</v>
      </c>
      <c r="BQ21" s="90" t="e">
        <f t="shared" si="32"/>
        <v>#N/A</v>
      </c>
      <c r="BR21" s="201">
        <f t="shared" si="33"/>
        <v>15</v>
      </c>
      <c r="BS21" s="90"/>
      <c r="BT21" s="90">
        <f t="shared" si="34"/>
        <v>0.11416460682725371</v>
      </c>
      <c r="BU21" s="90">
        <f t="shared" si="35"/>
        <v>1.0941465990972805</v>
      </c>
      <c r="BV21" s="90">
        <f t="shared" si="50"/>
        <v>0.11367118874417476</v>
      </c>
      <c r="BW21" s="90">
        <f t="shared" si="51"/>
        <v>0.79838659851937843</v>
      </c>
      <c r="BX21" s="102">
        <f t="shared" si="36"/>
        <v>0.42632881125582528</v>
      </c>
      <c r="BY21" s="102">
        <f t="shared" si="37"/>
        <v>0.2583865985193784</v>
      </c>
      <c r="BZ21" s="90">
        <f t="shared" si="52"/>
        <v>16</v>
      </c>
      <c r="CA21" s="90">
        <f t="shared" si="38"/>
        <v>9.4820574426343587</v>
      </c>
      <c r="CB21" s="90"/>
      <c r="CC21" s="90">
        <f t="shared" si="53"/>
        <v>9.6664896473962738</v>
      </c>
      <c r="CD21" s="90">
        <f t="shared" si="54"/>
        <v>256</v>
      </c>
      <c r="CE21" s="90">
        <f t="shared" si="55"/>
        <v>5.8400638814512087</v>
      </c>
      <c r="CF21" s="90">
        <f t="shared" si="39"/>
        <v>0.10546234359472245</v>
      </c>
      <c r="CG21" s="90">
        <f t="shared" si="40"/>
        <v>9.4820574426343587</v>
      </c>
      <c r="CH21" s="90">
        <f t="shared" si="56"/>
        <v>5.7286381315776138</v>
      </c>
      <c r="CI21" s="90" t="e">
        <f t="shared" si="41"/>
        <v>#N/A</v>
      </c>
      <c r="CJ21" s="113">
        <f t="shared" si="42"/>
        <v>15</v>
      </c>
      <c r="CK21" s="106" t="e">
        <f t="shared" si="1"/>
        <v>#N/A</v>
      </c>
      <c r="CL21" s="90" t="e">
        <f t="shared" si="2"/>
        <v>#N/A</v>
      </c>
      <c r="CM21" s="90" t="e">
        <f t="shared" si="3"/>
        <v>#N/A</v>
      </c>
      <c r="CN21" s="90" t="e">
        <f t="shared" si="4"/>
        <v>#N/A</v>
      </c>
      <c r="CO21" s="90" t="e">
        <f t="shared" si="5"/>
        <v>#N/A</v>
      </c>
      <c r="CP21" s="90" t="e">
        <f t="shared" si="6"/>
        <v>#N/A</v>
      </c>
      <c r="CQ21" s="90" t="e">
        <f t="shared" si="7"/>
        <v>#N/A</v>
      </c>
      <c r="CR21" s="90" t="e">
        <f t="shared" si="8"/>
        <v>#N/A</v>
      </c>
      <c r="CS21" s="90" t="e">
        <f t="shared" si="9"/>
        <v>#N/A</v>
      </c>
      <c r="CT21" s="113">
        <v>19</v>
      </c>
      <c r="CU21" s="50" t="e">
        <f t="shared" si="10"/>
        <v>#N/A</v>
      </c>
      <c r="CV21" s="50" t="e">
        <f t="shared" si="11"/>
        <v>#N/A</v>
      </c>
      <c r="CW21" s="50" t="e">
        <f t="shared" si="12"/>
        <v>#N/A</v>
      </c>
      <c r="CX21" s="50" t="e">
        <f t="shared" si="13"/>
        <v>#N/A</v>
      </c>
      <c r="CY21" s="50" t="e">
        <f t="shared" si="14"/>
        <v>#N/A</v>
      </c>
      <c r="CZ21" s="50" t="e">
        <f t="shared" si="15"/>
        <v>#N/A</v>
      </c>
      <c r="DA21" s="50" t="e">
        <f t="shared" si="16"/>
        <v>#N/A</v>
      </c>
      <c r="DB21" s="50" t="e">
        <f t="shared" si="17"/>
        <v>#N/A</v>
      </c>
      <c r="DC21" s="50" t="e">
        <f t="shared" si="18"/>
        <v>#N/A</v>
      </c>
      <c r="DD21" s="50">
        <f t="shared" si="19"/>
        <v>0</v>
      </c>
      <c r="DE21" s="50" t="e">
        <f>IF(DD21=0,NA(),SUM($DD$3:DD21))</f>
        <v>#N/A</v>
      </c>
    </row>
    <row r="22" spans="1:109" ht="12" customHeight="1" x14ac:dyDescent="0.2">
      <c r="A22" s="180"/>
      <c r="B22" s="181" t="str">
        <f t="shared" si="25"/>
        <v/>
      </c>
      <c r="C22" s="838" t="str">
        <f t="shared" si="26"/>
        <v/>
      </c>
      <c r="D22" s="182" t="str">
        <f t="shared" si="27"/>
        <v/>
      </c>
      <c r="E22" s="183">
        <v>16</v>
      </c>
      <c r="F22" s="396" t="s">
        <v>508</v>
      </c>
      <c r="G22" s="813">
        <v>0.58299999999999996</v>
      </c>
      <c r="H22" s="186">
        <v>135</v>
      </c>
      <c r="I22" s="187"/>
      <c r="J22" s="195" t="s">
        <v>339</v>
      </c>
      <c r="K22" s="816">
        <f t="shared" si="43"/>
        <v>0.45928317372306443</v>
      </c>
      <c r="L22" s="790" t="s">
        <v>261</v>
      </c>
      <c r="M22" s="816">
        <f t="shared" si="44"/>
        <v>0.68452959942661551</v>
      </c>
      <c r="N22" s="198" t="s">
        <v>259</v>
      </c>
      <c r="O22" s="192"/>
      <c r="P22" s="193">
        <f t="shared" si="28"/>
        <v>8.3078978661150256</v>
      </c>
      <c r="Q22" s="194"/>
      <c r="R22" s="169">
        <f t="shared" si="23"/>
        <v>9.5E-4</v>
      </c>
      <c r="S22" s="170"/>
      <c r="T22" s="170"/>
      <c r="U22" s="170"/>
      <c r="V22" s="170"/>
      <c r="W22" s="170"/>
      <c r="X22" s="170"/>
      <c r="Y22" s="171">
        <f t="shared" si="24"/>
        <v>9.5E-4</v>
      </c>
      <c r="Z22" s="823">
        <f t="shared" si="45"/>
        <v>0.12371682627693553</v>
      </c>
      <c r="AA22" s="824">
        <f t="shared" si="46"/>
        <v>0.10152959942661555</v>
      </c>
      <c r="AB22" s="825">
        <f t="shared" si="47"/>
        <v>0.11262321285177554</v>
      </c>
      <c r="AC22" s="176"/>
      <c r="AD22" s="176"/>
      <c r="AE22" s="176"/>
      <c r="AF22" s="176"/>
      <c r="AG22" s="176"/>
      <c r="AI22" s="1">
        <f t="shared" si="21"/>
        <v>9.5E-4</v>
      </c>
      <c r="AR22" s="91">
        <f t="shared" si="22"/>
        <v>9.5E-4</v>
      </c>
      <c r="BI22" s="90">
        <f t="shared" si="29"/>
        <v>7.575757575757576E-3</v>
      </c>
      <c r="BJ22" s="90">
        <f t="shared" si="48"/>
        <v>0.66699541904110526</v>
      </c>
      <c r="BK22" s="199" t="b">
        <v>1</v>
      </c>
      <c r="BL22" s="50">
        <v>16</v>
      </c>
      <c r="BM22" s="200" t="b">
        <f t="shared" si="30"/>
        <v>1</v>
      </c>
      <c r="BN22" s="90">
        <f t="shared" si="31"/>
        <v>0.58299999999999996</v>
      </c>
      <c r="BO22" s="127"/>
      <c r="BP22" s="201">
        <f t="shared" si="49"/>
        <v>7.663193939271026</v>
      </c>
      <c r="BQ22" s="90" t="e">
        <f t="shared" si="32"/>
        <v>#N/A</v>
      </c>
      <c r="BR22" s="201">
        <f t="shared" si="33"/>
        <v>16</v>
      </c>
      <c r="BS22" s="90"/>
      <c r="BT22" s="90">
        <f t="shared" si="34"/>
        <v>0.49640245094794422</v>
      </c>
      <c r="BU22" s="90">
        <f t="shared" si="35"/>
        <v>0.83758838713426631</v>
      </c>
      <c r="BV22" s="90">
        <f t="shared" si="50"/>
        <v>0.45928317372306443</v>
      </c>
      <c r="BW22" s="90">
        <f t="shared" si="51"/>
        <v>0.68452959942661551</v>
      </c>
      <c r="BX22" s="102">
        <f t="shared" si="36"/>
        <v>0.12371682627693553</v>
      </c>
      <c r="BY22" s="102">
        <f t="shared" si="37"/>
        <v>0.10152959942661555</v>
      </c>
      <c r="BZ22" s="90">
        <f t="shared" si="52"/>
        <v>132</v>
      </c>
      <c r="CA22" s="90">
        <f t="shared" si="38"/>
        <v>19.787051290801429</v>
      </c>
      <c r="CB22" s="90"/>
      <c r="CC22" s="90">
        <f t="shared" si="53"/>
        <v>88.04339531342589</v>
      </c>
      <c r="CD22" s="90">
        <f t="shared" si="54"/>
        <v>17424</v>
      </c>
      <c r="CE22" s="90">
        <f t="shared" si="55"/>
        <v>58.724541350880187</v>
      </c>
      <c r="CF22" s="90">
        <f t="shared" si="39"/>
        <v>5.0538101170480021E-2</v>
      </c>
      <c r="CG22" s="90">
        <f t="shared" si="40"/>
        <v>19.787051290801429</v>
      </c>
      <c r="CH22" s="90">
        <f t="shared" si="56"/>
        <v>13.197872567295942</v>
      </c>
      <c r="CI22" s="90" t="e">
        <f t="shared" si="41"/>
        <v>#N/A</v>
      </c>
      <c r="CJ22" s="113">
        <f t="shared" si="42"/>
        <v>16</v>
      </c>
      <c r="CK22" s="106" t="e">
        <f t="shared" si="1"/>
        <v>#N/A</v>
      </c>
      <c r="CL22" s="90" t="e">
        <f t="shared" si="2"/>
        <v>#N/A</v>
      </c>
      <c r="CM22" s="90" t="e">
        <f t="shared" si="3"/>
        <v>#N/A</v>
      </c>
      <c r="CN22" s="90" t="e">
        <f t="shared" si="4"/>
        <v>#N/A</v>
      </c>
      <c r="CO22" s="90" t="e">
        <f t="shared" si="5"/>
        <v>#N/A</v>
      </c>
      <c r="CP22" s="90" t="e">
        <f t="shared" si="6"/>
        <v>#N/A</v>
      </c>
      <c r="CQ22" s="90" t="e">
        <f t="shared" si="7"/>
        <v>#N/A</v>
      </c>
      <c r="CR22" s="90" t="e">
        <f t="shared" si="8"/>
        <v>#N/A</v>
      </c>
      <c r="CS22" s="90" t="e">
        <f t="shared" si="9"/>
        <v>#N/A</v>
      </c>
      <c r="CT22" s="113">
        <v>20</v>
      </c>
      <c r="CU22" s="50" t="e">
        <f t="shared" si="10"/>
        <v>#N/A</v>
      </c>
      <c r="CV22" s="50" t="e">
        <f t="shared" si="11"/>
        <v>#N/A</v>
      </c>
      <c r="CW22" s="50" t="e">
        <f t="shared" si="12"/>
        <v>#N/A</v>
      </c>
      <c r="CX22" s="50" t="e">
        <f t="shared" si="13"/>
        <v>#N/A</v>
      </c>
      <c r="CY22" s="50" t="e">
        <f t="shared" si="14"/>
        <v>#N/A</v>
      </c>
      <c r="CZ22" s="50" t="e">
        <f t="shared" si="15"/>
        <v>#N/A</v>
      </c>
      <c r="DA22" s="50" t="e">
        <f t="shared" si="16"/>
        <v>#N/A</v>
      </c>
      <c r="DB22" s="50" t="e">
        <f t="shared" si="17"/>
        <v>#N/A</v>
      </c>
      <c r="DC22" s="50" t="e">
        <f t="shared" si="18"/>
        <v>#N/A</v>
      </c>
      <c r="DD22" s="50">
        <f t="shared" si="19"/>
        <v>0</v>
      </c>
      <c r="DE22" s="50" t="e">
        <f>IF(DD22=0,NA(),SUM($DD$3:DD22))</f>
        <v>#N/A</v>
      </c>
    </row>
    <row r="23" spans="1:109" ht="12" customHeight="1" x14ac:dyDescent="0.2">
      <c r="A23" s="180"/>
      <c r="B23" s="181" t="str">
        <f t="shared" si="25"/>
        <v/>
      </c>
      <c r="C23" s="838" t="str">
        <f t="shared" si="26"/>
        <v/>
      </c>
      <c r="D23" s="182" t="str">
        <f t="shared" si="27"/>
        <v/>
      </c>
      <c r="E23" s="183">
        <v>17</v>
      </c>
      <c r="F23" s="396"/>
      <c r="G23" s="813"/>
      <c r="H23" s="186"/>
      <c r="I23" s="187"/>
      <c r="J23" s="195" t="s">
        <v>339</v>
      </c>
      <c r="K23" s="816" t="str">
        <f t="shared" si="43"/>
        <v/>
      </c>
      <c r="L23" s="790" t="s">
        <v>261</v>
      </c>
      <c r="M23" s="816" t="str">
        <f t="shared" si="44"/>
        <v/>
      </c>
      <c r="N23" s="198" t="s">
        <v>259</v>
      </c>
      <c r="O23" s="192"/>
      <c r="P23" s="193" t="str">
        <f t="shared" si="28"/>
        <v/>
      </c>
      <c r="Q23" s="194"/>
      <c r="R23" s="169">
        <f t="shared" si="23"/>
        <v>9.5E-4</v>
      </c>
      <c r="S23" s="170"/>
      <c r="T23" s="170"/>
      <c r="U23" s="170"/>
      <c r="V23" s="170"/>
      <c r="W23" s="170"/>
      <c r="X23" s="170"/>
      <c r="Y23" s="171">
        <f t="shared" si="24"/>
        <v>9.5E-4</v>
      </c>
      <c r="Z23" s="823" t="str">
        <f t="shared" si="45"/>
        <v/>
      </c>
      <c r="AA23" s="824" t="str">
        <f t="shared" si="46"/>
        <v/>
      </c>
      <c r="AB23" s="825" t="str">
        <f t="shared" si="47"/>
        <v/>
      </c>
      <c r="AC23" s="176"/>
      <c r="AD23" s="176"/>
      <c r="AE23" s="176"/>
      <c r="AF23" s="176"/>
      <c r="AG23" s="176"/>
      <c r="AI23" s="1">
        <f t="shared" si="21"/>
        <v>9.5E-4</v>
      </c>
      <c r="AR23" s="91">
        <f t="shared" si="22"/>
        <v>9.5E-4</v>
      </c>
      <c r="BI23" s="90" t="str">
        <f t="shared" si="29"/>
        <v/>
      </c>
      <c r="BJ23" s="90" t="str">
        <f t="shared" si="48"/>
        <v/>
      </c>
      <c r="BK23" s="199" t="b">
        <v>1</v>
      </c>
      <c r="BL23" s="50">
        <v>17</v>
      </c>
      <c r="BM23" s="200" t="b">
        <f t="shared" si="30"/>
        <v>0</v>
      </c>
      <c r="BN23" s="90" t="str">
        <f t="shared" si="31"/>
        <v/>
      </c>
      <c r="BO23" s="127"/>
      <c r="BP23" s="201" t="str">
        <f t="shared" si="49"/>
        <v/>
      </c>
      <c r="BQ23" s="90" t="e">
        <f t="shared" si="32"/>
        <v>#N/A</v>
      </c>
      <c r="BR23" s="201" t="e">
        <f t="shared" si="33"/>
        <v>#N/A</v>
      </c>
      <c r="BS23" s="90"/>
      <c r="BT23" s="90" t="str">
        <f t="shared" si="34"/>
        <v/>
      </c>
      <c r="BU23" s="90" t="str">
        <f t="shared" si="35"/>
        <v/>
      </c>
      <c r="BV23" s="90" t="str">
        <f t="shared" si="50"/>
        <v/>
      </c>
      <c r="BW23" s="90" t="str">
        <f t="shared" si="51"/>
        <v/>
      </c>
      <c r="BX23" s="102" t="e">
        <f t="shared" si="36"/>
        <v>#N/A</v>
      </c>
      <c r="BY23" s="102" t="e">
        <f t="shared" si="37"/>
        <v>#N/A</v>
      </c>
      <c r="BZ23" s="90" t="str">
        <f t="shared" si="52"/>
        <v/>
      </c>
      <c r="CA23" s="90" t="str">
        <f t="shared" si="38"/>
        <v/>
      </c>
      <c r="CB23" s="90"/>
      <c r="CC23" s="90" t="str">
        <f t="shared" si="53"/>
        <v/>
      </c>
      <c r="CD23" s="90" t="str">
        <f t="shared" si="54"/>
        <v/>
      </c>
      <c r="CE23" s="90" t="str">
        <f t="shared" si="55"/>
        <v/>
      </c>
      <c r="CF23" s="90" t="str">
        <f t="shared" si="39"/>
        <v/>
      </c>
      <c r="CG23" s="90" t="str">
        <f t="shared" si="40"/>
        <v/>
      </c>
      <c r="CH23" s="90" t="str">
        <f t="shared" si="56"/>
        <v/>
      </c>
      <c r="CI23" s="90" t="e">
        <f t="shared" si="41"/>
        <v>#N/A</v>
      </c>
      <c r="CJ23" s="113" t="e">
        <f t="shared" si="42"/>
        <v>#N/A</v>
      </c>
      <c r="CK23" s="106" t="e">
        <f t="shared" si="1"/>
        <v>#N/A</v>
      </c>
      <c r="CL23" s="90" t="e">
        <f t="shared" si="2"/>
        <v>#N/A</v>
      </c>
      <c r="CM23" s="90" t="e">
        <f t="shared" si="3"/>
        <v>#N/A</v>
      </c>
      <c r="CN23" s="90" t="e">
        <f t="shared" si="4"/>
        <v>#N/A</v>
      </c>
      <c r="CO23" s="90" t="e">
        <f t="shared" si="5"/>
        <v>#N/A</v>
      </c>
      <c r="CP23" s="90" t="e">
        <f t="shared" si="6"/>
        <v>#N/A</v>
      </c>
      <c r="CQ23" s="90" t="e">
        <f t="shared" si="7"/>
        <v>#N/A</v>
      </c>
      <c r="CR23" s="90" t="e">
        <f t="shared" si="8"/>
        <v>#N/A</v>
      </c>
      <c r="CS23" s="90" t="e">
        <f t="shared" si="9"/>
        <v>#N/A</v>
      </c>
      <c r="CT23" s="113">
        <v>21</v>
      </c>
      <c r="CU23" s="50" t="e">
        <f t="shared" si="10"/>
        <v>#N/A</v>
      </c>
      <c r="CV23" s="50" t="e">
        <f t="shared" si="11"/>
        <v>#N/A</v>
      </c>
      <c r="CW23" s="50" t="e">
        <f t="shared" si="12"/>
        <v>#N/A</v>
      </c>
      <c r="CX23" s="50" t="e">
        <f t="shared" si="13"/>
        <v>#N/A</v>
      </c>
      <c r="CY23" s="50" t="e">
        <f t="shared" si="14"/>
        <v>#N/A</v>
      </c>
      <c r="CZ23" s="50" t="e">
        <f t="shared" si="15"/>
        <v>#N/A</v>
      </c>
      <c r="DA23" s="50" t="e">
        <f t="shared" si="16"/>
        <v>#N/A</v>
      </c>
      <c r="DB23" s="50" t="e">
        <f t="shared" si="17"/>
        <v>#N/A</v>
      </c>
      <c r="DC23" s="50" t="e">
        <f t="shared" si="18"/>
        <v>#N/A</v>
      </c>
      <c r="DD23" s="50">
        <f t="shared" si="19"/>
        <v>0</v>
      </c>
      <c r="DE23" s="50" t="e">
        <f>IF(DD23=0,NA(),SUM($DD$3:DD23))</f>
        <v>#N/A</v>
      </c>
    </row>
    <row r="24" spans="1:109" ht="12" customHeight="1" x14ac:dyDescent="0.2">
      <c r="A24" s="180"/>
      <c r="B24" s="181" t="str">
        <f t="shared" si="25"/>
        <v/>
      </c>
      <c r="C24" s="838" t="str">
        <f t="shared" si="26"/>
        <v/>
      </c>
      <c r="D24" s="182" t="str">
        <f t="shared" si="27"/>
        <v/>
      </c>
      <c r="E24" s="183">
        <v>18</v>
      </c>
      <c r="F24" s="396"/>
      <c r="G24" s="813"/>
      <c r="H24" s="186"/>
      <c r="I24" s="187"/>
      <c r="J24" s="195" t="s">
        <v>339</v>
      </c>
      <c r="K24" s="816" t="str">
        <f t="shared" si="43"/>
        <v/>
      </c>
      <c r="L24" s="790" t="s">
        <v>261</v>
      </c>
      <c r="M24" s="816" t="str">
        <f t="shared" si="44"/>
        <v/>
      </c>
      <c r="N24" s="198" t="s">
        <v>259</v>
      </c>
      <c r="O24" s="192"/>
      <c r="P24" s="193" t="str">
        <f t="shared" si="28"/>
        <v/>
      </c>
      <c r="Q24" s="194"/>
      <c r="R24" s="169">
        <f t="shared" si="23"/>
        <v>9.5E-4</v>
      </c>
      <c r="S24" s="170"/>
      <c r="T24" s="170"/>
      <c r="U24" s="170"/>
      <c r="V24" s="170"/>
      <c r="W24" s="170"/>
      <c r="X24" s="170"/>
      <c r="Y24" s="171">
        <f t="shared" si="24"/>
        <v>9.5E-4</v>
      </c>
      <c r="Z24" s="823" t="str">
        <f t="shared" si="45"/>
        <v/>
      </c>
      <c r="AA24" s="824" t="str">
        <f t="shared" si="46"/>
        <v/>
      </c>
      <c r="AB24" s="825" t="str">
        <f t="shared" si="47"/>
        <v/>
      </c>
      <c r="AC24" s="176"/>
      <c r="AD24" s="176"/>
      <c r="AE24" s="176"/>
      <c r="AF24" s="176"/>
      <c r="AG24" s="176"/>
      <c r="AI24" s="1">
        <f t="shared" si="21"/>
        <v>9.5E-4</v>
      </c>
      <c r="AR24" s="91">
        <f t="shared" si="22"/>
        <v>9.5E-4</v>
      </c>
      <c r="BI24" s="90" t="str">
        <f t="shared" si="29"/>
        <v/>
      </c>
      <c r="BJ24" s="90" t="str">
        <f t="shared" si="48"/>
        <v/>
      </c>
      <c r="BK24" s="199" t="b">
        <v>1</v>
      </c>
      <c r="BL24" s="50">
        <v>18</v>
      </c>
      <c r="BM24" s="200" t="b">
        <f t="shared" si="30"/>
        <v>0</v>
      </c>
      <c r="BN24" s="90" t="str">
        <f t="shared" si="31"/>
        <v/>
      </c>
      <c r="BO24" s="127"/>
      <c r="BP24" s="201" t="str">
        <f t="shared" si="49"/>
        <v/>
      </c>
      <c r="BQ24" s="90" t="e">
        <f t="shared" si="32"/>
        <v>#N/A</v>
      </c>
      <c r="BR24" s="201" t="e">
        <f t="shared" si="33"/>
        <v>#N/A</v>
      </c>
      <c r="BS24" s="90"/>
      <c r="BT24" s="90" t="str">
        <f t="shared" si="34"/>
        <v/>
      </c>
      <c r="BU24" s="90" t="str">
        <f t="shared" si="35"/>
        <v/>
      </c>
      <c r="BV24" s="90" t="str">
        <f t="shared" si="50"/>
        <v/>
      </c>
      <c r="BW24" s="90" t="str">
        <f t="shared" si="51"/>
        <v/>
      </c>
      <c r="BX24" s="102" t="e">
        <f t="shared" si="36"/>
        <v>#N/A</v>
      </c>
      <c r="BY24" s="102" t="e">
        <f t="shared" si="37"/>
        <v>#N/A</v>
      </c>
      <c r="BZ24" s="90" t="str">
        <f t="shared" si="52"/>
        <v/>
      </c>
      <c r="CA24" s="90" t="str">
        <f t="shared" si="38"/>
        <v/>
      </c>
      <c r="CB24" s="90"/>
      <c r="CC24" s="90" t="str">
        <f t="shared" si="53"/>
        <v/>
      </c>
      <c r="CD24" s="90" t="str">
        <f t="shared" si="54"/>
        <v/>
      </c>
      <c r="CE24" s="90" t="str">
        <f t="shared" si="55"/>
        <v/>
      </c>
      <c r="CF24" s="90" t="str">
        <f t="shared" si="39"/>
        <v/>
      </c>
      <c r="CG24" s="90" t="str">
        <f t="shared" si="40"/>
        <v/>
      </c>
      <c r="CH24" s="90" t="str">
        <f t="shared" si="56"/>
        <v/>
      </c>
      <c r="CI24" s="90" t="e">
        <f t="shared" si="41"/>
        <v>#N/A</v>
      </c>
      <c r="CJ24" s="113" t="e">
        <f t="shared" si="42"/>
        <v>#N/A</v>
      </c>
      <c r="CK24" s="106" t="e">
        <f t="shared" si="1"/>
        <v>#N/A</v>
      </c>
      <c r="CL24" s="90" t="e">
        <f t="shared" si="2"/>
        <v>#N/A</v>
      </c>
      <c r="CM24" s="90" t="e">
        <f t="shared" si="3"/>
        <v>#N/A</v>
      </c>
      <c r="CN24" s="90" t="e">
        <f t="shared" si="4"/>
        <v>#N/A</v>
      </c>
      <c r="CO24" s="90" t="e">
        <f t="shared" si="5"/>
        <v>#N/A</v>
      </c>
      <c r="CP24" s="90" t="e">
        <f t="shared" si="6"/>
        <v>#N/A</v>
      </c>
      <c r="CQ24" s="90" t="e">
        <f t="shared" si="7"/>
        <v>#N/A</v>
      </c>
      <c r="CR24" s="90" t="e">
        <f t="shared" si="8"/>
        <v>#N/A</v>
      </c>
      <c r="CS24" s="90" t="e">
        <f t="shared" si="9"/>
        <v>#N/A</v>
      </c>
      <c r="CT24" s="113">
        <v>22</v>
      </c>
      <c r="CU24" s="50" t="e">
        <f t="shared" si="10"/>
        <v>#N/A</v>
      </c>
      <c r="CV24" s="50" t="e">
        <f t="shared" si="11"/>
        <v>#N/A</v>
      </c>
      <c r="CW24" s="50" t="e">
        <f t="shared" si="12"/>
        <v>#N/A</v>
      </c>
      <c r="CX24" s="50" t="e">
        <f t="shared" si="13"/>
        <v>#N/A</v>
      </c>
      <c r="CY24" s="50" t="e">
        <f t="shared" si="14"/>
        <v>#N/A</v>
      </c>
      <c r="CZ24" s="50" t="e">
        <f t="shared" si="15"/>
        <v>#N/A</v>
      </c>
      <c r="DA24" s="50" t="e">
        <f t="shared" si="16"/>
        <v>#N/A</v>
      </c>
      <c r="DB24" s="50" t="e">
        <f t="shared" si="17"/>
        <v>#N/A</v>
      </c>
      <c r="DC24" s="50" t="e">
        <f t="shared" si="18"/>
        <v>#N/A</v>
      </c>
      <c r="DD24" s="50">
        <f t="shared" si="19"/>
        <v>0</v>
      </c>
      <c r="DE24" s="50" t="e">
        <f>IF(DD24=0,NA(),SUM($DD$3:DD24))</f>
        <v>#N/A</v>
      </c>
    </row>
    <row r="25" spans="1:109" ht="12" customHeight="1" x14ac:dyDescent="0.2">
      <c r="A25" s="180"/>
      <c r="B25" s="181" t="str">
        <f t="shared" si="25"/>
        <v/>
      </c>
      <c r="C25" s="838" t="str">
        <f t="shared" si="26"/>
        <v/>
      </c>
      <c r="D25" s="182" t="str">
        <f t="shared" si="27"/>
        <v/>
      </c>
      <c r="E25" s="183">
        <v>19</v>
      </c>
      <c r="F25" s="396"/>
      <c r="G25" s="813"/>
      <c r="H25" s="186"/>
      <c r="I25" s="187"/>
      <c r="J25" s="195" t="s">
        <v>339</v>
      </c>
      <c r="K25" s="816" t="str">
        <f t="shared" si="43"/>
        <v/>
      </c>
      <c r="L25" s="790" t="s">
        <v>261</v>
      </c>
      <c r="M25" s="816" t="str">
        <f t="shared" si="44"/>
        <v/>
      </c>
      <c r="N25" s="198" t="s">
        <v>259</v>
      </c>
      <c r="O25" s="192"/>
      <c r="P25" s="193" t="str">
        <f t="shared" si="28"/>
        <v/>
      </c>
      <c r="Q25" s="194"/>
      <c r="R25" s="169">
        <f t="shared" si="23"/>
        <v>9.5E-4</v>
      </c>
      <c r="S25" s="170"/>
      <c r="T25" s="170"/>
      <c r="U25" s="170"/>
      <c r="V25" s="170"/>
      <c r="W25" s="170"/>
      <c r="X25" s="170"/>
      <c r="Y25" s="171">
        <f t="shared" si="24"/>
        <v>9.5E-4</v>
      </c>
      <c r="Z25" s="823" t="str">
        <f t="shared" si="45"/>
        <v/>
      </c>
      <c r="AA25" s="824" t="str">
        <f t="shared" si="46"/>
        <v/>
      </c>
      <c r="AB25" s="825" t="str">
        <f t="shared" si="47"/>
        <v/>
      </c>
      <c r="AC25" s="176"/>
      <c r="AD25" s="176"/>
      <c r="AE25" s="176"/>
      <c r="AF25" s="176"/>
      <c r="AG25" s="176"/>
      <c r="AI25" s="1">
        <f t="shared" si="21"/>
        <v>9.5E-4</v>
      </c>
      <c r="AR25" s="91">
        <f t="shared" si="22"/>
        <v>9.5E-4</v>
      </c>
      <c r="BI25" s="90" t="str">
        <f t="shared" si="29"/>
        <v/>
      </c>
      <c r="BJ25" s="90" t="str">
        <f t="shared" si="48"/>
        <v/>
      </c>
      <c r="BK25" s="199" t="b">
        <v>1</v>
      </c>
      <c r="BL25" s="50">
        <v>19</v>
      </c>
      <c r="BM25" s="200" t="b">
        <f t="shared" si="30"/>
        <v>0</v>
      </c>
      <c r="BN25" s="90" t="str">
        <f t="shared" si="31"/>
        <v/>
      </c>
      <c r="BO25" s="127"/>
      <c r="BP25" s="201" t="str">
        <f t="shared" si="49"/>
        <v/>
      </c>
      <c r="BQ25" s="90" t="e">
        <f t="shared" si="32"/>
        <v>#N/A</v>
      </c>
      <c r="BR25" s="201" t="e">
        <f t="shared" si="33"/>
        <v>#N/A</v>
      </c>
      <c r="BS25" s="90"/>
      <c r="BT25" s="90" t="str">
        <f t="shared" si="34"/>
        <v/>
      </c>
      <c r="BU25" s="90" t="str">
        <f t="shared" si="35"/>
        <v/>
      </c>
      <c r="BV25" s="90" t="str">
        <f t="shared" si="50"/>
        <v/>
      </c>
      <c r="BW25" s="90" t="str">
        <f t="shared" si="51"/>
        <v/>
      </c>
      <c r="BX25" s="102" t="e">
        <f t="shared" si="36"/>
        <v>#N/A</v>
      </c>
      <c r="BY25" s="102" t="e">
        <f t="shared" si="37"/>
        <v>#N/A</v>
      </c>
      <c r="BZ25" s="90" t="str">
        <f t="shared" si="52"/>
        <v/>
      </c>
      <c r="CA25" s="90" t="str">
        <f t="shared" si="38"/>
        <v/>
      </c>
      <c r="CB25" s="90"/>
      <c r="CC25" s="90" t="str">
        <f t="shared" si="53"/>
        <v/>
      </c>
      <c r="CD25" s="90" t="str">
        <f t="shared" si="54"/>
        <v/>
      </c>
      <c r="CE25" s="90" t="str">
        <f t="shared" si="55"/>
        <v/>
      </c>
      <c r="CF25" s="90" t="str">
        <f t="shared" si="39"/>
        <v/>
      </c>
      <c r="CG25" s="90" t="str">
        <f t="shared" si="40"/>
        <v/>
      </c>
      <c r="CH25" s="90" t="str">
        <f t="shared" si="56"/>
        <v/>
      </c>
      <c r="CI25" s="90" t="e">
        <f t="shared" si="41"/>
        <v>#N/A</v>
      </c>
      <c r="CJ25" s="113" t="e">
        <f t="shared" si="42"/>
        <v>#N/A</v>
      </c>
      <c r="CK25" s="106" t="e">
        <f t="shared" si="1"/>
        <v>#N/A</v>
      </c>
      <c r="CL25" s="90" t="e">
        <f t="shared" si="2"/>
        <v>#N/A</v>
      </c>
      <c r="CM25" s="90" t="e">
        <f t="shared" si="3"/>
        <v>#N/A</v>
      </c>
      <c r="CN25" s="90" t="e">
        <f t="shared" si="4"/>
        <v>#N/A</v>
      </c>
      <c r="CO25" s="90" t="e">
        <f t="shared" si="5"/>
        <v>#N/A</v>
      </c>
      <c r="CP25" s="90" t="e">
        <f t="shared" si="6"/>
        <v>#N/A</v>
      </c>
      <c r="CQ25" s="90" t="e">
        <f t="shared" si="7"/>
        <v>#N/A</v>
      </c>
      <c r="CR25" s="90" t="e">
        <f t="shared" si="8"/>
        <v>#N/A</v>
      </c>
      <c r="CS25" s="90" t="e">
        <f t="shared" si="9"/>
        <v>#N/A</v>
      </c>
      <c r="CT25" s="113">
        <v>23</v>
      </c>
      <c r="CU25" s="50" t="e">
        <f t="shared" si="10"/>
        <v>#N/A</v>
      </c>
      <c r="CV25" s="50" t="e">
        <f t="shared" si="11"/>
        <v>#N/A</v>
      </c>
      <c r="CW25" s="50" t="e">
        <f t="shared" si="12"/>
        <v>#N/A</v>
      </c>
      <c r="CX25" s="50" t="e">
        <f t="shared" si="13"/>
        <v>#N/A</v>
      </c>
      <c r="CY25" s="50" t="e">
        <f t="shared" si="14"/>
        <v>#N/A</v>
      </c>
      <c r="CZ25" s="50" t="e">
        <f t="shared" si="15"/>
        <v>#N/A</v>
      </c>
      <c r="DA25" s="50" t="e">
        <f t="shared" si="16"/>
        <v>#N/A</v>
      </c>
      <c r="DB25" s="50" t="e">
        <f t="shared" si="17"/>
        <v>#N/A</v>
      </c>
      <c r="DC25" s="50" t="e">
        <f t="shared" si="18"/>
        <v>#N/A</v>
      </c>
      <c r="DD25" s="50">
        <f t="shared" si="19"/>
        <v>0</v>
      </c>
      <c r="DE25" s="50" t="e">
        <f>IF(DD25=0,NA(),SUM($DD$3:DD25))</f>
        <v>#N/A</v>
      </c>
    </row>
    <row r="26" spans="1:109" ht="12" customHeight="1" thickBot="1" x14ac:dyDescent="0.25">
      <c r="A26" s="79"/>
      <c r="B26" s="181" t="str">
        <f t="shared" si="25"/>
        <v/>
      </c>
      <c r="C26" s="838" t="str">
        <f t="shared" si="26"/>
        <v/>
      </c>
      <c r="D26" s="182" t="str">
        <f t="shared" si="27"/>
        <v/>
      </c>
      <c r="E26" s="204">
        <v>20</v>
      </c>
      <c r="F26" s="396"/>
      <c r="G26" s="813"/>
      <c r="H26" s="186"/>
      <c r="I26" s="187"/>
      <c r="J26" s="195" t="s">
        <v>339</v>
      </c>
      <c r="K26" s="816" t="str">
        <f t="shared" si="43"/>
        <v/>
      </c>
      <c r="L26" s="790" t="s">
        <v>261</v>
      </c>
      <c r="M26" s="816" t="str">
        <f t="shared" si="44"/>
        <v/>
      </c>
      <c r="N26" s="198" t="s">
        <v>259</v>
      </c>
      <c r="O26" s="192"/>
      <c r="P26" s="193" t="str">
        <f t="shared" si="28"/>
        <v/>
      </c>
      <c r="Q26" s="205"/>
      <c r="R26" s="169">
        <f t="shared" si="23"/>
        <v>9.5E-4</v>
      </c>
      <c r="S26" s="170"/>
      <c r="T26" s="170"/>
      <c r="U26" s="170"/>
      <c r="V26" s="170"/>
      <c r="W26" s="170"/>
      <c r="X26" s="170"/>
      <c r="Y26" s="171">
        <f t="shared" si="24"/>
        <v>9.5E-4</v>
      </c>
      <c r="Z26" s="823" t="str">
        <f t="shared" si="45"/>
        <v/>
      </c>
      <c r="AA26" s="824" t="str">
        <f t="shared" si="46"/>
        <v/>
      </c>
      <c r="AB26" s="825" t="str">
        <f t="shared" si="47"/>
        <v/>
      </c>
      <c r="AC26" s="176"/>
      <c r="AD26" s="176"/>
      <c r="AE26" s="176"/>
      <c r="AF26" s="176"/>
      <c r="AG26" s="176"/>
      <c r="AI26" s="1">
        <f t="shared" si="21"/>
        <v>9.5E-4</v>
      </c>
      <c r="AR26" s="91">
        <f t="shared" si="22"/>
        <v>9.5E-4</v>
      </c>
      <c r="BI26" s="90" t="str">
        <f t="shared" si="29"/>
        <v/>
      </c>
      <c r="BJ26" s="90" t="str">
        <f t="shared" si="48"/>
        <v/>
      </c>
      <c r="BK26" s="199" t="b">
        <v>1</v>
      </c>
      <c r="BL26" s="50">
        <v>20</v>
      </c>
      <c r="BM26" s="200" t="b">
        <f t="shared" si="30"/>
        <v>0</v>
      </c>
      <c r="BN26" s="90" t="str">
        <f t="shared" si="31"/>
        <v/>
      </c>
      <c r="BO26" s="127"/>
      <c r="BP26" s="201" t="str">
        <f t="shared" si="49"/>
        <v/>
      </c>
      <c r="BQ26" s="90" t="e">
        <f t="shared" si="32"/>
        <v>#N/A</v>
      </c>
      <c r="BR26" s="201" t="e">
        <f t="shared" si="33"/>
        <v>#N/A</v>
      </c>
      <c r="BS26" s="90"/>
      <c r="BT26" s="90" t="str">
        <f t="shared" si="34"/>
        <v/>
      </c>
      <c r="BU26" s="90" t="str">
        <f t="shared" si="35"/>
        <v/>
      </c>
      <c r="BV26" s="90" t="str">
        <f t="shared" si="50"/>
        <v/>
      </c>
      <c r="BW26" s="90" t="str">
        <f t="shared" si="51"/>
        <v/>
      </c>
      <c r="BX26" s="102" t="e">
        <f t="shared" si="36"/>
        <v>#N/A</v>
      </c>
      <c r="BY26" s="102" t="e">
        <f t="shared" si="37"/>
        <v>#N/A</v>
      </c>
      <c r="BZ26" s="90" t="str">
        <f t="shared" si="52"/>
        <v/>
      </c>
      <c r="CA26" s="90" t="str">
        <f t="shared" si="38"/>
        <v/>
      </c>
      <c r="CB26" s="90"/>
      <c r="CC26" s="90" t="str">
        <f t="shared" si="53"/>
        <v/>
      </c>
      <c r="CD26" s="90" t="str">
        <f t="shared" si="54"/>
        <v/>
      </c>
      <c r="CE26" s="90" t="str">
        <f t="shared" si="55"/>
        <v/>
      </c>
      <c r="CF26" s="90" t="str">
        <f t="shared" si="39"/>
        <v/>
      </c>
      <c r="CG26" s="90" t="str">
        <f t="shared" si="40"/>
        <v/>
      </c>
      <c r="CH26" s="90" t="str">
        <f t="shared" si="56"/>
        <v/>
      </c>
      <c r="CI26" s="90" t="e">
        <f t="shared" si="41"/>
        <v>#N/A</v>
      </c>
      <c r="CJ26" s="113" t="e">
        <f t="shared" si="42"/>
        <v>#N/A</v>
      </c>
      <c r="CK26" s="106" t="e">
        <f t="shared" si="1"/>
        <v>#N/A</v>
      </c>
      <c r="CL26" s="90" t="e">
        <f t="shared" si="2"/>
        <v>#N/A</v>
      </c>
      <c r="CM26" s="90" t="e">
        <f t="shared" si="3"/>
        <v>#N/A</v>
      </c>
      <c r="CN26" s="90" t="e">
        <f t="shared" si="4"/>
        <v>#N/A</v>
      </c>
      <c r="CO26" s="90" t="e">
        <f t="shared" si="5"/>
        <v>#N/A</v>
      </c>
      <c r="CP26" s="90" t="e">
        <f t="shared" si="6"/>
        <v>#N/A</v>
      </c>
      <c r="CQ26" s="90" t="e">
        <f t="shared" si="7"/>
        <v>#N/A</v>
      </c>
      <c r="CR26" s="90" t="e">
        <f t="shared" si="8"/>
        <v>#N/A</v>
      </c>
      <c r="CS26" s="90" t="e">
        <f t="shared" si="9"/>
        <v>#N/A</v>
      </c>
      <c r="CT26" s="113">
        <v>24</v>
      </c>
      <c r="CU26" s="50" t="e">
        <f t="shared" si="10"/>
        <v>#N/A</v>
      </c>
      <c r="CV26" s="50" t="e">
        <f t="shared" si="11"/>
        <v>#N/A</v>
      </c>
      <c r="CW26" s="50" t="e">
        <f t="shared" si="12"/>
        <v>#N/A</v>
      </c>
      <c r="CX26" s="50" t="e">
        <f t="shared" si="13"/>
        <v>#N/A</v>
      </c>
      <c r="CY26" s="50" t="e">
        <f t="shared" si="14"/>
        <v>#N/A</v>
      </c>
      <c r="CZ26" s="50" t="e">
        <f t="shared" si="15"/>
        <v>#N/A</v>
      </c>
      <c r="DA26" s="50" t="e">
        <f t="shared" si="16"/>
        <v>#N/A</v>
      </c>
      <c r="DB26" s="50" t="e">
        <f t="shared" si="17"/>
        <v>#N/A</v>
      </c>
      <c r="DC26" s="50" t="e">
        <f t="shared" si="18"/>
        <v>#N/A</v>
      </c>
      <c r="DD26" s="50">
        <f t="shared" si="19"/>
        <v>0</v>
      </c>
      <c r="DE26" s="50" t="e">
        <f>IF(DD26=0,NA(),SUM($DD$3:DD26))</f>
        <v>#N/A</v>
      </c>
    </row>
    <row r="27" spans="1:109" ht="12" customHeight="1" thickTop="1" x14ac:dyDescent="0.2">
      <c r="A27" s="90"/>
      <c r="B27" s="181" t="str">
        <f t="shared" si="25"/>
        <v/>
      </c>
      <c r="C27" s="838" t="str">
        <f t="shared" si="26"/>
        <v/>
      </c>
      <c r="D27" s="182" t="str">
        <f t="shared" si="27"/>
        <v/>
      </c>
      <c r="E27" s="183">
        <v>21</v>
      </c>
      <c r="F27" s="396"/>
      <c r="G27" s="813"/>
      <c r="H27" s="186"/>
      <c r="I27" s="187"/>
      <c r="J27" s="195" t="s">
        <v>339</v>
      </c>
      <c r="K27" s="816" t="str">
        <f t="shared" si="43"/>
        <v/>
      </c>
      <c r="L27" s="790" t="s">
        <v>261</v>
      </c>
      <c r="M27" s="816" t="str">
        <f t="shared" si="44"/>
        <v/>
      </c>
      <c r="N27" s="198" t="s">
        <v>259</v>
      </c>
      <c r="O27" s="192"/>
      <c r="P27" s="193" t="str">
        <f t="shared" si="28"/>
        <v/>
      </c>
      <c r="Q27" s="165"/>
      <c r="R27" s="169">
        <f t="shared" si="23"/>
        <v>9.5E-4</v>
      </c>
      <c r="S27" s="170"/>
      <c r="T27" s="170"/>
      <c r="U27" s="170"/>
      <c r="V27" s="170"/>
      <c r="W27" s="170"/>
      <c r="X27" s="170"/>
      <c r="Y27" s="171">
        <f t="shared" si="24"/>
        <v>9.5E-4</v>
      </c>
      <c r="Z27" s="823" t="str">
        <f t="shared" si="45"/>
        <v/>
      </c>
      <c r="AA27" s="824" t="str">
        <f t="shared" si="46"/>
        <v/>
      </c>
      <c r="AB27" s="825" t="str">
        <f t="shared" si="47"/>
        <v/>
      </c>
      <c r="AC27" s="176"/>
      <c r="AD27" s="176"/>
      <c r="AE27" s="176"/>
      <c r="AF27" s="176"/>
      <c r="AG27" s="176"/>
      <c r="AI27" s="1"/>
      <c r="AR27" s="91"/>
      <c r="BI27" s="90" t="str">
        <f t="shared" si="29"/>
        <v/>
      </c>
      <c r="BJ27" s="90" t="str">
        <f t="shared" si="48"/>
        <v/>
      </c>
      <c r="BK27" s="199" t="b">
        <v>1</v>
      </c>
      <c r="BL27" s="50">
        <v>21</v>
      </c>
      <c r="BM27" s="200" t="b">
        <f t="shared" si="30"/>
        <v>0</v>
      </c>
      <c r="BN27" s="90" t="str">
        <f t="shared" si="31"/>
        <v/>
      </c>
      <c r="BO27" s="127"/>
      <c r="BP27" s="201" t="str">
        <f t="shared" si="49"/>
        <v/>
      </c>
      <c r="BQ27" s="90" t="e">
        <f t="shared" si="32"/>
        <v>#N/A</v>
      </c>
      <c r="BR27" s="201" t="e">
        <f t="shared" si="33"/>
        <v>#N/A</v>
      </c>
      <c r="BS27" s="90"/>
      <c r="BT27" s="90" t="str">
        <f t="shared" si="34"/>
        <v/>
      </c>
      <c r="BU27" s="90" t="str">
        <f t="shared" si="35"/>
        <v/>
      </c>
      <c r="BV27" s="90" t="str">
        <f t="shared" si="50"/>
        <v/>
      </c>
      <c r="BW27" s="90" t="str">
        <f t="shared" si="51"/>
        <v/>
      </c>
      <c r="BX27" s="102" t="e">
        <f t="shared" si="36"/>
        <v>#N/A</v>
      </c>
      <c r="BY27" s="102" t="e">
        <f t="shared" si="37"/>
        <v>#N/A</v>
      </c>
      <c r="BZ27" s="90" t="str">
        <f t="shared" si="52"/>
        <v/>
      </c>
      <c r="CA27" s="90" t="str">
        <f t="shared" si="38"/>
        <v/>
      </c>
      <c r="CB27" s="90"/>
      <c r="CC27" s="90" t="str">
        <f t="shared" si="53"/>
        <v/>
      </c>
      <c r="CD27" s="90" t="str">
        <f t="shared" si="54"/>
        <v/>
      </c>
      <c r="CE27" s="90" t="str">
        <f t="shared" si="55"/>
        <v/>
      </c>
      <c r="CF27" s="90" t="str">
        <f t="shared" si="39"/>
        <v/>
      </c>
      <c r="CG27" s="90" t="str">
        <f t="shared" si="40"/>
        <v/>
      </c>
      <c r="CH27" s="90" t="str">
        <f t="shared" si="56"/>
        <v/>
      </c>
      <c r="CI27" s="90" t="e">
        <f t="shared" si="41"/>
        <v>#N/A</v>
      </c>
      <c r="CJ27" s="113" t="e">
        <f t="shared" si="42"/>
        <v>#N/A</v>
      </c>
      <c r="CK27" s="106" t="e">
        <f t="shared" si="1"/>
        <v>#N/A</v>
      </c>
      <c r="CL27" s="90" t="e">
        <f t="shared" si="2"/>
        <v>#N/A</v>
      </c>
      <c r="CM27" s="90" t="e">
        <f t="shared" si="3"/>
        <v>#N/A</v>
      </c>
      <c r="CN27" s="90" t="e">
        <f t="shared" si="4"/>
        <v>#N/A</v>
      </c>
      <c r="CO27" s="90" t="e">
        <f t="shared" si="5"/>
        <v>#N/A</v>
      </c>
      <c r="CP27" s="90" t="e">
        <f t="shared" si="6"/>
        <v>#N/A</v>
      </c>
      <c r="CQ27" s="90" t="e">
        <f t="shared" si="7"/>
        <v>#N/A</v>
      </c>
      <c r="CR27" s="90" t="e">
        <f t="shared" si="8"/>
        <v>#N/A</v>
      </c>
      <c r="CS27" s="90" t="e">
        <f t="shared" si="9"/>
        <v>#N/A</v>
      </c>
      <c r="CT27" s="113">
        <v>25</v>
      </c>
      <c r="CU27" s="50" t="e">
        <f t="shared" si="10"/>
        <v>#N/A</v>
      </c>
      <c r="CV27" s="50" t="e">
        <f t="shared" si="11"/>
        <v>#N/A</v>
      </c>
      <c r="CW27" s="50" t="e">
        <f t="shared" si="12"/>
        <v>#N/A</v>
      </c>
      <c r="CX27" s="50" t="e">
        <f t="shared" si="13"/>
        <v>#N/A</v>
      </c>
      <c r="CY27" s="50" t="e">
        <f t="shared" si="14"/>
        <v>#N/A</v>
      </c>
      <c r="CZ27" s="50" t="e">
        <f t="shared" si="15"/>
        <v>#N/A</v>
      </c>
      <c r="DA27" s="50" t="e">
        <f t="shared" si="16"/>
        <v>#N/A</v>
      </c>
      <c r="DB27" s="50" t="e">
        <f t="shared" si="17"/>
        <v>#N/A</v>
      </c>
      <c r="DC27" s="50" t="e">
        <f t="shared" si="18"/>
        <v>#N/A</v>
      </c>
      <c r="DD27" s="50">
        <f t="shared" si="19"/>
        <v>0</v>
      </c>
      <c r="DE27" s="50" t="e">
        <f>IF(DD27=0,NA(),SUM($DD$3:DD27))</f>
        <v>#N/A</v>
      </c>
    </row>
    <row r="28" spans="1:109" ht="12" customHeight="1" x14ac:dyDescent="0.2">
      <c r="A28" s="90"/>
      <c r="B28" s="181" t="str">
        <f t="shared" si="25"/>
        <v/>
      </c>
      <c r="C28" s="838" t="str">
        <f t="shared" si="26"/>
        <v/>
      </c>
      <c r="D28" s="182" t="str">
        <f t="shared" si="27"/>
        <v/>
      </c>
      <c r="E28" s="204">
        <v>22</v>
      </c>
      <c r="F28" s="396"/>
      <c r="G28" s="813"/>
      <c r="H28" s="186"/>
      <c r="I28" s="187"/>
      <c r="J28" s="195" t="s">
        <v>339</v>
      </c>
      <c r="K28" s="816" t="str">
        <f t="shared" si="43"/>
        <v/>
      </c>
      <c r="L28" s="790" t="s">
        <v>261</v>
      </c>
      <c r="M28" s="816" t="str">
        <f t="shared" si="44"/>
        <v/>
      </c>
      <c r="N28" s="198" t="s">
        <v>259</v>
      </c>
      <c r="O28" s="192"/>
      <c r="P28" s="193" t="str">
        <f t="shared" si="28"/>
        <v/>
      </c>
      <c r="Q28" s="165"/>
      <c r="R28" s="169">
        <f t="shared" si="23"/>
        <v>9.5E-4</v>
      </c>
      <c r="S28" s="170"/>
      <c r="T28" s="170"/>
      <c r="U28" s="170"/>
      <c r="V28" s="170"/>
      <c r="W28" s="170"/>
      <c r="X28" s="170"/>
      <c r="Y28" s="171">
        <f t="shared" si="24"/>
        <v>9.5E-4</v>
      </c>
      <c r="Z28" s="823" t="str">
        <f t="shared" si="45"/>
        <v/>
      </c>
      <c r="AA28" s="824" t="str">
        <f t="shared" si="46"/>
        <v/>
      </c>
      <c r="AB28" s="825" t="str">
        <f t="shared" si="47"/>
        <v/>
      </c>
      <c r="AC28" s="176"/>
      <c r="AD28" s="176"/>
      <c r="AE28" s="176"/>
      <c r="AF28" s="176"/>
      <c r="AG28" s="176"/>
      <c r="AI28" s="1"/>
      <c r="AR28" s="91"/>
      <c r="BI28" s="90" t="str">
        <f t="shared" si="29"/>
        <v/>
      </c>
      <c r="BJ28" s="90" t="str">
        <f t="shared" si="48"/>
        <v/>
      </c>
      <c r="BK28" s="199" t="b">
        <v>1</v>
      </c>
      <c r="BL28" s="50">
        <v>22</v>
      </c>
      <c r="BM28" s="200" t="b">
        <f t="shared" si="30"/>
        <v>0</v>
      </c>
      <c r="BN28" s="90" t="str">
        <f t="shared" si="31"/>
        <v/>
      </c>
      <c r="BO28" s="127"/>
      <c r="BP28" s="201" t="str">
        <f t="shared" si="49"/>
        <v/>
      </c>
      <c r="BQ28" s="90" t="e">
        <f t="shared" si="32"/>
        <v>#N/A</v>
      </c>
      <c r="BR28" s="201" t="e">
        <f t="shared" si="33"/>
        <v>#N/A</v>
      </c>
      <c r="BS28" s="90"/>
      <c r="BT28" s="90" t="str">
        <f t="shared" si="34"/>
        <v/>
      </c>
      <c r="BU28" s="90" t="str">
        <f t="shared" si="35"/>
        <v/>
      </c>
      <c r="BV28" s="90" t="str">
        <f t="shared" si="50"/>
        <v/>
      </c>
      <c r="BW28" s="90" t="str">
        <f t="shared" si="51"/>
        <v/>
      </c>
      <c r="BX28" s="102" t="e">
        <f t="shared" si="36"/>
        <v>#N/A</v>
      </c>
      <c r="BY28" s="102" t="e">
        <f t="shared" si="37"/>
        <v>#N/A</v>
      </c>
      <c r="BZ28" s="90" t="str">
        <f t="shared" si="52"/>
        <v/>
      </c>
      <c r="CA28" s="90" t="str">
        <f t="shared" si="38"/>
        <v/>
      </c>
      <c r="CB28" s="90"/>
      <c r="CC28" s="90" t="str">
        <f t="shared" si="53"/>
        <v/>
      </c>
      <c r="CD28" s="90" t="str">
        <f t="shared" si="54"/>
        <v/>
      </c>
      <c r="CE28" s="90" t="str">
        <f t="shared" si="55"/>
        <v/>
      </c>
      <c r="CF28" s="90" t="str">
        <f t="shared" si="39"/>
        <v/>
      </c>
      <c r="CG28" s="90" t="str">
        <f t="shared" si="40"/>
        <v/>
      </c>
      <c r="CH28" s="90" t="str">
        <f t="shared" si="56"/>
        <v/>
      </c>
      <c r="CI28" s="90" t="e">
        <f t="shared" si="41"/>
        <v>#N/A</v>
      </c>
      <c r="CJ28" s="113" t="e">
        <f t="shared" si="42"/>
        <v>#N/A</v>
      </c>
      <c r="CK28" s="106" t="e">
        <f t="shared" si="1"/>
        <v>#N/A</v>
      </c>
      <c r="CL28" s="90" t="e">
        <f t="shared" si="2"/>
        <v>#N/A</v>
      </c>
      <c r="CM28" s="90" t="e">
        <f t="shared" si="3"/>
        <v>#N/A</v>
      </c>
      <c r="CN28" s="90" t="e">
        <f t="shared" si="4"/>
        <v>#N/A</v>
      </c>
      <c r="CO28" s="90" t="e">
        <f t="shared" si="5"/>
        <v>#N/A</v>
      </c>
      <c r="CP28" s="90" t="e">
        <f t="shared" si="6"/>
        <v>#N/A</v>
      </c>
      <c r="CQ28" s="90" t="e">
        <f t="shared" si="7"/>
        <v>#N/A</v>
      </c>
      <c r="CR28" s="90" t="e">
        <f t="shared" si="8"/>
        <v>#N/A</v>
      </c>
      <c r="CS28" s="90" t="e">
        <f t="shared" si="9"/>
        <v>#N/A</v>
      </c>
      <c r="CT28" s="113">
        <v>26</v>
      </c>
      <c r="CU28" s="50" t="e">
        <f t="shared" si="10"/>
        <v>#N/A</v>
      </c>
      <c r="CV28" s="50" t="e">
        <f t="shared" si="11"/>
        <v>#N/A</v>
      </c>
      <c r="CW28" s="50" t="e">
        <f t="shared" si="12"/>
        <v>#N/A</v>
      </c>
      <c r="CX28" s="50" t="e">
        <f t="shared" si="13"/>
        <v>#N/A</v>
      </c>
      <c r="CY28" s="50" t="e">
        <f t="shared" si="14"/>
        <v>#N/A</v>
      </c>
      <c r="CZ28" s="50" t="e">
        <f t="shared" si="15"/>
        <v>#N/A</v>
      </c>
      <c r="DA28" s="50" t="e">
        <f t="shared" si="16"/>
        <v>#N/A</v>
      </c>
      <c r="DB28" s="50" t="e">
        <f t="shared" si="17"/>
        <v>#N/A</v>
      </c>
      <c r="DC28" s="50" t="e">
        <f t="shared" si="18"/>
        <v>#N/A</v>
      </c>
      <c r="DD28" s="50">
        <f t="shared" si="19"/>
        <v>0</v>
      </c>
      <c r="DE28" s="50" t="e">
        <f>IF(DD28=0,NA(),SUM($DD$3:DD28))</f>
        <v>#N/A</v>
      </c>
    </row>
    <row r="29" spans="1:109" ht="12" customHeight="1" x14ac:dyDescent="0.2">
      <c r="A29" s="90"/>
      <c r="B29" s="181" t="str">
        <f t="shared" si="25"/>
        <v/>
      </c>
      <c r="C29" s="838" t="str">
        <f t="shared" si="26"/>
        <v/>
      </c>
      <c r="D29" s="182" t="str">
        <f t="shared" si="27"/>
        <v/>
      </c>
      <c r="E29" s="183">
        <v>23</v>
      </c>
      <c r="F29" s="396"/>
      <c r="G29" s="813"/>
      <c r="H29" s="186"/>
      <c r="I29" s="187"/>
      <c r="J29" s="195" t="s">
        <v>339</v>
      </c>
      <c r="K29" s="816" t="str">
        <f t="shared" si="43"/>
        <v/>
      </c>
      <c r="L29" s="790" t="s">
        <v>261</v>
      </c>
      <c r="M29" s="816" t="str">
        <f t="shared" si="44"/>
        <v/>
      </c>
      <c r="N29" s="198" t="s">
        <v>259</v>
      </c>
      <c r="O29" s="192"/>
      <c r="P29" s="193" t="str">
        <f t="shared" si="28"/>
        <v/>
      </c>
      <c r="Q29" s="165"/>
      <c r="R29" s="169">
        <f t="shared" si="23"/>
        <v>9.5E-4</v>
      </c>
      <c r="S29" s="170"/>
      <c r="T29" s="170"/>
      <c r="U29" s="170"/>
      <c r="V29" s="170"/>
      <c r="W29" s="170"/>
      <c r="X29" s="170"/>
      <c r="Y29" s="171">
        <f t="shared" si="24"/>
        <v>9.5E-4</v>
      </c>
      <c r="Z29" s="823" t="str">
        <f t="shared" si="45"/>
        <v/>
      </c>
      <c r="AA29" s="824" t="str">
        <f t="shared" si="46"/>
        <v/>
      </c>
      <c r="AB29" s="825" t="str">
        <f t="shared" si="47"/>
        <v/>
      </c>
      <c r="AC29" s="176"/>
      <c r="AD29" s="176"/>
      <c r="AE29" s="176"/>
      <c r="AF29" s="176"/>
      <c r="AG29" s="176"/>
      <c r="AI29" s="1"/>
      <c r="AR29" s="91"/>
      <c r="BI29" s="90" t="str">
        <f t="shared" si="29"/>
        <v/>
      </c>
      <c r="BJ29" s="90" t="str">
        <f t="shared" si="48"/>
        <v/>
      </c>
      <c r="BK29" s="199" t="b">
        <v>1</v>
      </c>
      <c r="BL29" s="50">
        <v>23</v>
      </c>
      <c r="BM29" s="200" t="b">
        <f t="shared" si="30"/>
        <v>0</v>
      </c>
      <c r="BN29" s="90" t="str">
        <f t="shared" si="31"/>
        <v/>
      </c>
      <c r="BO29" s="127"/>
      <c r="BP29" s="201" t="str">
        <f t="shared" si="49"/>
        <v/>
      </c>
      <c r="BQ29" s="90" t="e">
        <f t="shared" si="32"/>
        <v>#N/A</v>
      </c>
      <c r="BR29" s="201" t="e">
        <f t="shared" si="33"/>
        <v>#N/A</v>
      </c>
      <c r="BS29" s="90"/>
      <c r="BT29" s="90" t="str">
        <f t="shared" si="34"/>
        <v/>
      </c>
      <c r="BU29" s="90" t="str">
        <f t="shared" si="35"/>
        <v/>
      </c>
      <c r="BV29" s="90" t="str">
        <f t="shared" si="50"/>
        <v/>
      </c>
      <c r="BW29" s="90" t="str">
        <f t="shared" si="51"/>
        <v/>
      </c>
      <c r="BX29" s="102" t="e">
        <f t="shared" si="36"/>
        <v>#N/A</v>
      </c>
      <c r="BY29" s="102" t="e">
        <f t="shared" si="37"/>
        <v>#N/A</v>
      </c>
      <c r="BZ29" s="90" t="str">
        <f t="shared" si="52"/>
        <v/>
      </c>
      <c r="CA29" s="90" t="str">
        <f t="shared" si="38"/>
        <v/>
      </c>
      <c r="CB29" s="90"/>
      <c r="CC29" s="90" t="str">
        <f t="shared" si="53"/>
        <v/>
      </c>
      <c r="CD29" s="90" t="str">
        <f t="shared" si="54"/>
        <v/>
      </c>
      <c r="CE29" s="90" t="str">
        <f t="shared" si="55"/>
        <v/>
      </c>
      <c r="CF29" s="90" t="str">
        <f t="shared" si="39"/>
        <v/>
      </c>
      <c r="CG29" s="90" t="str">
        <f t="shared" si="40"/>
        <v/>
      </c>
      <c r="CH29" s="90" t="str">
        <f t="shared" si="56"/>
        <v/>
      </c>
      <c r="CI29" s="90" t="e">
        <f t="shared" si="41"/>
        <v>#N/A</v>
      </c>
      <c r="CJ29" s="113" t="e">
        <f t="shared" si="42"/>
        <v>#N/A</v>
      </c>
      <c r="CK29" s="106" t="e">
        <f t="shared" si="1"/>
        <v>#N/A</v>
      </c>
      <c r="CL29" s="90" t="e">
        <f t="shared" si="2"/>
        <v>#N/A</v>
      </c>
      <c r="CM29" s="90" t="e">
        <f t="shared" si="3"/>
        <v>#N/A</v>
      </c>
      <c r="CN29" s="90" t="e">
        <f t="shared" si="4"/>
        <v>#N/A</v>
      </c>
      <c r="CO29" s="90" t="e">
        <f t="shared" si="5"/>
        <v>#N/A</v>
      </c>
      <c r="CP29" s="90" t="e">
        <f t="shared" si="6"/>
        <v>#N/A</v>
      </c>
      <c r="CQ29" s="90" t="e">
        <f t="shared" si="7"/>
        <v>#N/A</v>
      </c>
      <c r="CR29" s="90" t="e">
        <f t="shared" si="8"/>
        <v>#N/A</v>
      </c>
      <c r="CS29" s="90" t="e">
        <f t="shared" si="9"/>
        <v>#N/A</v>
      </c>
      <c r="CT29" s="113">
        <v>27</v>
      </c>
      <c r="CU29" s="50" t="e">
        <f t="shared" si="10"/>
        <v>#N/A</v>
      </c>
      <c r="CV29" s="50" t="e">
        <f t="shared" si="11"/>
        <v>#N/A</v>
      </c>
      <c r="CW29" s="50" t="e">
        <f t="shared" si="12"/>
        <v>#N/A</v>
      </c>
      <c r="CX29" s="50" t="e">
        <f t="shared" si="13"/>
        <v>#N/A</v>
      </c>
      <c r="CY29" s="50" t="e">
        <f t="shared" si="14"/>
        <v>#N/A</v>
      </c>
      <c r="CZ29" s="50" t="e">
        <f t="shared" si="15"/>
        <v>#N/A</v>
      </c>
      <c r="DA29" s="50" t="e">
        <f t="shared" si="16"/>
        <v>#N/A</v>
      </c>
      <c r="DB29" s="50" t="e">
        <f t="shared" si="17"/>
        <v>#N/A</v>
      </c>
      <c r="DC29" s="50" t="e">
        <f t="shared" si="18"/>
        <v>#N/A</v>
      </c>
      <c r="DD29" s="50">
        <f t="shared" si="19"/>
        <v>0</v>
      </c>
      <c r="DE29" s="50" t="e">
        <f>IF(DD29=0,NA(),SUM($DD$3:DD29))</f>
        <v>#N/A</v>
      </c>
    </row>
    <row r="30" spans="1:109" ht="12" customHeight="1" x14ac:dyDescent="0.2">
      <c r="A30" s="90"/>
      <c r="B30" s="181" t="str">
        <f t="shared" si="25"/>
        <v/>
      </c>
      <c r="C30" s="838" t="str">
        <f t="shared" si="26"/>
        <v/>
      </c>
      <c r="D30" s="182" t="str">
        <f t="shared" si="27"/>
        <v/>
      </c>
      <c r="E30" s="204">
        <v>24</v>
      </c>
      <c r="F30" s="396"/>
      <c r="G30" s="813"/>
      <c r="H30" s="186"/>
      <c r="I30" s="187"/>
      <c r="J30" s="195" t="s">
        <v>339</v>
      </c>
      <c r="K30" s="816" t="str">
        <f t="shared" si="43"/>
        <v/>
      </c>
      <c r="L30" s="790" t="s">
        <v>261</v>
      </c>
      <c r="M30" s="816" t="str">
        <f t="shared" si="44"/>
        <v/>
      </c>
      <c r="N30" s="198" t="s">
        <v>259</v>
      </c>
      <c r="O30" s="192"/>
      <c r="P30" s="193" t="str">
        <f t="shared" si="28"/>
        <v/>
      </c>
      <c r="Q30" s="165"/>
      <c r="R30" s="169">
        <f t="shared" si="23"/>
        <v>9.5E-4</v>
      </c>
      <c r="S30" s="170"/>
      <c r="T30" s="170"/>
      <c r="U30" s="170"/>
      <c r="V30" s="170"/>
      <c r="W30" s="170"/>
      <c r="X30" s="170"/>
      <c r="Y30" s="171">
        <f t="shared" si="24"/>
        <v>9.5E-4</v>
      </c>
      <c r="Z30" s="823" t="str">
        <f t="shared" si="45"/>
        <v/>
      </c>
      <c r="AA30" s="824" t="str">
        <f t="shared" si="46"/>
        <v/>
      </c>
      <c r="AB30" s="825" t="str">
        <f t="shared" si="47"/>
        <v/>
      </c>
      <c r="AC30" s="176"/>
      <c r="AD30" s="176"/>
      <c r="AE30" s="176"/>
      <c r="AF30" s="176"/>
      <c r="AG30" s="176"/>
      <c r="AN30" s="102"/>
      <c r="AO30" s="102"/>
      <c r="AP30" s="102"/>
      <c r="AQ30" s="102"/>
      <c r="AR30" s="102"/>
      <c r="AS30" s="102"/>
      <c r="AT30" s="102"/>
      <c r="AU30" s="102"/>
      <c r="AV30" s="102"/>
      <c r="AW30" s="102"/>
      <c r="AX30" s="102"/>
      <c r="AY30" s="102"/>
      <c r="AZ30" s="102"/>
      <c r="BA30" s="102"/>
      <c r="BB30" s="102"/>
      <c r="BC30" s="102"/>
      <c r="BD30" s="102"/>
      <c r="BE30" s="102"/>
      <c r="BF30" s="102"/>
      <c r="BG30" s="102"/>
      <c r="BH30" s="102"/>
      <c r="BI30" s="102" t="str">
        <f t="shared" si="29"/>
        <v/>
      </c>
      <c r="BJ30" s="90" t="str">
        <f t="shared" si="48"/>
        <v/>
      </c>
      <c r="BK30" s="199" t="b">
        <v>1</v>
      </c>
      <c r="BL30" s="50">
        <v>24</v>
      </c>
      <c r="BM30" s="200" t="b">
        <f t="shared" si="30"/>
        <v>0</v>
      </c>
      <c r="BN30" s="90" t="str">
        <f t="shared" si="31"/>
        <v/>
      </c>
      <c r="BO30" s="127"/>
      <c r="BP30" s="201" t="str">
        <f t="shared" si="49"/>
        <v/>
      </c>
      <c r="BQ30" s="90" t="e">
        <f t="shared" si="32"/>
        <v>#N/A</v>
      </c>
      <c r="BR30" s="201" t="e">
        <f t="shared" si="33"/>
        <v>#N/A</v>
      </c>
      <c r="BS30" s="90"/>
      <c r="BT30" s="90" t="str">
        <f t="shared" si="34"/>
        <v/>
      </c>
      <c r="BU30" s="90" t="str">
        <f t="shared" si="35"/>
        <v/>
      </c>
      <c r="BV30" s="90" t="str">
        <f t="shared" si="50"/>
        <v/>
      </c>
      <c r="BW30" s="90" t="str">
        <f t="shared" si="51"/>
        <v/>
      </c>
      <c r="BX30" s="102" t="e">
        <f t="shared" si="36"/>
        <v>#N/A</v>
      </c>
      <c r="BY30" s="102" t="e">
        <f t="shared" si="37"/>
        <v>#N/A</v>
      </c>
      <c r="BZ30" s="90" t="str">
        <f t="shared" si="52"/>
        <v/>
      </c>
      <c r="CA30" s="90" t="str">
        <f t="shared" si="38"/>
        <v/>
      </c>
      <c r="CB30" s="90"/>
      <c r="CC30" s="90" t="str">
        <f t="shared" si="53"/>
        <v/>
      </c>
      <c r="CD30" s="90" t="str">
        <f t="shared" si="54"/>
        <v/>
      </c>
      <c r="CE30" s="90" t="str">
        <f t="shared" si="55"/>
        <v/>
      </c>
      <c r="CF30" s="90" t="str">
        <f t="shared" si="39"/>
        <v/>
      </c>
      <c r="CG30" s="90" t="str">
        <f t="shared" si="40"/>
        <v/>
      </c>
      <c r="CH30" s="90" t="str">
        <f t="shared" si="56"/>
        <v/>
      </c>
      <c r="CI30" s="90" t="e">
        <f t="shared" si="41"/>
        <v>#N/A</v>
      </c>
      <c r="CJ30" s="113" t="e">
        <f t="shared" si="42"/>
        <v>#N/A</v>
      </c>
      <c r="CK30" s="106" t="e">
        <f t="shared" si="1"/>
        <v>#N/A</v>
      </c>
      <c r="CL30" s="90" t="e">
        <f t="shared" si="2"/>
        <v>#N/A</v>
      </c>
      <c r="CM30" s="90" t="e">
        <f t="shared" si="3"/>
        <v>#N/A</v>
      </c>
      <c r="CN30" s="90" t="e">
        <f t="shared" si="4"/>
        <v>#N/A</v>
      </c>
      <c r="CO30" s="90" t="e">
        <f t="shared" si="5"/>
        <v>#N/A</v>
      </c>
      <c r="CP30" s="90" t="e">
        <f t="shared" si="6"/>
        <v>#N/A</v>
      </c>
      <c r="CQ30" s="90" t="e">
        <f t="shared" si="7"/>
        <v>#N/A</v>
      </c>
      <c r="CR30" s="90" t="e">
        <f t="shared" si="8"/>
        <v>#N/A</v>
      </c>
      <c r="CS30" s="90" t="e">
        <f t="shared" si="9"/>
        <v>#N/A</v>
      </c>
      <c r="CT30" s="113">
        <v>28</v>
      </c>
      <c r="CU30" s="50" t="e">
        <f t="shared" si="10"/>
        <v>#N/A</v>
      </c>
      <c r="CV30" s="50" t="e">
        <f t="shared" si="11"/>
        <v>#N/A</v>
      </c>
      <c r="CW30" s="50" t="e">
        <f t="shared" si="12"/>
        <v>#N/A</v>
      </c>
      <c r="CX30" s="50" t="e">
        <f t="shared" si="13"/>
        <v>#N/A</v>
      </c>
      <c r="CY30" s="50" t="e">
        <f t="shared" si="14"/>
        <v>#N/A</v>
      </c>
      <c r="CZ30" s="50" t="e">
        <f t="shared" si="15"/>
        <v>#N/A</v>
      </c>
      <c r="DA30" s="50" t="e">
        <f t="shared" si="16"/>
        <v>#N/A</v>
      </c>
      <c r="DB30" s="50" t="e">
        <f t="shared" si="17"/>
        <v>#N/A</v>
      </c>
      <c r="DC30" s="50" t="e">
        <f t="shared" si="18"/>
        <v>#N/A</v>
      </c>
      <c r="DD30" s="50">
        <f t="shared" si="19"/>
        <v>0</v>
      </c>
      <c r="DE30" s="50" t="e">
        <f>IF(DD30=0,NA(),SUM($DD$3:DD30))</f>
        <v>#N/A</v>
      </c>
    </row>
    <row r="31" spans="1:109" ht="12" customHeight="1" x14ac:dyDescent="0.2">
      <c r="A31" s="90"/>
      <c r="B31" s="181" t="str">
        <f t="shared" si="25"/>
        <v/>
      </c>
      <c r="C31" s="838" t="str">
        <f t="shared" si="26"/>
        <v/>
      </c>
      <c r="D31" s="182" t="str">
        <f t="shared" si="27"/>
        <v/>
      </c>
      <c r="E31" s="183">
        <v>25</v>
      </c>
      <c r="F31" s="396"/>
      <c r="G31" s="813"/>
      <c r="H31" s="186"/>
      <c r="I31" s="187"/>
      <c r="J31" s="195" t="s">
        <v>339</v>
      </c>
      <c r="K31" s="816" t="str">
        <f t="shared" si="43"/>
        <v/>
      </c>
      <c r="L31" s="790" t="s">
        <v>261</v>
      </c>
      <c r="M31" s="816" t="str">
        <f t="shared" si="44"/>
        <v/>
      </c>
      <c r="N31" s="198" t="s">
        <v>259</v>
      </c>
      <c r="O31" s="192"/>
      <c r="P31" s="193" t="str">
        <f t="shared" si="28"/>
        <v/>
      </c>
      <c r="Q31" s="165"/>
      <c r="R31" s="169">
        <f t="shared" si="23"/>
        <v>9.5E-4</v>
      </c>
      <c r="S31" s="170"/>
      <c r="T31" s="170"/>
      <c r="U31" s="170"/>
      <c r="V31" s="170"/>
      <c r="W31" s="170"/>
      <c r="X31" s="170"/>
      <c r="Y31" s="171">
        <f t="shared" si="24"/>
        <v>9.5E-4</v>
      </c>
      <c r="Z31" s="823" t="str">
        <f t="shared" si="45"/>
        <v/>
      </c>
      <c r="AA31" s="824" t="str">
        <f t="shared" si="46"/>
        <v/>
      </c>
      <c r="AB31" s="825" t="str">
        <f t="shared" si="47"/>
        <v/>
      </c>
      <c r="AC31" s="176"/>
      <c r="AD31" s="176"/>
      <c r="AE31" s="176"/>
      <c r="AF31" s="176"/>
      <c r="AG31" s="176"/>
      <c r="AN31" s="206"/>
      <c r="AO31" s="206"/>
      <c r="AP31" s="206"/>
      <c r="AQ31" s="206"/>
      <c r="AR31" s="206"/>
      <c r="AS31" s="206"/>
      <c r="AT31" s="206"/>
      <c r="AU31" s="206"/>
      <c r="AV31" s="206"/>
      <c r="AW31" s="206"/>
      <c r="AX31" s="206"/>
      <c r="AY31" s="206"/>
      <c r="AZ31" s="206"/>
      <c r="BA31" s="206"/>
      <c r="BB31" s="206"/>
      <c r="BC31" s="206"/>
      <c r="BD31" s="206"/>
      <c r="BE31" s="206"/>
      <c r="BF31" s="206"/>
      <c r="BG31" s="206"/>
      <c r="BH31" s="206"/>
      <c r="BI31" s="102" t="str">
        <f t="shared" si="29"/>
        <v/>
      </c>
      <c r="BJ31" s="90" t="str">
        <f t="shared" si="48"/>
        <v/>
      </c>
      <c r="BK31" s="199" t="b">
        <v>1</v>
      </c>
      <c r="BL31" s="50">
        <v>25</v>
      </c>
      <c r="BM31" s="200" t="b">
        <f t="shared" si="30"/>
        <v>0</v>
      </c>
      <c r="BN31" s="90" t="str">
        <f t="shared" si="31"/>
        <v/>
      </c>
      <c r="BO31" s="127"/>
      <c r="BP31" s="201" t="str">
        <f t="shared" si="49"/>
        <v/>
      </c>
      <c r="BQ31" s="90" t="e">
        <f t="shared" si="32"/>
        <v>#N/A</v>
      </c>
      <c r="BR31" s="201" t="e">
        <f t="shared" si="33"/>
        <v>#N/A</v>
      </c>
      <c r="BS31" s="90"/>
      <c r="BT31" s="90" t="str">
        <f t="shared" si="34"/>
        <v/>
      </c>
      <c r="BU31" s="90" t="str">
        <f t="shared" si="35"/>
        <v/>
      </c>
      <c r="BV31" s="90" t="str">
        <f t="shared" si="50"/>
        <v/>
      </c>
      <c r="BW31" s="90" t="str">
        <f t="shared" si="51"/>
        <v/>
      </c>
      <c r="BX31" s="102" t="e">
        <f t="shared" si="36"/>
        <v>#N/A</v>
      </c>
      <c r="BY31" s="102" t="e">
        <f t="shared" si="37"/>
        <v>#N/A</v>
      </c>
      <c r="BZ31" s="90" t="str">
        <f t="shared" si="52"/>
        <v/>
      </c>
      <c r="CA31" s="90" t="str">
        <f t="shared" si="38"/>
        <v/>
      </c>
      <c r="CB31" s="90"/>
      <c r="CC31" s="90" t="str">
        <f t="shared" si="53"/>
        <v/>
      </c>
      <c r="CD31" s="90" t="str">
        <f t="shared" si="54"/>
        <v/>
      </c>
      <c r="CE31" s="90" t="str">
        <f t="shared" si="55"/>
        <v/>
      </c>
      <c r="CF31" s="90" t="str">
        <f t="shared" si="39"/>
        <v/>
      </c>
      <c r="CG31" s="90" t="str">
        <f t="shared" si="40"/>
        <v/>
      </c>
      <c r="CH31" s="90" t="str">
        <f t="shared" si="56"/>
        <v/>
      </c>
      <c r="CI31" s="90" t="e">
        <f t="shared" si="41"/>
        <v>#N/A</v>
      </c>
      <c r="CJ31" s="113" t="e">
        <f t="shared" si="42"/>
        <v>#N/A</v>
      </c>
      <c r="CK31" s="106" t="e">
        <f t="shared" si="1"/>
        <v>#N/A</v>
      </c>
      <c r="CL31" s="90" t="e">
        <f t="shared" si="2"/>
        <v>#N/A</v>
      </c>
      <c r="CM31" s="90" t="e">
        <f t="shared" si="3"/>
        <v>#N/A</v>
      </c>
      <c r="CN31" s="90" t="e">
        <f t="shared" si="4"/>
        <v>#N/A</v>
      </c>
      <c r="CO31" s="90" t="e">
        <f t="shared" si="5"/>
        <v>#N/A</v>
      </c>
      <c r="CP31" s="90" t="e">
        <f t="shared" si="6"/>
        <v>#N/A</v>
      </c>
      <c r="CQ31" s="90" t="e">
        <f t="shared" si="7"/>
        <v>#N/A</v>
      </c>
      <c r="CR31" s="90" t="e">
        <f t="shared" si="8"/>
        <v>#N/A</v>
      </c>
      <c r="CS31" s="90" t="e">
        <f t="shared" si="9"/>
        <v>#N/A</v>
      </c>
      <c r="CT31" s="113">
        <v>29</v>
      </c>
      <c r="CU31" s="50" t="e">
        <f t="shared" si="10"/>
        <v>#N/A</v>
      </c>
      <c r="CV31" s="50" t="e">
        <f t="shared" si="11"/>
        <v>#N/A</v>
      </c>
      <c r="CW31" s="50" t="e">
        <f t="shared" si="12"/>
        <v>#N/A</v>
      </c>
      <c r="CX31" s="50" t="e">
        <f t="shared" si="13"/>
        <v>#N/A</v>
      </c>
      <c r="CY31" s="50" t="e">
        <f t="shared" si="14"/>
        <v>#N/A</v>
      </c>
      <c r="CZ31" s="50" t="e">
        <f t="shared" si="15"/>
        <v>#N/A</v>
      </c>
      <c r="DA31" s="50" t="e">
        <f t="shared" si="16"/>
        <v>#N/A</v>
      </c>
      <c r="DB31" s="50" t="e">
        <f t="shared" si="17"/>
        <v>#N/A</v>
      </c>
      <c r="DC31" s="50" t="e">
        <f t="shared" si="18"/>
        <v>#N/A</v>
      </c>
      <c r="DD31" s="50">
        <f t="shared" si="19"/>
        <v>0</v>
      </c>
      <c r="DE31" s="50" t="e">
        <f>IF(DD31=0,NA(),SUM($DD$3:DD31))</f>
        <v>#N/A</v>
      </c>
    </row>
    <row r="32" spans="1:109" ht="12" customHeight="1" x14ac:dyDescent="0.2">
      <c r="A32" s="90"/>
      <c r="B32" s="181" t="str">
        <f t="shared" si="25"/>
        <v/>
      </c>
      <c r="C32" s="838" t="str">
        <f t="shared" si="26"/>
        <v/>
      </c>
      <c r="D32" s="182" t="str">
        <f t="shared" si="27"/>
        <v/>
      </c>
      <c r="E32" s="204">
        <v>26</v>
      </c>
      <c r="F32" s="396"/>
      <c r="G32" s="813"/>
      <c r="H32" s="186"/>
      <c r="I32" s="187"/>
      <c r="J32" s="195" t="s">
        <v>339</v>
      </c>
      <c r="K32" s="816" t="str">
        <f t="shared" si="43"/>
        <v/>
      </c>
      <c r="L32" s="790" t="s">
        <v>261</v>
      </c>
      <c r="M32" s="816" t="str">
        <f t="shared" si="44"/>
        <v/>
      </c>
      <c r="N32" s="198" t="s">
        <v>259</v>
      </c>
      <c r="O32" s="192"/>
      <c r="P32" s="193" t="str">
        <f t="shared" si="28"/>
        <v/>
      </c>
      <c r="Q32" s="165"/>
      <c r="R32" s="169">
        <f t="shared" si="23"/>
        <v>9.5E-4</v>
      </c>
      <c r="S32" s="170"/>
      <c r="T32" s="170"/>
      <c r="U32" s="170"/>
      <c r="V32" s="170"/>
      <c r="W32" s="170"/>
      <c r="X32" s="170"/>
      <c r="Y32" s="171">
        <f t="shared" si="24"/>
        <v>9.5E-4</v>
      </c>
      <c r="Z32" s="823" t="str">
        <f t="shared" si="45"/>
        <v/>
      </c>
      <c r="AA32" s="824" t="str">
        <f t="shared" si="46"/>
        <v/>
      </c>
      <c r="AB32" s="825" t="str">
        <f t="shared" si="47"/>
        <v/>
      </c>
      <c r="AC32" s="176"/>
      <c r="AD32" s="176"/>
      <c r="AE32" s="176"/>
      <c r="AF32" s="176"/>
      <c r="AG32" s="176"/>
      <c r="AN32" s="206"/>
      <c r="AO32" s="206"/>
      <c r="AP32" s="206"/>
      <c r="AQ32" s="206"/>
      <c r="AR32" s="206"/>
      <c r="AS32" s="206"/>
      <c r="AT32" s="206"/>
      <c r="AU32" s="206"/>
      <c r="AV32" s="206"/>
      <c r="AW32" s="206"/>
      <c r="AX32" s="206"/>
      <c r="AY32" s="206"/>
      <c r="AZ32" s="206"/>
      <c r="BA32" s="206"/>
      <c r="BB32" s="206"/>
      <c r="BC32" s="206"/>
      <c r="BD32" s="206"/>
      <c r="BE32" s="206"/>
      <c r="BF32" s="206"/>
      <c r="BG32" s="206"/>
      <c r="BH32" s="206"/>
      <c r="BI32" s="102" t="str">
        <f t="shared" si="29"/>
        <v/>
      </c>
      <c r="BJ32" s="90" t="str">
        <f t="shared" si="48"/>
        <v/>
      </c>
      <c r="BK32" s="199" t="b">
        <v>1</v>
      </c>
      <c r="BL32" s="50">
        <v>26</v>
      </c>
      <c r="BM32" s="200" t="b">
        <f t="shared" si="30"/>
        <v>0</v>
      </c>
      <c r="BN32" s="90" t="str">
        <f t="shared" si="31"/>
        <v/>
      </c>
      <c r="BO32" s="127"/>
      <c r="BP32" s="201" t="str">
        <f t="shared" si="49"/>
        <v/>
      </c>
      <c r="BQ32" s="90" t="e">
        <f t="shared" si="32"/>
        <v>#N/A</v>
      </c>
      <c r="BR32" s="201" t="e">
        <f t="shared" si="33"/>
        <v>#N/A</v>
      </c>
      <c r="BS32" s="90"/>
      <c r="BT32" s="90" t="str">
        <f t="shared" si="34"/>
        <v/>
      </c>
      <c r="BU32" s="90" t="str">
        <f t="shared" si="35"/>
        <v/>
      </c>
      <c r="BV32" s="90" t="str">
        <f t="shared" si="50"/>
        <v/>
      </c>
      <c r="BW32" s="90" t="str">
        <f t="shared" si="51"/>
        <v/>
      </c>
      <c r="BX32" s="102" t="e">
        <f t="shared" si="36"/>
        <v>#N/A</v>
      </c>
      <c r="BY32" s="102" t="e">
        <f t="shared" si="37"/>
        <v>#N/A</v>
      </c>
      <c r="BZ32" s="90" t="str">
        <f t="shared" si="52"/>
        <v/>
      </c>
      <c r="CA32" s="90" t="str">
        <f t="shared" si="38"/>
        <v/>
      </c>
      <c r="CB32" s="90"/>
      <c r="CC32" s="90" t="str">
        <f t="shared" si="53"/>
        <v/>
      </c>
      <c r="CD32" s="90" t="str">
        <f t="shared" si="54"/>
        <v/>
      </c>
      <c r="CE32" s="90" t="str">
        <f t="shared" si="55"/>
        <v/>
      </c>
      <c r="CF32" s="90" t="str">
        <f t="shared" si="39"/>
        <v/>
      </c>
      <c r="CG32" s="90" t="str">
        <f t="shared" si="40"/>
        <v/>
      </c>
      <c r="CH32" s="90" t="str">
        <f t="shared" si="56"/>
        <v/>
      </c>
      <c r="CI32" s="90" t="e">
        <f t="shared" si="41"/>
        <v>#N/A</v>
      </c>
      <c r="CJ32" s="113" t="e">
        <f t="shared" si="42"/>
        <v>#N/A</v>
      </c>
      <c r="CK32" s="207" t="e">
        <f t="shared" si="1"/>
        <v>#N/A</v>
      </c>
      <c r="CL32" s="79" t="e">
        <f t="shared" si="2"/>
        <v>#N/A</v>
      </c>
      <c r="CM32" s="79" t="e">
        <f t="shared" si="3"/>
        <v>#N/A</v>
      </c>
      <c r="CN32" s="79" t="e">
        <f t="shared" si="4"/>
        <v>#N/A</v>
      </c>
      <c r="CO32" s="79" t="e">
        <f t="shared" si="5"/>
        <v>#N/A</v>
      </c>
      <c r="CP32" s="79" t="e">
        <f t="shared" si="6"/>
        <v>#N/A</v>
      </c>
      <c r="CQ32" s="79" t="e">
        <f t="shared" si="7"/>
        <v>#N/A</v>
      </c>
      <c r="CR32" s="79" t="e">
        <f t="shared" si="8"/>
        <v>#N/A</v>
      </c>
      <c r="CS32" s="79" t="e">
        <f t="shared" si="9"/>
        <v>#N/A</v>
      </c>
      <c r="CT32" s="109">
        <v>30</v>
      </c>
      <c r="CU32" s="50" t="e">
        <f t="shared" si="10"/>
        <v>#N/A</v>
      </c>
      <c r="CV32" s="50" t="e">
        <f t="shared" si="11"/>
        <v>#N/A</v>
      </c>
      <c r="CW32" s="50" t="e">
        <f t="shared" si="12"/>
        <v>#N/A</v>
      </c>
      <c r="CX32" s="50" t="e">
        <f t="shared" si="13"/>
        <v>#N/A</v>
      </c>
      <c r="CY32" s="50" t="e">
        <f t="shared" si="14"/>
        <v>#N/A</v>
      </c>
      <c r="CZ32" s="50" t="e">
        <f t="shared" si="15"/>
        <v>#N/A</v>
      </c>
      <c r="DA32" s="50" t="e">
        <f t="shared" si="16"/>
        <v>#N/A</v>
      </c>
      <c r="DB32" s="50" t="e">
        <f t="shared" si="17"/>
        <v>#N/A</v>
      </c>
      <c r="DC32" s="50" t="e">
        <f t="shared" si="18"/>
        <v>#N/A</v>
      </c>
      <c r="DD32" s="207">
        <f t="shared" si="19"/>
        <v>0</v>
      </c>
      <c r="DE32" s="79" t="e">
        <f>IF(DD32=0,NA(),SUM($DD$3:DD32))</f>
        <v>#N/A</v>
      </c>
    </row>
    <row r="33" spans="1:109" ht="12" customHeight="1" x14ac:dyDescent="0.2">
      <c r="A33" s="90"/>
      <c r="B33" s="181" t="str">
        <f t="shared" si="25"/>
        <v/>
      </c>
      <c r="C33" s="838" t="str">
        <f t="shared" si="26"/>
        <v/>
      </c>
      <c r="D33" s="182" t="str">
        <f t="shared" si="27"/>
        <v/>
      </c>
      <c r="E33" s="183">
        <v>27</v>
      </c>
      <c r="F33" s="396"/>
      <c r="G33" s="813"/>
      <c r="H33" s="186"/>
      <c r="I33" s="187"/>
      <c r="J33" s="195" t="s">
        <v>339</v>
      </c>
      <c r="K33" s="816" t="str">
        <f t="shared" si="43"/>
        <v/>
      </c>
      <c r="L33" s="790" t="s">
        <v>261</v>
      </c>
      <c r="M33" s="816" t="str">
        <f t="shared" si="44"/>
        <v/>
      </c>
      <c r="N33" s="198" t="s">
        <v>259</v>
      </c>
      <c r="O33" s="192"/>
      <c r="P33" s="193" t="str">
        <f t="shared" si="28"/>
        <v/>
      </c>
      <c r="Q33" s="165"/>
      <c r="R33" s="169">
        <f t="shared" si="23"/>
        <v>9.5E-4</v>
      </c>
      <c r="S33" s="170"/>
      <c r="T33" s="170"/>
      <c r="U33" s="170"/>
      <c r="V33" s="170"/>
      <c r="W33" s="170"/>
      <c r="X33" s="170"/>
      <c r="Y33" s="171">
        <f t="shared" si="24"/>
        <v>9.5E-4</v>
      </c>
      <c r="Z33" s="823" t="str">
        <f t="shared" si="45"/>
        <v/>
      </c>
      <c r="AA33" s="824" t="str">
        <f t="shared" si="46"/>
        <v/>
      </c>
      <c r="AB33" s="825" t="str">
        <f t="shared" si="47"/>
        <v/>
      </c>
      <c r="AC33" s="176"/>
      <c r="AD33" s="176"/>
      <c r="AE33" s="176"/>
      <c r="AF33" s="176"/>
      <c r="AG33" s="176"/>
      <c r="AN33" s="102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2"/>
      <c r="BF33" s="102"/>
      <c r="BG33" s="102"/>
      <c r="BH33" s="102"/>
      <c r="BI33" s="102" t="str">
        <f t="shared" si="29"/>
        <v/>
      </c>
      <c r="BJ33" s="90" t="str">
        <f t="shared" si="48"/>
        <v/>
      </c>
      <c r="BK33" s="199" t="b">
        <v>1</v>
      </c>
      <c r="BL33" s="50">
        <v>27</v>
      </c>
      <c r="BM33" s="200" t="b">
        <f t="shared" si="30"/>
        <v>0</v>
      </c>
      <c r="BN33" s="90" t="str">
        <f t="shared" si="31"/>
        <v/>
      </c>
      <c r="BO33" s="127"/>
      <c r="BP33" s="201" t="str">
        <f t="shared" si="49"/>
        <v/>
      </c>
      <c r="BQ33" s="90" t="e">
        <f t="shared" si="32"/>
        <v>#N/A</v>
      </c>
      <c r="BR33" s="201" t="e">
        <f t="shared" si="33"/>
        <v>#N/A</v>
      </c>
      <c r="BS33" s="90"/>
      <c r="BT33" s="90" t="str">
        <f t="shared" si="34"/>
        <v/>
      </c>
      <c r="BU33" s="90" t="str">
        <f t="shared" si="35"/>
        <v/>
      </c>
      <c r="BV33" s="90" t="str">
        <f t="shared" si="50"/>
        <v/>
      </c>
      <c r="BW33" s="90" t="str">
        <f t="shared" si="51"/>
        <v/>
      </c>
      <c r="BX33" s="102" t="e">
        <f t="shared" si="36"/>
        <v>#N/A</v>
      </c>
      <c r="BY33" s="102" t="e">
        <f t="shared" si="37"/>
        <v>#N/A</v>
      </c>
      <c r="BZ33" s="90" t="str">
        <f t="shared" si="52"/>
        <v/>
      </c>
      <c r="CA33" s="90" t="str">
        <f t="shared" si="38"/>
        <v/>
      </c>
      <c r="CB33" s="90"/>
      <c r="CC33" s="90" t="str">
        <f t="shared" si="53"/>
        <v/>
      </c>
      <c r="CD33" s="90" t="str">
        <f t="shared" si="54"/>
        <v/>
      </c>
      <c r="CE33" s="90" t="str">
        <f t="shared" si="55"/>
        <v/>
      </c>
      <c r="CF33" s="90" t="str">
        <f t="shared" si="39"/>
        <v/>
      </c>
      <c r="CG33" s="90" t="str">
        <f t="shared" si="40"/>
        <v/>
      </c>
      <c r="CH33" s="90" t="str">
        <f t="shared" si="56"/>
        <v/>
      </c>
      <c r="CI33" s="90" t="e">
        <f t="shared" si="41"/>
        <v>#N/A</v>
      </c>
      <c r="CJ33" s="113" t="e">
        <f t="shared" si="42"/>
        <v>#N/A</v>
      </c>
      <c r="CK33" s="207"/>
      <c r="CL33" s="79"/>
      <c r="CM33" s="79"/>
      <c r="CN33" s="79"/>
      <c r="CO33" s="79"/>
      <c r="CP33" s="79"/>
      <c r="CQ33" s="79"/>
      <c r="CR33" s="79"/>
      <c r="CS33" s="79"/>
      <c r="CT33" s="109"/>
      <c r="DD33" s="207"/>
      <c r="DE33" s="79">
        <f>IF(BP5,SUM(DD3:DD32)+2,NA())</f>
        <v>18</v>
      </c>
    </row>
    <row r="34" spans="1:109" ht="12" customHeight="1" x14ac:dyDescent="0.2">
      <c r="A34" s="90"/>
      <c r="B34" s="181" t="str">
        <f t="shared" si="25"/>
        <v/>
      </c>
      <c r="C34" s="838" t="str">
        <f t="shared" si="26"/>
        <v/>
      </c>
      <c r="D34" s="182" t="str">
        <f t="shared" si="27"/>
        <v/>
      </c>
      <c r="E34" s="204">
        <v>28</v>
      </c>
      <c r="F34" s="396"/>
      <c r="G34" s="813"/>
      <c r="H34" s="186"/>
      <c r="I34" s="187"/>
      <c r="J34" s="195" t="s">
        <v>339</v>
      </c>
      <c r="K34" s="816" t="str">
        <f t="shared" si="43"/>
        <v/>
      </c>
      <c r="L34" s="790" t="s">
        <v>261</v>
      </c>
      <c r="M34" s="816" t="str">
        <f t="shared" si="44"/>
        <v/>
      </c>
      <c r="N34" s="198" t="s">
        <v>259</v>
      </c>
      <c r="O34" s="192"/>
      <c r="P34" s="193" t="str">
        <f t="shared" si="28"/>
        <v/>
      </c>
      <c r="Q34" s="165"/>
      <c r="R34" s="169">
        <f t="shared" si="23"/>
        <v>9.5E-4</v>
      </c>
      <c r="S34" s="170"/>
      <c r="T34" s="170"/>
      <c r="U34" s="170"/>
      <c r="V34" s="170"/>
      <c r="W34" s="170"/>
      <c r="X34" s="170"/>
      <c r="Y34" s="171">
        <f t="shared" si="24"/>
        <v>9.5E-4</v>
      </c>
      <c r="Z34" s="823" t="str">
        <f t="shared" si="45"/>
        <v/>
      </c>
      <c r="AA34" s="824" t="str">
        <f t="shared" si="46"/>
        <v/>
      </c>
      <c r="AB34" s="825" t="str">
        <f t="shared" si="47"/>
        <v/>
      </c>
      <c r="AC34" s="176"/>
      <c r="AD34" s="176"/>
      <c r="AE34" s="176"/>
      <c r="AF34" s="176"/>
      <c r="AG34" s="176"/>
      <c r="AN34" s="206"/>
      <c r="AO34" s="206"/>
      <c r="AP34" s="206"/>
      <c r="AQ34" s="206"/>
      <c r="AR34" s="206"/>
      <c r="AS34" s="206"/>
      <c r="AT34" s="206"/>
      <c r="AU34" s="206"/>
      <c r="AV34" s="206"/>
      <c r="AW34" s="206"/>
      <c r="AX34" s="206"/>
      <c r="AY34" s="206"/>
      <c r="AZ34" s="206"/>
      <c r="BA34" s="206"/>
      <c r="BB34" s="206"/>
      <c r="BC34" s="206"/>
      <c r="BD34" s="206"/>
      <c r="BE34" s="206"/>
      <c r="BF34" s="206"/>
      <c r="BG34" s="206"/>
      <c r="BH34" s="206"/>
      <c r="BI34" s="102" t="str">
        <f t="shared" si="29"/>
        <v/>
      </c>
      <c r="BJ34" s="90" t="str">
        <f t="shared" si="48"/>
        <v/>
      </c>
      <c r="BK34" s="199" t="b">
        <v>1</v>
      </c>
      <c r="BL34" s="50">
        <v>28</v>
      </c>
      <c r="BM34" s="200" t="b">
        <f t="shared" si="30"/>
        <v>0</v>
      </c>
      <c r="BN34" s="90" t="str">
        <f t="shared" si="31"/>
        <v/>
      </c>
      <c r="BO34" s="127"/>
      <c r="BP34" s="201" t="str">
        <f t="shared" si="49"/>
        <v/>
      </c>
      <c r="BQ34" s="90" t="e">
        <f t="shared" si="32"/>
        <v>#N/A</v>
      </c>
      <c r="BR34" s="201" t="e">
        <f t="shared" si="33"/>
        <v>#N/A</v>
      </c>
      <c r="BS34" s="90"/>
      <c r="BT34" s="90" t="str">
        <f t="shared" si="34"/>
        <v/>
      </c>
      <c r="BU34" s="90" t="str">
        <f t="shared" si="35"/>
        <v/>
      </c>
      <c r="BV34" s="90" t="str">
        <f t="shared" si="50"/>
        <v/>
      </c>
      <c r="BW34" s="90" t="str">
        <f t="shared" si="51"/>
        <v/>
      </c>
      <c r="BX34" s="102" t="e">
        <f t="shared" si="36"/>
        <v>#N/A</v>
      </c>
      <c r="BY34" s="102" t="e">
        <f t="shared" si="37"/>
        <v>#N/A</v>
      </c>
      <c r="BZ34" s="90" t="str">
        <f t="shared" si="52"/>
        <v/>
      </c>
      <c r="CA34" s="90" t="str">
        <f t="shared" si="38"/>
        <v/>
      </c>
      <c r="CB34" s="90"/>
      <c r="CC34" s="90" t="str">
        <f t="shared" si="53"/>
        <v/>
      </c>
      <c r="CD34" s="90" t="str">
        <f t="shared" si="54"/>
        <v/>
      </c>
      <c r="CE34" s="90" t="str">
        <f t="shared" si="55"/>
        <v/>
      </c>
      <c r="CF34" s="90" t="str">
        <f t="shared" si="39"/>
        <v/>
      </c>
      <c r="CG34" s="90" t="str">
        <f t="shared" si="40"/>
        <v/>
      </c>
      <c r="CH34" s="90" t="str">
        <f t="shared" si="56"/>
        <v/>
      </c>
      <c r="CI34" s="90" t="e">
        <f t="shared" si="41"/>
        <v>#N/A</v>
      </c>
      <c r="CJ34" s="113" t="e">
        <f t="shared" si="42"/>
        <v>#N/A</v>
      </c>
    </row>
    <row r="35" spans="1:109" ht="12" customHeight="1" x14ac:dyDescent="0.2">
      <c r="A35" s="90"/>
      <c r="B35" s="181" t="str">
        <f t="shared" si="25"/>
        <v/>
      </c>
      <c r="C35" s="838" t="str">
        <f t="shared" si="26"/>
        <v/>
      </c>
      <c r="D35" s="182" t="str">
        <f t="shared" si="27"/>
        <v/>
      </c>
      <c r="E35" s="183">
        <v>29</v>
      </c>
      <c r="F35" s="396"/>
      <c r="G35" s="813"/>
      <c r="H35" s="186"/>
      <c r="I35" s="187"/>
      <c r="J35" s="195" t="s">
        <v>339</v>
      </c>
      <c r="K35" s="816" t="str">
        <f t="shared" si="43"/>
        <v/>
      </c>
      <c r="L35" s="790" t="s">
        <v>261</v>
      </c>
      <c r="M35" s="816" t="str">
        <f t="shared" si="44"/>
        <v/>
      </c>
      <c r="N35" s="198" t="s">
        <v>259</v>
      </c>
      <c r="O35" s="192"/>
      <c r="P35" s="193" t="str">
        <f t="shared" si="28"/>
        <v/>
      </c>
      <c r="Q35" s="165"/>
      <c r="R35" s="169">
        <f t="shared" si="23"/>
        <v>9.5E-4</v>
      </c>
      <c r="S35" s="170"/>
      <c r="T35" s="170"/>
      <c r="U35" s="170"/>
      <c r="V35" s="170"/>
      <c r="W35" s="170"/>
      <c r="X35" s="170"/>
      <c r="Y35" s="171">
        <f t="shared" si="24"/>
        <v>9.5E-4</v>
      </c>
      <c r="Z35" s="823" t="str">
        <f t="shared" si="45"/>
        <v/>
      </c>
      <c r="AA35" s="824" t="str">
        <f t="shared" si="46"/>
        <v/>
      </c>
      <c r="AB35" s="825" t="str">
        <f t="shared" si="47"/>
        <v/>
      </c>
      <c r="AC35" s="176"/>
      <c r="AD35" s="176"/>
      <c r="AE35" s="176"/>
      <c r="AF35" s="176"/>
      <c r="AG35" s="176"/>
      <c r="AN35" s="206"/>
      <c r="AO35" s="206"/>
      <c r="AP35" s="206"/>
      <c r="AQ35" s="206"/>
      <c r="AR35" s="206"/>
      <c r="AS35" s="206"/>
      <c r="AT35" s="206"/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  <c r="BF35" s="206"/>
      <c r="BG35" s="206"/>
      <c r="BH35" s="206"/>
      <c r="BI35" s="102" t="str">
        <f t="shared" si="29"/>
        <v/>
      </c>
      <c r="BJ35" s="90" t="str">
        <f t="shared" si="48"/>
        <v/>
      </c>
      <c r="BK35" s="199" t="b">
        <v>1</v>
      </c>
      <c r="BL35" s="50">
        <v>29</v>
      </c>
      <c r="BM35" s="200" t="b">
        <f t="shared" si="30"/>
        <v>0</v>
      </c>
      <c r="BN35" s="90" t="str">
        <f t="shared" si="31"/>
        <v/>
      </c>
      <c r="BO35" s="127"/>
      <c r="BP35" s="201" t="str">
        <f t="shared" si="49"/>
        <v/>
      </c>
      <c r="BQ35" s="90" t="e">
        <f t="shared" si="32"/>
        <v>#N/A</v>
      </c>
      <c r="BR35" s="201" t="e">
        <f t="shared" si="33"/>
        <v>#N/A</v>
      </c>
      <c r="BS35" s="90"/>
      <c r="BT35" s="90" t="str">
        <f t="shared" si="34"/>
        <v/>
      </c>
      <c r="BU35" s="90" t="str">
        <f t="shared" si="35"/>
        <v/>
      </c>
      <c r="BV35" s="90" t="str">
        <f t="shared" si="50"/>
        <v/>
      </c>
      <c r="BW35" s="90" t="str">
        <f t="shared" si="51"/>
        <v/>
      </c>
      <c r="BX35" s="102" t="e">
        <f t="shared" si="36"/>
        <v>#N/A</v>
      </c>
      <c r="BY35" s="102" t="e">
        <f t="shared" si="37"/>
        <v>#N/A</v>
      </c>
      <c r="BZ35" s="90" t="str">
        <f t="shared" si="52"/>
        <v/>
      </c>
      <c r="CA35" s="90" t="str">
        <f t="shared" si="38"/>
        <v/>
      </c>
      <c r="CB35" s="90"/>
      <c r="CC35" s="90" t="str">
        <f t="shared" si="53"/>
        <v/>
      </c>
      <c r="CD35" s="90" t="str">
        <f t="shared" si="54"/>
        <v/>
      </c>
      <c r="CE35" s="90" t="str">
        <f t="shared" si="55"/>
        <v/>
      </c>
      <c r="CF35" s="90" t="str">
        <f t="shared" si="39"/>
        <v/>
      </c>
      <c r="CG35" s="90" t="str">
        <f t="shared" si="40"/>
        <v/>
      </c>
      <c r="CH35" s="90" t="str">
        <f t="shared" si="56"/>
        <v/>
      </c>
      <c r="CI35" s="90" t="e">
        <f t="shared" si="41"/>
        <v>#N/A</v>
      </c>
      <c r="CJ35" s="113" t="e">
        <f t="shared" si="42"/>
        <v>#N/A</v>
      </c>
    </row>
    <row r="36" spans="1:109" ht="12" customHeight="1" thickBot="1" x14ac:dyDescent="0.25">
      <c r="A36" s="90"/>
      <c r="B36" s="208" t="str">
        <f t="shared" si="25"/>
        <v/>
      </c>
      <c r="C36" s="839" t="str">
        <f t="shared" si="26"/>
        <v/>
      </c>
      <c r="D36" s="209" t="str">
        <f t="shared" si="27"/>
        <v/>
      </c>
      <c r="E36" s="210">
        <v>30</v>
      </c>
      <c r="F36" s="835"/>
      <c r="G36" s="814"/>
      <c r="H36" s="213"/>
      <c r="I36" s="187"/>
      <c r="J36" s="220" t="s">
        <v>339</v>
      </c>
      <c r="K36" s="817" t="str">
        <f t="shared" si="43"/>
        <v/>
      </c>
      <c r="L36" s="791" t="s">
        <v>261</v>
      </c>
      <c r="M36" s="817" t="str">
        <f t="shared" si="44"/>
        <v/>
      </c>
      <c r="N36" s="223" t="s">
        <v>259</v>
      </c>
      <c r="O36" s="218"/>
      <c r="P36" s="219" t="str">
        <f t="shared" si="28"/>
        <v/>
      </c>
      <c r="Q36" s="205"/>
      <c r="R36" s="169">
        <f t="shared" si="23"/>
        <v>9.5E-4</v>
      </c>
      <c r="S36" s="170"/>
      <c r="T36" s="170"/>
      <c r="U36" s="170"/>
      <c r="V36" s="170"/>
      <c r="W36" s="170"/>
      <c r="X36" s="170"/>
      <c r="Y36" s="171">
        <f t="shared" si="24"/>
        <v>9.5E-4</v>
      </c>
      <c r="Z36" s="826" t="str">
        <f t="shared" si="45"/>
        <v/>
      </c>
      <c r="AA36" s="827" t="str">
        <f t="shared" si="46"/>
        <v/>
      </c>
      <c r="AB36" s="828" t="str">
        <f t="shared" si="47"/>
        <v/>
      </c>
      <c r="AC36" s="176"/>
      <c r="AD36" s="176"/>
      <c r="AE36" s="176"/>
      <c r="AF36" s="176"/>
      <c r="AG36" s="176"/>
      <c r="AM36" s="102"/>
      <c r="AN36" s="102"/>
      <c r="AO36" s="102"/>
      <c r="AP36" s="102"/>
      <c r="AQ36" s="102"/>
      <c r="AR36" s="102"/>
      <c r="AS36" s="102"/>
      <c r="AT36" s="102"/>
      <c r="AU36" s="102"/>
      <c r="AV36" s="102"/>
      <c r="AW36" s="102"/>
      <c r="AX36" s="102"/>
      <c r="AY36" s="102"/>
      <c r="AZ36" s="102"/>
      <c r="BA36" s="102"/>
      <c r="BB36" s="102"/>
      <c r="BC36" s="102"/>
      <c r="BD36" s="102"/>
      <c r="BE36" s="102"/>
      <c r="BF36" s="102"/>
      <c r="BG36" s="102"/>
      <c r="BH36" s="102"/>
      <c r="BI36" s="271" t="str">
        <f t="shared" si="29"/>
        <v/>
      </c>
      <c r="BJ36" s="79" t="str">
        <f t="shared" si="48"/>
        <v/>
      </c>
      <c r="BK36" s="108" t="b">
        <v>1</v>
      </c>
      <c r="BL36" s="79">
        <v>30</v>
      </c>
      <c r="BM36" s="224" t="b">
        <f t="shared" si="30"/>
        <v>0</v>
      </c>
      <c r="BN36" s="79" t="str">
        <f t="shared" si="31"/>
        <v/>
      </c>
      <c r="BO36" s="225"/>
      <c r="BP36" s="226" t="str">
        <f t="shared" si="49"/>
        <v/>
      </c>
      <c r="BQ36" s="79" t="e">
        <f t="shared" si="32"/>
        <v>#N/A</v>
      </c>
      <c r="BR36" s="226" t="e">
        <f t="shared" si="33"/>
        <v>#N/A</v>
      </c>
      <c r="BS36" s="79"/>
      <c r="BT36" s="79" t="str">
        <f t="shared" si="34"/>
        <v/>
      </c>
      <c r="BU36" s="79" t="str">
        <f t="shared" si="35"/>
        <v/>
      </c>
      <c r="BV36" s="79" t="str">
        <f t="shared" si="50"/>
        <v/>
      </c>
      <c r="BW36" s="79" t="str">
        <f t="shared" si="51"/>
        <v/>
      </c>
      <c r="BX36" s="271" t="e">
        <f t="shared" si="36"/>
        <v>#N/A</v>
      </c>
      <c r="BY36" s="271" t="e">
        <f t="shared" si="37"/>
        <v>#N/A</v>
      </c>
      <c r="BZ36" s="79" t="str">
        <f t="shared" si="52"/>
        <v/>
      </c>
      <c r="CA36" s="90" t="str">
        <f t="shared" si="38"/>
        <v/>
      </c>
      <c r="CB36" s="79"/>
      <c r="CC36" s="79" t="str">
        <f t="shared" si="53"/>
        <v/>
      </c>
      <c r="CD36" s="79" t="str">
        <f t="shared" si="54"/>
        <v/>
      </c>
      <c r="CE36" s="79" t="str">
        <f t="shared" si="55"/>
        <v/>
      </c>
      <c r="CF36" s="79" t="str">
        <f t="shared" si="39"/>
        <v/>
      </c>
      <c r="CG36" s="79" t="str">
        <f t="shared" si="40"/>
        <v/>
      </c>
      <c r="CH36" s="79" t="str">
        <f t="shared" si="56"/>
        <v/>
      </c>
      <c r="CI36" s="79" t="e">
        <f t="shared" si="41"/>
        <v>#N/A</v>
      </c>
      <c r="CJ36" s="109" t="e">
        <f t="shared" si="42"/>
        <v>#N/A</v>
      </c>
    </row>
    <row r="37" spans="1:109" ht="12" customHeight="1" thickTop="1" thickBot="1" x14ac:dyDescent="0.25">
      <c r="A37" s="97"/>
      <c r="B37" s="227"/>
      <c r="C37" s="840"/>
      <c r="D37" s="459"/>
      <c r="E37" s="24" t="s">
        <v>514</v>
      </c>
      <c r="F37" s="623" t="s">
        <v>517</v>
      </c>
      <c r="G37" s="227"/>
      <c r="H37" s="621"/>
      <c r="I37" s="808"/>
      <c r="J37" s="232"/>
      <c r="K37" s="818"/>
      <c r="L37" s="234"/>
      <c r="M37" s="818"/>
      <c r="N37" s="235"/>
      <c r="O37" s="229"/>
      <c r="P37" s="230"/>
      <c r="Q37" s="231"/>
      <c r="R37" s="169">
        <f t="shared" si="23"/>
        <v>9.5E-4</v>
      </c>
      <c r="S37" s="170"/>
      <c r="T37" s="170"/>
      <c r="U37" s="170"/>
      <c r="V37" s="170"/>
      <c r="W37" s="170"/>
      <c r="X37" s="170"/>
      <c r="Y37" s="171">
        <f t="shared" si="24"/>
        <v>9.5E-4</v>
      </c>
      <c r="Z37" s="829"/>
      <c r="AA37" s="829"/>
      <c r="AB37" s="830"/>
      <c r="AC37" s="236"/>
      <c r="AD37" s="236"/>
      <c r="AE37" s="236"/>
      <c r="AF37" s="236"/>
      <c r="AG37" s="236"/>
      <c r="AM37" s="206"/>
      <c r="BM37" s="90"/>
      <c r="BN37" s="90"/>
      <c r="BP37" s="237"/>
      <c r="BQ37" s="67" t="s">
        <v>316</v>
      </c>
      <c r="BR37" s="238">
        <f>IF($BP$5,SQRT(1/SUM(BZ7:BZ36)),"")</f>
        <v>3.1862649393858307E-2</v>
      </c>
      <c r="BZ37" s="102">
        <f>SUM(BZ7:BZ36)</f>
        <v>985</v>
      </c>
      <c r="CA37" s="55"/>
      <c r="CB37" s="102" t="s">
        <v>325</v>
      </c>
      <c r="CC37" s="102">
        <f t="shared" ref="CC37:CH37" si="57">SUM(CC7:CC36)</f>
        <v>450.00953934011454</v>
      </c>
      <c r="CD37" s="102">
        <f t="shared" si="57"/>
        <v>95187</v>
      </c>
      <c r="CE37" s="102">
        <f t="shared" si="57"/>
        <v>258.75864843811252</v>
      </c>
      <c r="CF37" s="102">
        <f t="shared" si="57"/>
        <v>1.1744134040394909</v>
      </c>
      <c r="CG37" s="102">
        <f t="shared" si="57"/>
        <v>238.17157612764845</v>
      </c>
      <c r="CH37" s="102">
        <f t="shared" si="57"/>
        <v>102.62400839297783</v>
      </c>
      <c r="CJ37" s="70">
        <f t="shared" si="42"/>
        <v>18</v>
      </c>
    </row>
    <row r="38" spans="1:109" ht="12" customHeight="1" thickTop="1" thickBot="1" x14ac:dyDescent="0.25">
      <c r="A38" s="239"/>
      <c r="B38" s="594" t="str">
        <f>IF(AND($BP$1,$BP$5,$BR$4,BP39&lt;&gt;""), IF(fixedrandom=1,BP39,CC51),"")</f>
        <v/>
      </c>
      <c r="C38" s="841" t="str">
        <f>IF(B38&lt;&gt;"",2*(1-NORMSDIST(ABS(B38))),"")</f>
        <v/>
      </c>
      <c r="D38" s="595" t="str">
        <f>IF(B38&lt;&gt;"",IF(C38&lt;0.001,"***",(IF(C38&lt;0.01,"**",(IF(C38&lt;0.05,"*",(IF(C38&lt;0.1,"?","ns"))))))),"")</f>
        <v/>
      </c>
      <c r="E38" s="242"/>
      <c r="F38" s="624"/>
      <c r="G38" s="625" t="str">
        <f>IF(BP5,IF(fixedrandom=1,"Fixed effect ","Random effects "),"")</f>
        <v xml:space="preserve">Random effects </v>
      </c>
      <c r="H38" s="836">
        <f>IF(AND($BP$5,$CD$2),IF(fixedrandom=1,BV45,BX45),"")</f>
        <v>0.40605871808116673</v>
      </c>
      <c r="I38" s="809"/>
      <c r="J38" s="810" t="s">
        <v>339</v>
      </c>
      <c r="K38" s="819">
        <f>IF(AND($BP$5,$CD$2),H38-Z38,"")</f>
        <v>0.279737307165981</v>
      </c>
      <c r="L38" s="793" t="s">
        <v>261</v>
      </c>
      <c r="M38" s="819">
        <f>IF(AND($BP$5,$CD$2),H38+Z38,"")</f>
        <v>0.53238012899635245</v>
      </c>
      <c r="N38" s="811" t="s">
        <v>259</v>
      </c>
      <c r="O38" s="794"/>
      <c r="P38" s="795"/>
      <c r="Q38" s="794"/>
      <c r="R38" s="796">
        <f t="shared" si="23"/>
        <v>9.5E-4</v>
      </c>
      <c r="S38" s="797"/>
      <c r="T38" s="797"/>
      <c r="U38" s="797"/>
      <c r="V38" s="797"/>
      <c r="W38" s="797"/>
      <c r="X38" s="797"/>
      <c r="Y38" s="798">
        <f t="shared" si="24"/>
        <v>9.5E-4</v>
      </c>
      <c r="Z38" s="831">
        <f>IF(BP39&lt;&gt;"",BS39,"")</f>
        <v>0.12632141091518576</v>
      </c>
      <c r="AA38" s="832">
        <f>IF(BP39&lt;&gt;"",BS39,"")</f>
        <v>0.12632141091518576</v>
      </c>
      <c r="AB38" s="833"/>
      <c r="AC38" s="236"/>
      <c r="AD38" s="236"/>
      <c r="AE38" s="236"/>
      <c r="AF38" s="236"/>
      <c r="AG38" s="236"/>
      <c r="AI38" s="249"/>
      <c r="AJ38" s="250"/>
      <c r="AM38" s="102"/>
      <c r="BN38" s="63" t="s">
        <v>516</v>
      </c>
      <c r="BP38" s="251" t="s">
        <v>315</v>
      </c>
      <c r="BR38" s="1"/>
      <c r="BS38" s="63" t="s">
        <v>613</v>
      </c>
      <c r="BT38" s="63" t="s">
        <v>610</v>
      </c>
      <c r="BU38" s="63"/>
      <c r="BV38" s="63"/>
      <c r="BW38" s="63"/>
      <c r="BX38" s="55"/>
      <c r="BZ38" s="67" t="s">
        <v>296</v>
      </c>
      <c r="CA38" s="252">
        <f>IF(fixedrandom=1,MAX(BZ7:BZ36),MAX(CG7:CG36))</f>
        <v>20.543739658960707</v>
      </c>
      <c r="CB38" s="253" t="s">
        <v>334</v>
      </c>
      <c r="CC38" s="254" t="s">
        <v>335</v>
      </c>
      <c r="CD38" s="255"/>
      <c r="CE38" s="256"/>
      <c r="CF38" s="256"/>
      <c r="CG38" s="256"/>
      <c r="CH38" s="256"/>
      <c r="CI38" s="67" t="s">
        <v>364</v>
      </c>
      <c r="CJ38" s="69" t="e">
        <f>IF(AND(NOT(CB3),BP39&lt;&gt;""),CJ37,NA())</f>
        <v>#N/A</v>
      </c>
    </row>
    <row r="39" spans="1:109" ht="12" customHeight="1" thickTop="1" x14ac:dyDescent="0.2">
      <c r="B39" s="249"/>
      <c r="C39" s="249"/>
      <c r="D39" s="249"/>
      <c r="E39" s="249"/>
      <c r="G39" s="249" t="s">
        <v>744</v>
      </c>
      <c r="I39"/>
      <c r="J39" s="53"/>
      <c r="K39" s="260"/>
      <c r="L39" s="53"/>
      <c r="M39" s="260"/>
      <c r="O39" s="257"/>
      <c r="P39" s="258"/>
      <c r="Q39" s="249"/>
      <c r="R39" s="259"/>
      <c r="S39" s="249"/>
      <c r="T39" s="249"/>
      <c r="U39" s="249"/>
      <c r="V39" s="249"/>
      <c r="W39" s="249"/>
      <c r="X39" s="249"/>
      <c r="Y39" s="53"/>
      <c r="Z39" s="741"/>
      <c r="AA39" s="741"/>
      <c r="AM39" s="206"/>
      <c r="BN39" s="261">
        <f>IF($BP39&lt;&gt;"",H38,"")</f>
        <v>0.40605871808116673</v>
      </c>
      <c r="BO39" s="262"/>
      <c r="BP39" s="263">
        <f>IF($BP$5,(BV41-$BN$3)/BR37,"")</f>
        <v>13.523127986982589</v>
      </c>
      <c r="BQ39" s="264"/>
      <c r="BR39" s="265"/>
      <c r="BS39" s="792">
        <f>IF(BP39&lt;&gt;"",(EXP(2*BT39)-1)/(EXP(2*BT39)+1),NA())</f>
        <v>0.12632141091518576</v>
      </c>
      <c r="BT39" s="264">
        <f>IF(BP39&lt;&gt;"",IF(fixedrandom=1,NORMSINV((100+$I$2)/200)*BR37,CC48),NA())</f>
        <v>0.12699982592652428</v>
      </c>
      <c r="BU39" s="264"/>
      <c r="BV39" s="264"/>
      <c r="BW39" s="264"/>
      <c r="BX39" s="262"/>
      <c r="BY39" s="262">
        <f>IF(BP39&lt;&gt;"",(E37-1),"")</f>
        <v>6</v>
      </c>
      <c r="BZ39" s="266"/>
      <c r="CA39" s="267"/>
      <c r="CB39" s="268" t="s">
        <v>267</v>
      </c>
      <c r="CC39" s="113">
        <f>COUNT(CC7:CC36)-1</f>
        <v>15</v>
      </c>
    </row>
    <row r="40" spans="1:109" ht="12" customHeight="1" x14ac:dyDescent="0.2">
      <c r="B40" s="249"/>
      <c r="C40" s="249"/>
      <c r="D40" s="249"/>
      <c r="E40" s="7" t="s">
        <v>274</v>
      </c>
      <c r="F40" s="249" t="s">
        <v>743</v>
      </c>
      <c r="H40" s="249"/>
      <c r="K40" s="259"/>
      <c r="L40" s="259"/>
      <c r="O40" s="588" t="s">
        <v>622</v>
      </c>
      <c r="P40" s="626">
        <f>IF(BP39&lt;&gt;"",BM40,"")</f>
        <v>2.025401165602688</v>
      </c>
      <c r="Q40" s="249"/>
      <c r="R40" s="259"/>
      <c r="S40" s="249"/>
      <c r="T40" s="249"/>
      <c r="U40" s="249"/>
      <c r="V40" s="249"/>
      <c r="W40" s="249"/>
      <c r="X40" s="249"/>
      <c r="Y40" s="53"/>
      <c r="Z40" s="741"/>
      <c r="AA40" s="741"/>
      <c r="AM40" s="102"/>
      <c r="BL40" s="59" t="s">
        <v>80</v>
      </c>
      <c r="BM40" s="50">
        <f>IF(BP39&lt;&gt;"",BX47/BV47,NA())</f>
        <v>2.025401165602688</v>
      </c>
      <c r="BP40" s="764" t="s">
        <v>607</v>
      </c>
      <c r="BQ40" s="792">
        <f>H38</f>
        <v>0.40605871808116673</v>
      </c>
      <c r="BR40" s="238">
        <v>32</v>
      </c>
      <c r="BU40" s="63" t="s">
        <v>608</v>
      </c>
      <c r="BV40" s="63" t="s">
        <v>609</v>
      </c>
      <c r="BW40" s="63" t="s">
        <v>847</v>
      </c>
      <c r="BX40" s="55"/>
      <c r="BY40" s="67" t="s">
        <v>297</v>
      </c>
      <c r="BZ40" s="269">
        <f>MIN(BZ7:BZ37)</f>
        <v>13</v>
      </c>
      <c r="CA40" s="99"/>
      <c r="CB40" s="268" t="s">
        <v>326</v>
      </c>
      <c r="CC40" s="270">
        <f>IF(BZ37=0,"",CE37-CC37^2/BZ37)</f>
        <v>53.166175852222068</v>
      </c>
      <c r="CD40" s="271"/>
      <c r="CE40" s="102"/>
    </row>
    <row r="41" spans="1:109" ht="12" customHeight="1" x14ac:dyDescent="0.2">
      <c r="G41" s="50" t="s">
        <v>745</v>
      </c>
      <c r="I41"/>
      <c r="J41" s="53"/>
      <c r="K41" s="53"/>
      <c r="L41" s="53"/>
      <c r="M41" s="53"/>
      <c r="O41" s="36"/>
      <c r="P41" s="273"/>
      <c r="Q41" s="249"/>
      <c r="R41" s="249"/>
      <c r="S41" s="249"/>
      <c r="T41" s="249"/>
      <c r="U41" s="249"/>
      <c r="V41" s="249"/>
      <c r="W41" s="249"/>
      <c r="X41" s="249"/>
      <c r="Y41" s="53"/>
      <c r="Z41" s="741"/>
      <c r="AA41" s="741"/>
      <c r="BP41" s="1"/>
      <c r="BQ41" s="90"/>
      <c r="BR41" s="90"/>
      <c r="BS41" s="90"/>
      <c r="BT41" s="90"/>
      <c r="BU41" s="90">
        <f>IF(AND($BP$5,$CD$2),IF(fixedrandom=1,SUMPRODUCT(BN7:BN36,BZ7:BZ36)/SUM(BZ7:BZ36),CC45),"")</f>
        <v>0.43088268575749911</v>
      </c>
      <c r="BV41" s="90">
        <f>IF(AND($BP$5,$CD$2),IF(fixedrandom=1,BV44,BX44),"")</f>
        <v>0.43088268575749911</v>
      </c>
      <c r="BW41" s="90">
        <f>IF(AND($BP$5,$CD$2),IF(fixedrandom=1,BV45,BX45),"")</f>
        <v>0.40605871808116673</v>
      </c>
      <c r="CB41" s="268" t="s">
        <v>352</v>
      </c>
      <c r="CC41" s="113">
        <f>CHIDIST(CC40,CC39)</f>
        <v>3.6182172092935041E-6</v>
      </c>
      <c r="CE41" s="94"/>
      <c r="CF41" s="94"/>
      <c r="CG41" s="94"/>
      <c r="CH41" s="94"/>
      <c r="CI41" s="274">
        <v>0</v>
      </c>
      <c r="CJ41" s="95">
        <v>0.1</v>
      </c>
      <c r="CK41" s="94" t="s">
        <v>293</v>
      </c>
      <c r="CL41" s="275" t="s">
        <v>294</v>
      </c>
      <c r="CM41" s="276" t="s">
        <v>295</v>
      </c>
      <c r="CN41" s="277">
        <v>0</v>
      </c>
      <c r="CO41" s="95">
        <v>0.2</v>
      </c>
      <c r="CP41" s="90"/>
    </row>
    <row r="42" spans="1:109" ht="12" customHeight="1" x14ac:dyDescent="0.2">
      <c r="I42"/>
      <c r="J42" s="53"/>
      <c r="K42" s="53"/>
      <c r="L42" s="53"/>
      <c r="M42" s="53"/>
      <c r="O42" s="278"/>
      <c r="P42" s="279"/>
      <c r="Q42" s="249"/>
      <c r="R42" s="249"/>
      <c r="S42" s="249"/>
      <c r="T42" s="249"/>
      <c r="U42" s="249"/>
      <c r="V42" s="249"/>
      <c r="W42" s="249"/>
      <c r="X42" s="249"/>
      <c r="Y42" s="53"/>
      <c r="Z42" s="741"/>
      <c r="AA42" s="741"/>
      <c r="BP42" s="1"/>
      <c r="BQ42" s="59" t="s">
        <v>300</v>
      </c>
      <c r="BR42" s="50">
        <v>0.4</v>
      </c>
      <c r="BU42" s="2" t="s">
        <v>761</v>
      </c>
      <c r="CB42" s="268" t="s">
        <v>251</v>
      </c>
      <c r="CC42" s="280">
        <f>BZ37-CD37/BZ37</f>
        <v>888.36345177664975</v>
      </c>
      <c r="CD42" s="90"/>
      <c r="CE42" s="90"/>
      <c r="CF42" s="90"/>
      <c r="CG42" s="90"/>
      <c r="CH42" s="90"/>
      <c r="CI42" s="281">
        <f t="shared" ref="CI42:CI49" si="58">AVERAGE(CM42:CM43)</f>
        <v>1.1599999999999999</v>
      </c>
      <c r="CJ42" s="113">
        <v>0.1</v>
      </c>
      <c r="CK42" s="90">
        <f t="shared" ref="CK42:CK50" si="59">$CA$38*CI42/$CI$50</f>
        <v>0.83258757985481424</v>
      </c>
      <c r="CL42" s="282">
        <v>3</v>
      </c>
      <c r="CM42" s="283">
        <v>0.36</v>
      </c>
      <c r="CN42" s="284">
        <f t="shared" ref="CN42:CN50" si="60">CM42</f>
        <v>0.36</v>
      </c>
      <c r="CO42" s="113">
        <v>0.2</v>
      </c>
      <c r="CP42" s="90"/>
      <c r="CQ42" s="50">
        <f>CM42</f>
        <v>0.36</v>
      </c>
      <c r="CR42" s="50">
        <f t="shared" ref="CR42:CR50" si="61">CQ42-CQ41</f>
        <v>0.36</v>
      </c>
    </row>
    <row r="43" spans="1:109" ht="12" customHeight="1" x14ac:dyDescent="0.2">
      <c r="Z43" s="742"/>
      <c r="AA43" s="742"/>
      <c r="BM43" s="59" t="s">
        <v>301</v>
      </c>
      <c r="BN43" s="50">
        <f>BQ40-BS39</f>
        <v>0.279737307165981</v>
      </c>
      <c r="BQ43" s="91" t="s">
        <v>309</v>
      </c>
      <c r="BS43" s="63" t="s">
        <v>313</v>
      </c>
      <c r="BT43" s="63"/>
      <c r="BU43" s="91" t="s">
        <v>744</v>
      </c>
      <c r="BV43" s="63"/>
      <c r="BW43" s="63"/>
      <c r="BX43" s="50" t="s">
        <v>745</v>
      </c>
      <c r="CB43" s="268" t="s">
        <v>327</v>
      </c>
      <c r="CC43" s="113">
        <f>IF(CC42=0,0,MAX(0,(CC40-CC39)/CC42))</f>
        <v>4.2962343594722445E-2</v>
      </c>
      <c r="CD43" s="285"/>
      <c r="CI43" s="281">
        <f t="shared" si="58"/>
        <v>3.0608</v>
      </c>
      <c r="CJ43" s="113">
        <v>0.1</v>
      </c>
      <c r="CK43" s="90">
        <f t="shared" si="59"/>
        <v>2.1968828141548409</v>
      </c>
      <c r="CL43" s="286">
        <v>4</v>
      </c>
      <c r="CM43" s="287">
        <v>1.96</v>
      </c>
      <c r="CN43" s="284">
        <f t="shared" si="60"/>
        <v>1.96</v>
      </c>
      <c r="CO43" s="113">
        <v>0.2</v>
      </c>
      <c r="CP43" s="90"/>
      <c r="CQ43" s="50">
        <f t="shared" ref="CQ43:CQ50" si="62">CM43-CM42</f>
        <v>1.6</v>
      </c>
      <c r="CR43" s="50">
        <f t="shared" si="61"/>
        <v>1.2400000000000002</v>
      </c>
    </row>
    <row r="44" spans="1:109" ht="12" customHeight="1" x14ac:dyDescent="0.2">
      <c r="Z44" s="742"/>
      <c r="AA44" s="742"/>
      <c r="BM44" s="59" t="s">
        <v>302</v>
      </c>
      <c r="BN44" s="50">
        <f>BQ40+BS39</f>
        <v>0.53238012899635245</v>
      </c>
      <c r="BQ44" s="97">
        <f>IF(AND($CD$2,$BP$5),IF($CB$3,BQ40,NA()),NA())</f>
        <v>0.40605871808116673</v>
      </c>
      <c r="BR44" s="95">
        <f>IF($CB$3,BR40+BR42,NA())</f>
        <v>32.4</v>
      </c>
      <c r="BS44" s="70">
        <f>IF($CB$3,CJ37+BR42,NA())</f>
        <v>18.399999999999999</v>
      </c>
      <c r="BT44" s="90"/>
      <c r="BU44" s="110" t="s">
        <v>606</v>
      </c>
      <c r="BV44" s="90">
        <f>IF(AND($BP$5,$CD$2),SUMPRODUCT(BJ7:BJ36,BZ7:BZ36)/SUM(BZ7:BZ36),"")</f>
        <v>0.45686247648742595</v>
      </c>
      <c r="BW44" s="90"/>
      <c r="BX44" s="50">
        <f>CC45</f>
        <v>0.43088268575749911</v>
      </c>
      <c r="CB44" s="268" t="s">
        <v>340</v>
      </c>
      <c r="CC44" s="113">
        <f>SQRT(CC43)</f>
        <v>0.20727359599023326</v>
      </c>
      <c r="CI44" s="281">
        <f t="shared" si="58"/>
        <v>5.4607999999999999</v>
      </c>
      <c r="CJ44" s="113">
        <v>0.1</v>
      </c>
      <c r="CK44" s="90">
        <f t="shared" si="59"/>
        <v>3.919477806957905</v>
      </c>
      <c r="CL44" s="288">
        <v>6</v>
      </c>
      <c r="CM44" s="289">
        <v>4.1616</v>
      </c>
      <c r="CN44" s="284">
        <f t="shared" si="60"/>
        <v>4.1616</v>
      </c>
      <c r="CO44" s="113">
        <v>0.2</v>
      </c>
      <c r="CP44" s="90"/>
      <c r="CQ44" s="50">
        <f t="shared" si="62"/>
        <v>2.2016</v>
      </c>
      <c r="CR44" s="50">
        <f t="shared" si="61"/>
        <v>0.60159999999999991</v>
      </c>
    </row>
    <row r="45" spans="1:109" ht="12" customHeight="1" x14ac:dyDescent="0.2">
      <c r="Z45" s="742"/>
      <c r="AA45" s="742"/>
      <c r="BM45" s="59" t="s">
        <v>303</v>
      </c>
      <c r="BN45" s="50">
        <v>200</v>
      </c>
      <c r="BQ45" s="106">
        <f>IF(AND($CD$2,$BP$5),IF($CB$3,BQ40-BS39,NA()),NA())</f>
        <v>0.279737307165981</v>
      </c>
      <c r="BR45" s="113">
        <f>IF($CB$3,BR40,NA())</f>
        <v>32</v>
      </c>
      <c r="BS45" s="290">
        <f>IF($CB$3,CJ37,NA())</f>
        <v>18</v>
      </c>
      <c r="BT45" s="90"/>
      <c r="BU45" s="110" t="s">
        <v>607</v>
      </c>
      <c r="BV45" s="90">
        <f>IF(BV44&lt;&gt;"",(EXP(2*BV44)-1)/(EXP(2*BV44)+1),"")</f>
        <v>0.42752359634428833</v>
      </c>
      <c r="BW45" s="90"/>
      <c r="BX45" s="90">
        <f>IF(BX44&lt;&gt;"",(EXP(2*BX44)-1)/(EXP(2*BX44)+1),"")</f>
        <v>0.40605871808116673</v>
      </c>
      <c r="CB45" s="291" t="s">
        <v>328</v>
      </c>
      <c r="CC45" s="113">
        <f>CH37/CG37</f>
        <v>0.43088268575749911</v>
      </c>
      <c r="CD45" s="90"/>
      <c r="CE45" s="102"/>
      <c r="CF45" s="102"/>
      <c r="CG45" s="102"/>
      <c r="CH45" s="102"/>
      <c r="CI45" s="281">
        <f t="shared" si="58"/>
        <v>8.3412499999999987</v>
      </c>
      <c r="CJ45" s="113">
        <v>0.1</v>
      </c>
      <c r="CK45" s="90">
        <f t="shared" si="59"/>
        <v>5.9869147848827309</v>
      </c>
      <c r="CL45" s="292">
        <v>7</v>
      </c>
      <c r="CM45" s="283">
        <v>6.76</v>
      </c>
      <c r="CN45" s="284">
        <f t="shared" si="60"/>
        <v>6.76</v>
      </c>
      <c r="CO45" s="113">
        <v>0.2</v>
      </c>
      <c r="CP45" s="90"/>
      <c r="CQ45" s="50">
        <f t="shared" si="62"/>
        <v>2.5983999999999998</v>
      </c>
      <c r="CR45" s="50">
        <f t="shared" si="61"/>
        <v>0.39679999999999982</v>
      </c>
    </row>
    <row r="46" spans="1:109" ht="12" customHeight="1" x14ac:dyDescent="0.2">
      <c r="P46" s="293"/>
      <c r="Z46" s="742"/>
      <c r="AA46" s="742"/>
      <c r="BM46" s="59" t="s">
        <v>304</v>
      </c>
      <c r="BN46" s="50">
        <f>(BN44-BN43)/BN45</f>
        <v>1.2632141091518572E-3</v>
      </c>
      <c r="BQ46" s="106">
        <f>IF(AND($CD$2,$BP$5),IF($CB$3,BQ40,NA()),NA())</f>
        <v>0.40605871808116673</v>
      </c>
      <c r="BR46" s="113">
        <f>IF($CB$3,BR40-BR42,NA())</f>
        <v>31.6</v>
      </c>
      <c r="BS46" s="290">
        <f>IF($CB$3,CJ37-BR42,NA())</f>
        <v>17.600000000000001</v>
      </c>
      <c r="BT46" s="90"/>
      <c r="BU46" s="110" t="s">
        <v>611</v>
      </c>
      <c r="BV46" s="90">
        <f>IF(BP39&lt;&gt;"",NORMSINV((100+$I$2)/200)*BR37,NA())</f>
        <v>6.2449645263989252E-2</v>
      </c>
      <c r="BW46" s="90"/>
      <c r="BX46" s="50">
        <f>IF(BP39&lt;&gt;"",CC48,NA())</f>
        <v>0.12699982592652428</v>
      </c>
      <c r="CB46" s="268" t="s">
        <v>329</v>
      </c>
      <c r="CC46" s="113">
        <f>1/CG37</f>
        <v>4.1986538287173631E-3</v>
      </c>
      <c r="CI46" s="281">
        <f t="shared" si="58"/>
        <v>11.806249999999999</v>
      </c>
      <c r="CJ46" s="113">
        <v>0.1</v>
      </c>
      <c r="CK46" s="90">
        <f t="shared" si="59"/>
        <v>8.4739113057421545</v>
      </c>
      <c r="CL46" s="294">
        <v>9</v>
      </c>
      <c r="CM46" s="287">
        <v>9.9224999999999994</v>
      </c>
      <c r="CN46" s="284">
        <f t="shared" si="60"/>
        <v>9.9224999999999994</v>
      </c>
      <c r="CO46" s="113">
        <v>0.2</v>
      </c>
      <c r="CP46" s="90"/>
      <c r="CQ46" s="50">
        <f t="shared" si="62"/>
        <v>3.1624999999999996</v>
      </c>
      <c r="CR46" s="50">
        <f t="shared" si="61"/>
        <v>0.56409999999999982</v>
      </c>
    </row>
    <row r="47" spans="1:109" ht="12" customHeight="1" x14ac:dyDescent="0.2">
      <c r="Z47" s="742"/>
      <c r="AA47" s="742"/>
      <c r="BM47" s="59" t="s">
        <v>307</v>
      </c>
      <c r="BN47" s="50">
        <v>0.04</v>
      </c>
      <c r="BQ47" s="106">
        <f>IF(AND($CD$2,$BP$5),IF($CB$3,BQ40+BS39,NA()),NA())</f>
        <v>0.53238012899635245</v>
      </c>
      <c r="BR47" s="113">
        <f>IF($CB$3,BR40,NA())</f>
        <v>32</v>
      </c>
      <c r="BS47" s="290">
        <f>IF($CB$3,CJ37,NA())</f>
        <v>18</v>
      </c>
      <c r="BT47" s="90"/>
      <c r="BU47" s="110" t="s">
        <v>612</v>
      </c>
      <c r="BV47" s="90">
        <f>IF(BV46&lt;&gt;"",(EXP(2*BV46)-1)/(EXP(2*BV46)+1),"")</f>
        <v>6.2368588040975559E-2</v>
      </c>
      <c r="BW47" s="90"/>
      <c r="BX47" s="90">
        <f>IF(BX46&lt;&gt;"",(EXP(2*BX46)-1)/(EXP(2*BX46)+1),"")</f>
        <v>0.12632141091518576</v>
      </c>
      <c r="CB47" s="268" t="s">
        <v>330</v>
      </c>
      <c r="CC47" s="113">
        <f>SQRT(CC46)</f>
        <v>6.4797020214801257E-2</v>
      </c>
      <c r="CI47" s="281">
        <f t="shared" si="58"/>
        <v>15.876249999999999</v>
      </c>
      <c r="CJ47" s="113">
        <v>0.1</v>
      </c>
      <c r="CK47" s="90">
        <f t="shared" si="59"/>
        <v>11.395145314370685</v>
      </c>
      <c r="CL47" s="295">
        <v>10</v>
      </c>
      <c r="CM47" s="289">
        <v>13.69</v>
      </c>
      <c r="CN47" s="284">
        <f t="shared" si="60"/>
        <v>13.69</v>
      </c>
      <c r="CO47" s="113">
        <v>0.2</v>
      </c>
      <c r="CP47" s="90"/>
      <c r="CQ47" s="50">
        <f t="shared" si="62"/>
        <v>3.7675000000000001</v>
      </c>
      <c r="CR47" s="50">
        <f t="shared" si="61"/>
        <v>0.60500000000000043</v>
      </c>
    </row>
    <row r="48" spans="1:109" ht="12" customHeight="1" x14ac:dyDescent="0.2">
      <c r="BQ48" s="207">
        <f>IF(AND($CD$2,$BP$5),IF($CB$3,BQ40,NA()),NA())</f>
        <v>0.40605871808116673</v>
      </c>
      <c r="BR48" s="109">
        <f>IF($CB$3,BR40+BR42,NA())</f>
        <v>32.4</v>
      </c>
      <c r="BS48" s="124">
        <f>IF($CB$3,CJ37+BR42,NA())</f>
        <v>18.399999999999999</v>
      </c>
      <c r="BT48" s="90"/>
      <c r="BU48" s="110"/>
      <c r="BV48" s="90"/>
      <c r="BW48" s="90"/>
      <c r="CB48" s="268" t="s">
        <v>331</v>
      </c>
      <c r="CC48" s="113">
        <f>NORMSINV((100+$I$2)/200)*CC47</f>
        <v>0.12699982592652428</v>
      </c>
      <c r="CI48" s="281">
        <f t="shared" si="58"/>
        <v>20.55125</v>
      </c>
      <c r="CJ48" s="113">
        <v>0.1</v>
      </c>
      <c r="CK48" s="90">
        <f t="shared" si="59"/>
        <v>14.750616810768321</v>
      </c>
      <c r="CL48" s="296">
        <v>12</v>
      </c>
      <c r="CM48" s="283">
        <v>18.0625</v>
      </c>
      <c r="CN48" s="284">
        <f t="shared" si="60"/>
        <v>18.0625</v>
      </c>
      <c r="CO48" s="113">
        <v>0.2</v>
      </c>
      <c r="CP48" s="90"/>
      <c r="CQ48" s="50">
        <f t="shared" si="62"/>
        <v>4.3725000000000005</v>
      </c>
      <c r="CR48" s="50">
        <f t="shared" si="61"/>
        <v>0.60500000000000043</v>
      </c>
    </row>
    <row r="49" spans="6:96" ht="12" customHeight="1" x14ac:dyDescent="0.2">
      <c r="BR49" s="63" t="s">
        <v>313</v>
      </c>
      <c r="BU49" s="59"/>
      <c r="CA49" s="63"/>
      <c r="CB49" s="268" t="s">
        <v>332</v>
      </c>
      <c r="CC49" s="113">
        <f>CC45-CC48</f>
        <v>0.30388285983097485</v>
      </c>
      <c r="CI49" s="281">
        <f t="shared" si="58"/>
        <v>25.831249999999997</v>
      </c>
      <c r="CJ49" s="113">
        <v>0.1</v>
      </c>
      <c r="CK49" s="90">
        <f t="shared" si="59"/>
        <v>18.540325794935058</v>
      </c>
      <c r="CL49" s="297">
        <v>13</v>
      </c>
      <c r="CM49" s="287">
        <v>23.04</v>
      </c>
      <c r="CN49" s="284">
        <f t="shared" si="60"/>
        <v>23.04</v>
      </c>
      <c r="CO49" s="113">
        <v>0.2</v>
      </c>
      <c r="CP49" s="90"/>
      <c r="CQ49" s="50">
        <f t="shared" si="62"/>
        <v>4.9774999999999991</v>
      </c>
      <c r="CR49" s="50">
        <f t="shared" si="61"/>
        <v>0.60499999999999865</v>
      </c>
    </row>
    <row r="50" spans="6:96" ht="12" customHeight="1" x14ac:dyDescent="0.2">
      <c r="F50" s="298"/>
      <c r="G50" s="298"/>
      <c r="H50" s="298"/>
      <c r="BM50" s="63" t="s">
        <v>305</v>
      </c>
      <c r="BN50" s="50" t="s">
        <v>308</v>
      </c>
      <c r="BO50" s="63" t="s">
        <v>264</v>
      </c>
      <c r="BP50" s="63" t="s">
        <v>263</v>
      </c>
      <c r="BQ50" s="63" t="s">
        <v>306</v>
      </c>
      <c r="BR50" s="154" t="s">
        <v>268</v>
      </c>
      <c r="BS50" s="63"/>
      <c r="BT50" s="63"/>
      <c r="BU50" s="63"/>
      <c r="BV50" s="63"/>
      <c r="BW50" s="63"/>
      <c r="BX50" s="63"/>
      <c r="BY50" s="63"/>
      <c r="CA50" s="154"/>
      <c r="CB50" s="268" t="s">
        <v>333</v>
      </c>
      <c r="CC50" s="113">
        <f>CC45+CC48</f>
        <v>0.55788251168402336</v>
      </c>
      <c r="CD50" s="102"/>
      <c r="CI50" s="299">
        <f>CM50</f>
        <v>28.622499999999999</v>
      </c>
      <c r="CJ50" s="109">
        <v>0.1</v>
      </c>
      <c r="CK50" s="79">
        <f t="shared" si="59"/>
        <v>20.543739658960707</v>
      </c>
      <c r="CL50" s="300">
        <v>15</v>
      </c>
      <c r="CM50" s="289">
        <v>28.622499999999999</v>
      </c>
      <c r="CN50" s="301">
        <f t="shared" si="60"/>
        <v>28.622499999999999</v>
      </c>
      <c r="CO50" s="109">
        <v>0.2</v>
      </c>
      <c r="CP50" s="90"/>
      <c r="CQ50" s="50">
        <f t="shared" si="62"/>
        <v>5.5824999999999996</v>
      </c>
      <c r="CR50" s="50">
        <f t="shared" si="61"/>
        <v>0.60500000000000043</v>
      </c>
    </row>
    <row r="51" spans="6:96" ht="12" customHeight="1" x14ac:dyDescent="0.2">
      <c r="BM51" s="50">
        <v>0</v>
      </c>
      <c r="BN51" s="50">
        <f t="shared" ref="BN51:BN114" si="63">1-ABS($BQ$40-BO51)/$BS$39</f>
        <v>0</v>
      </c>
      <c r="BO51" s="50">
        <f>IF($CB$3,BN43,NA())</f>
        <v>0.279737307165981</v>
      </c>
      <c r="BP51" s="50">
        <f>IF($CB$3,BR40,NA())</f>
        <v>32</v>
      </c>
      <c r="BQ51" s="50">
        <f t="shared" ref="BQ51:BQ114" si="64">MAX($BR$42*BN51-$BN$47,0)</f>
        <v>0</v>
      </c>
      <c r="BR51" s="50">
        <f>IF($CB$3,CJ37,NA())</f>
        <v>18</v>
      </c>
      <c r="CB51" s="268" t="s">
        <v>315</v>
      </c>
      <c r="CC51" s="113">
        <f>(CC45-$BN$3)/CC47</f>
        <v>6.6497299463637178</v>
      </c>
    </row>
    <row r="52" spans="6:96" ht="12" customHeight="1" x14ac:dyDescent="0.2">
      <c r="F52" s="59"/>
      <c r="G52" s="59"/>
      <c r="H52" s="59"/>
      <c r="BM52" s="50">
        <v>1</v>
      </c>
      <c r="BN52" s="50">
        <f t="shared" si="63"/>
        <v>1.0000000000000342E-2</v>
      </c>
      <c r="BO52" s="50">
        <f t="shared" ref="BO52:BO83" si="65">IF($CB$3,BO51+$BN$46,NA())</f>
        <v>0.28100052127513286</v>
      </c>
      <c r="BP52" s="50">
        <f t="shared" ref="BP52:BP83" si="66">BP51</f>
        <v>32</v>
      </c>
      <c r="BQ52" s="50">
        <f t="shared" si="64"/>
        <v>0</v>
      </c>
      <c r="BR52" s="50">
        <f t="shared" ref="BR52:BR83" si="67">BR51</f>
        <v>18</v>
      </c>
      <c r="CB52" s="268" t="s">
        <v>266</v>
      </c>
      <c r="CC52" s="113">
        <f>2*(1-NORMSDIST(ABS(CC51)))</f>
        <v>2.936317855528614E-11</v>
      </c>
    </row>
    <row r="53" spans="6:96" ht="12" customHeight="1" x14ac:dyDescent="0.2">
      <c r="F53" s="59"/>
      <c r="G53" s="59"/>
      <c r="H53" s="59"/>
      <c r="O53" s="59"/>
      <c r="P53" s="302"/>
      <c r="BM53" s="50">
        <v>2</v>
      </c>
      <c r="BN53" s="50">
        <f t="shared" si="63"/>
        <v>2.0000000000000351E-2</v>
      </c>
      <c r="BO53" s="50">
        <f t="shared" si="65"/>
        <v>0.28226373538428473</v>
      </c>
      <c r="BP53" s="50">
        <f t="shared" si="66"/>
        <v>32</v>
      </c>
      <c r="BQ53" s="50">
        <f t="shared" si="64"/>
        <v>0</v>
      </c>
      <c r="BR53" s="50">
        <f t="shared" si="67"/>
        <v>18</v>
      </c>
      <c r="CB53" s="303" t="s">
        <v>341</v>
      </c>
      <c r="CC53" s="304">
        <f>MAX(0,(CC40-CC39)/CC40)</f>
        <v>0.71786573400176046</v>
      </c>
    </row>
    <row r="54" spans="6:96" ht="12" customHeight="1" x14ac:dyDescent="0.2">
      <c r="BM54" s="50">
        <v>3</v>
      </c>
      <c r="BN54" s="50">
        <f t="shared" si="63"/>
        <v>3.0000000000000471E-2</v>
      </c>
      <c r="BO54" s="50">
        <f t="shared" si="65"/>
        <v>0.2835269494934366</v>
      </c>
      <c r="BP54" s="50">
        <f t="shared" si="66"/>
        <v>32</v>
      </c>
      <c r="BQ54" s="50">
        <f t="shared" si="64"/>
        <v>0</v>
      </c>
      <c r="BR54" s="50">
        <f t="shared" si="67"/>
        <v>18</v>
      </c>
      <c r="CB54" s="106" t="s">
        <v>342</v>
      </c>
      <c r="CC54" s="113"/>
    </row>
    <row r="55" spans="6:96" ht="12" customHeight="1" x14ac:dyDescent="0.2">
      <c r="BM55" s="50">
        <v>4</v>
      </c>
      <c r="BN55" s="50">
        <f t="shared" si="63"/>
        <v>4.000000000000048E-2</v>
      </c>
      <c r="BO55" s="50">
        <f t="shared" si="65"/>
        <v>0.28479016360258846</v>
      </c>
      <c r="BP55" s="50">
        <f t="shared" si="66"/>
        <v>32</v>
      </c>
      <c r="BQ55" s="50">
        <f t="shared" si="64"/>
        <v>0</v>
      </c>
      <c r="BR55" s="50">
        <f t="shared" si="67"/>
        <v>18</v>
      </c>
      <c r="CB55" s="268" t="s">
        <v>343</v>
      </c>
      <c r="CC55" s="113">
        <f>0.5*(LN(CC40)-LN(CC39))/(SQRT(2*CC40)-SQRT(2*CC39-1))</f>
        <v>0.12842264096306566</v>
      </c>
    </row>
    <row r="56" spans="6:96" ht="12" customHeight="1" x14ac:dyDescent="0.2">
      <c r="BM56" s="50">
        <v>5</v>
      </c>
      <c r="BN56" s="50">
        <f t="shared" si="63"/>
        <v>5.00000000000006E-2</v>
      </c>
      <c r="BO56" s="50">
        <f t="shared" si="65"/>
        <v>0.28605337771174033</v>
      </c>
      <c r="BP56" s="50">
        <f t="shared" si="66"/>
        <v>32</v>
      </c>
      <c r="BQ56" s="50">
        <f t="shared" si="64"/>
        <v>0</v>
      </c>
      <c r="BR56" s="50">
        <f t="shared" si="67"/>
        <v>18</v>
      </c>
      <c r="CB56" s="268" t="s">
        <v>344</v>
      </c>
      <c r="CC56" s="305">
        <f>SQRT(1/(2*(CC39-1)*(1-(1/(3*(CC39-1)^2)))))</f>
        <v>0.18914314094968779</v>
      </c>
    </row>
    <row r="57" spans="6:96" ht="12" customHeight="1" x14ac:dyDescent="0.2">
      <c r="BM57" s="50">
        <v>6</v>
      </c>
      <c r="BN57" s="50">
        <f t="shared" si="63"/>
        <v>6.0000000000000608E-2</v>
      </c>
      <c r="BO57" s="50">
        <f t="shared" si="65"/>
        <v>0.2873165918208922</v>
      </c>
      <c r="BP57" s="50">
        <f t="shared" si="66"/>
        <v>32</v>
      </c>
      <c r="BQ57" s="50">
        <f t="shared" si="64"/>
        <v>0</v>
      </c>
      <c r="BR57" s="50">
        <f t="shared" si="67"/>
        <v>18</v>
      </c>
      <c r="CB57" s="268" t="s">
        <v>258</v>
      </c>
      <c r="CC57" s="305">
        <f>IF(CC40&gt;(CC39+1),CC55,CC56)</f>
        <v>0.12842264096306566</v>
      </c>
    </row>
    <row r="58" spans="6:96" ht="12" customHeight="1" x14ac:dyDescent="0.2">
      <c r="BM58" s="50">
        <v>7</v>
      </c>
      <c r="BN58" s="50">
        <f t="shared" si="63"/>
        <v>7.0000000000000728E-2</v>
      </c>
      <c r="BO58" s="50">
        <f t="shared" si="65"/>
        <v>0.28857980593004406</v>
      </c>
      <c r="BP58" s="50">
        <f t="shared" si="66"/>
        <v>32</v>
      </c>
      <c r="BQ58" s="50">
        <f t="shared" si="64"/>
        <v>0</v>
      </c>
      <c r="BR58" s="50">
        <f t="shared" si="67"/>
        <v>18</v>
      </c>
      <c r="CB58" s="268" t="s">
        <v>345</v>
      </c>
      <c r="CC58" s="113">
        <f>EXP(0.5*LN(CC40/CC39)-NORMSINV((100+$I$2)/200)*CC57)</f>
        <v>1.4637217694811038</v>
      </c>
      <c r="CD58" s="306"/>
      <c r="CE58" s="63"/>
      <c r="CF58" s="63"/>
      <c r="CG58" s="63"/>
      <c r="CH58" s="63"/>
    </row>
    <row r="59" spans="6:96" ht="12" customHeight="1" x14ac:dyDescent="0.2">
      <c r="BM59" s="50">
        <v>8</v>
      </c>
      <c r="BN59" s="50">
        <f t="shared" si="63"/>
        <v>8.0000000000000848E-2</v>
      </c>
      <c r="BO59" s="50">
        <f t="shared" si="65"/>
        <v>0.28984302003919593</v>
      </c>
      <c r="BP59" s="50">
        <f t="shared" si="66"/>
        <v>32</v>
      </c>
      <c r="BQ59" s="50">
        <f t="shared" si="64"/>
        <v>0</v>
      </c>
      <c r="BR59" s="50">
        <f t="shared" si="67"/>
        <v>18</v>
      </c>
      <c r="CB59" s="268" t="s">
        <v>346</v>
      </c>
      <c r="CC59" s="113">
        <f>EXP(0.5*LN(CC40/CC39)+NORMSINV((100+$I$2)/200)*CC57)</f>
        <v>2.4215064620771352</v>
      </c>
      <c r="CE59" s="154"/>
      <c r="CF59" s="154"/>
      <c r="CG59" s="154"/>
      <c r="CH59" s="154"/>
    </row>
    <row r="60" spans="6:96" ht="12" customHeight="1" x14ac:dyDescent="0.2">
      <c r="BM60" s="50">
        <v>9</v>
      </c>
      <c r="BN60" s="50">
        <f t="shared" si="63"/>
        <v>9.0000000000000857E-2</v>
      </c>
      <c r="BO60" s="50">
        <f t="shared" si="65"/>
        <v>0.2911062341483478</v>
      </c>
      <c r="BP60" s="50">
        <f t="shared" si="66"/>
        <v>32</v>
      </c>
      <c r="BQ60" s="50">
        <f t="shared" si="64"/>
        <v>0</v>
      </c>
      <c r="BR60" s="50">
        <f t="shared" si="67"/>
        <v>18</v>
      </c>
      <c r="CB60" s="268" t="s">
        <v>347</v>
      </c>
      <c r="CC60" s="113">
        <f>MAX(0,CC39*(CC58^2-1)/CC42)</f>
        <v>1.9290777037844643E-2</v>
      </c>
    </row>
    <row r="61" spans="6:96" ht="12" customHeight="1" x14ac:dyDescent="0.2">
      <c r="BM61" s="50">
        <v>10</v>
      </c>
      <c r="BN61" s="50">
        <f t="shared" si="63"/>
        <v>0.10000000000000098</v>
      </c>
      <c r="BO61" s="50">
        <f t="shared" si="65"/>
        <v>0.29236944825749966</v>
      </c>
      <c r="BP61" s="50">
        <f t="shared" si="66"/>
        <v>32</v>
      </c>
      <c r="BQ61" s="50">
        <f t="shared" si="64"/>
        <v>3.9551695252271202E-16</v>
      </c>
      <c r="BR61" s="50">
        <f t="shared" si="67"/>
        <v>18</v>
      </c>
      <c r="CB61" s="268" t="s">
        <v>348</v>
      </c>
      <c r="CC61" s="113">
        <f>MAX(0,CC39*(CC59^2-1)/CC42)</f>
        <v>8.2123373088250531E-2</v>
      </c>
      <c r="CD61" s="63"/>
    </row>
    <row r="62" spans="6:96" ht="12" customHeight="1" x14ac:dyDescent="0.2">
      <c r="BM62" s="50">
        <v>11</v>
      </c>
      <c r="BN62" s="50">
        <f t="shared" si="63"/>
        <v>0.11000000000000099</v>
      </c>
      <c r="BO62" s="50">
        <f t="shared" si="65"/>
        <v>0.29363266236665153</v>
      </c>
      <c r="BP62" s="50">
        <f t="shared" si="66"/>
        <v>32</v>
      </c>
      <c r="BQ62" s="50">
        <f t="shared" si="64"/>
        <v>4.0000000000003991E-3</v>
      </c>
      <c r="BR62" s="50">
        <f t="shared" si="67"/>
        <v>18</v>
      </c>
      <c r="CB62" s="268" t="s">
        <v>349</v>
      </c>
      <c r="CC62" s="113">
        <f>SQRT(CC60)</f>
        <v>0.13889124176075554</v>
      </c>
      <c r="CD62" s="154"/>
    </row>
    <row r="63" spans="6:96" ht="12" customHeight="1" x14ac:dyDescent="0.2">
      <c r="BM63" s="50">
        <v>12</v>
      </c>
      <c r="BN63" s="50">
        <f t="shared" si="63"/>
        <v>0.12000000000000111</v>
      </c>
      <c r="BO63" s="50">
        <f t="shared" si="65"/>
        <v>0.2948958764758034</v>
      </c>
      <c r="BP63" s="50">
        <f t="shared" si="66"/>
        <v>32</v>
      </c>
      <c r="BQ63" s="50">
        <f t="shared" si="64"/>
        <v>8.0000000000004443E-3</v>
      </c>
      <c r="BR63" s="50">
        <f t="shared" si="67"/>
        <v>18</v>
      </c>
      <c r="CB63" s="107" t="s">
        <v>350</v>
      </c>
      <c r="CC63" s="109">
        <f>SQRT(CC61)</f>
        <v>0.28657175905565174</v>
      </c>
    </row>
    <row r="64" spans="6:96" ht="12" customHeight="1" x14ac:dyDescent="0.2">
      <c r="BM64" s="50">
        <v>13</v>
      </c>
      <c r="BN64" s="50">
        <f t="shared" si="63"/>
        <v>0.13000000000000111</v>
      </c>
      <c r="BO64" s="50">
        <f t="shared" si="65"/>
        <v>0.29615909058495526</v>
      </c>
      <c r="BP64" s="50">
        <f t="shared" si="66"/>
        <v>32</v>
      </c>
      <c r="BQ64" s="50">
        <f t="shared" si="64"/>
        <v>1.2000000000000448E-2</v>
      </c>
      <c r="BR64" s="50">
        <f t="shared" si="67"/>
        <v>18</v>
      </c>
    </row>
    <row r="65" spans="65:70" ht="12" customHeight="1" x14ac:dyDescent="0.2">
      <c r="BM65" s="50">
        <v>14</v>
      </c>
      <c r="BN65" s="50">
        <f t="shared" si="63"/>
        <v>0.14000000000000123</v>
      </c>
      <c r="BO65" s="50">
        <f t="shared" si="65"/>
        <v>0.29742230469410713</v>
      </c>
      <c r="BP65" s="50">
        <f t="shared" si="66"/>
        <v>32</v>
      </c>
      <c r="BQ65" s="50">
        <f t="shared" si="64"/>
        <v>1.6000000000000493E-2</v>
      </c>
      <c r="BR65" s="50">
        <f t="shared" si="67"/>
        <v>18</v>
      </c>
    </row>
    <row r="66" spans="65:70" ht="12" customHeight="1" x14ac:dyDescent="0.2">
      <c r="BM66" s="50">
        <v>15</v>
      </c>
      <c r="BN66" s="50">
        <f t="shared" si="63"/>
        <v>0.15000000000000135</v>
      </c>
      <c r="BO66" s="50">
        <f t="shared" si="65"/>
        <v>0.298685518803259</v>
      </c>
      <c r="BP66" s="50">
        <f t="shared" si="66"/>
        <v>32</v>
      </c>
      <c r="BQ66" s="50">
        <f t="shared" si="64"/>
        <v>2.0000000000000545E-2</v>
      </c>
      <c r="BR66" s="50">
        <f t="shared" si="67"/>
        <v>18</v>
      </c>
    </row>
    <row r="67" spans="65:70" ht="12" customHeight="1" x14ac:dyDescent="0.2">
      <c r="BM67" s="50">
        <v>16</v>
      </c>
      <c r="BN67" s="50">
        <f t="shared" si="63"/>
        <v>0.16000000000000136</v>
      </c>
      <c r="BO67" s="50">
        <f t="shared" si="65"/>
        <v>0.29994873291241086</v>
      </c>
      <c r="BP67" s="50">
        <f t="shared" si="66"/>
        <v>32</v>
      </c>
      <c r="BQ67" s="50">
        <f t="shared" si="64"/>
        <v>2.4000000000000542E-2</v>
      </c>
      <c r="BR67" s="50">
        <f t="shared" si="67"/>
        <v>18</v>
      </c>
    </row>
    <row r="68" spans="65:70" ht="12" customHeight="1" x14ac:dyDescent="0.2">
      <c r="BM68" s="50">
        <v>17</v>
      </c>
      <c r="BN68" s="50">
        <f t="shared" si="63"/>
        <v>0.17000000000000148</v>
      </c>
      <c r="BO68" s="50">
        <f t="shared" si="65"/>
        <v>0.30121194702156273</v>
      </c>
      <c r="BP68" s="50">
        <f t="shared" si="66"/>
        <v>32</v>
      </c>
      <c r="BQ68" s="50">
        <f t="shared" si="64"/>
        <v>2.8000000000000601E-2</v>
      </c>
      <c r="BR68" s="50">
        <f t="shared" si="67"/>
        <v>18</v>
      </c>
    </row>
    <row r="69" spans="65:70" ht="12" customHeight="1" x14ac:dyDescent="0.2">
      <c r="BM69" s="50">
        <v>18</v>
      </c>
      <c r="BN69" s="50">
        <f t="shared" si="63"/>
        <v>0.18000000000000149</v>
      </c>
      <c r="BO69" s="50">
        <f t="shared" si="65"/>
        <v>0.3024751611307146</v>
      </c>
      <c r="BP69" s="50">
        <f t="shared" si="66"/>
        <v>32</v>
      </c>
      <c r="BQ69" s="50">
        <f t="shared" si="64"/>
        <v>3.2000000000000604E-2</v>
      </c>
      <c r="BR69" s="50">
        <f t="shared" si="67"/>
        <v>18</v>
      </c>
    </row>
    <row r="70" spans="65:70" ht="12" customHeight="1" x14ac:dyDescent="0.2">
      <c r="BM70" s="50">
        <v>19</v>
      </c>
      <c r="BN70" s="50">
        <f t="shared" si="63"/>
        <v>0.19000000000000161</v>
      </c>
      <c r="BO70" s="50">
        <f t="shared" si="65"/>
        <v>0.30373837523986646</v>
      </c>
      <c r="BP70" s="50">
        <f t="shared" si="66"/>
        <v>32</v>
      </c>
      <c r="BQ70" s="50">
        <f t="shared" si="64"/>
        <v>3.600000000000065E-2</v>
      </c>
      <c r="BR70" s="50">
        <f t="shared" si="67"/>
        <v>18</v>
      </c>
    </row>
    <row r="71" spans="65:70" ht="12" customHeight="1" x14ac:dyDescent="0.2">
      <c r="BM71" s="50">
        <v>20</v>
      </c>
      <c r="BN71" s="50">
        <f t="shared" si="63"/>
        <v>0.20000000000000162</v>
      </c>
      <c r="BO71" s="50">
        <f t="shared" si="65"/>
        <v>0.30500158934901833</v>
      </c>
      <c r="BP71" s="50">
        <f t="shared" si="66"/>
        <v>32</v>
      </c>
      <c r="BQ71" s="50">
        <f t="shared" si="64"/>
        <v>4.0000000000000653E-2</v>
      </c>
      <c r="BR71" s="50">
        <f t="shared" si="67"/>
        <v>18</v>
      </c>
    </row>
    <row r="72" spans="65:70" ht="12" customHeight="1" x14ac:dyDescent="0.2">
      <c r="BM72" s="50">
        <v>21</v>
      </c>
      <c r="BN72" s="50">
        <f t="shared" si="63"/>
        <v>0.21000000000000174</v>
      </c>
      <c r="BO72" s="50">
        <f t="shared" si="65"/>
        <v>0.3062648034581702</v>
      </c>
      <c r="BP72" s="50">
        <f t="shared" si="66"/>
        <v>32</v>
      </c>
      <c r="BQ72" s="50">
        <f t="shared" si="64"/>
        <v>4.4000000000000698E-2</v>
      </c>
      <c r="BR72" s="50">
        <f t="shared" si="67"/>
        <v>18</v>
      </c>
    </row>
    <row r="73" spans="65:70" ht="12" customHeight="1" x14ac:dyDescent="0.2">
      <c r="BM73" s="50">
        <v>22</v>
      </c>
      <c r="BN73" s="50">
        <f t="shared" si="63"/>
        <v>0.22000000000000186</v>
      </c>
      <c r="BO73" s="50">
        <f t="shared" si="65"/>
        <v>0.30752801756732207</v>
      </c>
      <c r="BP73" s="50">
        <f t="shared" si="66"/>
        <v>32</v>
      </c>
      <c r="BQ73" s="50">
        <f t="shared" si="64"/>
        <v>4.8000000000000743E-2</v>
      </c>
      <c r="BR73" s="50">
        <f t="shared" si="67"/>
        <v>18</v>
      </c>
    </row>
    <row r="74" spans="65:70" ht="12" customHeight="1" x14ac:dyDescent="0.2">
      <c r="BM74" s="50">
        <v>23</v>
      </c>
      <c r="BN74" s="50">
        <f t="shared" si="63"/>
        <v>0.23000000000000187</v>
      </c>
      <c r="BO74" s="50">
        <f t="shared" si="65"/>
        <v>0.30879123167647393</v>
      </c>
      <c r="BP74" s="50">
        <f t="shared" si="66"/>
        <v>32</v>
      </c>
      <c r="BQ74" s="50">
        <f t="shared" si="64"/>
        <v>5.2000000000000747E-2</v>
      </c>
      <c r="BR74" s="50">
        <f t="shared" si="67"/>
        <v>18</v>
      </c>
    </row>
    <row r="75" spans="65:70" ht="12" customHeight="1" x14ac:dyDescent="0.2">
      <c r="BM75" s="50">
        <v>24</v>
      </c>
      <c r="BN75" s="50">
        <f t="shared" si="63"/>
        <v>0.24000000000000199</v>
      </c>
      <c r="BO75" s="50">
        <f t="shared" si="65"/>
        <v>0.3100544457856258</v>
      </c>
      <c r="BP75" s="50">
        <f t="shared" si="66"/>
        <v>32</v>
      </c>
      <c r="BQ75" s="50">
        <f t="shared" si="64"/>
        <v>5.6000000000000806E-2</v>
      </c>
      <c r="BR75" s="50">
        <f t="shared" si="67"/>
        <v>18</v>
      </c>
    </row>
    <row r="76" spans="65:70" ht="12" customHeight="1" x14ac:dyDescent="0.2">
      <c r="BM76" s="50">
        <v>25</v>
      </c>
      <c r="BN76" s="50">
        <f t="shared" si="63"/>
        <v>0.250000000000002</v>
      </c>
      <c r="BO76" s="50">
        <f t="shared" si="65"/>
        <v>0.31131765989477767</v>
      </c>
      <c r="BP76" s="50">
        <f t="shared" si="66"/>
        <v>32</v>
      </c>
      <c r="BQ76" s="50">
        <f t="shared" si="64"/>
        <v>6.000000000000081E-2</v>
      </c>
      <c r="BR76" s="50">
        <f t="shared" si="67"/>
        <v>18</v>
      </c>
    </row>
    <row r="77" spans="65:70" ht="12" customHeight="1" x14ac:dyDescent="0.2">
      <c r="BM77" s="50">
        <v>26</v>
      </c>
      <c r="BN77" s="50">
        <f t="shared" si="63"/>
        <v>0.26000000000000212</v>
      </c>
      <c r="BO77" s="50">
        <f t="shared" si="65"/>
        <v>0.31258087400392953</v>
      </c>
      <c r="BP77" s="50">
        <f t="shared" si="66"/>
        <v>32</v>
      </c>
      <c r="BQ77" s="50">
        <f t="shared" si="64"/>
        <v>6.4000000000000862E-2</v>
      </c>
      <c r="BR77" s="50">
        <f t="shared" si="67"/>
        <v>18</v>
      </c>
    </row>
    <row r="78" spans="65:70" ht="12" customHeight="1" x14ac:dyDescent="0.2">
      <c r="BM78" s="50">
        <v>27</v>
      </c>
      <c r="BN78" s="50">
        <f t="shared" si="63"/>
        <v>0.27000000000000213</v>
      </c>
      <c r="BO78" s="50">
        <f t="shared" si="65"/>
        <v>0.3138440881130814</v>
      </c>
      <c r="BP78" s="50">
        <f t="shared" si="66"/>
        <v>32</v>
      </c>
      <c r="BQ78" s="50">
        <f t="shared" si="64"/>
        <v>6.8000000000000865E-2</v>
      </c>
      <c r="BR78" s="50">
        <f t="shared" si="67"/>
        <v>18</v>
      </c>
    </row>
    <row r="79" spans="65:70" ht="12" customHeight="1" x14ac:dyDescent="0.2">
      <c r="BM79" s="50">
        <v>28</v>
      </c>
      <c r="BN79" s="50">
        <f t="shared" si="63"/>
        <v>0.28000000000000225</v>
      </c>
      <c r="BO79" s="50">
        <f t="shared" si="65"/>
        <v>0.31510730222223327</v>
      </c>
      <c r="BP79" s="50">
        <f t="shared" si="66"/>
        <v>32</v>
      </c>
      <c r="BQ79" s="50">
        <f t="shared" si="64"/>
        <v>7.2000000000000897E-2</v>
      </c>
      <c r="BR79" s="50">
        <f t="shared" si="67"/>
        <v>18</v>
      </c>
    </row>
    <row r="80" spans="65:70" ht="12" customHeight="1" x14ac:dyDescent="0.2">
      <c r="BM80" s="50">
        <v>29</v>
      </c>
      <c r="BN80" s="50">
        <f t="shared" si="63"/>
        <v>0.29000000000000237</v>
      </c>
      <c r="BO80" s="50">
        <f t="shared" si="65"/>
        <v>0.31637051633138513</v>
      </c>
      <c r="BP80" s="50">
        <f t="shared" si="66"/>
        <v>32</v>
      </c>
      <c r="BQ80" s="50">
        <f t="shared" si="64"/>
        <v>7.6000000000000956E-2</v>
      </c>
      <c r="BR80" s="50">
        <f t="shared" si="67"/>
        <v>18</v>
      </c>
    </row>
    <row r="81" spans="65:70" ht="12" customHeight="1" x14ac:dyDescent="0.2">
      <c r="BM81" s="50">
        <v>30</v>
      </c>
      <c r="BN81" s="50">
        <f t="shared" si="63"/>
        <v>0.30000000000000238</v>
      </c>
      <c r="BO81" s="50">
        <f t="shared" si="65"/>
        <v>0.317633730440537</v>
      </c>
      <c r="BP81" s="50">
        <f t="shared" si="66"/>
        <v>32</v>
      </c>
      <c r="BQ81" s="50">
        <f t="shared" si="64"/>
        <v>8.0000000000000959E-2</v>
      </c>
      <c r="BR81" s="50">
        <f t="shared" si="67"/>
        <v>18</v>
      </c>
    </row>
    <row r="82" spans="65:70" ht="12" customHeight="1" x14ac:dyDescent="0.2">
      <c r="BM82" s="50">
        <v>31</v>
      </c>
      <c r="BN82" s="50">
        <f t="shared" si="63"/>
        <v>0.3100000000000025</v>
      </c>
      <c r="BO82" s="50">
        <f t="shared" si="65"/>
        <v>0.31889694454968887</v>
      </c>
      <c r="BP82" s="50">
        <f t="shared" si="66"/>
        <v>32</v>
      </c>
      <c r="BQ82" s="50">
        <f t="shared" si="64"/>
        <v>8.4000000000000991E-2</v>
      </c>
      <c r="BR82" s="50">
        <f t="shared" si="67"/>
        <v>18</v>
      </c>
    </row>
    <row r="83" spans="65:70" ht="12" customHeight="1" x14ac:dyDescent="0.2">
      <c r="BM83" s="50">
        <v>32</v>
      </c>
      <c r="BN83" s="50">
        <f t="shared" si="63"/>
        <v>0.3200000000000025</v>
      </c>
      <c r="BO83" s="50">
        <f t="shared" si="65"/>
        <v>0.32016015865884073</v>
      </c>
      <c r="BP83" s="50">
        <f t="shared" si="66"/>
        <v>32</v>
      </c>
      <c r="BQ83" s="50">
        <f t="shared" si="64"/>
        <v>8.8000000000000994E-2</v>
      </c>
      <c r="BR83" s="50">
        <f t="shared" si="67"/>
        <v>18</v>
      </c>
    </row>
    <row r="84" spans="65:70" ht="12" customHeight="1" x14ac:dyDescent="0.2">
      <c r="BM84" s="50">
        <v>33</v>
      </c>
      <c r="BN84" s="50">
        <f t="shared" si="63"/>
        <v>0.33000000000000262</v>
      </c>
      <c r="BO84" s="50">
        <f t="shared" ref="BO84:BO115" si="68">IF($CB$3,BO83+$BN$46,NA())</f>
        <v>0.3214233727679926</v>
      </c>
      <c r="BP84" s="50">
        <f t="shared" ref="BP84:BP115" si="69">BP83</f>
        <v>32</v>
      </c>
      <c r="BQ84" s="50">
        <f t="shared" si="64"/>
        <v>9.2000000000001053E-2</v>
      </c>
      <c r="BR84" s="50">
        <f t="shared" ref="BR84:BR115" si="70">BR83</f>
        <v>18</v>
      </c>
    </row>
    <row r="85" spans="65:70" ht="12" customHeight="1" x14ac:dyDescent="0.2">
      <c r="BM85" s="50">
        <v>34</v>
      </c>
      <c r="BN85" s="50">
        <f t="shared" si="63"/>
        <v>0.34000000000000263</v>
      </c>
      <c r="BO85" s="50">
        <f t="shared" si="68"/>
        <v>0.32268658687714447</v>
      </c>
      <c r="BP85" s="50">
        <f t="shared" si="69"/>
        <v>32</v>
      </c>
      <c r="BQ85" s="50">
        <f t="shared" si="64"/>
        <v>9.6000000000001057E-2</v>
      </c>
      <c r="BR85" s="50">
        <f t="shared" si="70"/>
        <v>18</v>
      </c>
    </row>
    <row r="86" spans="65:70" ht="12" customHeight="1" x14ac:dyDescent="0.2">
      <c r="BM86" s="50">
        <v>35</v>
      </c>
      <c r="BN86" s="50">
        <f t="shared" si="63"/>
        <v>0.35000000000000275</v>
      </c>
      <c r="BO86" s="50">
        <f t="shared" si="68"/>
        <v>0.32394980098629633</v>
      </c>
      <c r="BP86" s="50">
        <f t="shared" si="69"/>
        <v>32</v>
      </c>
      <c r="BQ86" s="50">
        <f t="shared" si="64"/>
        <v>0.10000000000000109</v>
      </c>
      <c r="BR86" s="50">
        <f t="shared" si="70"/>
        <v>18</v>
      </c>
    </row>
    <row r="87" spans="65:70" ht="12" customHeight="1" x14ac:dyDescent="0.2">
      <c r="BM87" s="50">
        <v>36</v>
      </c>
      <c r="BN87" s="50">
        <f t="shared" si="63"/>
        <v>0.36000000000000287</v>
      </c>
      <c r="BO87" s="50">
        <f t="shared" si="68"/>
        <v>0.3252130150954482</v>
      </c>
      <c r="BP87" s="50">
        <f t="shared" si="69"/>
        <v>32</v>
      </c>
      <c r="BQ87" s="50">
        <f t="shared" si="64"/>
        <v>0.10400000000000115</v>
      </c>
      <c r="BR87" s="50">
        <f t="shared" si="70"/>
        <v>18</v>
      </c>
    </row>
    <row r="88" spans="65:70" ht="12" customHeight="1" x14ac:dyDescent="0.2">
      <c r="BM88" s="50">
        <v>37</v>
      </c>
      <c r="BN88" s="50">
        <f t="shared" si="63"/>
        <v>0.37000000000000288</v>
      </c>
      <c r="BO88" s="50">
        <f t="shared" si="68"/>
        <v>0.32647622920460007</v>
      </c>
      <c r="BP88" s="50">
        <f t="shared" si="69"/>
        <v>32</v>
      </c>
      <c r="BQ88" s="50">
        <f t="shared" si="64"/>
        <v>0.10800000000000115</v>
      </c>
      <c r="BR88" s="50">
        <f t="shared" si="70"/>
        <v>18</v>
      </c>
    </row>
    <row r="89" spans="65:70" ht="12" customHeight="1" x14ac:dyDescent="0.2">
      <c r="BM89" s="50">
        <v>38</v>
      </c>
      <c r="BN89" s="50">
        <f t="shared" si="63"/>
        <v>0.380000000000003</v>
      </c>
      <c r="BO89" s="50">
        <f t="shared" si="68"/>
        <v>0.32773944331375193</v>
      </c>
      <c r="BP89" s="50">
        <f t="shared" si="69"/>
        <v>32</v>
      </c>
      <c r="BQ89" s="50">
        <f t="shared" si="64"/>
        <v>0.11200000000000121</v>
      </c>
      <c r="BR89" s="50">
        <f t="shared" si="70"/>
        <v>18</v>
      </c>
    </row>
    <row r="90" spans="65:70" ht="12" customHeight="1" x14ac:dyDescent="0.2">
      <c r="BM90" s="50">
        <v>39</v>
      </c>
      <c r="BN90" s="50">
        <f t="shared" si="63"/>
        <v>0.39000000000000301</v>
      </c>
      <c r="BO90" s="50">
        <f t="shared" si="68"/>
        <v>0.3290026574229038</v>
      </c>
      <c r="BP90" s="50">
        <f t="shared" si="69"/>
        <v>32</v>
      </c>
      <c r="BQ90" s="50">
        <f t="shared" si="64"/>
        <v>0.11600000000000121</v>
      </c>
      <c r="BR90" s="50">
        <f t="shared" si="70"/>
        <v>18</v>
      </c>
    </row>
    <row r="91" spans="65:70" ht="12" customHeight="1" x14ac:dyDescent="0.2">
      <c r="BM91" s="50">
        <v>40</v>
      </c>
      <c r="BN91" s="50">
        <f t="shared" si="63"/>
        <v>0.40000000000000313</v>
      </c>
      <c r="BO91" s="50">
        <f t="shared" si="68"/>
        <v>0.33026587153205567</v>
      </c>
      <c r="BP91" s="50">
        <f t="shared" si="69"/>
        <v>32</v>
      </c>
      <c r="BQ91" s="50">
        <f t="shared" si="64"/>
        <v>0.12000000000000124</v>
      </c>
      <c r="BR91" s="50">
        <f t="shared" si="70"/>
        <v>18</v>
      </c>
    </row>
    <row r="92" spans="65:70" ht="12" customHeight="1" x14ac:dyDescent="0.2">
      <c r="BM92" s="50">
        <v>41</v>
      </c>
      <c r="BN92" s="50">
        <f t="shared" si="63"/>
        <v>0.41000000000000314</v>
      </c>
      <c r="BO92" s="50">
        <f t="shared" si="68"/>
        <v>0.33152908564120753</v>
      </c>
      <c r="BP92" s="50">
        <f t="shared" si="69"/>
        <v>32</v>
      </c>
      <c r="BQ92" s="50">
        <f t="shared" si="64"/>
        <v>0.12400000000000125</v>
      </c>
      <c r="BR92" s="50">
        <f t="shared" si="70"/>
        <v>18</v>
      </c>
    </row>
    <row r="93" spans="65:70" ht="12" customHeight="1" x14ac:dyDescent="0.2">
      <c r="BM93" s="50">
        <v>42</v>
      </c>
      <c r="BN93" s="50">
        <f t="shared" si="63"/>
        <v>0.42000000000000326</v>
      </c>
      <c r="BO93" s="50">
        <f t="shared" si="68"/>
        <v>0.3327922997503594</v>
      </c>
      <c r="BP93" s="50">
        <f t="shared" si="69"/>
        <v>32</v>
      </c>
      <c r="BQ93" s="50">
        <f t="shared" si="64"/>
        <v>0.12800000000000131</v>
      </c>
      <c r="BR93" s="50">
        <f t="shared" si="70"/>
        <v>18</v>
      </c>
    </row>
    <row r="94" spans="65:70" ht="12" customHeight="1" x14ac:dyDescent="0.2">
      <c r="BM94" s="50">
        <v>43</v>
      </c>
      <c r="BN94" s="50">
        <f t="shared" si="63"/>
        <v>0.43000000000000338</v>
      </c>
      <c r="BO94" s="50">
        <f t="shared" si="68"/>
        <v>0.33405551385951127</v>
      </c>
      <c r="BP94" s="50">
        <f t="shared" si="69"/>
        <v>32</v>
      </c>
      <c r="BQ94" s="50">
        <f t="shared" si="64"/>
        <v>0.13200000000000137</v>
      </c>
      <c r="BR94" s="50">
        <f t="shared" si="70"/>
        <v>18</v>
      </c>
    </row>
    <row r="95" spans="65:70" ht="12" customHeight="1" x14ac:dyDescent="0.2">
      <c r="BM95" s="50">
        <v>44</v>
      </c>
      <c r="BN95" s="50">
        <f t="shared" si="63"/>
        <v>0.44000000000000339</v>
      </c>
      <c r="BO95" s="50">
        <f t="shared" si="68"/>
        <v>0.33531872796866313</v>
      </c>
      <c r="BP95" s="50">
        <f t="shared" si="69"/>
        <v>32</v>
      </c>
      <c r="BQ95" s="50">
        <f t="shared" si="64"/>
        <v>0.13600000000000137</v>
      </c>
      <c r="BR95" s="50">
        <f t="shared" si="70"/>
        <v>18</v>
      </c>
    </row>
    <row r="96" spans="65:70" ht="12" customHeight="1" x14ac:dyDescent="0.2">
      <c r="BM96" s="50">
        <v>45</v>
      </c>
      <c r="BN96" s="50">
        <f t="shared" si="63"/>
        <v>0.45000000000000351</v>
      </c>
      <c r="BO96" s="50">
        <f t="shared" si="68"/>
        <v>0.336581942077815</v>
      </c>
      <c r="BP96" s="50">
        <f t="shared" si="69"/>
        <v>32</v>
      </c>
      <c r="BQ96" s="50">
        <f t="shared" si="64"/>
        <v>0.1400000000000014</v>
      </c>
      <c r="BR96" s="50">
        <f t="shared" si="70"/>
        <v>18</v>
      </c>
    </row>
    <row r="97" spans="65:70" ht="12" customHeight="1" x14ac:dyDescent="0.2">
      <c r="BM97" s="50">
        <v>46</v>
      </c>
      <c r="BN97" s="50">
        <f t="shared" si="63"/>
        <v>0.46000000000000352</v>
      </c>
      <c r="BO97" s="50">
        <f t="shared" si="68"/>
        <v>0.33784515618696687</v>
      </c>
      <c r="BP97" s="50">
        <f t="shared" si="69"/>
        <v>32</v>
      </c>
      <c r="BQ97" s="50">
        <f t="shared" si="64"/>
        <v>0.1440000000000014</v>
      </c>
      <c r="BR97" s="50">
        <f t="shared" si="70"/>
        <v>18</v>
      </c>
    </row>
    <row r="98" spans="65:70" ht="12" customHeight="1" x14ac:dyDescent="0.2">
      <c r="BM98" s="50">
        <v>47</v>
      </c>
      <c r="BN98" s="50">
        <f t="shared" si="63"/>
        <v>0.47000000000000364</v>
      </c>
      <c r="BO98" s="50">
        <f t="shared" si="68"/>
        <v>0.33910837029611873</v>
      </c>
      <c r="BP98" s="50">
        <f t="shared" si="69"/>
        <v>32</v>
      </c>
      <c r="BQ98" s="50">
        <f t="shared" si="64"/>
        <v>0.14800000000000146</v>
      </c>
      <c r="BR98" s="50">
        <f t="shared" si="70"/>
        <v>18</v>
      </c>
    </row>
    <row r="99" spans="65:70" ht="12" customHeight="1" x14ac:dyDescent="0.2">
      <c r="BM99" s="50">
        <v>48</v>
      </c>
      <c r="BN99" s="50">
        <f t="shared" si="63"/>
        <v>0.48000000000000365</v>
      </c>
      <c r="BO99" s="50">
        <f t="shared" si="68"/>
        <v>0.3403715844052706</v>
      </c>
      <c r="BP99" s="50">
        <f t="shared" si="69"/>
        <v>32</v>
      </c>
      <c r="BQ99" s="50">
        <f t="shared" si="64"/>
        <v>0.15200000000000147</v>
      </c>
      <c r="BR99" s="50">
        <f t="shared" si="70"/>
        <v>18</v>
      </c>
    </row>
    <row r="100" spans="65:70" ht="12" customHeight="1" x14ac:dyDescent="0.2">
      <c r="BM100" s="50">
        <v>49</v>
      </c>
      <c r="BN100" s="50">
        <f t="shared" si="63"/>
        <v>0.49000000000000377</v>
      </c>
      <c r="BO100" s="50">
        <f t="shared" si="68"/>
        <v>0.34163479851442247</v>
      </c>
      <c r="BP100" s="50">
        <f t="shared" si="69"/>
        <v>32</v>
      </c>
      <c r="BQ100" s="50">
        <f t="shared" si="64"/>
        <v>0.1560000000000015</v>
      </c>
      <c r="BR100" s="50">
        <f t="shared" si="70"/>
        <v>18</v>
      </c>
    </row>
    <row r="101" spans="65:70" ht="12" customHeight="1" x14ac:dyDescent="0.2">
      <c r="BM101" s="50">
        <v>50</v>
      </c>
      <c r="BN101" s="50">
        <f t="shared" si="63"/>
        <v>0.50000000000000377</v>
      </c>
      <c r="BO101" s="50">
        <f t="shared" si="68"/>
        <v>0.34289801262357433</v>
      </c>
      <c r="BP101" s="50">
        <f t="shared" si="69"/>
        <v>32</v>
      </c>
      <c r="BQ101" s="50">
        <f t="shared" si="64"/>
        <v>0.1600000000000015</v>
      </c>
      <c r="BR101" s="50">
        <f t="shared" si="70"/>
        <v>18</v>
      </c>
    </row>
    <row r="102" spans="65:70" ht="12" customHeight="1" x14ac:dyDescent="0.2">
      <c r="BM102" s="50">
        <v>51</v>
      </c>
      <c r="BN102" s="50">
        <f t="shared" si="63"/>
        <v>0.51000000000000389</v>
      </c>
      <c r="BO102" s="50">
        <f t="shared" si="68"/>
        <v>0.3441612267327262</v>
      </c>
      <c r="BP102" s="50">
        <f t="shared" si="69"/>
        <v>32</v>
      </c>
      <c r="BQ102" s="50">
        <f t="shared" si="64"/>
        <v>0.16400000000000156</v>
      </c>
      <c r="BR102" s="50">
        <f t="shared" si="70"/>
        <v>18</v>
      </c>
    </row>
    <row r="103" spans="65:70" ht="12" customHeight="1" x14ac:dyDescent="0.2">
      <c r="BM103" s="50">
        <v>52</v>
      </c>
      <c r="BN103" s="50">
        <f t="shared" si="63"/>
        <v>0.52000000000000401</v>
      </c>
      <c r="BO103" s="50">
        <f t="shared" si="68"/>
        <v>0.34542444084187807</v>
      </c>
      <c r="BP103" s="50">
        <f t="shared" si="69"/>
        <v>32</v>
      </c>
      <c r="BQ103" s="50">
        <f t="shared" si="64"/>
        <v>0.16800000000000162</v>
      </c>
      <c r="BR103" s="50">
        <f t="shared" si="70"/>
        <v>18</v>
      </c>
    </row>
    <row r="104" spans="65:70" ht="12" customHeight="1" x14ac:dyDescent="0.2">
      <c r="BM104" s="50">
        <v>53</v>
      </c>
      <c r="BN104" s="50">
        <f t="shared" si="63"/>
        <v>0.53000000000000402</v>
      </c>
      <c r="BO104" s="50">
        <f t="shared" si="68"/>
        <v>0.34668765495102993</v>
      </c>
      <c r="BP104" s="50">
        <f t="shared" si="69"/>
        <v>32</v>
      </c>
      <c r="BQ104" s="50">
        <f t="shared" si="64"/>
        <v>0.17200000000000162</v>
      </c>
      <c r="BR104" s="50">
        <f t="shared" si="70"/>
        <v>18</v>
      </c>
    </row>
    <row r="105" spans="65:70" ht="12" customHeight="1" x14ac:dyDescent="0.2">
      <c r="BM105" s="50">
        <v>54</v>
      </c>
      <c r="BN105" s="50">
        <f t="shared" si="63"/>
        <v>0.54000000000000414</v>
      </c>
      <c r="BO105" s="50">
        <f t="shared" si="68"/>
        <v>0.3479508690601818</v>
      </c>
      <c r="BP105" s="50">
        <f t="shared" si="69"/>
        <v>32</v>
      </c>
      <c r="BQ105" s="50">
        <f t="shared" si="64"/>
        <v>0.17600000000000166</v>
      </c>
      <c r="BR105" s="50">
        <f t="shared" si="70"/>
        <v>18</v>
      </c>
    </row>
    <row r="106" spans="65:70" ht="12" customHeight="1" x14ac:dyDescent="0.2">
      <c r="BM106" s="50">
        <v>55</v>
      </c>
      <c r="BN106" s="50">
        <f t="shared" si="63"/>
        <v>0.55000000000000426</v>
      </c>
      <c r="BO106" s="50">
        <f t="shared" si="68"/>
        <v>0.34921408316933367</v>
      </c>
      <c r="BP106" s="50">
        <f t="shared" si="69"/>
        <v>32</v>
      </c>
      <c r="BQ106" s="50">
        <f t="shared" si="64"/>
        <v>0.18000000000000171</v>
      </c>
      <c r="BR106" s="50">
        <f t="shared" si="70"/>
        <v>18</v>
      </c>
    </row>
    <row r="107" spans="65:70" ht="12" customHeight="1" x14ac:dyDescent="0.2">
      <c r="BM107" s="50">
        <v>56</v>
      </c>
      <c r="BN107" s="50">
        <f t="shared" si="63"/>
        <v>0.56000000000000427</v>
      </c>
      <c r="BO107" s="50">
        <f t="shared" si="68"/>
        <v>0.35047729727848553</v>
      </c>
      <c r="BP107" s="50">
        <f t="shared" si="69"/>
        <v>32</v>
      </c>
      <c r="BQ107" s="50">
        <f t="shared" si="64"/>
        <v>0.18400000000000172</v>
      </c>
      <c r="BR107" s="50">
        <f t="shared" si="70"/>
        <v>18</v>
      </c>
    </row>
    <row r="108" spans="65:70" ht="12" customHeight="1" x14ac:dyDescent="0.2">
      <c r="BM108" s="50">
        <v>57</v>
      </c>
      <c r="BN108" s="50">
        <f t="shared" si="63"/>
        <v>0.57000000000000428</v>
      </c>
      <c r="BO108" s="50">
        <f t="shared" si="68"/>
        <v>0.3517405113876374</v>
      </c>
      <c r="BP108" s="50">
        <f t="shared" si="69"/>
        <v>32</v>
      </c>
      <c r="BQ108" s="50">
        <f t="shared" si="64"/>
        <v>0.18800000000000172</v>
      </c>
      <c r="BR108" s="50">
        <f t="shared" si="70"/>
        <v>18</v>
      </c>
    </row>
    <row r="109" spans="65:70" ht="12" customHeight="1" x14ac:dyDescent="0.2">
      <c r="BM109" s="50">
        <v>58</v>
      </c>
      <c r="BN109" s="50">
        <f t="shared" si="63"/>
        <v>0.5800000000000044</v>
      </c>
      <c r="BO109" s="50">
        <f t="shared" si="68"/>
        <v>0.35300372549678927</v>
      </c>
      <c r="BP109" s="50">
        <f t="shared" si="69"/>
        <v>32</v>
      </c>
      <c r="BQ109" s="50">
        <f t="shared" si="64"/>
        <v>0.19200000000000175</v>
      </c>
      <c r="BR109" s="50">
        <f t="shared" si="70"/>
        <v>18</v>
      </c>
    </row>
    <row r="110" spans="65:70" ht="12" customHeight="1" x14ac:dyDescent="0.2">
      <c r="BM110" s="50">
        <v>59</v>
      </c>
      <c r="BN110" s="50">
        <f t="shared" si="63"/>
        <v>0.59000000000000452</v>
      </c>
      <c r="BO110" s="50">
        <f t="shared" si="68"/>
        <v>0.35426693960594113</v>
      </c>
      <c r="BP110" s="50">
        <f t="shared" si="69"/>
        <v>32</v>
      </c>
      <c r="BQ110" s="50">
        <f t="shared" si="64"/>
        <v>0.19600000000000181</v>
      </c>
      <c r="BR110" s="50">
        <f t="shared" si="70"/>
        <v>18</v>
      </c>
    </row>
    <row r="111" spans="65:70" ht="12" customHeight="1" x14ac:dyDescent="0.2">
      <c r="BM111" s="50">
        <v>60</v>
      </c>
      <c r="BN111" s="50">
        <f t="shared" si="63"/>
        <v>0.60000000000000453</v>
      </c>
      <c r="BO111" s="50">
        <f t="shared" si="68"/>
        <v>0.355530153715093</v>
      </c>
      <c r="BP111" s="50">
        <f t="shared" si="69"/>
        <v>32</v>
      </c>
      <c r="BQ111" s="50">
        <f t="shared" si="64"/>
        <v>0.20000000000000182</v>
      </c>
      <c r="BR111" s="50">
        <f t="shared" si="70"/>
        <v>18</v>
      </c>
    </row>
    <row r="112" spans="65:70" ht="12" customHeight="1" x14ac:dyDescent="0.2">
      <c r="BM112" s="50">
        <v>61</v>
      </c>
      <c r="BN112" s="50">
        <f t="shared" si="63"/>
        <v>0.61000000000000465</v>
      </c>
      <c r="BO112" s="50">
        <f t="shared" si="68"/>
        <v>0.35679336782424487</v>
      </c>
      <c r="BP112" s="50">
        <f t="shared" si="69"/>
        <v>32</v>
      </c>
      <c r="BQ112" s="50">
        <f t="shared" si="64"/>
        <v>0.20400000000000187</v>
      </c>
      <c r="BR112" s="50">
        <f t="shared" si="70"/>
        <v>18</v>
      </c>
    </row>
    <row r="113" spans="65:70" ht="12" customHeight="1" x14ac:dyDescent="0.2">
      <c r="BM113" s="50">
        <v>62</v>
      </c>
      <c r="BN113" s="50">
        <f t="shared" si="63"/>
        <v>0.62000000000000477</v>
      </c>
      <c r="BO113" s="50">
        <f t="shared" si="68"/>
        <v>0.35805658193339673</v>
      </c>
      <c r="BP113" s="50">
        <f t="shared" si="69"/>
        <v>32</v>
      </c>
      <c r="BQ113" s="50">
        <f t="shared" si="64"/>
        <v>0.20800000000000191</v>
      </c>
      <c r="BR113" s="50">
        <f t="shared" si="70"/>
        <v>18</v>
      </c>
    </row>
    <row r="114" spans="65:70" ht="12" customHeight="1" x14ac:dyDescent="0.2">
      <c r="BM114" s="50">
        <v>63</v>
      </c>
      <c r="BN114" s="50">
        <f t="shared" si="63"/>
        <v>0.63000000000000478</v>
      </c>
      <c r="BO114" s="50">
        <f t="shared" si="68"/>
        <v>0.3593197960425486</v>
      </c>
      <c r="BP114" s="50">
        <f t="shared" si="69"/>
        <v>32</v>
      </c>
      <c r="BQ114" s="50">
        <f t="shared" si="64"/>
        <v>0.21200000000000194</v>
      </c>
      <c r="BR114" s="50">
        <f t="shared" si="70"/>
        <v>18</v>
      </c>
    </row>
    <row r="115" spans="65:70" ht="12" customHeight="1" x14ac:dyDescent="0.2">
      <c r="BM115" s="50">
        <v>64</v>
      </c>
      <c r="BN115" s="50">
        <f t="shared" ref="BN115:BN178" si="71">1-ABS($BQ$40-BO115)/$BS$39</f>
        <v>0.64000000000000479</v>
      </c>
      <c r="BO115" s="50">
        <f t="shared" si="68"/>
        <v>0.36058301015170047</v>
      </c>
      <c r="BP115" s="50">
        <f t="shared" si="69"/>
        <v>32</v>
      </c>
      <c r="BQ115" s="50">
        <f t="shared" ref="BQ115:BQ178" si="72">MAX($BR$42*BN115-$BN$47,0)</f>
        <v>0.21600000000000194</v>
      </c>
      <c r="BR115" s="50">
        <f t="shared" si="70"/>
        <v>18</v>
      </c>
    </row>
    <row r="116" spans="65:70" ht="12" customHeight="1" x14ac:dyDescent="0.2">
      <c r="BM116" s="50">
        <v>65</v>
      </c>
      <c r="BN116" s="50">
        <f t="shared" si="71"/>
        <v>0.65000000000000491</v>
      </c>
      <c r="BO116" s="50">
        <f t="shared" ref="BO116:BO147" si="73">IF($CB$3,BO115+$BN$46,NA())</f>
        <v>0.36184622426085233</v>
      </c>
      <c r="BP116" s="50">
        <f t="shared" ref="BP116:BP147" si="74">BP115</f>
        <v>32</v>
      </c>
      <c r="BQ116" s="50">
        <f t="shared" si="72"/>
        <v>0.22000000000000194</v>
      </c>
      <c r="BR116" s="50">
        <f t="shared" ref="BR116:BR147" si="75">BR115</f>
        <v>18</v>
      </c>
    </row>
    <row r="117" spans="65:70" ht="12" customHeight="1" x14ac:dyDescent="0.2">
      <c r="BM117" s="50">
        <v>66</v>
      </c>
      <c r="BN117" s="50">
        <f t="shared" si="71"/>
        <v>0.66000000000000503</v>
      </c>
      <c r="BO117" s="50">
        <f t="shared" si="73"/>
        <v>0.3631094383700042</v>
      </c>
      <c r="BP117" s="50">
        <f t="shared" si="74"/>
        <v>32</v>
      </c>
      <c r="BQ117" s="50">
        <f t="shared" si="72"/>
        <v>0.224000000000002</v>
      </c>
      <c r="BR117" s="50">
        <f t="shared" si="75"/>
        <v>18</v>
      </c>
    </row>
    <row r="118" spans="65:70" ht="12" customHeight="1" x14ac:dyDescent="0.2">
      <c r="BM118" s="50">
        <v>67</v>
      </c>
      <c r="BN118" s="50">
        <f t="shared" si="71"/>
        <v>0.67000000000000504</v>
      </c>
      <c r="BO118" s="50">
        <f t="shared" si="73"/>
        <v>0.36437265247915607</v>
      </c>
      <c r="BP118" s="50">
        <f t="shared" si="74"/>
        <v>32</v>
      </c>
      <c r="BQ118" s="50">
        <f t="shared" si="72"/>
        <v>0.22800000000000201</v>
      </c>
      <c r="BR118" s="50">
        <f t="shared" si="75"/>
        <v>18</v>
      </c>
    </row>
    <row r="119" spans="65:70" ht="12" customHeight="1" x14ac:dyDescent="0.2">
      <c r="BM119" s="50">
        <v>68</v>
      </c>
      <c r="BN119" s="50">
        <f t="shared" si="71"/>
        <v>0.68000000000000516</v>
      </c>
      <c r="BO119" s="50">
        <f t="shared" si="73"/>
        <v>0.36563586658830793</v>
      </c>
      <c r="BP119" s="50">
        <f t="shared" si="74"/>
        <v>32</v>
      </c>
      <c r="BQ119" s="50">
        <f t="shared" si="72"/>
        <v>0.23200000000000207</v>
      </c>
      <c r="BR119" s="50">
        <f t="shared" si="75"/>
        <v>18</v>
      </c>
    </row>
    <row r="120" spans="65:70" ht="12" customHeight="1" x14ac:dyDescent="0.2">
      <c r="BM120" s="50">
        <v>69</v>
      </c>
      <c r="BN120" s="50">
        <f t="shared" si="71"/>
        <v>0.69000000000000528</v>
      </c>
      <c r="BO120" s="50">
        <f t="shared" si="73"/>
        <v>0.3668990806974598</v>
      </c>
      <c r="BP120" s="50">
        <f t="shared" si="74"/>
        <v>32</v>
      </c>
      <c r="BQ120" s="50">
        <f t="shared" si="72"/>
        <v>0.23600000000000212</v>
      </c>
      <c r="BR120" s="50">
        <f t="shared" si="75"/>
        <v>18</v>
      </c>
    </row>
    <row r="121" spans="65:70" ht="12" customHeight="1" x14ac:dyDescent="0.2">
      <c r="BM121" s="50">
        <v>70</v>
      </c>
      <c r="BN121" s="50">
        <f t="shared" si="71"/>
        <v>0.70000000000000528</v>
      </c>
      <c r="BO121" s="50">
        <f t="shared" si="73"/>
        <v>0.36816229480661167</v>
      </c>
      <c r="BP121" s="50">
        <f t="shared" si="74"/>
        <v>32</v>
      </c>
      <c r="BQ121" s="50">
        <f t="shared" si="72"/>
        <v>0.24000000000000213</v>
      </c>
      <c r="BR121" s="50">
        <f t="shared" si="75"/>
        <v>18</v>
      </c>
    </row>
    <row r="122" spans="65:70" ht="12" customHeight="1" x14ac:dyDescent="0.2">
      <c r="BM122" s="50">
        <v>71</v>
      </c>
      <c r="BN122" s="50">
        <f t="shared" si="71"/>
        <v>0.71000000000000529</v>
      </c>
      <c r="BO122" s="50">
        <f t="shared" si="73"/>
        <v>0.36942550891576353</v>
      </c>
      <c r="BP122" s="50">
        <f t="shared" si="74"/>
        <v>32</v>
      </c>
      <c r="BQ122" s="50">
        <f t="shared" si="72"/>
        <v>0.24400000000000213</v>
      </c>
      <c r="BR122" s="50">
        <f t="shared" si="75"/>
        <v>18</v>
      </c>
    </row>
    <row r="123" spans="65:70" ht="12" customHeight="1" x14ac:dyDescent="0.2">
      <c r="BM123" s="50">
        <v>72</v>
      </c>
      <c r="BN123" s="50">
        <f t="shared" si="71"/>
        <v>0.72000000000000541</v>
      </c>
      <c r="BO123" s="50">
        <f t="shared" si="73"/>
        <v>0.3706887230249154</v>
      </c>
      <c r="BP123" s="50">
        <f t="shared" si="74"/>
        <v>32</v>
      </c>
      <c r="BQ123" s="50">
        <f t="shared" si="72"/>
        <v>0.24800000000000219</v>
      </c>
      <c r="BR123" s="50">
        <f t="shared" si="75"/>
        <v>18</v>
      </c>
    </row>
    <row r="124" spans="65:70" ht="12" customHeight="1" x14ac:dyDescent="0.2">
      <c r="BM124" s="50">
        <v>73</v>
      </c>
      <c r="BN124" s="50">
        <f t="shared" si="71"/>
        <v>0.73000000000000553</v>
      </c>
      <c r="BO124" s="50">
        <f t="shared" si="73"/>
        <v>0.37195193713406727</v>
      </c>
      <c r="BP124" s="50">
        <f t="shared" si="74"/>
        <v>32</v>
      </c>
      <c r="BQ124" s="50">
        <f t="shared" si="72"/>
        <v>0.25200000000000222</v>
      </c>
      <c r="BR124" s="50">
        <f t="shared" si="75"/>
        <v>18</v>
      </c>
    </row>
    <row r="125" spans="65:70" ht="12" customHeight="1" x14ac:dyDescent="0.2">
      <c r="BM125" s="50">
        <v>74</v>
      </c>
      <c r="BN125" s="50">
        <f t="shared" si="71"/>
        <v>0.74000000000000554</v>
      </c>
      <c r="BO125" s="50">
        <f t="shared" si="73"/>
        <v>0.37321515124321913</v>
      </c>
      <c r="BP125" s="50">
        <f t="shared" si="74"/>
        <v>32</v>
      </c>
      <c r="BQ125" s="50">
        <f t="shared" si="72"/>
        <v>0.25600000000000223</v>
      </c>
      <c r="BR125" s="50">
        <f t="shared" si="75"/>
        <v>18</v>
      </c>
    </row>
    <row r="126" spans="65:70" ht="12" customHeight="1" x14ac:dyDescent="0.2">
      <c r="BM126" s="50">
        <v>75</v>
      </c>
      <c r="BN126" s="50">
        <f t="shared" si="71"/>
        <v>0.75000000000000566</v>
      </c>
      <c r="BO126" s="50">
        <f t="shared" si="73"/>
        <v>0.374478365352371</v>
      </c>
      <c r="BP126" s="50">
        <f t="shared" si="74"/>
        <v>32</v>
      </c>
      <c r="BQ126" s="50">
        <f t="shared" si="72"/>
        <v>0.26000000000000228</v>
      </c>
      <c r="BR126" s="50">
        <f t="shared" si="75"/>
        <v>18</v>
      </c>
    </row>
    <row r="127" spans="65:70" ht="12" customHeight="1" x14ac:dyDescent="0.2">
      <c r="BM127" s="50">
        <v>76</v>
      </c>
      <c r="BN127" s="50">
        <f t="shared" si="71"/>
        <v>0.76000000000000578</v>
      </c>
      <c r="BO127" s="50">
        <f t="shared" si="73"/>
        <v>0.37574157946152287</v>
      </c>
      <c r="BP127" s="50">
        <f t="shared" si="74"/>
        <v>32</v>
      </c>
      <c r="BQ127" s="50">
        <f t="shared" si="72"/>
        <v>0.26400000000000234</v>
      </c>
      <c r="BR127" s="50">
        <f t="shared" si="75"/>
        <v>18</v>
      </c>
    </row>
    <row r="128" spans="65:70" ht="12" customHeight="1" x14ac:dyDescent="0.2">
      <c r="BM128" s="50">
        <v>77</v>
      </c>
      <c r="BN128" s="50">
        <f t="shared" si="71"/>
        <v>0.77000000000000579</v>
      </c>
      <c r="BO128" s="50">
        <f t="shared" si="73"/>
        <v>0.37700479357067473</v>
      </c>
      <c r="BP128" s="50">
        <f t="shared" si="74"/>
        <v>32</v>
      </c>
      <c r="BQ128" s="50">
        <f t="shared" si="72"/>
        <v>0.26800000000000235</v>
      </c>
      <c r="BR128" s="50">
        <f t="shared" si="75"/>
        <v>18</v>
      </c>
    </row>
    <row r="129" spans="65:70" ht="12" customHeight="1" x14ac:dyDescent="0.2">
      <c r="BM129" s="50">
        <v>78</v>
      </c>
      <c r="BN129" s="50">
        <f t="shared" si="71"/>
        <v>0.78000000000000591</v>
      </c>
      <c r="BO129" s="50">
        <f t="shared" si="73"/>
        <v>0.3782680076798266</v>
      </c>
      <c r="BP129" s="50">
        <f t="shared" si="74"/>
        <v>32</v>
      </c>
      <c r="BQ129" s="50">
        <f t="shared" si="72"/>
        <v>0.27200000000000241</v>
      </c>
      <c r="BR129" s="50">
        <f t="shared" si="75"/>
        <v>18</v>
      </c>
    </row>
    <row r="130" spans="65:70" ht="12" customHeight="1" x14ac:dyDescent="0.2">
      <c r="BM130" s="50">
        <v>79</v>
      </c>
      <c r="BN130" s="50">
        <f t="shared" si="71"/>
        <v>0.79000000000000592</v>
      </c>
      <c r="BO130" s="50">
        <f t="shared" si="73"/>
        <v>0.37953122178897847</v>
      </c>
      <c r="BP130" s="50">
        <f t="shared" si="74"/>
        <v>32</v>
      </c>
      <c r="BQ130" s="50">
        <f t="shared" si="72"/>
        <v>0.27600000000000241</v>
      </c>
      <c r="BR130" s="50">
        <f t="shared" si="75"/>
        <v>18</v>
      </c>
    </row>
    <row r="131" spans="65:70" ht="12" customHeight="1" x14ac:dyDescent="0.2">
      <c r="BM131" s="50">
        <v>80</v>
      </c>
      <c r="BN131" s="50">
        <f t="shared" si="71"/>
        <v>0.80000000000000604</v>
      </c>
      <c r="BO131" s="50">
        <f t="shared" si="73"/>
        <v>0.38079443589813033</v>
      </c>
      <c r="BP131" s="50">
        <f t="shared" si="74"/>
        <v>32</v>
      </c>
      <c r="BQ131" s="50">
        <f t="shared" si="72"/>
        <v>0.28000000000000247</v>
      </c>
      <c r="BR131" s="50">
        <f t="shared" si="75"/>
        <v>18</v>
      </c>
    </row>
    <row r="132" spans="65:70" ht="12" customHeight="1" x14ac:dyDescent="0.2">
      <c r="BM132" s="50">
        <v>81</v>
      </c>
      <c r="BN132" s="50">
        <f t="shared" si="71"/>
        <v>0.81000000000000605</v>
      </c>
      <c r="BO132" s="50">
        <f t="shared" si="73"/>
        <v>0.3820576500072822</v>
      </c>
      <c r="BP132" s="50">
        <f t="shared" si="74"/>
        <v>32</v>
      </c>
      <c r="BQ132" s="50">
        <f t="shared" si="72"/>
        <v>0.28400000000000247</v>
      </c>
      <c r="BR132" s="50">
        <f t="shared" si="75"/>
        <v>18</v>
      </c>
    </row>
    <row r="133" spans="65:70" ht="12" customHeight="1" x14ac:dyDescent="0.2">
      <c r="BM133" s="50">
        <v>82</v>
      </c>
      <c r="BN133" s="50">
        <f t="shared" si="71"/>
        <v>0.82000000000000617</v>
      </c>
      <c r="BO133" s="50">
        <f t="shared" si="73"/>
        <v>0.38332086411643407</v>
      </c>
      <c r="BP133" s="50">
        <f t="shared" si="74"/>
        <v>32</v>
      </c>
      <c r="BQ133" s="50">
        <f t="shared" si="72"/>
        <v>0.28800000000000253</v>
      </c>
      <c r="BR133" s="50">
        <f t="shared" si="75"/>
        <v>18</v>
      </c>
    </row>
    <row r="134" spans="65:70" ht="12" customHeight="1" x14ac:dyDescent="0.2">
      <c r="BM134" s="50">
        <v>83</v>
      </c>
      <c r="BN134" s="50">
        <f t="shared" si="71"/>
        <v>0.83000000000000629</v>
      </c>
      <c r="BO134" s="50">
        <f t="shared" si="73"/>
        <v>0.38458407822558593</v>
      </c>
      <c r="BP134" s="50">
        <f t="shared" si="74"/>
        <v>32</v>
      </c>
      <c r="BQ134" s="50">
        <f t="shared" si="72"/>
        <v>0.29200000000000254</v>
      </c>
      <c r="BR134" s="50">
        <f t="shared" si="75"/>
        <v>18</v>
      </c>
    </row>
    <row r="135" spans="65:70" ht="12" customHeight="1" x14ac:dyDescent="0.2">
      <c r="BM135" s="50">
        <v>84</v>
      </c>
      <c r="BN135" s="50">
        <f t="shared" si="71"/>
        <v>0.8400000000000063</v>
      </c>
      <c r="BO135" s="50">
        <f t="shared" si="73"/>
        <v>0.3858472923347378</v>
      </c>
      <c r="BP135" s="50">
        <f t="shared" si="74"/>
        <v>32</v>
      </c>
      <c r="BQ135" s="50">
        <f t="shared" si="72"/>
        <v>0.29600000000000254</v>
      </c>
      <c r="BR135" s="50">
        <f t="shared" si="75"/>
        <v>18</v>
      </c>
    </row>
    <row r="136" spans="65:70" ht="12" customHeight="1" x14ac:dyDescent="0.2">
      <c r="BM136" s="50">
        <v>85</v>
      </c>
      <c r="BN136" s="50">
        <f t="shared" si="71"/>
        <v>0.85000000000000642</v>
      </c>
      <c r="BO136" s="50">
        <f t="shared" si="73"/>
        <v>0.38711050644388967</v>
      </c>
      <c r="BP136" s="50">
        <f t="shared" si="74"/>
        <v>32</v>
      </c>
      <c r="BQ136" s="50">
        <f t="shared" si="72"/>
        <v>0.3000000000000026</v>
      </c>
      <c r="BR136" s="50">
        <f t="shared" si="75"/>
        <v>18</v>
      </c>
    </row>
    <row r="137" spans="65:70" ht="12" customHeight="1" x14ac:dyDescent="0.2">
      <c r="BM137" s="50">
        <v>86</v>
      </c>
      <c r="BN137" s="50">
        <f t="shared" si="71"/>
        <v>0.86000000000000643</v>
      </c>
      <c r="BO137" s="50">
        <f t="shared" si="73"/>
        <v>0.38837372055304153</v>
      </c>
      <c r="BP137" s="50">
        <f t="shared" si="74"/>
        <v>32</v>
      </c>
      <c r="BQ137" s="50">
        <f t="shared" si="72"/>
        <v>0.3040000000000026</v>
      </c>
      <c r="BR137" s="50">
        <f t="shared" si="75"/>
        <v>18</v>
      </c>
    </row>
    <row r="138" spans="65:70" ht="12" customHeight="1" x14ac:dyDescent="0.2">
      <c r="BM138" s="50">
        <v>87</v>
      </c>
      <c r="BN138" s="50">
        <f t="shared" si="71"/>
        <v>0.87000000000000655</v>
      </c>
      <c r="BO138" s="50">
        <f t="shared" si="73"/>
        <v>0.3896369346621934</v>
      </c>
      <c r="BP138" s="50">
        <f t="shared" si="74"/>
        <v>32</v>
      </c>
      <c r="BQ138" s="50">
        <f t="shared" si="72"/>
        <v>0.30800000000000266</v>
      </c>
      <c r="BR138" s="50">
        <f t="shared" si="75"/>
        <v>18</v>
      </c>
    </row>
    <row r="139" spans="65:70" ht="12" customHeight="1" x14ac:dyDescent="0.2">
      <c r="BM139" s="50">
        <v>88</v>
      </c>
      <c r="BN139" s="50">
        <f t="shared" si="71"/>
        <v>0.88000000000000655</v>
      </c>
      <c r="BO139" s="50">
        <f t="shared" si="73"/>
        <v>0.39090014877134527</v>
      </c>
      <c r="BP139" s="50">
        <f t="shared" si="74"/>
        <v>32</v>
      </c>
      <c r="BQ139" s="50">
        <f t="shared" si="72"/>
        <v>0.31200000000000266</v>
      </c>
      <c r="BR139" s="50">
        <f t="shared" si="75"/>
        <v>18</v>
      </c>
    </row>
    <row r="140" spans="65:70" ht="12" customHeight="1" x14ac:dyDescent="0.2">
      <c r="BM140" s="50">
        <v>89</v>
      </c>
      <c r="BN140" s="50">
        <f t="shared" si="71"/>
        <v>0.89000000000000667</v>
      </c>
      <c r="BO140" s="50">
        <f t="shared" si="73"/>
        <v>0.39216336288049713</v>
      </c>
      <c r="BP140" s="50">
        <f t="shared" si="74"/>
        <v>32</v>
      </c>
      <c r="BQ140" s="50">
        <f t="shared" si="72"/>
        <v>0.31600000000000272</v>
      </c>
      <c r="BR140" s="50">
        <f t="shared" si="75"/>
        <v>18</v>
      </c>
    </row>
    <row r="141" spans="65:70" ht="12" customHeight="1" x14ac:dyDescent="0.2">
      <c r="BM141" s="50">
        <v>90</v>
      </c>
      <c r="BN141" s="50">
        <f t="shared" si="71"/>
        <v>0.90000000000000679</v>
      </c>
      <c r="BO141" s="50">
        <f t="shared" si="73"/>
        <v>0.393426576989649</v>
      </c>
      <c r="BP141" s="50">
        <f t="shared" si="74"/>
        <v>32</v>
      </c>
      <c r="BQ141" s="50">
        <f t="shared" si="72"/>
        <v>0.32000000000000278</v>
      </c>
      <c r="BR141" s="50">
        <f t="shared" si="75"/>
        <v>18</v>
      </c>
    </row>
    <row r="142" spans="65:70" ht="12" customHeight="1" x14ac:dyDescent="0.2">
      <c r="BM142" s="50">
        <v>91</v>
      </c>
      <c r="BN142" s="50">
        <f t="shared" si="71"/>
        <v>0.9100000000000068</v>
      </c>
      <c r="BO142" s="50">
        <f t="shared" si="73"/>
        <v>0.39468979109880087</v>
      </c>
      <c r="BP142" s="50">
        <f t="shared" si="74"/>
        <v>32</v>
      </c>
      <c r="BQ142" s="50">
        <f t="shared" si="72"/>
        <v>0.32400000000000279</v>
      </c>
      <c r="BR142" s="50">
        <f t="shared" si="75"/>
        <v>18</v>
      </c>
    </row>
    <row r="143" spans="65:70" ht="12" customHeight="1" x14ac:dyDescent="0.2">
      <c r="BM143" s="50">
        <v>92</v>
      </c>
      <c r="BN143" s="50">
        <f t="shared" si="71"/>
        <v>0.92000000000000692</v>
      </c>
      <c r="BO143" s="50">
        <f t="shared" si="73"/>
        <v>0.39595300520795274</v>
      </c>
      <c r="BP143" s="50">
        <f t="shared" si="74"/>
        <v>32</v>
      </c>
      <c r="BQ143" s="50">
        <f t="shared" si="72"/>
        <v>0.32800000000000279</v>
      </c>
      <c r="BR143" s="50">
        <f t="shared" si="75"/>
        <v>18</v>
      </c>
    </row>
    <row r="144" spans="65:70" ht="12" customHeight="1" x14ac:dyDescent="0.2">
      <c r="BM144" s="50">
        <v>93</v>
      </c>
      <c r="BN144" s="50">
        <f t="shared" si="71"/>
        <v>0.93000000000000693</v>
      </c>
      <c r="BO144" s="50">
        <f t="shared" si="73"/>
        <v>0.3972162193171046</v>
      </c>
      <c r="BP144" s="50">
        <f t="shared" si="74"/>
        <v>32</v>
      </c>
      <c r="BQ144" s="50">
        <f t="shared" si="72"/>
        <v>0.33200000000000279</v>
      </c>
      <c r="BR144" s="50">
        <f t="shared" si="75"/>
        <v>18</v>
      </c>
    </row>
    <row r="145" spans="65:70" ht="12" customHeight="1" x14ac:dyDescent="0.2">
      <c r="BM145" s="50">
        <v>94</v>
      </c>
      <c r="BN145" s="50">
        <f t="shared" si="71"/>
        <v>0.94000000000000705</v>
      </c>
      <c r="BO145" s="50">
        <f t="shared" si="73"/>
        <v>0.39847943342625647</v>
      </c>
      <c r="BP145" s="50">
        <f t="shared" si="74"/>
        <v>32</v>
      </c>
      <c r="BQ145" s="50">
        <f t="shared" si="72"/>
        <v>0.33600000000000285</v>
      </c>
      <c r="BR145" s="50">
        <f t="shared" si="75"/>
        <v>18</v>
      </c>
    </row>
    <row r="146" spans="65:70" ht="12" customHeight="1" x14ac:dyDescent="0.2">
      <c r="BM146" s="50">
        <v>95</v>
      </c>
      <c r="BN146" s="50">
        <f t="shared" si="71"/>
        <v>0.95000000000000706</v>
      </c>
      <c r="BO146" s="50">
        <f t="shared" si="73"/>
        <v>0.39974264753540834</v>
      </c>
      <c r="BP146" s="50">
        <f t="shared" si="74"/>
        <v>32</v>
      </c>
      <c r="BQ146" s="50">
        <f t="shared" si="72"/>
        <v>0.34000000000000286</v>
      </c>
      <c r="BR146" s="50">
        <f t="shared" si="75"/>
        <v>18</v>
      </c>
    </row>
    <row r="147" spans="65:70" ht="12" customHeight="1" x14ac:dyDescent="0.2">
      <c r="BM147" s="50">
        <v>96</v>
      </c>
      <c r="BN147" s="50">
        <f t="shared" si="71"/>
        <v>0.96000000000000718</v>
      </c>
      <c r="BO147" s="50">
        <f t="shared" si="73"/>
        <v>0.4010058616445602</v>
      </c>
      <c r="BP147" s="50">
        <f t="shared" si="74"/>
        <v>32</v>
      </c>
      <c r="BQ147" s="50">
        <f t="shared" si="72"/>
        <v>0.34400000000000291</v>
      </c>
      <c r="BR147" s="50">
        <f t="shared" si="75"/>
        <v>18</v>
      </c>
    </row>
    <row r="148" spans="65:70" ht="12" customHeight="1" x14ac:dyDescent="0.2">
      <c r="BM148" s="50">
        <v>97</v>
      </c>
      <c r="BN148" s="50">
        <f t="shared" si="71"/>
        <v>0.9700000000000073</v>
      </c>
      <c r="BO148" s="50">
        <f t="shared" ref="BO148:BO179" si="76">IF($CB$3,BO147+$BN$46,NA())</f>
        <v>0.40226907575371207</v>
      </c>
      <c r="BP148" s="50">
        <f t="shared" ref="BP148:BP179" si="77">BP147</f>
        <v>32</v>
      </c>
      <c r="BQ148" s="50">
        <f t="shared" si="72"/>
        <v>0.34800000000000297</v>
      </c>
      <c r="BR148" s="50">
        <f t="shared" ref="BR148:BR179" si="78">BR147</f>
        <v>18</v>
      </c>
    </row>
    <row r="149" spans="65:70" ht="12" customHeight="1" x14ac:dyDescent="0.2">
      <c r="BM149" s="50">
        <v>98</v>
      </c>
      <c r="BN149" s="50">
        <f t="shared" si="71"/>
        <v>0.98000000000000731</v>
      </c>
      <c r="BO149" s="50">
        <f t="shared" si="76"/>
        <v>0.40353228986286394</v>
      </c>
      <c r="BP149" s="50">
        <f t="shared" si="77"/>
        <v>32</v>
      </c>
      <c r="BQ149" s="50">
        <f t="shared" si="72"/>
        <v>0.35200000000000298</v>
      </c>
      <c r="BR149" s="50">
        <f t="shared" si="78"/>
        <v>18</v>
      </c>
    </row>
    <row r="150" spans="65:70" ht="12" customHeight="1" x14ac:dyDescent="0.2">
      <c r="BM150" s="50">
        <v>99</v>
      </c>
      <c r="BN150" s="50">
        <f t="shared" si="71"/>
        <v>0.99000000000000743</v>
      </c>
      <c r="BO150" s="50">
        <f t="shared" si="76"/>
        <v>0.4047955039720158</v>
      </c>
      <c r="BP150" s="50">
        <f t="shared" si="77"/>
        <v>32</v>
      </c>
      <c r="BQ150" s="50">
        <f t="shared" si="72"/>
        <v>0.35600000000000304</v>
      </c>
      <c r="BR150" s="50">
        <f t="shared" si="78"/>
        <v>18</v>
      </c>
    </row>
    <row r="151" spans="65:70" ht="12" customHeight="1" x14ac:dyDescent="0.2">
      <c r="BM151" s="50">
        <v>100</v>
      </c>
      <c r="BN151" s="50">
        <f t="shared" si="71"/>
        <v>0.99999999999999256</v>
      </c>
      <c r="BO151" s="50">
        <f t="shared" si="76"/>
        <v>0.40605871808116767</v>
      </c>
      <c r="BP151" s="50">
        <f t="shared" si="77"/>
        <v>32</v>
      </c>
      <c r="BQ151" s="50">
        <f t="shared" si="72"/>
        <v>0.35999999999999704</v>
      </c>
      <c r="BR151" s="50">
        <f t="shared" si="78"/>
        <v>18</v>
      </c>
    </row>
    <row r="152" spans="65:70" ht="12" customHeight="1" x14ac:dyDescent="0.2">
      <c r="BM152" s="50">
        <v>101</v>
      </c>
      <c r="BN152" s="50">
        <f t="shared" si="71"/>
        <v>0.98999999999999244</v>
      </c>
      <c r="BO152" s="50">
        <f t="shared" si="76"/>
        <v>0.40732193219031954</v>
      </c>
      <c r="BP152" s="50">
        <f t="shared" si="77"/>
        <v>32</v>
      </c>
      <c r="BQ152" s="50">
        <f t="shared" si="72"/>
        <v>0.35599999999999704</v>
      </c>
      <c r="BR152" s="50">
        <f t="shared" si="78"/>
        <v>18</v>
      </c>
    </row>
    <row r="153" spans="65:70" ht="12" customHeight="1" x14ac:dyDescent="0.2">
      <c r="BM153" s="50">
        <v>102</v>
      </c>
      <c r="BN153" s="50">
        <f t="shared" si="71"/>
        <v>0.97999999999999243</v>
      </c>
      <c r="BO153" s="50">
        <f t="shared" si="76"/>
        <v>0.4085851462994714</v>
      </c>
      <c r="BP153" s="50">
        <f t="shared" si="77"/>
        <v>32</v>
      </c>
      <c r="BQ153" s="50">
        <f t="shared" si="72"/>
        <v>0.35199999999999704</v>
      </c>
      <c r="BR153" s="50">
        <f t="shared" si="78"/>
        <v>18</v>
      </c>
    </row>
    <row r="154" spans="65:70" ht="12" customHeight="1" x14ac:dyDescent="0.2">
      <c r="BM154" s="50">
        <v>103</v>
      </c>
      <c r="BN154" s="50">
        <f t="shared" si="71"/>
        <v>0.96999999999999231</v>
      </c>
      <c r="BO154" s="50">
        <f t="shared" si="76"/>
        <v>0.40984836040862327</v>
      </c>
      <c r="BP154" s="50">
        <f t="shared" si="77"/>
        <v>32</v>
      </c>
      <c r="BQ154" s="50">
        <f t="shared" si="72"/>
        <v>0.34799999999999698</v>
      </c>
      <c r="BR154" s="50">
        <f t="shared" si="78"/>
        <v>18</v>
      </c>
    </row>
    <row r="155" spans="65:70" ht="12" customHeight="1" x14ac:dyDescent="0.2">
      <c r="BM155" s="50">
        <v>104</v>
      </c>
      <c r="BN155" s="50">
        <f t="shared" si="71"/>
        <v>0.95999999999999219</v>
      </c>
      <c r="BO155" s="50">
        <f t="shared" si="76"/>
        <v>0.41111157451777514</v>
      </c>
      <c r="BP155" s="50">
        <f t="shared" si="77"/>
        <v>32</v>
      </c>
      <c r="BQ155" s="50">
        <f t="shared" si="72"/>
        <v>0.34399999999999692</v>
      </c>
      <c r="BR155" s="50">
        <f t="shared" si="78"/>
        <v>18</v>
      </c>
    </row>
    <row r="156" spans="65:70" ht="12" customHeight="1" x14ac:dyDescent="0.2">
      <c r="BM156" s="50">
        <v>105</v>
      </c>
      <c r="BN156" s="50">
        <f t="shared" si="71"/>
        <v>0.94999999999999218</v>
      </c>
      <c r="BO156" s="50">
        <f t="shared" si="76"/>
        <v>0.412374788626927</v>
      </c>
      <c r="BP156" s="50">
        <f t="shared" si="77"/>
        <v>32</v>
      </c>
      <c r="BQ156" s="50">
        <f t="shared" si="72"/>
        <v>0.33999999999999692</v>
      </c>
      <c r="BR156" s="50">
        <f t="shared" si="78"/>
        <v>18</v>
      </c>
    </row>
    <row r="157" spans="65:70" ht="12" customHeight="1" x14ac:dyDescent="0.2">
      <c r="BM157" s="50">
        <v>106</v>
      </c>
      <c r="BN157" s="50">
        <f t="shared" si="71"/>
        <v>0.93999999999999206</v>
      </c>
      <c r="BO157" s="50">
        <f t="shared" si="76"/>
        <v>0.41363800273607887</v>
      </c>
      <c r="BP157" s="50">
        <f t="shared" si="77"/>
        <v>32</v>
      </c>
      <c r="BQ157" s="50">
        <f t="shared" si="72"/>
        <v>0.33599999999999686</v>
      </c>
      <c r="BR157" s="50">
        <f t="shared" si="78"/>
        <v>18</v>
      </c>
    </row>
    <row r="158" spans="65:70" ht="12" customHeight="1" x14ac:dyDescent="0.2">
      <c r="BM158" s="50">
        <v>107</v>
      </c>
      <c r="BN158" s="50">
        <f t="shared" si="71"/>
        <v>0.92999999999999206</v>
      </c>
      <c r="BO158" s="50">
        <f t="shared" si="76"/>
        <v>0.41490121684523074</v>
      </c>
      <c r="BP158" s="50">
        <f t="shared" si="77"/>
        <v>32</v>
      </c>
      <c r="BQ158" s="50">
        <f t="shared" si="72"/>
        <v>0.33199999999999685</v>
      </c>
      <c r="BR158" s="50">
        <f t="shared" si="78"/>
        <v>18</v>
      </c>
    </row>
    <row r="159" spans="65:70" ht="12" customHeight="1" x14ac:dyDescent="0.2">
      <c r="BM159" s="50">
        <v>108</v>
      </c>
      <c r="BN159" s="50">
        <f t="shared" si="71"/>
        <v>0.91999999999999194</v>
      </c>
      <c r="BO159" s="50">
        <f t="shared" si="76"/>
        <v>0.4161644309543826</v>
      </c>
      <c r="BP159" s="50">
        <f t="shared" si="77"/>
        <v>32</v>
      </c>
      <c r="BQ159" s="50">
        <f t="shared" si="72"/>
        <v>0.32799999999999679</v>
      </c>
      <c r="BR159" s="50">
        <f t="shared" si="78"/>
        <v>18</v>
      </c>
    </row>
    <row r="160" spans="65:70" ht="12" customHeight="1" x14ac:dyDescent="0.2">
      <c r="BM160" s="50">
        <v>109</v>
      </c>
      <c r="BN160" s="50">
        <f t="shared" si="71"/>
        <v>0.90999999999999193</v>
      </c>
      <c r="BO160" s="50">
        <f t="shared" si="76"/>
        <v>0.41742764506353447</v>
      </c>
      <c r="BP160" s="50">
        <f t="shared" si="77"/>
        <v>32</v>
      </c>
      <c r="BQ160" s="50">
        <f t="shared" si="72"/>
        <v>0.32399999999999679</v>
      </c>
      <c r="BR160" s="50">
        <f t="shared" si="78"/>
        <v>18</v>
      </c>
    </row>
    <row r="161" spans="65:70" ht="12" customHeight="1" x14ac:dyDescent="0.2">
      <c r="BM161" s="50">
        <v>110</v>
      </c>
      <c r="BN161" s="50">
        <f t="shared" si="71"/>
        <v>0.89999999999999181</v>
      </c>
      <c r="BO161" s="50">
        <f t="shared" si="76"/>
        <v>0.41869085917268634</v>
      </c>
      <c r="BP161" s="50">
        <f t="shared" si="77"/>
        <v>32</v>
      </c>
      <c r="BQ161" s="50">
        <f t="shared" si="72"/>
        <v>0.31999999999999679</v>
      </c>
      <c r="BR161" s="50">
        <f t="shared" si="78"/>
        <v>18</v>
      </c>
    </row>
    <row r="162" spans="65:70" ht="12" customHeight="1" x14ac:dyDescent="0.2">
      <c r="BM162" s="50">
        <v>111</v>
      </c>
      <c r="BN162" s="50">
        <f t="shared" si="71"/>
        <v>0.88999999999999169</v>
      </c>
      <c r="BO162" s="50">
        <f t="shared" si="76"/>
        <v>0.4199540732818382</v>
      </c>
      <c r="BP162" s="50">
        <f t="shared" si="77"/>
        <v>32</v>
      </c>
      <c r="BQ162" s="50">
        <f t="shared" si="72"/>
        <v>0.31599999999999673</v>
      </c>
      <c r="BR162" s="50">
        <f t="shared" si="78"/>
        <v>18</v>
      </c>
    </row>
    <row r="163" spans="65:70" ht="12" customHeight="1" x14ac:dyDescent="0.2">
      <c r="BM163" s="50">
        <v>112</v>
      </c>
      <c r="BN163" s="50">
        <f t="shared" si="71"/>
        <v>0.87999999999999168</v>
      </c>
      <c r="BO163" s="50">
        <f t="shared" si="76"/>
        <v>0.42121728739099007</v>
      </c>
      <c r="BP163" s="50">
        <f t="shared" si="77"/>
        <v>32</v>
      </c>
      <c r="BQ163" s="50">
        <f t="shared" si="72"/>
        <v>0.31199999999999672</v>
      </c>
      <c r="BR163" s="50">
        <f t="shared" si="78"/>
        <v>18</v>
      </c>
    </row>
    <row r="164" spans="65:70" ht="12" customHeight="1" x14ac:dyDescent="0.2">
      <c r="BM164" s="50">
        <v>113</v>
      </c>
      <c r="BN164" s="50">
        <f t="shared" si="71"/>
        <v>0.86999999999999156</v>
      </c>
      <c r="BO164" s="50">
        <f t="shared" si="76"/>
        <v>0.42248050150014194</v>
      </c>
      <c r="BP164" s="50">
        <f t="shared" si="77"/>
        <v>32</v>
      </c>
      <c r="BQ164" s="50">
        <f t="shared" si="72"/>
        <v>0.30799999999999667</v>
      </c>
      <c r="BR164" s="50">
        <f t="shared" si="78"/>
        <v>18</v>
      </c>
    </row>
    <row r="165" spans="65:70" ht="12" customHeight="1" x14ac:dyDescent="0.2">
      <c r="BM165" s="50">
        <v>114</v>
      </c>
      <c r="BN165" s="50">
        <f t="shared" si="71"/>
        <v>0.85999999999999155</v>
      </c>
      <c r="BO165" s="50">
        <f t="shared" si="76"/>
        <v>0.4237437156092938</v>
      </c>
      <c r="BP165" s="50">
        <f t="shared" si="77"/>
        <v>32</v>
      </c>
      <c r="BQ165" s="50">
        <f t="shared" si="72"/>
        <v>0.30399999999999666</v>
      </c>
      <c r="BR165" s="50">
        <f t="shared" si="78"/>
        <v>18</v>
      </c>
    </row>
    <row r="166" spans="65:70" ht="12" customHeight="1" x14ac:dyDescent="0.2">
      <c r="BM166" s="50">
        <v>115</v>
      </c>
      <c r="BN166" s="50">
        <f t="shared" si="71"/>
        <v>0.84999999999999143</v>
      </c>
      <c r="BO166" s="50">
        <f t="shared" si="76"/>
        <v>0.42500692971844567</v>
      </c>
      <c r="BP166" s="50">
        <f t="shared" si="77"/>
        <v>32</v>
      </c>
      <c r="BQ166" s="50">
        <f t="shared" si="72"/>
        <v>0.2999999999999966</v>
      </c>
      <c r="BR166" s="50">
        <f t="shared" si="78"/>
        <v>18</v>
      </c>
    </row>
    <row r="167" spans="65:70" ht="12" customHeight="1" x14ac:dyDescent="0.2">
      <c r="BM167" s="50">
        <v>116</v>
      </c>
      <c r="BN167" s="50">
        <f t="shared" si="71"/>
        <v>0.83999999999999142</v>
      </c>
      <c r="BO167" s="50">
        <f t="shared" si="76"/>
        <v>0.42627014382759754</v>
      </c>
      <c r="BP167" s="50">
        <f t="shared" si="77"/>
        <v>32</v>
      </c>
      <c r="BQ167" s="50">
        <f t="shared" si="72"/>
        <v>0.2959999999999966</v>
      </c>
      <c r="BR167" s="50">
        <f t="shared" si="78"/>
        <v>18</v>
      </c>
    </row>
    <row r="168" spans="65:70" ht="12" customHeight="1" x14ac:dyDescent="0.2">
      <c r="BM168" s="50">
        <v>117</v>
      </c>
      <c r="BN168" s="50">
        <f t="shared" si="71"/>
        <v>0.8299999999999913</v>
      </c>
      <c r="BO168" s="50">
        <f t="shared" si="76"/>
        <v>0.4275333579367494</v>
      </c>
      <c r="BP168" s="50">
        <f t="shared" si="77"/>
        <v>32</v>
      </c>
      <c r="BQ168" s="50">
        <f t="shared" si="72"/>
        <v>0.29199999999999654</v>
      </c>
      <c r="BR168" s="50">
        <f t="shared" si="78"/>
        <v>18</v>
      </c>
    </row>
    <row r="169" spans="65:70" ht="12" customHeight="1" x14ac:dyDescent="0.2">
      <c r="BM169" s="50">
        <v>118</v>
      </c>
      <c r="BN169" s="50">
        <f t="shared" si="71"/>
        <v>0.81999999999999118</v>
      </c>
      <c r="BO169" s="50">
        <f t="shared" si="76"/>
        <v>0.42879657204590127</v>
      </c>
      <c r="BP169" s="50">
        <f t="shared" si="77"/>
        <v>32</v>
      </c>
      <c r="BQ169" s="50">
        <f t="shared" si="72"/>
        <v>0.28799999999999654</v>
      </c>
      <c r="BR169" s="50">
        <f t="shared" si="78"/>
        <v>18</v>
      </c>
    </row>
    <row r="170" spans="65:70" ht="12" customHeight="1" x14ac:dyDescent="0.2">
      <c r="BM170" s="50">
        <v>119</v>
      </c>
      <c r="BN170" s="50">
        <f t="shared" si="71"/>
        <v>0.80999999999999117</v>
      </c>
      <c r="BO170" s="50">
        <f t="shared" si="76"/>
        <v>0.43005978615505314</v>
      </c>
      <c r="BP170" s="50">
        <f t="shared" si="77"/>
        <v>32</v>
      </c>
      <c r="BQ170" s="50">
        <f t="shared" si="72"/>
        <v>0.28399999999999653</v>
      </c>
      <c r="BR170" s="50">
        <f t="shared" si="78"/>
        <v>18</v>
      </c>
    </row>
    <row r="171" spans="65:70" ht="12" customHeight="1" x14ac:dyDescent="0.2">
      <c r="BM171" s="50">
        <v>120</v>
      </c>
      <c r="BN171" s="50">
        <f t="shared" si="71"/>
        <v>0.79999999999999105</v>
      </c>
      <c r="BO171" s="50">
        <f t="shared" si="76"/>
        <v>0.431323000264205</v>
      </c>
      <c r="BP171" s="50">
        <f t="shared" si="77"/>
        <v>32</v>
      </c>
      <c r="BQ171" s="50">
        <f t="shared" si="72"/>
        <v>0.27999999999999647</v>
      </c>
      <c r="BR171" s="50">
        <f t="shared" si="78"/>
        <v>18</v>
      </c>
    </row>
    <row r="172" spans="65:70" ht="12" customHeight="1" x14ac:dyDescent="0.2">
      <c r="BM172" s="50">
        <v>121</v>
      </c>
      <c r="BN172" s="50">
        <f t="shared" si="71"/>
        <v>0.78999999999999104</v>
      </c>
      <c r="BO172" s="50">
        <f t="shared" si="76"/>
        <v>0.43258621437335687</v>
      </c>
      <c r="BP172" s="50">
        <f t="shared" si="77"/>
        <v>32</v>
      </c>
      <c r="BQ172" s="50">
        <f t="shared" si="72"/>
        <v>0.27599999999999647</v>
      </c>
      <c r="BR172" s="50">
        <f t="shared" si="78"/>
        <v>18</v>
      </c>
    </row>
    <row r="173" spans="65:70" ht="12" customHeight="1" x14ac:dyDescent="0.2">
      <c r="BM173" s="50">
        <v>122</v>
      </c>
      <c r="BN173" s="50">
        <f t="shared" si="71"/>
        <v>0.77999999999999092</v>
      </c>
      <c r="BO173" s="50">
        <f t="shared" si="76"/>
        <v>0.43384942848250874</v>
      </c>
      <c r="BP173" s="50">
        <f t="shared" si="77"/>
        <v>32</v>
      </c>
      <c r="BQ173" s="50">
        <f t="shared" si="72"/>
        <v>0.27199999999999641</v>
      </c>
      <c r="BR173" s="50">
        <f t="shared" si="78"/>
        <v>18</v>
      </c>
    </row>
    <row r="174" spans="65:70" ht="12" customHeight="1" x14ac:dyDescent="0.2">
      <c r="BM174" s="50">
        <v>123</v>
      </c>
      <c r="BN174" s="50">
        <f t="shared" si="71"/>
        <v>0.76999999999999091</v>
      </c>
      <c r="BO174" s="50">
        <f t="shared" si="76"/>
        <v>0.4351126425916606</v>
      </c>
      <c r="BP174" s="50">
        <f t="shared" si="77"/>
        <v>32</v>
      </c>
      <c r="BQ174" s="50">
        <f t="shared" si="72"/>
        <v>0.26799999999999641</v>
      </c>
      <c r="BR174" s="50">
        <f t="shared" si="78"/>
        <v>18</v>
      </c>
    </row>
    <row r="175" spans="65:70" ht="12" customHeight="1" x14ac:dyDescent="0.2">
      <c r="BM175" s="50">
        <v>124</v>
      </c>
      <c r="BN175" s="50">
        <f t="shared" si="71"/>
        <v>0.75999999999999079</v>
      </c>
      <c r="BO175" s="50">
        <f t="shared" si="76"/>
        <v>0.43637585670081247</v>
      </c>
      <c r="BP175" s="50">
        <f t="shared" si="77"/>
        <v>32</v>
      </c>
      <c r="BQ175" s="50">
        <f t="shared" si="72"/>
        <v>0.26399999999999635</v>
      </c>
      <c r="BR175" s="50">
        <f t="shared" si="78"/>
        <v>18</v>
      </c>
    </row>
    <row r="176" spans="65:70" ht="12" customHeight="1" x14ac:dyDescent="0.2">
      <c r="BM176" s="50">
        <v>125</v>
      </c>
      <c r="BN176" s="50">
        <f t="shared" si="71"/>
        <v>0.74999999999999067</v>
      </c>
      <c r="BO176" s="50">
        <f t="shared" si="76"/>
        <v>0.43763907080996434</v>
      </c>
      <c r="BP176" s="50">
        <f t="shared" si="77"/>
        <v>32</v>
      </c>
      <c r="BQ176" s="50">
        <f t="shared" si="72"/>
        <v>0.25999999999999629</v>
      </c>
      <c r="BR176" s="50">
        <f t="shared" si="78"/>
        <v>18</v>
      </c>
    </row>
    <row r="177" spans="65:70" ht="12" customHeight="1" x14ac:dyDescent="0.2">
      <c r="BM177" s="50">
        <v>126</v>
      </c>
      <c r="BN177" s="50">
        <f t="shared" si="71"/>
        <v>0.73999999999999067</v>
      </c>
      <c r="BO177" s="50">
        <f t="shared" si="76"/>
        <v>0.4389022849191162</v>
      </c>
      <c r="BP177" s="50">
        <f t="shared" si="77"/>
        <v>32</v>
      </c>
      <c r="BQ177" s="50">
        <f t="shared" si="72"/>
        <v>0.25599999999999629</v>
      </c>
      <c r="BR177" s="50">
        <f t="shared" si="78"/>
        <v>18</v>
      </c>
    </row>
    <row r="178" spans="65:70" ht="12" customHeight="1" x14ac:dyDescent="0.2">
      <c r="BM178" s="50">
        <v>127</v>
      </c>
      <c r="BN178" s="50">
        <f t="shared" si="71"/>
        <v>0.72999999999999055</v>
      </c>
      <c r="BO178" s="50">
        <f t="shared" si="76"/>
        <v>0.44016549902826807</v>
      </c>
      <c r="BP178" s="50">
        <f t="shared" si="77"/>
        <v>32</v>
      </c>
      <c r="BQ178" s="50">
        <f t="shared" si="72"/>
        <v>0.25199999999999623</v>
      </c>
      <c r="BR178" s="50">
        <f t="shared" si="78"/>
        <v>18</v>
      </c>
    </row>
    <row r="179" spans="65:70" ht="12" customHeight="1" x14ac:dyDescent="0.2">
      <c r="BM179" s="50">
        <v>128</v>
      </c>
      <c r="BN179" s="50">
        <f t="shared" ref="BN179:BN242" si="79">1-ABS($BQ$40-BO179)/$BS$39</f>
        <v>0.71999999999999043</v>
      </c>
      <c r="BO179" s="50">
        <f t="shared" si="76"/>
        <v>0.44142871313741994</v>
      </c>
      <c r="BP179" s="50">
        <f t="shared" si="77"/>
        <v>32</v>
      </c>
      <c r="BQ179" s="50">
        <f t="shared" ref="BQ179:BQ242" si="80">MAX($BR$42*BN179-$BN$47,0)</f>
        <v>0.2479999999999962</v>
      </c>
      <c r="BR179" s="50">
        <f t="shared" si="78"/>
        <v>18</v>
      </c>
    </row>
    <row r="180" spans="65:70" ht="12" customHeight="1" x14ac:dyDescent="0.2">
      <c r="BM180" s="50">
        <v>129</v>
      </c>
      <c r="BN180" s="50">
        <f t="shared" si="79"/>
        <v>0.70999999999999042</v>
      </c>
      <c r="BO180" s="50">
        <f t="shared" ref="BO180:BO211" si="81">IF($CB$3,BO179+$BN$46,NA())</f>
        <v>0.4426919272465718</v>
      </c>
      <c r="BP180" s="50">
        <f t="shared" ref="BP180:BP211" si="82">BP179</f>
        <v>32</v>
      </c>
      <c r="BQ180" s="50">
        <f t="shared" si="80"/>
        <v>0.24399999999999619</v>
      </c>
      <c r="BR180" s="50">
        <f t="shared" ref="BR180:BR211" si="83">BR179</f>
        <v>18</v>
      </c>
    </row>
    <row r="181" spans="65:70" ht="12" customHeight="1" x14ac:dyDescent="0.2">
      <c r="BM181" s="50">
        <v>130</v>
      </c>
      <c r="BN181" s="50">
        <f t="shared" si="79"/>
        <v>0.69999999999999041</v>
      </c>
      <c r="BO181" s="50">
        <f t="shared" si="81"/>
        <v>0.44395514135572367</v>
      </c>
      <c r="BP181" s="50">
        <f t="shared" si="82"/>
        <v>32</v>
      </c>
      <c r="BQ181" s="50">
        <f t="shared" si="80"/>
        <v>0.23999999999999619</v>
      </c>
      <c r="BR181" s="50">
        <f t="shared" si="83"/>
        <v>18</v>
      </c>
    </row>
    <row r="182" spans="65:70" ht="12" customHeight="1" x14ac:dyDescent="0.2">
      <c r="BM182" s="50">
        <v>131</v>
      </c>
      <c r="BN182" s="50">
        <f t="shared" si="79"/>
        <v>0.68999999999999029</v>
      </c>
      <c r="BO182" s="50">
        <f t="shared" si="81"/>
        <v>0.44521835546487554</v>
      </c>
      <c r="BP182" s="50">
        <f t="shared" si="82"/>
        <v>32</v>
      </c>
      <c r="BQ182" s="50">
        <f t="shared" si="80"/>
        <v>0.23599999999999613</v>
      </c>
      <c r="BR182" s="50">
        <f t="shared" si="83"/>
        <v>18</v>
      </c>
    </row>
    <row r="183" spans="65:70" ht="12" customHeight="1" x14ac:dyDescent="0.2">
      <c r="BM183" s="50">
        <v>132</v>
      </c>
      <c r="BN183" s="50">
        <f t="shared" si="79"/>
        <v>0.67999999999999017</v>
      </c>
      <c r="BO183" s="50">
        <f t="shared" si="81"/>
        <v>0.4464815695740274</v>
      </c>
      <c r="BP183" s="50">
        <f t="shared" si="82"/>
        <v>32</v>
      </c>
      <c r="BQ183" s="50">
        <f t="shared" si="80"/>
        <v>0.23199999999999607</v>
      </c>
      <c r="BR183" s="50">
        <f t="shared" si="83"/>
        <v>18</v>
      </c>
    </row>
    <row r="184" spans="65:70" ht="12" customHeight="1" x14ac:dyDescent="0.2">
      <c r="BM184" s="50">
        <v>133</v>
      </c>
      <c r="BN184" s="50">
        <f t="shared" si="79"/>
        <v>0.66999999999999016</v>
      </c>
      <c r="BO184" s="50">
        <f t="shared" si="81"/>
        <v>0.44774478368317927</v>
      </c>
      <c r="BP184" s="50">
        <f t="shared" si="82"/>
        <v>32</v>
      </c>
      <c r="BQ184" s="50">
        <f t="shared" si="80"/>
        <v>0.22799999999999607</v>
      </c>
      <c r="BR184" s="50">
        <f t="shared" si="83"/>
        <v>18</v>
      </c>
    </row>
    <row r="185" spans="65:70" ht="12" customHeight="1" x14ac:dyDescent="0.2">
      <c r="BM185" s="50">
        <v>134</v>
      </c>
      <c r="BN185" s="50">
        <f t="shared" si="79"/>
        <v>0.65999999999999004</v>
      </c>
      <c r="BO185" s="50">
        <f t="shared" si="81"/>
        <v>0.44900799779233114</v>
      </c>
      <c r="BP185" s="50">
        <f t="shared" si="82"/>
        <v>32</v>
      </c>
      <c r="BQ185" s="50">
        <f t="shared" si="80"/>
        <v>0.22399999999999601</v>
      </c>
      <c r="BR185" s="50">
        <f t="shared" si="83"/>
        <v>18</v>
      </c>
    </row>
    <row r="186" spans="65:70" ht="12" customHeight="1" x14ac:dyDescent="0.2">
      <c r="BM186" s="50">
        <v>135</v>
      </c>
      <c r="BN186" s="50">
        <f t="shared" si="79"/>
        <v>0.64999999999998992</v>
      </c>
      <c r="BO186" s="50">
        <f t="shared" si="81"/>
        <v>0.450271211901483</v>
      </c>
      <c r="BP186" s="50">
        <f t="shared" si="82"/>
        <v>32</v>
      </c>
      <c r="BQ186" s="50">
        <f t="shared" si="80"/>
        <v>0.21999999999999595</v>
      </c>
      <c r="BR186" s="50">
        <f t="shared" si="83"/>
        <v>18</v>
      </c>
    </row>
    <row r="187" spans="65:70" ht="12" customHeight="1" x14ac:dyDescent="0.2">
      <c r="BM187" s="50">
        <v>136</v>
      </c>
      <c r="BN187" s="50">
        <f t="shared" si="79"/>
        <v>0.63999999999998991</v>
      </c>
      <c r="BO187" s="50">
        <f t="shared" si="81"/>
        <v>0.45153442601063487</v>
      </c>
      <c r="BP187" s="50">
        <f t="shared" si="82"/>
        <v>32</v>
      </c>
      <c r="BQ187" s="50">
        <f t="shared" si="80"/>
        <v>0.21599999999999595</v>
      </c>
      <c r="BR187" s="50">
        <f t="shared" si="83"/>
        <v>18</v>
      </c>
    </row>
    <row r="188" spans="65:70" ht="12" customHeight="1" x14ac:dyDescent="0.2">
      <c r="BM188" s="50">
        <v>137</v>
      </c>
      <c r="BN188" s="50">
        <f t="shared" si="79"/>
        <v>0.6299999999999899</v>
      </c>
      <c r="BO188" s="50">
        <f t="shared" si="81"/>
        <v>0.45279764011978674</v>
      </c>
      <c r="BP188" s="50">
        <f t="shared" si="82"/>
        <v>32</v>
      </c>
      <c r="BQ188" s="50">
        <f t="shared" si="80"/>
        <v>0.21199999999999594</v>
      </c>
      <c r="BR188" s="50">
        <f t="shared" si="83"/>
        <v>18</v>
      </c>
    </row>
    <row r="189" spans="65:70" ht="12" customHeight="1" x14ac:dyDescent="0.2">
      <c r="BM189" s="50">
        <v>138</v>
      </c>
      <c r="BN189" s="50">
        <f t="shared" si="79"/>
        <v>0.61999999999998978</v>
      </c>
      <c r="BO189" s="50">
        <f t="shared" si="81"/>
        <v>0.4540608542289386</v>
      </c>
      <c r="BP189" s="50">
        <f t="shared" si="82"/>
        <v>32</v>
      </c>
      <c r="BQ189" s="50">
        <f t="shared" si="80"/>
        <v>0.20799999999999591</v>
      </c>
      <c r="BR189" s="50">
        <f t="shared" si="83"/>
        <v>18</v>
      </c>
    </row>
    <row r="190" spans="65:70" ht="12" customHeight="1" x14ac:dyDescent="0.2">
      <c r="BM190" s="50">
        <v>139</v>
      </c>
      <c r="BN190" s="50">
        <f t="shared" si="79"/>
        <v>0.60999999999998966</v>
      </c>
      <c r="BO190" s="50">
        <f t="shared" si="81"/>
        <v>0.45532406833809047</v>
      </c>
      <c r="BP190" s="50">
        <f t="shared" si="82"/>
        <v>32</v>
      </c>
      <c r="BQ190" s="50">
        <f t="shared" si="80"/>
        <v>0.20399999999999588</v>
      </c>
      <c r="BR190" s="50">
        <f t="shared" si="83"/>
        <v>18</v>
      </c>
    </row>
    <row r="191" spans="65:70" ht="12" customHeight="1" x14ac:dyDescent="0.2">
      <c r="BM191" s="50">
        <v>140</v>
      </c>
      <c r="BN191" s="50">
        <f t="shared" si="79"/>
        <v>0.59999999999998965</v>
      </c>
      <c r="BO191" s="50">
        <f t="shared" si="81"/>
        <v>0.45658728244724234</v>
      </c>
      <c r="BP191" s="50">
        <f t="shared" si="82"/>
        <v>32</v>
      </c>
      <c r="BQ191" s="50">
        <f t="shared" si="80"/>
        <v>0.19999999999999588</v>
      </c>
      <c r="BR191" s="50">
        <f t="shared" si="83"/>
        <v>18</v>
      </c>
    </row>
    <row r="192" spans="65:70" ht="12" customHeight="1" x14ac:dyDescent="0.2">
      <c r="BM192" s="50">
        <v>141</v>
      </c>
      <c r="BN192" s="50">
        <f t="shared" si="79"/>
        <v>0.58999999999998953</v>
      </c>
      <c r="BO192" s="50">
        <f t="shared" si="81"/>
        <v>0.4578504965563942</v>
      </c>
      <c r="BP192" s="50">
        <f t="shared" si="82"/>
        <v>32</v>
      </c>
      <c r="BQ192" s="50">
        <f t="shared" si="80"/>
        <v>0.19599999999999582</v>
      </c>
      <c r="BR192" s="50">
        <f t="shared" si="83"/>
        <v>18</v>
      </c>
    </row>
    <row r="193" spans="65:70" ht="12" customHeight="1" x14ac:dyDescent="0.2">
      <c r="BM193" s="50">
        <v>142</v>
      </c>
      <c r="BN193" s="50">
        <f t="shared" si="79"/>
        <v>0.57999999999998941</v>
      </c>
      <c r="BO193" s="50">
        <f t="shared" si="81"/>
        <v>0.45911371066554607</v>
      </c>
      <c r="BP193" s="50">
        <f t="shared" si="82"/>
        <v>32</v>
      </c>
      <c r="BQ193" s="50">
        <f t="shared" si="80"/>
        <v>0.19199999999999576</v>
      </c>
      <c r="BR193" s="50">
        <f t="shared" si="83"/>
        <v>18</v>
      </c>
    </row>
    <row r="194" spans="65:70" ht="12" customHeight="1" x14ac:dyDescent="0.2">
      <c r="BM194" s="50">
        <v>143</v>
      </c>
      <c r="BN194" s="50">
        <f t="shared" si="79"/>
        <v>0.5699999999999894</v>
      </c>
      <c r="BO194" s="50">
        <f t="shared" si="81"/>
        <v>0.46037692477469794</v>
      </c>
      <c r="BP194" s="50">
        <f t="shared" si="82"/>
        <v>32</v>
      </c>
      <c r="BQ194" s="50">
        <f t="shared" si="80"/>
        <v>0.18799999999999575</v>
      </c>
      <c r="BR194" s="50">
        <f t="shared" si="83"/>
        <v>18</v>
      </c>
    </row>
    <row r="195" spans="65:70" ht="12" customHeight="1" x14ac:dyDescent="0.2">
      <c r="BM195" s="50">
        <v>144</v>
      </c>
      <c r="BN195" s="50">
        <f t="shared" si="79"/>
        <v>0.5599999999999894</v>
      </c>
      <c r="BO195" s="50">
        <f t="shared" si="81"/>
        <v>0.4616401388838498</v>
      </c>
      <c r="BP195" s="50">
        <f t="shared" si="82"/>
        <v>32</v>
      </c>
      <c r="BQ195" s="50">
        <f t="shared" si="80"/>
        <v>0.18399999999999575</v>
      </c>
      <c r="BR195" s="50">
        <f t="shared" si="83"/>
        <v>18</v>
      </c>
    </row>
    <row r="196" spans="65:70" ht="12" customHeight="1" x14ac:dyDescent="0.2">
      <c r="BM196" s="50">
        <v>145</v>
      </c>
      <c r="BN196" s="50">
        <f t="shared" si="79"/>
        <v>0.54999999999998928</v>
      </c>
      <c r="BO196" s="50">
        <f t="shared" si="81"/>
        <v>0.46290335299300167</v>
      </c>
      <c r="BP196" s="50">
        <f t="shared" si="82"/>
        <v>32</v>
      </c>
      <c r="BQ196" s="50">
        <f t="shared" si="80"/>
        <v>0.17999999999999572</v>
      </c>
      <c r="BR196" s="50">
        <f t="shared" si="83"/>
        <v>18</v>
      </c>
    </row>
    <row r="197" spans="65:70" ht="12" customHeight="1" x14ac:dyDescent="0.2">
      <c r="BM197" s="50">
        <v>146</v>
      </c>
      <c r="BN197" s="50">
        <f t="shared" si="79"/>
        <v>0.53999999999998916</v>
      </c>
      <c r="BO197" s="50">
        <f t="shared" si="81"/>
        <v>0.46416656710215354</v>
      </c>
      <c r="BP197" s="50">
        <f t="shared" si="82"/>
        <v>32</v>
      </c>
      <c r="BQ197" s="50">
        <f t="shared" si="80"/>
        <v>0.17599999999999566</v>
      </c>
      <c r="BR197" s="50">
        <f t="shared" si="83"/>
        <v>18</v>
      </c>
    </row>
    <row r="198" spans="65:70" ht="12" customHeight="1" x14ac:dyDescent="0.2">
      <c r="BM198" s="50">
        <v>147</v>
      </c>
      <c r="BN198" s="50">
        <f t="shared" si="79"/>
        <v>0.52999999999998915</v>
      </c>
      <c r="BO198" s="50">
        <f t="shared" si="81"/>
        <v>0.4654297812113054</v>
      </c>
      <c r="BP198" s="50">
        <f t="shared" si="82"/>
        <v>32</v>
      </c>
      <c r="BQ198" s="50">
        <f t="shared" si="80"/>
        <v>0.17199999999999566</v>
      </c>
      <c r="BR198" s="50">
        <f t="shared" si="83"/>
        <v>18</v>
      </c>
    </row>
    <row r="199" spans="65:70" ht="12" customHeight="1" x14ac:dyDescent="0.2">
      <c r="BM199" s="50">
        <v>148</v>
      </c>
      <c r="BN199" s="50">
        <f t="shared" si="79"/>
        <v>0.51999999999998903</v>
      </c>
      <c r="BO199" s="50">
        <f t="shared" si="81"/>
        <v>0.46669299532045727</v>
      </c>
      <c r="BP199" s="50">
        <f t="shared" si="82"/>
        <v>32</v>
      </c>
      <c r="BQ199" s="50">
        <f t="shared" si="80"/>
        <v>0.16799999999999563</v>
      </c>
      <c r="BR199" s="50">
        <f t="shared" si="83"/>
        <v>18</v>
      </c>
    </row>
    <row r="200" spans="65:70" ht="12" customHeight="1" x14ac:dyDescent="0.2">
      <c r="BM200" s="50">
        <v>149</v>
      </c>
      <c r="BN200" s="50">
        <f t="shared" si="79"/>
        <v>0.50999999999998891</v>
      </c>
      <c r="BO200" s="50">
        <f t="shared" si="81"/>
        <v>0.46795620942960914</v>
      </c>
      <c r="BP200" s="50">
        <f t="shared" si="82"/>
        <v>32</v>
      </c>
      <c r="BQ200" s="50">
        <f t="shared" si="80"/>
        <v>0.16399999999999557</v>
      </c>
      <c r="BR200" s="50">
        <f t="shared" si="83"/>
        <v>18</v>
      </c>
    </row>
    <row r="201" spans="65:70" ht="12" customHeight="1" x14ac:dyDescent="0.2">
      <c r="BM201" s="50">
        <v>150</v>
      </c>
      <c r="BN201" s="50">
        <f t="shared" si="79"/>
        <v>0.4999999999999889</v>
      </c>
      <c r="BO201" s="50">
        <f t="shared" si="81"/>
        <v>0.469219423538761</v>
      </c>
      <c r="BP201" s="50">
        <f t="shared" si="82"/>
        <v>32</v>
      </c>
      <c r="BQ201" s="50">
        <f t="shared" si="80"/>
        <v>0.15999999999999556</v>
      </c>
      <c r="BR201" s="50">
        <f t="shared" si="83"/>
        <v>18</v>
      </c>
    </row>
    <row r="202" spans="65:70" ht="12" customHeight="1" x14ac:dyDescent="0.2">
      <c r="BM202" s="50">
        <v>151</v>
      </c>
      <c r="BN202" s="50">
        <f t="shared" si="79"/>
        <v>0.48999999999998878</v>
      </c>
      <c r="BO202" s="50">
        <f t="shared" si="81"/>
        <v>0.47048263764791287</v>
      </c>
      <c r="BP202" s="50">
        <f t="shared" si="82"/>
        <v>32</v>
      </c>
      <c r="BQ202" s="50">
        <f t="shared" si="80"/>
        <v>0.1559999999999955</v>
      </c>
      <c r="BR202" s="50">
        <f t="shared" si="83"/>
        <v>18</v>
      </c>
    </row>
    <row r="203" spans="65:70" ht="12" customHeight="1" x14ac:dyDescent="0.2">
      <c r="BM203" s="50">
        <v>152</v>
      </c>
      <c r="BN203" s="50">
        <f t="shared" si="79"/>
        <v>0.47999999999998877</v>
      </c>
      <c r="BO203" s="50">
        <f t="shared" si="81"/>
        <v>0.47174585175706474</v>
      </c>
      <c r="BP203" s="50">
        <f t="shared" si="82"/>
        <v>32</v>
      </c>
      <c r="BQ203" s="50">
        <f t="shared" si="80"/>
        <v>0.1519999999999955</v>
      </c>
      <c r="BR203" s="50">
        <f t="shared" si="83"/>
        <v>18</v>
      </c>
    </row>
    <row r="204" spans="65:70" ht="12" customHeight="1" x14ac:dyDescent="0.2">
      <c r="BM204" s="50">
        <v>153</v>
      </c>
      <c r="BN204" s="50">
        <f t="shared" si="79"/>
        <v>0.46999999999998865</v>
      </c>
      <c r="BO204" s="50">
        <f t="shared" si="81"/>
        <v>0.4730090658662166</v>
      </c>
      <c r="BP204" s="50">
        <f t="shared" si="82"/>
        <v>32</v>
      </c>
      <c r="BQ204" s="50">
        <f t="shared" si="80"/>
        <v>0.14799999999999547</v>
      </c>
      <c r="BR204" s="50">
        <f t="shared" si="83"/>
        <v>18</v>
      </c>
    </row>
    <row r="205" spans="65:70" ht="12" customHeight="1" x14ac:dyDescent="0.2">
      <c r="BM205" s="50">
        <v>154</v>
      </c>
      <c r="BN205" s="50">
        <f t="shared" si="79"/>
        <v>0.45999999999998864</v>
      </c>
      <c r="BO205" s="50">
        <f t="shared" si="81"/>
        <v>0.47427227997536847</v>
      </c>
      <c r="BP205" s="50">
        <f t="shared" si="82"/>
        <v>32</v>
      </c>
      <c r="BQ205" s="50">
        <f t="shared" si="80"/>
        <v>0.14399999999999546</v>
      </c>
      <c r="BR205" s="50">
        <f t="shared" si="83"/>
        <v>18</v>
      </c>
    </row>
    <row r="206" spans="65:70" ht="12" customHeight="1" x14ac:dyDescent="0.2">
      <c r="BM206" s="50">
        <v>155</v>
      </c>
      <c r="BN206" s="50">
        <f t="shared" si="79"/>
        <v>0.44999999999998852</v>
      </c>
      <c r="BO206" s="50">
        <f t="shared" si="81"/>
        <v>0.47553549408452034</v>
      </c>
      <c r="BP206" s="50">
        <f t="shared" si="82"/>
        <v>32</v>
      </c>
      <c r="BQ206" s="50">
        <f t="shared" si="80"/>
        <v>0.13999999999999541</v>
      </c>
      <c r="BR206" s="50">
        <f t="shared" si="83"/>
        <v>18</v>
      </c>
    </row>
    <row r="207" spans="65:70" ht="12" customHeight="1" x14ac:dyDescent="0.2">
      <c r="BM207" s="50">
        <v>156</v>
      </c>
      <c r="BN207" s="50">
        <f t="shared" si="79"/>
        <v>0.43999999999998851</v>
      </c>
      <c r="BO207" s="50">
        <f t="shared" si="81"/>
        <v>0.4767987081936722</v>
      </c>
      <c r="BP207" s="50">
        <f t="shared" si="82"/>
        <v>32</v>
      </c>
      <c r="BQ207" s="50">
        <f t="shared" si="80"/>
        <v>0.1359999999999954</v>
      </c>
      <c r="BR207" s="50">
        <f t="shared" si="83"/>
        <v>18</v>
      </c>
    </row>
    <row r="208" spans="65:70" ht="12" customHeight="1" x14ac:dyDescent="0.2">
      <c r="BM208" s="50">
        <v>157</v>
      </c>
      <c r="BN208" s="50">
        <f t="shared" si="79"/>
        <v>0.42999999999998839</v>
      </c>
      <c r="BO208" s="50">
        <f t="shared" si="81"/>
        <v>0.47806192230282407</v>
      </c>
      <c r="BP208" s="50">
        <f t="shared" si="82"/>
        <v>32</v>
      </c>
      <c r="BQ208" s="50">
        <f t="shared" si="80"/>
        <v>0.13199999999999537</v>
      </c>
      <c r="BR208" s="50">
        <f t="shared" si="83"/>
        <v>18</v>
      </c>
    </row>
    <row r="209" spans="65:70" ht="12" customHeight="1" x14ac:dyDescent="0.2">
      <c r="BM209" s="50">
        <v>158</v>
      </c>
      <c r="BN209" s="50">
        <f t="shared" si="79"/>
        <v>0.41999999999998827</v>
      </c>
      <c r="BO209" s="50">
        <f t="shared" si="81"/>
        <v>0.47932513641197594</v>
      </c>
      <c r="BP209" s="50">
        <f t="shared" si="82"/>
        <v>32</v>
      </c>
      <c r="BQ209" s="50">
        <f t="shared" si="80"/>
        <v>0.12799999999999531</v>
      </c>
      <c r="BR209" s="50">
        <f t="shared" si="83"/>
        <v>18</v>
      </c>
    </row>
    <row r="210" spans="65:70" ht="12" customHeight="1" x14ac:dyDescent="0.2">
      <c r="BM210" s="50">
        <v>159</v>
      </c>
      <c r="BN210" s="50">
        <f t="shared" si="79"/>
        <v>0.40999999999998826</v>
      </c>
      <c r="BO210" s="50">
        <f t="shared" si="81"/>
        <v>0.48058835052112781</v>
      </c>
      <c r="BP210" s="50">
        <f t="shared" si="82"/>
        <v>32</v>
      </c>
      <c r="BQ210" s="50">
        <f t="shared" si="80"/>
        <v>0.12399999999999531</v>
      </c>
      <c r="BR210" s="50">
        <f t="shared" si="83"/>
        <v>18</v>
      </c>
    </row>
    <row r="211" spans="65:70" ht="12" customHeight="1" x14ac:dyDescent="0.2">
      <c r="BM211" s="50">
        <v>160</v>
      </c>
      <c r="BN211" s="50">
        <f t="shared" si="79"/>
        <v>0.39999999999998814</v>
      </c>
      <c r="BO211" s="50">
        <f t="shared" si="81"/>
        <v>0.48185156463027967</v>
      </c>
      <c r="BP211" s="50">
        <f t="shared" si="82"/>
        <v>32</v>
      </c>
      <c r="BQ211" s="50">
        <f t="shared" si="80"/>
        <v>0.11999999999999525</v>
      </c>
      <c r="BR211" s="50">
        <f t="shared" si="83"/>
        <v>18</v>
      </c>
    </row>
    <row r="212" spans="65:70" ht="12" customHeight="1" x14ac:dyDescent="0.2">
      <c r="BM212" s="50">
        <v>161</v>
      </c>
      <c r="BN212" s="50">
        <f t="shared" si="79"/>
        <v>0.38999999999998813</v>
      </c>
      <c r="BO212" s="50">
        <f t="shared" ref="BO212:BO243" si="84">IF($CB$3,BO211+$BN$46,NA())</f>
        <v>0.48311477873943154</v>
      </c>
      <c r="BP212" s="50">
        <f t="shared" ref="BP212:BP243" si="85">BP211</f>
        <v>32</v>
      </c>
      <c r="BQ212" s="50">
        <f t="shared" si="80"/>
        <v>0.11599999999999525</v>
      </c>
      <c r="BR212" s="50">
        <f t="shared" ref="BR212:BR243" si="86">BR211</f>
        <v>18</v>
      </c>
    </row>
    <row r="213" spans="65:70" ht="12" customHeight="1" x14ac:dyDescent="0.2">
      <c r="BM213" s="50">
        <v>162</v>
      </c>
      <c r="BN213" s="50">
        <f t="shared" si="79"/>
        <v>0.37999999999998801</v>
      </c>
      <c r="BO213" s="50">
        <f t="shared" si="84"/>
        <v>0.48437799284858341</v>
      </c>
      <c r="BP213" s="50">
        <f t="shared" si="85"/>
        <v>32</v>
      </c>
      <c r="BQ213" s="50">
        <f t="shared" si="80"/>
        <v>0.11199999999999521</v>
      </c>
      <c r="BR213" s="50">
        <f t="shared" si="86"/>
        <v>18</v>
      </c>
    </row>
    <row r="214" spans="65:70" ht="12" customHeight="1" x14ac:dyDescent="0.2">
      <c r="BM214" s="50">
        <v>163</v>
      </c>
      <c r="BN214" s="50">
        <f t="shared" si="79"/>
        <v>0.36999999999998801</v>
      </c>
      <c r="BO214" s="50">
        <f t="shared" si="84"/>
        <v>0.48564120695773527</v>
      </c>
      <c r="BP214" s="50">
        <f t="shared" si="85"/>
        <v>32</v>
      </c>
      <c r="BQ214" s="50">
        <f t="shared" si="80"/>
        <v>0.10799999999999521</v>
      </c>
      <c r="BR214" s="50">
        <f t="shared" si="86"/>
        <v>18</v>
      </c>
    </row>
    <row r="215" spans="65:70" ht="12" customHeight="1" x14ac:dyDescent="0.2">
      <c r="BM215" s="50">
        <v>164</v>
      </c>
      <c r="BN215" s="50">
        <f t="shared" si="79"/>
        <v>0.35999999999998789</v>
      </c>
      <c r="BO215" s="50">
        <f t="shared" si="84"/>
        <v>0.48690442106688714</v>
      </c>
      <c r="BP215" s="50">
        <f t="shared" si="85"/>
        <v>32</v>
      </c>
      <c r="BQ215" s="50">
        <f t="shared" si="80"/>
        <v>0.10399999999999515</v>
      </c>
      <c r="BR215" s="50">
        <f t="shared" si="86"/>
        <v>18</v>
      </c>
    </row>
    <row r="216" spans="65:70" ht="12" customHeight="1" x14ac:dyDescent="0.2">
      <c r="BM216" s="50">
        <v>165</v>
      </c>
      <c r="BN216" s="50">
        <f t="shared" si="79"/>
        <v>0.34999999999998777</v>
      </c>
      <c r="BO216" s="50">
        <f t="shared" si="84"/>
        <v>0.48816763517603901</v>
      </c>
      <c r="BP216" s="50">
        <f t="shared" si="85"/>
        <v>32</v>
      </c>
      <c r="BQ216" s="50">
        <f t="shared" si="80"/>
        <v>9.9999999999995093E-2</v>
      </c>
      <c r="BR216" s="50">
        <f t="shared" si="86"/>
        <v>18</v>
      </c>
    </row>
    <row r="217" spans="65:70" ht="12" customHeight="1" x14ac:dyDescent="0.2">
      <c r="BM217" s="50">
        <v>166</v>
      </c>
      <c r="BN217" s="50">
        <f t="shared" si="79"/>
        <v>0.33999999999998776</v>
      </c>
      <c r="BO217" s="50">
        <f t="shared" si="84"/>
        <v>0.48943084928519087</v>
      </c>
      <c r="BP217" s="50">
        <f t="shared" si="85"/>
        <v>32</v>
      </c>
      <c r="BQ217" s="50">
        <f t="shared" si="80"/>
        <v>9.5999999999995089E-2</v>
      </c>
      <c r="BR217" s="50">
        <f t="shared" si="86"/>
        <v>18</v>
      </c>
    </row>
    <row r="218" spans="65:70" ht="12" customHeight="1" x14ac:dyDescent="0.2">
      <c r="BM218" s="50">
        <v>167</v>
      </c>
      <c r="BN218" s="50">
        <f t="shared" si="79"/>
        <v>0.32999999999998764</v>
      </c>
      <c r="BO218" s="50">
        <f t="shared" si="84"/>
        <v>0.49069406339434274</v>
      </c>
      <c r="BP218" s="50">
        <f t="shared" si="85"/>
        <v>32</v>
      </c>
      <c r="BQ218" s="50">
        <f t="shared" si="80"/>
        <v>9.1999999999995058E-2</v>
      </c>
      <c r="BR218" s="50">
        <f t="shared" si="86"/>
        <v>18</v>
      </c>
    </row>
    <row r="219" spans="65:70" ht="12" customHeight="1" x14ac:dyDescent="0.2">
      <c r="BM219" s="50">
        <v>168</v>
      </c>
      <c r="BN219" s="50">
        <f t="shared" si="79"/>
        <v>0.31999999999998763</v>
      </c>
      <c r="BO219" s="50">
        <f t="shared" si="84"/>
        <v>0.49195727750349461</v>
      </c>
      <c r="BP219" s="50">
        <f t="shared" si="85"/>
        <v>32</v>
      </c>
      <c r="BQ219" s="50">
        <f t="shared" si="80"/>
        <v>8.7999999999995054E-2</v>
      </c>
      <c r="BR219" s="50">
        <f t="shared" si="86"/>
        <v>18</v>
      </c>
    </row>
    <row r="220" spans="65:70" ht="12" customHeight="1" x14ac:dyDescent="0.2">
      <c r="BM220" s="50">
        <v>169</v>
      </c>
      <c r="BN220" s="50">
        <f t="shared" si="79"/>
        <v>0.30999999999998751</v>
      </c>
      <c r="BO220" s="50">
        <f t="shared" si="84"/>
        <v>0.49322049161264647</v>
      </c>
      <c r="BP220" s="50">
        <f t="shared" si="85"/>
        <v>32</v>
      </c>
      <c r="BQ220" s="50">
        <f t="shared" si="80"/>
        <v>8.3999999999994995E-2</v>
      </c>
      <c r="BR220" s="50">
        <f t="shared" si="86"/>
        <v>18</v>
      </c>
    </row>
    <row r="221" spans="65:70" ht="12" customHeight="1" x14ac:dyDescent="0.2">
      <c r="BM221" s="50">
        <v>170</v>
      </c>
      <c r="BN221" s="50">
        <f t="shared" si="79"/>
        <v>0.2999999999999875</v>
      </c>
      <c r="BO221" s="50">
        <f t="shared" si="84"/>
        <v>0.49448370572179834</v>
      </c>
      <c r="BP221" s="50">
        <f t="shared" si="85"/>
        <v>32</v>
      </c>
      <c r="BQ221" s="50">
        <f t="shared" si="80"/>
        <v>7.9999999999994992E-2</v>
      </c>
      <c r="BR221" s="50">
        <f t="shared" si="86"/>
        <v>18</v>
      </c>
    </row>
    <row r="222" spans="65:70" ht="12" customHeight="1" x14ac:dyDescent="0.2">
      <c r="BM222" s="50">
        <v>171</v>
      </c>
      <c r="BN222" s="50">
        <f t="shared" si="79"/>
        <v>0.28999999999998738</v>
      </c>
      <c r="BO222" s="50">
        <f t="shared" si="84"/>
        <v>0.49574691983095021</v>
      </c>
      <c r="BP222" s="50">
        <f t="shared" si="85"/>
        <v>32</v>
      </c>
      <c r="BQ222" s="50">
        <f t="shared" si="80"/>
        <v>7.599999999999496E-2</v>
      </c>
      <c r="BR222" s="50">
        <f t="shared" si="86"/>
        <v>18</v>
      </c>
    </row>
    <row r="223" spans="65:70" ht="12" customHeight="1" x14ac:dyDescent="0.2">
      <c r="BM223" s="50">
        <v>172</v>
      </c>
      <c r="BN223" s="50">
        <f t="shared" si="79"/>
        <v>0.27999999999998726</v>
      </c>
      <c r="BO223" s="50">
        <f t="shared" si="84"/>
        <v>0.49701013394010207</v>
      </c>
      <c r="BP223" s="50">
        <f t="shared" si="85"/>
        <v>32</v>
      </c>
      <c r="BQ223" s="50">
        <f t="shared" si="80"/>
        <v>7.1999999999994901E-2</v>
      </c>
      <c r="BR223" s="50">
        <f t="shared" si="86"/>
        <v>18</v>
      </c>
    </row>
    <row r="224" spans="65:70" ht="12" customHeight="1" x14ac:dyDescent="0.2">
      <c r="BM224" s="50">
        <v>173</v>
      </c>
      <c r="BN224" s="50">
        <f t="shared" si="79"/>
        <v>0.26999999999998725</v>
      </c>
      <c r="BO224" s="50">
        <f t="shared" si="84"/>
        <v>0.49827334804925394</v>
      </c>
      <c r="BP224" s="50">
        <f t="shared" si="85"/>
        <v>32</v>
      </c>
      <c r="BQ224" s="50">
        <f t="shared" si="80"/>
        <v>6.7999999999994898E-2</v>
      </c>
      <c r="BR224" s="50">
        <f t="shared" si="86"/>
        <v>18</v>
      </c>
    </row>
    <row r="225" spans="65:70" ht="12" customHeight="1" x14ac:dyDescent="0.2">
      <c r="BM225" s="50">
        <v>174</v>
      </c>
      <c r="BN225" s="50">
        <f t="shared" si="79"/>
        <v>0.25999999999998713</v>
      </c>
      <c r="BO225" s="50">
        <f t="shared" si="84"/>
        <v>0.49953656215840581</v>
      </c>
      <c r="BP225" s="50">
        <f t="shared" si="85"/>
        <v>32</v>
      </c>
      <c r="BQ225" s="50">
        <f t="shared" si="80"/>
        <v>6.3999999999994867E-2</v>
      </c>
      <c r="BR225" s="50">
        <f t="shared" si="86"/>
        <v>18</v>
      </c>
    </row>
    <row r="226" spans="65:70" ht="12" customHeight="1" x14ac:dyDescent="0.2">
      <c r="BM226" s="50">
        <v>175</v>
      </c>
      <c r="BN226" s="50">
        <f t="shared" si="79"/>
        <v>0.24999999999998712</v>
      </c>
      <c r="BO226" s="50">
        <f t="shared" si="84"/>
        <v>0.50079977626755767</v>
      </c>
      <c r="BP226" s="50">
        <f t="shared" si="85"/>
        <v>32</v>
      </c>
      <c r="BQ226" s="50">
        <f t="shared" si="80"/>
        <v>5.9999999999994856E-2</v>
      </c>
      <c r="BR226" s="50">
        <f t="shared" si="86"/>
        <v>18</v>
      </c>
    </row>
    <row r="227" spans="65:70" ht="12" customHeight="1" x14ac:dyDescent="0.2">
      <c r="BM227" s="50">
        <v>176</v>
      </c>
      <c r="BN227" s="50">
        <f t="shared" si="79"/>
        <v>0.239999999999987</v>
      </c>
      <c r="BO227" s="50">
        <f t="shared" si="84"/>
        <v>0.50206299037670954</v>
      </c>
      <c r="BP227" s="50">
        <f t="shared" si="85"/>
        <v>32</v>
      </c>
      <c r="BQ227" s="50">
        <f t="shared" si="80"/>
        <v>5.5999999999994811E-2</v>
      </c>
      <c r="BR227" s="50">
        <f t="shared" si="86"/>
        <v>18</v>
      </c>
    </row>
    <row r="228" spans="65:70" ht="12" customHeight="1" x14ac:dyDescent="0.2">
      <c r="BM228" s="50">
        <v>177</v>
      </c>
      <c r="BN228" s="50">
        <f t="shared" si="79"/>
        <v>0.22999999999998699</v>
      </c>
      <c r="BO228" s="50">
        <f t="shared" si="84"/>
        <v>0.50332620448586141</v>
      </c>
      <c r="BP228" s="50">
        <f t="shared" si="85"/>
        <v>32</v>
      </c>
      <c r="BQ228" s="50">
        <f t="shared" si="80"/>
        <v>5.1999999999994807E-2</v>
      </c>
      <c r="BR228" s="50">
        <f t="shared" si="86"/>
        <v>18</v>
      </c>
    </row>
    <row r="229" spans="65:70" ht="12" customHeight="1" x14ac:dyDescent="0.2">
      <c r="BM229" s="50">
        <v>178</v>
      </c>
      <c r="BN229" s="50">
        <f t="shared" si="79"/>
        <v>0.21999999999998687</v>
      </c>
      <c r="BO229" s="50">
        <f t="shared" si="84"/>
        <v>0.50458941859501327</v>
      </c>
      <c r="BP229" s="50">
        <f t="shared" si="85"/>
        <v>32</v>
      </c>
      <c r="BQ229" s="50">
        <f t="shared" si="80"/>
        <v>4.7999999999994748E-2</v>
      </c>
      <c r="BR229" s="50">
        <f t="shared" si="86"/>
        <v>18</v>
      </c>
    </row>
    <row r="230" spans="65:70" ht="12" customHeight="1" x14ac:dyDescent="0.2">
      <c r="BM230" s="50">
        <v>179</v>
      </c>
      <c r="BN230" s="50">
        <f t="shared" si="79"/>
        <v>0.20999999999998675</v>
      </c>
      <c r="BO230" s="50">
        <f t="shared" si="84"/>
        <v>0.50585263270416514</v>
      </c>
      <c r="BP230" s="50">
        <f t="shared" si="85"/>
        <v>32</v>
      </c>
      <c r="BQ230" s="50">
        <f t="shared" si="80"/>
        <v>4.3999999999994703E-2</v>
      </c>
      <c r="BR230" s="50">
        <f t="shared" si="86"/>
        <v>18</v>
      </c>
    </row>
    <row r="231" spans="65:70" ht="12" customHeight="1" x14ac:dyDescent="0.2">
      <c r="BM231" s="50">
        <v>180</v>
      </c>
      <c r="BN231" s="50">
        <f t="shared" si="79"/>
        <v>0.19999999999998674</v>
      </c>
      <c r="BO231" s="50">
        <f t="shared" si="84"/>
        <v>0.50711584681331701</v>
      </c>
      <c r="BP231" s="50">
        <f t="shared" si="85"/>
        <v>32</v>
      </c>
      <c r="BQ231" s="50">
        <f t="shared" si="80"/>
        <v>3.99999999999947E-2</v>
      </c>
      <c r="BR231" s="50">
        <f t="shared" si="86"/>
        <v>18</v>
      </c>
    </row>
    <row r="232" spans="65:70" ht="12" customHeight="1" x14ac:dyDescent="0.2">
      <c r="BM232" s="50">
        <v>181</v>
      </c>
      <c r="BN232" s="50">
        <f t="shared" si="79"/>
        <v>0.18999999999998662</v>
      </c>
      <c r="BO232" s="50">
        <f t="shared" si="84"/>
        <v>0.50837906092246887</v>
      </c>
      <c r="BP232" s="50">
        <f t="shared" si="85"/>
        <v>32</v>
      </c>
      <c r="BQ232" s="50">
        <f t="shared" si="80"/>
        <v>3.5999999999994654E-2</v>
      </c>
      <c r="BR232" s="50">
        <f t="shared" si="86"/>
        <v>18</v>
      </c>
    </row>
    <row r="233" spans="65:70" ht="12" customHeight="1" x14ac:dyDescent="0.2">
      <c r="BM233" s="50">
        <v>182</v>
      </c>
      <c r="BN233" s="50">
        <f t="shared" si="79"/>
        <v>0.17999999999998662</v>
      </c>
      <c r="BO233" s="50">
        <f t="shared" si="84"/>
        <v>0.50964227503162074</v>
      </c>
      <c r="BP233" s="50">
        <f t="shared" si="85"/>
        <v>32</v>
      </c>
      <c r="BQ233" s="50">
        <f t="shared" si="80"/>
        <v>3.1999999999994651E-2</v>
      </c>
      <c r="BR233" s="50">
        <f t="shared" si="86"/>
        <v>18</v>
      </c>
    </row>
    <row r="234" spans="65:70" ht="12" customHeight="1" x14ac:dyDescent="0.2">
      <c r="BM234" s="50">
        <v>183</v>
      </c>
      <c r="BN234" s="50">
        <f t="shared" si="79"/>
        <v>0.1699999999999865</v>
      </c>
      <c r="BO234" s="50">
        <f t="shared" si="84"/>
        <v>0.51090548914077261</v>
      </c>
      <c r="BP234" s="50">
        <f t="shared" si="85"/>
        <v>32</v>
      </c>
      <c r="BQ234" s="50">
        <f t="shared" si="80"/>
        <v>2.7999999999994606E-2</v>
      </c>
      <c r="BR234" s="50">
        <f t="shared" si="86"/>
        <v>18</v>
      </c>
    </row>
    <row r="235" spans="65:70" ht="12" customHeight="1" x14ac:dyDescent="0.2">
      <c r="BM235" s="50">
        <v>184</v>
      </c>
      <c r="BN235" s="50">
        <f t="shared" si="79"/>
        <v>0.15999999999998649</v>
      </c>
      <c r="BO235" s="50">
        <f t="shared" si="84"/>
        <v>0.51216870324992447</v>
      </c>
      <c r="BP235" s="50">
        <f t="shared" si="85"/>
        <v>32</v>
      </c>
      <c r="BQ235" s="50">
        <f t="shared" si="80"/>
        <v>2.3999999999994602E-2</v>
      </c>
      <c r="BR235" s="50">
        <f t="shared" si="86"/>
        <v>18</v>
      </c>
    </row>
    <row r="236" spans="65:70" ht="12" customHeight="1" x14ac:dyDescent="0.2">
      <c r="BM236" s="50">
        <v>185</v>
      </c>
      <c r="BN236" s="50">
        <f t="shared" si="79"/>
        <v>0.14999999999998637</v>
      </c>
      <c r="BO236" s="50">
        <f t="shared" si="84"/>
        <v>0.51343191735907634</v>
      </c>
      <c r="BP236" s="50">
        <f t="shared" si="85"/>
        <v>32</v>
      </c>
      <c r="BQ236" s="50">
        <f t="shared" si="80"/>
        <v>1.999999999999455E-2</v>
      </c>
      <c r="BR236" s="50">
        <f t="shared" si="86"/>
        <v>18</v>
      </c>
    </row>
    <row r="237" spans="65:70" ht="12" customHeight="1" x14ac:dyDescent="0.2">
      <c r="BM237" s="50">
        <v>186</v>
      </c>
      <c r="BN237" s="50">
        <f t="shared" si="79"/>
        <v>0.13999999999998625</v>
      </c>
      <c r="BO237" s="50">
        <f t="shared" si="84"/>
        <v>0.51469513146822821</v>
      </c>
      <c r="BP237" s="50">
        <f t="shared" si="85"/>
        <v>32</v>
      </c>
      <c r="BQ237" s="50">
        <f t="shared" si="80"/>
        <v>1.5999999999994498E-2</v>
      </c>
      <c r="BR237" s="50">
        <f t="shared" si="86"/>
        <v>18</v>
      </c>
    </row>
    <row r="238" spans="65:70" ht="12" customHeight="1" x14ac:dyDescent="0.2">
      <c r="BM238" s="50">
        <v>187</v>
      </c>
      <c r="BN238" s="50">
        <f t="shared" si="79"/>
        <v>0.12999999999998624</v>
      </c>
      <c r="BO238" s="50">
        <f t="shared" si="84"/>
        <v>0.51595834557738007</v>
      </c>
      <c r="BP238" s="50">
        <f t="shared" si="85"/>
        <v>32</v>
      </c>
      <c r="BQ238" s="50">
        <f t="shared" si="80"/>
        <v>1.1999999999994494E-2</v>
      </c>
      <c r="BR238" s="50">
        <f t="shared" si="86"/>
        <v>18</v>
      </c>
    </row>
    <row r="239" spans="65:70" ht="12" customHeight="1" x14ac:dyDescent="0.2">
      <c r="BM239" s="50">
        <v>188</v>
      </c>
      <c r="BN239" s="50">
        <f t="shared" si="79"/>
        <v>0.11999999999998612</v>
      </c>
      <c r="BO239" s="50">
        <f t="shared" si="84"/>
        <v>0.51722155968653194</v>
      </c>
      <c r="BP239" s="50">
        <f t="shared" si="85"/>
        <v>32</v>
      </c>
      <c r="BQ239" s="50">
        <f t="shared" si="80"/>
        <v>7.9999999999944491E-3</v>
      </c>
      <c r="BR239" s="50">
        <f t="shared" si="86"/>
        <v>18</v>
      </c>
    </row>
    <row r="240" spans="65:70" ht="12" customHeight="1" x14ac:dyDescent="0.2">
      <c r="BM240" s="50">
        <v>189</v>
      </c>
      <c r="BN240" s="50">
        <f t="shared" si="79"/>
        <v>0.10999999999998611</v>
      </c>
      <c r="BO240" s="50">
        <f t="shared" si="84"/>
        <v>0.51848477379568381</v>
      </c>
      <c r="BP240" s="50">
        <f t="shared" si="85"/>
        <v>32</v>
      </c>
      <c r="BQ240" s="50">
        <f t="shared" si="80"/>
        <v>3.9999999999944455E-3</v>
      </c>
      <c r="BR240" s="50">
        <f t="shared" si="86"/>
        <v>18</v>
      </c>
    </row>
    <row r="241" spans="65:70" ht="12" customHeight="1" x14ac:dyDescent="0.2">
      <c r="BM241" s="50">
        <v>190</v>
      </c>
      <c r="BN241" s="50">
        <f t="shared" si="79"/>
        <v>9.9999999999985989E-2</v>
      </c>
      <c r="BO241" s="50">
        <f t="shared" si="84"/>
        <v>0.51974798790483567</v>
      </c>
      <c r="BP241" s="50">
        <f t="shared" si="85"/>
        <v>32</v>
      </c>
      <c r="BQ241" s="50">
        <f t="shared" si="80"/>
        <v>0</v>
      </c>
      <c r="BR241" s="50">
        <f t="shared" si="86"/>
        <v>18</v>
      </c>
    </row>
    <row r="242" spans="65:70" ht="12" customHeight="1" x14ac:dyDescent="0.2">
      <c r="BM242" s="50">
        <v>191</v>
      </c>
      <c r="BN242" s="50">
        <f t="shared" si="79"/>
        <v>8.999999999998598E-2</v>
      </c>
      <c r="BO242" s="50">
        <f t="shared" si="84"/>
        <v>0.52101120201398754</v>
      </c>
      <c r="BP242" s="50">
        <f t="shared" si="85"/>
        <v>32</v>
      </c>
      <c r="BQ242" s="50">
        <f t="shared" si="80"/>
        <v>0</v>
      </c>
      <c r="BR242" s="50">
        <f t="shared" si="86"/>
        <v>18</v>
      </c>
    </row>
    <row r="243" spans="65:70" ht="12" customHeight="1" x14ac:dyDescent="0.2">
      <c r="BM243" s="50">
        <v>192</v>
      </c>
      <c r="BN243" s="50">
        <f t="shared" ref="BN243:BN251" si="87">1-ABS($BQ$40-BO243)/$BS$39</f>
        <v>7.999999999998586E-2</v>
      </c>
      <c r="BO243" s="50">
        <f t="shared" si="84"/>
        <v>0.52227441612313941</v>
      </c>
      <c r="BP243" s="50">
        <f t="shared" si="85"/>
        <v>32</v>
      </c>
      <c r="BQ243" s="50">
        <f t="shared" ref="BQ243:BQ251" si="88">MAX($BR$42*BN243-$BN$47,0)</f>
        <v>0</v>
      </c>
      <c r="BR243" s="50">
        <f t="shared" si="86"/>
        <v>18</v>
      </c>
    </row>
    <row r="244" spans="65:70" ht="12" customHeight="1" x14ac:dyDescent="0.2">
      <c r="BM244" s="50">
        <v>193</v>
      </c>
      <c r="BN244" s="50">
        <f t="shared" si="87"/>
        <v>6.999999999998574E-2</v>
      </c>
      <c r="BO244" s="50">
        <f t="shared" ref="BO244:BO251" si="89">IF($CB$3,BO243+$BN$46,NA())</f>
        <v>0.52353763023229127</v>
      </c>
      <c r="BP244" s="50">
        <f t="shared" ref="BP244:BP251" si="90">BP243</f>
        <v>32</v>
      </c>
      <c r="BQ244" s="50">
        <f t="shared" si="88"/>
        <v>0</v>
      </c>
      <c r="BR244" s="50">
        <f t="shared" ref="BR244:BR251" si="91">BR243</f>
        <v>18</v>
      </c>
    </row>
    <row r="245" spans="65:70" ht="12" customHeight="1" x14ac:dyDescent="0.2">
      <c r="BM245" s="50">
        <v>194</v>
      </c>
      <c r="BN245" s="50">
        <f t="shared" si="87"/>
        <v>5.9999999999985731E-2</v>
      </c>
      <c r="BO245" s="50">
        <f t="shared" si="89"/>
        <v>0.52480084434144314</v>
      </c>
      <c r="BP245" s="50">
        <f t="shared" si="90"/>
        <v>32</v>
      </c>
      <c r="BQ245" s="50">
        <f t="shared" si="88"/>
        <v>0</v>
      </c>
      <c r="BR245" s="50">
        <f t="shared" si="91"/>
        <v>18</v>
      </c>
    </row>
    <row r="246" spans="65:70" ht="12" customHeight="1" x14ac:dyDescent="0.2">
      <c r="BM246" s="50">
        <v>195</v>
      </c>
      <c r="BN246" s="50">
        <f t="shared" si="87"/>
        <v>4.9999999999985612E-2</v>
      </c>
      <c r="BO246" s="50">
        <f t="shared" si="89"/>
        <v>0.52606405845059501</v>
      </c>
      <c r="BP246" s="50">
        <f t="shared" si="90"/>
        <v>32</v>
      </c>
      <c r="BQ246" s="50">
        <f t="shared" si="88"/>
        <v>0</v>
      </c>
      <c r="BR246" s="50">
        <f t="shared" si="91"/>
        <v>18</v>
      </c>
    </row>
    <row r="247" spans="65:70" ht="12" customHeight="1" x14ac:dyDescent="0.2">
      <c r="BM247" s="50">
        <v>196</v>
      </c>
      <c r="BN247" s="50">
        <f t="shared" si="87"/>
        <v>3.9999999999985603E-2</v>
      </c>
      <c r="BO247" s="50">
        <f t="shared" si="89"/>
        <v>0.52732727255974687</v>
      </c>
      <c r="BP247" s="50">
        <f t="shared" si="90"/>
        <v>32</v>
      </c>
      <c r="BQ247" s="50">
        <f t="shared" si="88"/>
        <v>0</v>
      </c>
      <c r="BR247" s="50">
        <f t="shared" si="91"/>
        <v>18</v>
      </c>
    </row>
    <row r="248" spans="65:70" ht="12" customHeight="1" x14ac:dyDescent="0.2">
      <c r="BM248" s="50">
        <v>197</v>
      </c>
      <c r="BN248" s="50">
        <f t="shared" si="87"/>
        <v>2.9999999999985483E-2</v>
      </c>
      <c r="BO248" s="50">
        <f t="shared" si="89"/>
        <v>0.52859048666889874</v>
      </c>
      <c r="BP248" s="50">
        <f t="shared" si="90"/>
        <v>32</v>
      </c>
      <c r="BQ248" s="50">
        <f t="shared" si="88"/>
        <v>0</v>
      </c>
      <c r="BR248" s="50">
        <f t="shared" si="91"/>
        <v>18</v>
      </c>
    </row>
    <row r="249" spans="65:70" ht="12" customHeight="1" x14ac:dyDescent="0.2">
      <c r="BM249" s="50">
        <v>198</v>
      </c>
      <c r="BN249" s="50">
        <f t="shared" si="87"/>
        <v>1.9999999999985474E-2</v>
      </c>
      <c r="BO249" s="50">
        <f t="shared" si="89"/>
        <v>0.52985370077805061</v>
      </c>
      <c r="BP249" s="50">
        <f t="shared" si="90"/>
        <v>32</v>
      </c>
      <c r="BQ249" s="50">
        <f t="shared" si="88"/>
        <v>0</v>
      </c>
      <c r="BR249" s="50">
        <f t="shared" si="91"/>
        <v>18</v>
      </c>
    </row>
    <row r="250" spans="65:70" ht="12" customHeight="1" x14ac:dyDescent="0.2">
      <c r="BM250" s="50">
        <v>199</v>
      </c>
      <c r="BN250" s="50">
        <f t="shared" si="87"/>
        <v>9.9999999999853539E-3</v>
      </c>
      <c r="BO250" s="50">
        <f t="shared" si="89"/>
        <v>0.53111691488720247</v>
      </c>
      <c r="BP250" s="50">
        <f t="shared" si="90"/>
        <v>32</v>
      </c>
      <c r="BQ250" s="50">
        <f t="shared" si="88"/>
        <v>0</v>
      </c>
      <c r="BR250" s="50">
        <f t="shared" si="91"/>
        <v>18</v>
      </c>
    </row>
    <row r="251" spans="65:70" ht="12" customHeight="1" x14ac:dyDescent="0.2">
      <c r="BM251" s="50">
        <v>200</v>
      </c>
      <c r="BN251" s="50">
        <f t="shared" si="87"/>
        <v>-1.4654943925052066E-14</v>
      </c>
      <c r="BO251" s="50">
        <f t="shared" si="89"/>
        <v>0.53238012899635434</v>
      </c>
      <c r="BP251" s="50">
        <f t="shared" si="90"/>
        <v>32</v>
      </c>
      <c r="BQ251" s="50">
        <f t="shared" si="88"/>
        <v>0</v>
      </c>
      <c r="BR251" s="50">
        <f t="shared" si="91"/>
        <v>18</v>
      </c>
    </row>
  </sheetData>
  <sheetProtection sheet="1" objects="1" scenarios="1" selectLockedCells="1"/>
  <mergeCells count="3">
    <mergeCell ref="Z4:AA4"/>
    <mergeCell ref="Z5:AA5"/>
    <mergeCell ref="N4:O4"/>
  </mergeCells>
  <phoneticPr fontId="2" type="noConversion"/>
  <conditionalFormatting sqref="D7">
    <cfRule type="cellIs" dxfId="1" priority="1" stopIfTrue="1" operator="equal">
      <formula>"ns"</formula>
    </cfRule>
    <cfRule type="cellIs" dxfId="0" priority="2" stopIfTrue="1" operator="equal">
      <formula>"?"</formula>
    </cfRule>
  </conditionalFormatting>
  <dataValidations count="4">
    <dataValidation type="decimal" allowBlank="1" showErrorMessage="1" errorTitle="Confidence level" error="Number, min 0, max 99.9" sqref="I2">
      <formula1>0</formula1>
      <formula2>99.9</formula2>
    </dataValidation>
    <dataValidation type="decimal" showErrorMessage="1" errorTitle="Reference value for mean" error="Must be a number" sqref="BN3">
      <formula1>-999999999999</formula1>
      <formula2>999999999999</formula2>
    </dataValidation>
    <dataValidation type="whole" operator="greaterThan" allowBlank="1" showInputMessage="1" showErrorMessage="1" errorTitle="Sample size " error="Must be an integer, at least 4" sqref="H7:H36">
      <formula1>3</formula1>
    </dataValidation>
    <dataValidation type="decimal" allowBlank="1" showInputMessage="1" showErrorMessage="1" errorTitle="Correlation" error="Must be a number_x000a_Min -1, max 1" sqref="G7:G36">
      <formula1>-1</formula1>
      <formula2>1</formula2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921" r:id="rId4" name="Check Box 1">
              <controlPr defaultSize="0" autoFill="0" autoLine="0" autoPict="0">
                <anchor moveWithCells="1">
                  <from>
                    <xdr:col>8</xdr:col>
                    <xdr:colOff>85725</xdr:colOff>
                    <xdr:row>5</xdr:row>
                    <xdr:rowOff>123825</xdr:rowOff>
                  </from>
                  <to>
                    <xdr:col>9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2" r:id="rId5" name="Option Button 2">
              <controlPr defaultSize="0" autoFill="0" autoLine="0" autoPict="0">
                <anchor moveWithCells="1">
                  <from>
                    <xdr:col>5</xdr:col>
                    <xdr:colOff>771525</xdr:colOff>
                    <xdr:row>37</xdr:row>
                    <xdr:rowOff>123825</xdr:rowOff>
                  </from>
                  <to>
                    <xdr:col>6</xdr:col>
                    <xdr:colOff>123825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4" r:id="rId6" name="Spinner 4">
              <controlPr defaultSize="0" autoPict="0">
                <anchor moveWithCells="1">
                  <from>
                    <xdr:col>9</xdr:col>
                    <xdr:colOff>28575</xdr:colOff>
                    <xdr:row>0</xdr:row>
                    <xdr:rowOff>104775</xdr:rowOff>
                  </from>
                  <to>
                    <xdr:col>10</xdr:col>
                    <xdr:colOff>66675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5" r:id="rId7" name="Check Box 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95250</xdr:rowOff>
                  </from>
                  <to>
                    <xdr:col>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9" r:id="rId8" name="Check Box 9">
              <controlPr defaultSize="0" autoFill="0" autoLine="0" autoPict="0">
                <anchor moveWithCells="1">
                  <from>
                    <xdr:col>12</xdr:col>
                    <xdr:colOff>47625</xdr:colOff>
                    <xdr:row>0</xdr:row>
                    <xdr:rowOff>114300</xdr:rowOff>
                  </from>
                  <to>
                    <xdr:col>12</xdr:col>
                    <xdr:colOff>352425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34" r:id="rId9" name="Check Box 14">
              <controlPr defaultSize="0" autoFill="0" autoLine="0" autoPict="0">
                <anchor moveWithCells="1">
                  <from>
                    <xdr:col>5</xdr:col>
                    <xdr:colOff>0</xdr:colOff>
                    <xdr:row>1</xdr:row>
                    <xdr:rowOff>95250</xdr:rowOff>
                  </from>
                  <to>
                    <xdr:col>5</xdr:col>
                    <xdr:colOff>304800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44" r:id="rId10" name="Option Button 24">
              <controlPr defaultSize="0" autoFill="0" autoLine="0" autoPict="0">
                <anchor moveWithCells="1">
                  <from>
                    <xdr:col>5</xdr:col>
                    <xdr:colOff>771525</xdr:colOff>
                    <xdr:row>39</xdr:row>
                    <xdr:rowOff>114300</xdr:rowOff>
                  </from>
                  <to>
                    <xdr:col>6</xdr:col>
                    <xdr:colOff>123825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2" r:id="rId11" name="Check Box 42">
              <controlPr defaultSize="0" autoFill="0" autoLine="0" autoPict="0">
                <anchor moveWithCells="1">
                  <from>
                    <xdr:col>8</xdr:col>
                    <xdr:colOff>85725</xdr:colOff>
                    <xdr:row>6</xdr:row>
                    <xdr:rowOff>104775</xdr:rowOff>
                  </from>
                  <to>
                    <xdr:col>9</xdr:col>
                    <xdr:colOff>19050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3" r:id="rId12" name="Check Box 43">
              <controlPr defaultSize="0" autoFill="0" autoLine="0" autoPict="0">
                <anchor moveWithCells="1">
                  <from>
                    <xdr:col>8</xdr:col>
                    <xdr:colOff>85725</xdr:colOff>
                    <xdr:row>7</xdr:row>
                    <xdr:rowOff>104775</xdr:rowOff>
                  </from>
                  <to>
                    <xdr:col>9</xdr:col>
                    <xdr:colOff>19050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4" r:id="rId13" name="Check Box 44">
              <controlPr defaultSize="0" autoFill="0" autoLine="0" autoPict="0">
                <anchor moveWithCells="1">
                  <from>
                    <xdr:col>8</xdr:col>
                    <xdr:colOff>85725</xdr:colOff>
                    <xdr:row>8</xdr:row>
                    <xdr:rowOff>104775</xdr:rowOff>
                  </from>
                  <to>
                    <xdr:col>9</xdr:col>
                    <xdr:colOff>19050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5" r:id="rId14" name="Check Box 45">
              <controlPr defaultSize="0" autoFill="0" autoLine="0" autoPict="0">
                <anchor moveWithCells="1">
                  <from>
                    <xdr:col>8</xdr:col>
                    <xdr:colOff>85725</xdr:colOff>
                    <xdr:row>9</xdr:row>
                    <xdr:rowOff>104775</xdr:rowOff>
                  </from>
                  <to>
                    <xdr:col>9</xdr:col>
                    <xdr:colOff>19050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6" r:id="rId15" name="Check Box 46">
              <controlPr defaultSize="0" autoFill="0" autoLine="0" autoPict="0">
                <anchor moveWithCells="1">
                  <from>
                    <xdr:col>8</xdr:col>
                    <xdr:colOff>85725</xdr:colOff>
                    <xdr:row>10</xdr:row>
                    <xdr:rowOff>104775</xdr:rowOff>
                  </from>
                  <to>
                    <xdr:col>9</xdr:col>
                    <xdr:colOff>19050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7" r:id="rId16" name="Check Box 47">
              <controlPr defaultSize="0" autoFill="0" autoLine="0" autoPict="0">
                <anchor moveWithCells="1">
                  <from>
                    <xdr:col>8</xdr:col>
                    <xdr:colOff>85725</xdr:colOff>
                    <xdr:row>11</xdr:row>
                    <xdr:rowOff>104775</xdr:rowOff>
                  </from>
                  <to>
                    <xdr:col>9</xdr:col>
                    <xdr:colOff>19050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8" r:id="rId17" name="Check Box 48">
              <controlPr defaultSize="0" autoFill="0" autoLine="0" autoPict="0">
                <anchor moveWithCells="1">
                  <from>
                    <xdr:col>8</xdr:col>
                    <xdr:colOff>85725</xdr:colOff>
                    <xdr:row>12</xdr:row>
                    <xdr:rowOff>104775</xdr:rowOff>
                  </from>
                  <to>
                    <xdr:col>9</xdr:col>
                    <xdr:colOff>19050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9" r:id="rId18" name="Check Box 49">
              <controlPr defaultSize="0" autoFill="0" autoLine="0" autoPict="0">
                <anchor moveWithCells="1">
                  <from>
                    <xdr:col>8</xdr:col>
                    <xdr:colOff>85725</xdr:colOff>
                    <xdr:row>13</xdr:row>
                    <xdr:rowOff>104775</xdr:rowOff>
                  </from>
                  <to>
                    <xdr:col>9</xdr:col>
                    <xdr:colOff>19050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0" r:id="rId19" name="Check Box 50">
              <controlPr defaultSize="0" autoFill="0" autoLine="0" autoPict="0">
                <anchor moveWithCells="1">
                  <from>
                    <xdr:col>8</xdr:col>
                    <xdr:colOff>85725</xdr:colOff>
                    <xdr:row>14</xdr:row>
                    <xdr:rowOff>104775</xdr:rowOff>
                  </from>
                  <to>
                    <xdr:col>9</xdr:col>
                    <xdr:colOff>19050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1" r:id="rId20" name="Check Box 51">
              <controlPr defaultSize="0" autoFill="0" autoLine="0" autoPict="0">
                <anchor moveWithCells="1">
                  <from>
                    <xdr:col>8</xdr:col>
                    <xdr:colOff>85725</xdr:colOff>
                    <xdr:row>15</xdr:row>
                    <xdr:rowOff>104775</xdr:rowOff>
                  </from>
                  <to>
                    <xdr:col>9</xdr:col>
                    <xdr:colOff>19050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2" r:id="rId21" name="Check Box 52">
              <controlPr defaultSize="0" autoFill="0" autoLine="0" autoPict="0">
                <anchor moveWithCells="1">
                  <from>
                    <xdr:col>8</xdr:col>
                    <xdr:colOff>85725</xdr:colOff>
                    <xdr:row>16</xdr:row>
                    <xdr:rowOff>104775</xdr:rowOff>
                  </from>
                  <to>
                    <xdr:col>9</xdr:col>
                    <xdr:colOff>19050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3" r:id="rId22" name="Check Box 53">
              <controlPr defaultSize="0" autoFill="0" autoLine="0" autoPict="0">
                <anchor moveWithCells="1">
                  <from>
                    <xdr:col>8</xdr:col>
                    <xdr:colOff>85725</xdr:colOff>
                    <xdr:row>17</xdr:row>
                    <xdr:rowOff>104775</xdr:rowOff>
                  </from>
                  <to>
                    <xdr:col>9</xdr:col>
                    <xdr:colOff>19050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4" r:id="rId23" name="Check Box 54">
              <controlPr defaultSize="0" autoFill="0" autoLine="0" autoPict="0">
                <anchor moveWithCells="1">
                  <from>
                    <xdr:col>8</xdr:col>
                    <xdr:colOff>85725</xdr:colOff>
                    <xdr:row>18</xdr:row>
                    <xdr:rowOff>104775</xdr:rowOff>
                  </from>
                  <to>
                    <xdr:col>9</xdr:col>
                    <xdr:colOff>19050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5" r:id="rId24" name="Check Box 55">
              <controlPr defaultSize="0" autoFill="0" autoLine="0" autoPict="0">
                <anchor moveWithCells="1">
                  <from>
                    <xdr:col>8</xdr:col>
                    <xdr:colOff>85725</xdr:colOff>
                    <xdr:row>19</xdr:row>
                    <xdr:rowOff>104775</xdr:rowOff>
                  </from>
                  <to>
                    <xdr:col>9</xdr:col>
                    <xdr:colOff>19050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6" r:id="rId25" name="Check Box 56">
              <controlPr defaultSize="0" autoFill="0" autoLine="0" autoPict="0">
                <anchor moveWithCells="1">
                  <from>
                    <xdr:col>8</xdr:col>
                    <xdr:colOff>85725</xdr:colOff>
                    <xdr:row>20</xdr:row>
                    <xdr:rowOff>104775</xdr:rowOff>
                  </from>
                  <to>
                    <xdr:col>9</xdr:col>
                    <xdr:colOff>19050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7" r:id="rId26" name="Check Box 57">
              <controlPr defaultSize="0" autoFill="0" autoLine="0" autoPict="0">
                <anchor moveWithCells="1">
                  <from>
                    <xdr:col>8</xdr:col>
                    <xdr:colOff>85725</xdr:colOff>
                    <xdr:row>21</xdr:row>
                    <xdr:rowOff>104775</xdr:rowOff>
                  </from>
                  <to>
                    <xdr:col>9</xdr:col>
                    <xdr:colOff>19050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8" r:id="rId27" name="Check Box 58">
              <controlPr defaultSize="0" autoFill="0" autoLine="0" autoPict="0">
                <anchor moveWithCells="1">
                  <from>
                    <xdr:col>8</xdr:col>
                    <xdr:colOff>85725</xdr:colOff>
                    <xdr:row>22</xdr:row>
                    <xdr:rowOff>104775</xdr:rowOff>
                  </from>
                  <to>
                    <xdr:col>9</xdr:col>
                    <xdr:colOff>19050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9" r:id="rId28" name="Check Box 59">
              <controlPr defaultSize="0" autoFill="0" autoLine="0" autoPict="0">
                <anchor moveWithCells="1">
                  <from>
                    <xdr:col>8</xdr:col>
                    <xdr:colOff>85725</xdr:colOff>
                    <xdr:row>23</xdr:row>
                    <xdr:rowOff>104775</xdr:rowOff>
                  </from>
                  <to>
                    <xdr:col>9</xdr:col>
                    <xdr:colOff>19050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0" r:id="rId29" name="Check Box 60">
              <controlPr defaultSize="0" autoFill="0" autoLine="0" autoPict="0">
                <anchor moveWithCells="1">
                  <from>
                    <xdr:col>8</xdr:col>
                    <xdr:colOff>85725</xdr:colOff>
                    <xdr:row>24</xdr:row>
                    <xdr:rowOff>104775</xdr:rowOff>
                  </from>
                  <to>
                    <xdr:col>9</xdr:col>
                    <xdr:colOff>19050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1" r:id="rId30" name="Check Box 61">
              <controlPr defaultSize="0" autoFill="0" autoLine="0" autoPict="0">
                <anchor moveWithCells="1">
                  <from>
                    <xdr:col>8</xdr:col>
                    <xdr:colOff>85725</xdr:colOff>
                    <xdr:row>25</xdr:row>
                    <xdr:rowOff>104775</xdr:rowOff>
                  </from>
                  <to>
                    <xdr:col>9</xdr:col>
                    <xdr:colOff>19050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2" r:id="rId31" name="Check Box 62">
              <controlPr defaultSize="0" autoFill="0" autoLine="0" autoPict="0">
                <anchor moveWithCells="1">
                  <from>
                    <xdr:col>8</xdr:col>
                    <xdr:colOff>85725</xdr:colOff>
                    <xdr:row>26</xdr:row>
                    <xdr:rowOff>104775</xdr:rowOff>
                  </from>
                  <to>
                    <xdr:col>9</xdr:col>
                    <xdr:colOff>19050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3" r:id="rId32" name="Check Box 63">
              <controlPr defaultSize="0" autoFill="0" autoLine="0" autoPict="0">
                <anchor moveWithCells="1">
                  <from>
                    <xdr:col>8</xdr:col>
                    <xdr:colOff>85725</xdr:colOff>
                    <xdr:row>27</xdr:row>
                    <xdr:rowOff>104775</xdr:rowOff>
                  </from>
                  <to>
                    <xdr:col>9</xdr:col>
                    <xdr:colOff>19050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4" r:id="rId33" name="Check Box 64">
              <controlPr defaultSize="0" autoFill="0" autoLine="0" autoPict="0">
                <anchor moveWithCells="1">
                  <from>
                    <xdr:col>8</xdr:col>
                    <xdr:colOff>85725</xdr:colOff>
                    <xdr:row>28</xdr:row>
                    <xdr:rowOff>104775</xdr:rowOff>
                  </from>
                  <to>
                    <xdr:col>9</xdr:col>
                    <xdr:colOff>19050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5" r:id="rId34" name="Check Box 65">
              <controlPr defaultSize="0" autoFill="0" autoLine="0" autoPict="0">
                <anchor moveWithCells="1">
                  <from>
                    <xdr:col>8</xdr:col>
                    <xdr:colOff>85725</xdr:colOff>
                    <xdr:row>29</xdr:row>
                    <xdr:rowOff>104775</xdr:rowOff>
                  </from>
                  <to>
                    <xdr:col>9</xdr:col>
                    <xdr:colOff>19050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6" r:id="rId35" name="Check Box 66">
              <controlPr defaultSize="0" autoFill="0" autoLine="0" autoPict="0">
                <anchor moveWithCells="1">
                  <from>
                    <xdr:col>8</xdr:col>
                    <xdr:colOff>85725</xdr:colOff>
                    <xdr:row>30</xdr:row>
                    <xdr:rowOff>104775</xdr:rowOff>
                  </from>
                  <to>
                    <xdr:col>9</xdr:col>
                    <xdr:colOff>19050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7" r:id="rId36" name="Check Box 67">
              <controlPr defaultSize="0" autoFill="0" autoLine="0" autoPict="0">
                <anchor moveWithCells="1">
                  <from>
                    <xdr:col>8</xdr:col>
                    <xdr:colOff>85725</xdr:colOff>
                    <xdr:row>31</xdr:row>
                    <xdr:rowOff>104775</xdr:rowOff>
                  </from>
                  <to>
                    <xdr:col>9</xdr:col>
                    <xdr:colOff>19050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8" r:id="rId37" name="Check Box 68">
              <controlPr defaultSize="0" autoFill="0" autoLine="0" autoPict="0">
                <anchor moveWithCells="1">
                  <from>
                    <xdr:col>8</xdr:col>
                    <xdr:colOff>85725</xdr:colOff>
                    <xdr:row>32</xdr:row>
                    <xdr:rowOff>104775</xdr:rowOff>
                  </from>
                  <to>
                    <xdr:col>9</xdr:col>
                    <xdr:colOff>19050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9" r:id="rId38" name="Check Box 69">
              <controlPr defaultSize="0" autoFill="0" autoLine="0" autoPict="0">
                <anchor moveWithCells="1">
                  <from>
                    <xdr:col>8</xdr:col>
                    <xdr:colOff>85725</xdr:colOff>
                    <xdr:row>33</xdr:row>
                    <xdr:rowOff>104775</xdr:rowOff>
                  </from>
                  <to>
                    <xdr:col>9</xdr:col>
                    <xdr:colOff>19050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90" r:id="rId39" name="Check Box 70">
              <controlPr defaultSize="0" autoFill="0" autoLine="0" autoPict="0">
                <anchor moveWithCells="1">
                  <from>
                    <xdr:col>8</xdr:col>
                    <xdr:colOff>85725</xdr:colOff>
                    <xdr:row>34</xdr:row>
                    <xdr:rowOff>104775</xdr:rowOff>
                  </from>
                  <to>
                    <xdr:col>9</xdr:col>
                    <xdr:colOff>19050</xdr:colOff>
                    <xdr:row>36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269</vt:i4>
      </vt:variant>
    </vt:vector>
  </HeadingPairs>
  <TitlesOfParts>
    <vt:vector size="275" baseType="lpstr">
      <vt:lpstr>Intro</vt:lpstr>
      <vt:lpstr>Original two groups</vt:lpstr>
      <vt:lpstr>Subsets</vt:lpstr>
      <vt:lpstr>d two groups</vt:lpstr>
      <vt:lpstr>d subsets</vt:lpstr>
      <vt:lpstr>Single r</vt:lpstr>
      <vt:lpstr>'d subsets'!approxlu</vt:lpstr>
      <vt:lpstr>'d two groups'!approxlu</vt:lpstr>
      <vt:lpstr>'d subsets'!cumulate</vt:lpstr>
      <vt:lpstr>'d two groups'!cumulate</vt:lpstr>
      <vt:lpstr>'Original two groups'!cumulate</vt:lpstr>
      <vt:lpstr>'Single r'!cumulate</vt:lpstr>
      <vt:lpstr>Subsets!cumulate</vt:lpstr>
      <vt:lpstr>'d subsets'!dstart</vt:lpstr>
      <vt:lpstr>'d two groups'!dstart</vt:lpstr>
      <vt:lpstr>'d subsets'!dtwograb</vt:lpstr>
      <vt:lpstr>'d two groups'!dtwograb</vt:lpstr>
      <vt:lpstr>'d subsets'!dtwoput</vt:lpstr>
      <vt:lpstr>'d two groups'!dtwoput</vt:lpstr>
      <vt:lpstr>'d subsets'!fixedrandom</vt:lpstr>
      <vt:lpstr>'d two groups'!fixedrandom</vt:lpstr>
      <vt:lpstr>'Original two groups'!fixedrandom</vt:lpstr>
      <vt:lpstr>'Single r'!fixedrandom</vt:lpstr>
      <vt:lpstr>Subsets!fixedrandom</vt:lpstr>
      <vt:lpstr>'d subsets'!freezeXtf</vt:lpstr>
      <vt:lpstr>'d two groups'!freezeXtf</vt:lpstr>
      <vt:lpstr>'Original two groups'!freezeXtf</vt:lpstr>
      <vt:lpstr>'Single r'!freezeXtf</vt:lpstr>
      <vt:lpstr>Subsets!freezeXtf</vt:lpstr>
      <vt:lpstr>'d subsets'!MAunits</vt:lpstr>
      <vt:lpstr>'d two groups'!MAunits</vt:lpstr>
      <vt:lpstr>'Original two groups'!MAunits</vt:lpstr>
      <vt:lpstr>Subsets!MAunits</vt:lpstr>
      <vt:lpstr>'d subsets'!nla</vt:lpstr>
      <vt:lpstr>'d two groups'!nla</vt:lpstr>
      <vt:lpstr>'d subsets'!nlaa</vt:lpstr>
      <vt:lpstr>'d two groups'!nlaa</vt:lpstr>
      <vt:lpstr>'d subsets'!nlab</vt:lpstr>
      <vt:lpstr>'d two groups'!nlab</vt:lpstr>
      <vt:lpstr>'d subsets'!nlac</vt:lpstr>
      <vt:lpstr>'d two groups'!nlac</vt:lpstr>
      <vt:lpstr>'d subsets'!nlad</vt:lpstr>
      <vt:lpstr>'d two groups'!nlad</vt:lpstr>
      <vt:lpstr>'d subsets'!nlb</vt:lpstr>
      <vt:lpstr>'d two groups'!nlb</vt:lpstr>
      <vt:lpstr>'d subsets'!nlc</vt:lpstr>
      <vt:lpstr>'d two groups'!nlc</vt:lpstr>
      <vt:lpstr>'d subsets'!nld</vt:lpstr>
      <vt:lpstr>'d two groups'!nld</vt:lpstr>
      <vt:lpstr>'d subsets'!nle</vt:lpstr>
      <vt:lpstr>'d two groups'!nle</vt:lpstr>
      <vt:lpstr>'d subsets'!nlf</vt:lpstr>
      <vt:lpstr>'d two groups'!nlf</vt:lpstr>
      <vt:lpstr>'d subsets'!nlg</vt:lpstr>
      <vt:lpstr>'d two groups'!nlg</vt:lpstr>
      <vt:lpstr>'d subsets'!nlh</vt:lpstr>
      <vt:lpstr>'d two groups'!nlh</vt:lpstr>
      <vt:lpstr>'d subsets'!nli</vt:lpstr>
      <vt:lpstr>'d two groups'!nli</vt:lpstr>
      <vt:lpstr>'d subsets'!nlj</vt:lpstr>
      <vt:lpstr>'d two groups'!nlj</vt:lpstr>
      <vt:lpstr>'d subsets'!nlk</vt:lpstr>
      <vt:lpstr>'d two groups'!nlk</vt:lpstr>
      <vt:lpstr>'d subsets'!nll</vt:lpstr>
      <vt:lpstr>'d two groups'!nll</vt:lpstr>
      <vt:lpstr>'d subsets'!nlm</vt:lpstr>
      <vt:lpstr>'d two groups'!nlm</vt:lpstr>
      <vt:lpstr>'d subsets'!nln</vt:lpstr>
      <vt:lpstr>'d two groups'!nln</vt:lpstr>
      <vt:lpstr>'d subsets'!nlo</vt:lpstr>
      <vt:lpstr>'d two groups'!nlo</vt:lpstr>
      <vt:lpstr>'d subsets'!nlp</vt:lpstr>
      <vt:lpstr>'d two groups'!nlp</vt:lpstr>
      <vt:lpstr>'d subsets'!nlq</vt:lpstr>
      <vt:lpstr>'d two groups'!nlq</vt:lpstr>
      <vt:lpstr>'d subsets'!nlr</vt:lpstr>
      <vt:lpstr>'d two groups'!nlr</vt:lpstr>
      <vt:lpstr>'d subsets'!nls</vt:lpstr>
      <vt:lpstr>'d two groups'!nls</vt:lpstr>
      <vt:lpstr>'d subsets'!nlt</vt:lpstr>
      <vt:lpstr>'d two groups'!nlt</vt:lpstr>
      <vt:lpstr>'d subsets'!nlu</vt:lpstr>
      <vt:lpstr>'d two groups'!nlu</vt:lpstr>
      <vt:lpstr>'d subsets'!nlv</vt:lpstr>
      <vt:lpstr>'d two groups'!nlv</vt:lpstr>
      <vt:lpstr>'d subsets'!nlw</vt:lpstr>
      <vt:lpstr>'d two groups'!nlw</vt:lpstr>
      <vt:lpstr>'d subsets'!nlx</vt:lpstr>
      <vt:lpstr>'d two groups'!nlx</vt:lpstr>
      <vt:lpstr>'d subsets'!nly</vt:lpstr>
      <vt:lpstr>'d two groups'!nly</vt:lpstr>
      <vt:lpstr>'d subsets'!nlz</vt:lpstr>
      <vt:lpstr>'d two groups'!nlz</vt:lpstr>
      <vt:lpstr>'d subsets'!nua</vt:lpstr>
      <vt:lpstr>'d two groups'!nua</vt:lpstr>
      <vt:lpstr>'d subsets'!nuaa</vt:lpstr>
      <vt:lpstr>'d two groups'!nuaa</vt:lpstr>
      <vt:lpstr>'d subsets'!nuab</vt:lpstr>
      <vt:lpstr>'d two groups'!nuab</vt:lpstr>
      <vt:lpstr>'d subsets'!nuac</vt:lpstr>
      <vt:lpstr>'d two groups'!nuac</vt:lpstr>
      <vt:lpstr>'d subsets'!nuad</vt:lpstr>
      <vt:lpstr>'d two groups'!nuad</vt:lpstr>
      <vt:lpstr>'d subsets'!nub</vt:lpstr>
      <vt:lpstr>'d two groups'!nub</vt:lpstr>
      <vt:lpstr>'d subsets'!nuc</vt:lpstr>
      <vt:lpstr>'d two groups'!nuc</vt:lpstr>
      <vt:lpstr>'d subsets'!nud</vt:lpstr>
      <vt:lpstr>'d two groups'!nud</vt:lpstr>
      <vt:lpstr>'d subsets'!nue</vt:lpstr>
      <vt:lpstr>'d two groups'!nue</vt:lpstr>
      <vt:lpstr>'d subsets'!nuf</vt:lpstr>
      <vt:lpstr>'d two groups'!nuf</vt:lpstr>
      <vt:lpstr>'d subsets'!nug</vt:lpstr>
      <vt:lpstr>'d two groups'!nug</vt:lpstr>
      <vt:lpstr>'d subsets'!nuh</vt:lpstr>
      <vt:lpstr>'d two groups'!nuh</vt:lpstr>
      <vt:lpstr>'d subsets'!nui</vt:lpstr>
      <vt:lpstr>'d two groups'!nui</vt:lpstr>
      <vt:lpstr>'d subsets'!nuj</vt:lpstr>
      <vt:lpstr>'d two groups'!nuj</vt:lpstr>
      <vt:lpstr>'d subsets'!nuk</vt:lpstr>
      <vt:lpstr>'d two groups'!nuk</vt:lpstr>
      <vt:lpstr>'d subsets'!nul</vt:lpstr>
      <vt:lpstr>'d two groups'!nul</vt:lpstr>
      <vt:lpstr>'d subsets'!num</vt:lpstr>
      <vt:lpstr>'d two groups'!num</vt:lpstr>
      <vt:lpstr>'d subsets'!nun</vt:lpstr>
      <vt:lpstr>'d two groups'!nun</vt:lpstr>
      <vt:lpstr>'d subsets'!nuo</vt:lpstr>
      <vt:lpstr>'d two groups'!nuo</vt:lpstr>
      <vt:lpstr>'d subsets'!nup</vt:lpstr>
      <vt:lpstr>'d two groups'!nup</vt:lpstr>
      <vt:lpstr>'d subsets'!nuq</vt:lpstr>
      <vt:lpstr>'d two groups'!nuq</vt:lpstr>
      <vt:lpstr>'d subsets'!nur</vt:lpstr>
      <vt:lpstr>'d two groups'!nur</vt:lpstr>
      <vt:lpstr>'d subsets'!nus</vt:lpstr>
      <vt:lpstr>'d two groups'!nus</vt:lpstr>
      <vt:lpstr>'d subsets'!nut</vt:lpstr>
      <vt:lpstr>'d two groups'!nut</vt:lpstr>
      <vt:lpstr>'d subsets'!nuu</vt:lpstr>
      <vt:lpstr>'d two groups'!nuu</vt:lpstr>
      <vt:lpstr>'d subsets'!nuv</vt:lpstr>
      <vt:lpstr>'d two groups'!nuv</vt:lpstr>
      <vt:lpstr>'d subsets'!nuw</vt:lpstr>
      <vt:lpstr>'d two groups'!nuw</vt:lpstr>
      <vt:lpstr>'d subsets'!nux</vt:lpstr>
      <vt:lpstr>'d two groups'!nux</vt:lpstr>
      <vt:lpstr>'d subsets'!nuy</vt:lpstr>
      <vt:lpstr>'d two groups'!nuy</vt:lpstr>
      <vt:lpstr>'d subsets'!nuz</vt:lpstr>
      <vt:lpstr>'d two groups'!nuz</vt:lpstr>
      <vt:lpstr>'d subsets'!startlu</vt:lpstr>
      <vt:lpstr>'d two groups'!startlu</vt:lpstr>
      <vt:lpstr>'d subsets'!zla</vt:lpstr>
      <vt:lpstr>'d two groups'!zla</vt:lpstr>
      <vt:lpstr>'d subsets'!zlaa</vt:lpstr>
      <vt:lpstr>'d two groups'!zlaa</vt:lpstr>
      <vt:lpstr>'d subsets'!zlab</vt:lpstr>
      <vt:lpstr>'d two groups'!zlab</vt:lpstr>
      <vt:lpstr>'d subsets'!zlac</vt:lpstr>
      <vt:lpstr>'d two groups'!zlac</vt:lpstr>
      <vt:lpstr>'d subsets'!zlad</vt:lpstr>
      <vt:lpstr>'d two groups'!zlad</vt:lpstr>
      <vt:lpstr>'d subsets'!zlb</vt:lpstr>
      <vt:lpstr>'d two groups'!zlb</vt:lpstr>
      <vt:lpstr>'d subsets'!zlc</vt:lpstr>
      <vt:lpstr>'d two groups'!zlc</vt:lpstr>
      <vt:lpstr>'d subsets'!zld</vt:lpstr>
      <vt:lpstr>'d two groups'!zld</vt:lpstr>
      <vt:lpstr>'d subsets'!zle</vt:lpstr>
      <vt:lpstr>'d two groups'!zle</vt:lpstr>
      <vt:lpstr>'d subsets'!zlf</vt:lpstr>
      <vt:lpstr>'d two groups'!zlf</vt:lpstr>
      <vt:lpstr>'d subsets'!zlg</vt:lpstr>
      <vt:lpstr>'d two groups'!zlg</vt:lpstr>
      <vt:lpstr>'d subsets'!zlh</vt:lpstr>
      <vt:lpstr>'d two groups'!zlh</vt:lpstr>
      <vt:lpstr>'d subsets'!zli</vt:lpstr>
      <vt:lpstr>'d two groups'!zli</vt:lpstr>
      <vt:lpstr>'d subsets'!zlj</vt:lpstr>
      <vt:lpstr>'d two groups'!zlj</vt:lpstr>
      <vt:lpstr>'d subsets'!zlk</vt:lpstr>
      <vt:lpstr>'d two groups'!zlk</vt:lpstr>
      <vt:lpstr>'d subsets'!zll</vt:lpstr>
      <vt:lpstr>'d two groups'!zll</vt:lpstr>
      <vt:lpstr>'d subsets'!zlm</vt:lpstr>
      <vt:lpstr>'d two groups'!zlm</vt:lpstr>
      <vt:lpstr>'d subsets'!zln</vt:lpstr>
      <vt:lpstr>'d two groups'!zln</vt:lpstr>
      <vt:lpstr>'d subsets'!zlo</vt:lpstr>
      <vt:lpstr>'d two groups'!zlo</vt:lpstr>
      <vt:lpstr>'d subsets'!zlp</vt:lpstr>
      <vt:lpstr>'d two groups'!zlp</vt:lpstr>
      <vt:lpstr>'d subsets'!zlq</vt:lpstr>
      <vt:lpstr>'d two groups'!zlq</vt:lpstr>
      <vt:lpstr>'d subsets'!zlr</vt:lpstr>
      <vt:lpstr>'d two groups'!zlr</vt:lpstr>
      <vt:lpstr>'d subsets'!zls</vt:lpstr>
      <vt:lpstr>'d two groups'!zls</vt:lpstr>
      <vt:lpstr>'d subsets'!zlt</vt:lpstr>
      <vt:lpstr>'d two groups'!zlt</vt:lpstr>
      <vt:lpstr>'d subsets'!zlu</vt:lpstr>
      <vt:lpstr>'d two groups'!zlu</vt:lpstr>
      <vt:lpstr>'d subsets'!zlv</vt:lpstr>
      <vt:lpstr>'d two groups'!zlv</vt:lpstr>
      <vt:lpstr>'d subsets'!zlw</vt:lpstr>
      <vt:lpstr>'d two groups'!zlw</vt:lpstr>
      <vt:lpstr>'d subsets'!zlx</vt:lpstr>
      <vt:lpstr>'d two groups'!zlx</vt:lpstr>
      <vt:lpstr>'d subsets'!zly</vt:lpstr>
      <vt:lpstr>'d two groups'!zly</vt:lpstr>
      <vt:lpstr>'d subsets'!zlz</vt:lpstr>
      <vt:lpstr>'d two groups'!zlz</vt:lpstr>
      <vt:lpstr>'d subsets'!zua</vt:lpstr>
      <vt:lpstr>'d two groups'!zua</vt:lpstr>
      <vt:lpstr>'d subsets'!zuaa</vt:lpstr>
      <vt:lpstr>'d two groups'!zuaa</vt:lpstr>
      <vt:lpstr>'d subsets'!zuab</vt:lpstr>
      <vt:lpstr>'d two groups'!zuab</vt:lpstr>
      <vt:lpstr>'d subsets'!zuac</vt:lpstr>
      <vt:lpstr>'d two groups'!zuac</vt:lpstr>
      <vt:lpstr>'d subsets'!zuad</vt:lpstr>
      <vt:lpstr>'d two groups'!zuad</vt:lpstr>
      <vt:lpstr>'d subsets'!zub</vt:lpstr>
      <vt:lpstr>'d two groups'!zub</vt:lpstr>
      <vt:lpstr>'d subsets'!zuc</vt:lpstr>
      <vt:lpstr>'d two groups'!zuc</vt:lpstr>
      <vt:lpstr>'d subsets'!zud</vt:lpstr>
      <vt:lpstr>'d two groups'!zud</vt:lpstr>
      <vt:lpstr>'d subsets'!zue</vt:lpstr>
      <vt:lpstr>'d two groups'!zue</vt:lpstr>
      <vt:lpstr>'d subsets'!zuf</vt:lpstr>
      <vt:lpstr>'d two groups'!zuf</vt:lpstr>
      <vt:lpstr>'d subsets'!zug</vt:lpstr>
      <vt:lpstr>'d two groups'!zug</vt:lpstr>
      <vt:lpstr>'d subsets'!zuh</vt:lpstr>
      <vt:lpstr>'d two groups'!zuh</vt:lpstr>
      <vt:lpstr>'d subsets'!zui</vt:lpstr>
      <vt:lpstr>'d two groups'!zui</vt:lpstr>
      <vt:lpstr>'d subsets'!zuj</vt:lpstr>
      <vt:lpstr>'d two groups'!zuj</vt:lpstr>
      <vt:lpstr>'d subsets'!zuk</vt:lpstr>
      <vt:lpstr>'d two groups'!zuk</vt:lpstr>
      <vt:lpstr>'d subsets'!zul</vt:lpstr>
      <vt:lpstr>'d two groups'!zul</vt:lpstr>
      <vt:lpstr>'d subsets'!zum</vt:lpstr>
      <vt:lpstr>'d two groups'!zum</vt:lpstr>
      <vt:lpstr>'d subsets'!zun</vt:lpstr>
      <vt:lpstr>'d two groups'!zun</vt:lpstr>
      <vt:lpstr>'d subsets'!zuo</vt:lpstr>
      <vt:lpstr>'d two groups'!zuo</vt:lpstr>
      <vt:lpstr>'d subsets'!zup</vt:lpstr>
      <vt:lpstr>'d two groups'!zup</vt:lpstr>
      <vt:lpstr>'d subsets'!zuq</vt:lpstr>
      <vt:lpstr>'d two groups'!zuq</vt:lpstr>
      <vt:lpstr>'d subsets'!zur</vt:lpstr>
      <vt:lpstr>'d two groups'!zur</vt:lpstr>
      <vt:lpstr>'d subsets'!zus</vt:lpstr>
      <vt:lpstr>'d two groups'!zus</vt:lpstr>
      <vt:lpstr>'d subsets'!zut</vt:lpstr>
      <vt:lpstr>'d two groups'!zut</vt:lpstr>
      <vt:lpstr>'d subsets'!zuu</vt:lpstr>
      <vt:lpstr>'d two groups'!zuu</vt:lpstr>
      <vt:lpstr>'d subsets'!zuv</vt:lpstr>
      <vt:lpstr>'d two groups'!zuv</vt:lpstr>
      <vt:lpstr>'d subsets'!zuw</vt:lpstr>
      <vt:lpstr>'d two groups'!zuw</vt:lpstr>
      <vt:lpstr>'d subsets'!zux</vt:lpstr>
      <vt:lpstr>'d two groups'!zux</vt:lpstr>
      <vt:lpstr>'d subsets'!zuy</vt:lpstr>
      <vt:lpstr>'d two groups'!zuy</vt:lpstr>
      <vt:lpstr>'d subsets'!zuz</vt:lpstr>
      <vt:lpstr>'d two groups'!zuz</vt:lpstr>
    </vt:vector>
  </TitlesOfParts>
  <Company>La Trobe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Geoff Cumming</dc:creator>
  <cp:lastModifiedBy>Geoff Cumming</cp:lastModifiedBy>
  <dcterms:created xsi:type="dcterms:W3CDTF">2005-03-30T10:19:15Z</dcterms:created>
  <dcterms:modified xsi:type="dcterms:W3CDTF">2016-08-04T23:35:09Z</dcterms:modified>
</cp:coreProperties>
</file>